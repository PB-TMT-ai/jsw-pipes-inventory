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4F87F543-4543-424D-B47E-173EC8AACF83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Coil Sheet at Plant" sheetId="1" r:id="rId1"/>
    <sheet name="Coil to Slit" sheetId="2" r:id="rId2"/>
    <sheet name="Slit to Tube Conversion" sheetId="3" r:id="rId3"/>
    <sheet name="Bundle Formation" sheetId="9" r:id="rId4"/>
    <sheet name="Dispatch Sheet" sheetId="4" r:id="rId5"/>
    <sheet name="Coil PO sheet " sheetId="6" r:id="rId6"/>
    <sheet name="SKU Master" sheetId="7" r:id="rId7"/>
    <sheet name="SOP" sheetId="5" r:id="rId8"/>
    <sheet name="Claude Log" sheetId="8" r:id="rId9"/>
    <sheet name="Helpers" sheetId="10" state="hidden" r:id="rId10"/>
  </sheets>
  <definedNames>
    <definedName name="_xlnm._FilterDatabase" localSheetId="3" hidden="1">'Bundle Formation'!$A$2:$M$2</definedName>
    <definedName name="_xlnm._FilterDatabase" localSheetId="1" hidden="1">'Coil to Slit'!$A$2:$O$1000</definedName>
    <definedName name="_xlnm._FilterDatabase" localSheetId="2" hidden="1">'Slit to Tube Conversion'!$A$2:$L$2</definedName>
    <definedName name="BabyCoilIDList">'Coil to Slit'!$D$3:$D$500</definedName>
    <definedName name="BundleIDList">OFFSET('Bundle Formation'!$G$3,0,0,MAX(COUNTIF('Bundle Formation'!$G$3:$G$117,"BND-*"),1),1)</definedName>
    <definedName name="CoilIDList">'Coil Sheet at Plant'!$C$3:$C$100</definedName>
    <definedName name="Density_T_mm3">SOP!$B$8</definedName>
    <definedName name="MaterialInfoList">'SKU Master'!$C$2:$C$233</definedName>
    <definedName name="SKU_1">"Helpers!$K$2:$K$20"</definedName>
    <definedName name="SKU_2">"Helpers!$L$2:$L$9"</definedName>
    <definedName name="SKU_3">"Helpers!$M$2:$M$9"</definedName>
    <definedName name="SKU_4">"Helpers!$N$2:$N$7"</definedName>
    <definedName name="SKU_5">"Helpers!$O$2:$O$11"</definedName>
    <definedName name="SKU_6">"Helpers!$P$2:$P$5"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9" l="1"/>
  <c r="G36" i="9"/>
  <c r="G37" i="9"/>
  <c r="G38" i="9"/>
  <c r="G39" i="9"/>
  <c r="G40" i="9"/>
  <c r="G41" i="9"/>
  <c r="G42" i="9"/>
  <c r="G43" i="9"/>
  <c r="G44" i="9"/>
  <c r="G45" i="9"/>
  <c r="G46" i="9"/>
  <c r="G47" i="9"/>
  <c r="D47" i="9"/>
  <c r="D37" i="9"/>
  <c r="D38" i="9"/>
  <c r="D39" i="9"/>
  <c r="G28" i="9"/>
  <c r="G29" i="9"/>
  <c r="G30" i="9"/>
  <c r="G31" i="9"/>
  <c r="G32" i="9"/>
  <c r="D29" i="9"/>
  <c r="D30" i="9"/>
  <c r="D31" i="9"/>
  <c r="D32" i="9"/>
  <c r="D23" i="9"/>
  <c r="G13" i="9"/>
  <c r="G14" i="9"/>
  <c r="G15" i="9"/>
  <c r="G16" i="9"/>
  <c r="G17" i="9"/>
  <c r="G18" i="9"/>
  <c r="G19" i="9"/>
  <c r="G20" i="9"/>
  <c r="G21" i="9"/>
  <c r="G22" i="9"/>
  <c r="D14" i="9"/>
  <c r="D15" i="9"/>
  <c r="D16" i="9"/>
  <c r="D17" i="9"/>
  <c r="D18" i="9"/>
  <c r="D19" i="9"/>
  <c r="D20" i="9"/>
  <c r="D21" i="9"/>
  <c r="D22" i="9"/>
  <c r="D13" i="9"/>
  <c r="D28" i="9"/>
  <c r="D33" i="9"/>
  <c r="D34" i="9"/>
  <c r="D35" i="9"/>
  <c r="D36" i="9"/>
  <c r="D40" i="9"/>
  <c r="D41" i="9"/>
  <c r="D42" i="9"/>
  <c r="D43" i="9"/>
  <c r="D44" i="9"/>
  <c r="D45" i="9"/>
  <c r="D46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I58" i="10"/>
  <c r="I59" i="10"/>
  <c r="I60" i="10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27" i="9"/>
  <c r="D26" i="9"/>
  <c r="D25" i="9"/>
  <c r="D24" i="9"/>
  <c r="D12" i="9"/>
  <c r="D11" i="9"/>
  <c r="D10" i="9"/>
  <c r="D9" i="9"/>
  <c r="D8" i="9"/>
  <c r="D7" i="9"/>
  <c r="D6" i="9"/>
  <c r="D5" i="9"/>
  <c r="D4" i="9"/>
  <c r="D3" i="9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D37" i="2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U100" i="1"/>
  <c r="V100" i="1" s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C3" i="1"/>
  <c r="F8" i="9"/>
  <c r="F4" i="9"/>
  <c r="M4" i="9"/>
  <c r="M5" i="9"/>
  <c r="M6" i="9"/>
  <c r="M7" i="9"/>
  <c r="M8" i="9"/>
  <c r="M9" i="9"/>
  <c r="M10" i="9"/>
  <c r="M11" i="9"/>
  <c r="M12" i="9"/>
  <c r="M24" i="9"/>
  <c r="M25" i="9"/>
  <c r="M26" i="9"/>
  <c r="M27" i="9"/>
  <c r="M28" i="9"/>
  <c r="M32" i="9"/>
  <c r="M33" i="9"/>
  <c r="M34" i="9"/>
  <c r="M35" i="9"/>
  <c r="M36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3" i="9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2" i="10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G3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10" i="9"/>
  <c r="G9" i="9"/>
  <c r="G8" i="9"/>
  <c r="G7" i="9"/>
  <c r="G6" i="9"/>
  <c r="G5" i="9"/>
  <c r="G4" i="9"/>
  <c r="C4" i="1"/>
  <c r="C5" i="1"/>
  <c r="C6" i="1"/>
  <c r="C7" i="1"/>
  <c r="C8" i="1"/>
  <c r="C9" i="1"/>
  <c r="L117" i="9"/>
  <c r="K117" i="9"/>
  <c r="L116" i="9"/>
  <c r="K116" i="9"/>
  <c r="L115" i="9"/>
  <c r="K115" i="9"/>
  <c r="L114" i="9"/>
  <c r="K114" i="9"/>
  <c r="L113" i="9"/>
  <c r="K113" i="9"/>
  <c r="L112" i="9"/>
  <c r="K112" i="9"/>
  <c r="L111" i="9"/>
  <c r="K111" i="9"/>
  <c r="L110" i="9"/>
  <c r="K110" i="9"/>
  <c r="L109" i="9"/>
  <c r="K109" i="9"/>
  <c r="L108" i="9"/>
  <c r="K108" i="9"/>
  <c r="L107" i="9"/>
  <c r="K107" i="9"/>
  <c r="L106" i="9"/>
  <c r="K106" i="9"/>
  <c r="L105" i="9"/>
  <c r="K105" i="9"/>
  <c r="L104" i="9"/>
  <c r="K104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81" i="9"/>
  <c r="K81" i="9"/>
  <c r="L80" i="9"/>
  <c r="K80" i="9"/>
  <c r="L79" i="9"/>
  <c r="K79" i="9"/>
  <c r="L78" i="9"/>
  <c r="K78" i="9"/>
  <c r="L77" i="9"/>
  <c r="K77" i="9"/>
  <c r="L76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6" i="9"/>
  <c r="K35" i="9"/>
  <c r="K34" i="9"/>
  <c r="K33" i="9"/>
  <c r="K32" i="9"/>
  <c r="K28" i="9"/>
  <c r="K27" i="9"/>
  <c r="K26" i="9"/>
  <c r="K25" i="9"/>
  <c r="K24" i="9"/>
  <c r="K12" i="9"/>
  <c r="K11" i="9"/>
  <c r="L10" i="9"/>
  <c r="K10" i="9"/>
  <c r="L9" i="9"/>
  <c r="L8" i="9"/>
  <c r="L7" i="9"/>
  <c r="L6" i="9"/>
  <c r="L5" i="9"/>
  <c r="L4" i="9"/>
  <c r="L3" i="9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L25" i="3"/>
  <c r="L26" i="3"/>
  <c r="L27" i="3"/>
  <c r="L28" i="3"/>
  <c r="L29" i="3"/>
  <c r="L30" i="3"/>
  <c r="L31" i="3"/>
  <c r="E20" i="2"/>
  <c r="F19" i="2"/>
  <c r="I4" i="9"/>
  <c r="J4" i="9" s="1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E39" i="3"/>
  <c r="F39" i="3"/>
  <c r="G39" i="3"/>
  <c r="I39" i="3"/>
  <c r="H39" i="3" s="1"/>
  <c r="E40" i="3"/>
  <c r="F40" i="3"/>
  <c r="G40" i="3"/>
  <c r="I40" i="3"/>
  <c r="H40" i="3" s="1"/>
  <c r="E41" i="3"/>
  <c r="F41" i="3"/>
  <c r="G41" i="3"/>
  <c r="I41" i="3"/>
  <c r="H41" i="3" s="1"/>
  <c r="E42" i="3"/>
  <c r="F42" i="3"/>
  <c r="G42" i="3"/>
  <c r="I42" i="3"/>
  <c r="H42" i="3" s="1"/>
  <c r="E43" i="3"/>
  <c r="F43" i="3"/>
  <c r="G43" i="3"/>
  <c r="I43" i="3"/>
  <c r="H43" i="3" s="1"/>
  <c r="E44" i="3"/>
  <c r="F44" i="3"/>
  <c r="G44" i="3"/>
  <c r="I44" i="3"/>
  <c r="H44" i="3" s="1"/>
  <c r="E45" i="3"/>
  <c r="F45" i="3"/>
  <c r="G45" i="3"/>
  <c r="I45" i="3"/>
  <c r="H45" i="3" s="1"/>
  <c r="E46" i="3"/>
  <c r="F46" i="3"/>
  <c r="G46" i="3"/>
  <c r="I46" i="3"/>
  <c r="H46" i="3" s="1"/>
  <c r="E47" i="3"/>
  <c r="F47" i="3"/>
  <c r="G47" i="3"/>
  <c r="I47" i="3"/>
  <c r="H47" i="3" s="1"/>
  <c r="E48" i="3"/>
  <c r="F48" i="3"/>
  <c r="G48" i="3"/>
  <c r="I48" i="3"/>
  <c r="H48" i="3" s="1"/>
  <c r="E49" i="3"/>
  <c r="F49" i="3"/>
  <c r="G49" i="3"/>
  <c r="I49" i="3"/>
  <c r="H49" i="3" s="1"/>
  <c r="E50" i="3"/>
  <c r="F50" i="3"/>
  <c r="G50" i="3"/>
  <c r="I50" i="3"/>
  <c r="H50" i="3" s="1"/>
  <c r="E51" i="3"/>
  <c r="F51" i="3"/>
  <c r="G51" i="3"/>
  <c r="I51" i="3"/>
  <c r="H51" i="3" s="1"/>
  <c r="E52" i="3"/>
  <c r="F52" i="3"/>
  <c r="G52" i="3"/>
  <c r="I52" i="3"/>
  <c r="H52" i="3" s="1"/>
  <c r="E53" i="3"/>
  <c r="F53" i="3"/>
  <c r="G53" i="3"/>
  <c r="I53" i="3"/>
  <c r="H53" i="3" s="1"/>
  <c r="E54" i="3"/>
  <c r="F54" i="3"/>
  <c r="G54" i="3"/>
  <c r="I54" i="3"/>
  <c r="H54" i="3" s="1"/>
  <c r="E55" i="3"/>
  <c r="F55" i="3"/>
  <c r="G55" i="3"/>
  <c r="I55" i="3"/>
  <c r="H55" i="3" s="1"/>
  <c r="E56" i="3"/>
  <c r="F56" i="3"/>
  <c r="G56" i="3"/>
  <c r="I56" i="3"/>
  <c r="H56" i="3" s="1"/>
  <c r="E57" i="3"/>
  <c r="F57" i="3"/>
  <c r="G57" i="3"/>
  <c r="I57" i="3"/>
  <c r="H57" i="3" s="1"/>
  <c r="E58" i="3"/>
  <c r="F58" i="3"/>
  <c r="G58" i="3"/>
  <c r="I58" i="3"/>
  <c r="H58" i="3" s="1"/>
  <c r="E59" i="3"/>
  <c r="F59" i="3"/>
  <c r="G59" i="3"/>
  <c r="I59" i="3"/>
  <c r="H59" i="3" s="1"/>
  <c r="E60" i="3"/>
  <c r="F60" i="3"/>
  <c r="G60" i="3"/>
  <c r="I60" i="3"/>
  <c r="H60" i="3" s="1"/>
  <c r="E61" i="3"/>
  <c r="F61" i="3"/>
  <c r="G61" i="3"/>
  <c r="I61" i="3"/>
  <c r="H61" i="3" s="1"/>
  <c r="E62" i="3"/>
  <c r="F62" i="3"/>
  <c r="G62" i="3"/>
  <c r="I62" i="3"/>
  <c r="H62" i="3" s="1"/>
  <c r="E63" i="3"/>
  <c r="F63" i="3"/>
  <c r="G63" i="3"/>
  <c r="I63" i="3"/>
  <c r="H63" i="3" s="1"/>
  <c r="E64" i="3"/>
  <c r="F64" i="3"/>
  <c r="G64" i="3"/>
  <c r="I64" i="3"/>
  <c r="H64" i="3" s="1"/>
  <c r="E65" i="3"/>
  <c r="F65" i="3"/>
  <c r="G65" i="3"/>
  <c r="I65" i="3"/>
  <c r="H65" i="3" s="1"/>
  <c r="E66" i="3"/>
  <c r="F66" i="3"/>
  <c r="G66" i="3"/>
  <c r="I66" i="3"/>
  <c r="H66" i="3" s="1"/>
  <c r="E67" i="3"/>
  <c r="F67" i="3"/>
  <c r="G67" i="3"/>
  <c r="I67" i="3"/>
  <c r="H67" i="3" s="1"/>
  <c r="E68" i="3"/>
  <c r="F68" i="3"/>
  <c r="G68" i="3"/>
  <c r="I68" i="3"/>
  <c r="H68" i="3" s="1"/>
  <c r="E69" i="3"/>
  <c r="F69" i="3"/>
  <c r="G69" i="3"/>
  <c r="I69" i="3"/>
  <c r="H69" i="3" s="1"/>
  <c r="E70" i="3"/>
  <c r="F70" i="3"/>
  <c r="G70" i="3"/>
  <c r="I70" i="3"/>
  <c r="H70" i="3" s="1"/>
  <c r="E71" i="3"/>
  <c r="F71" i="3"/>
  <c r="G71" i="3"/>
  <c r="I71" i="3"/>
  <c r="H71" i="3" s="1"/>
  <c r="E72" i="3"/>
  <c r="F72" i="3"/>
  <c r="G72" i="3"/>
  <c r="I72" i="3"/>
  <c r="H72" i="3" s="1"/>
  <c r="E73" i="3"/>
  <c r="F73" i="3"/>
  <c r="G73" i="3"/>
  <c r="I73" i="3"/>
  <c r="H73" i="3" s="1"/>
  <c r="E74" i="3"/>
  <c r="F74" i="3"/>
  <c r="G74" i="3"/>
  <c r="I74" i="3"/>
  <c r="H74" i="3" s="1"/>
  <c r="E75" i="3"/>
  <c r="F75" i="3"/>
  <c r="G75" i="3"/>
  <c r="I75" i="3"/>
  <c r="H75" i="3" s="1"/>
  <c r="E76" i="3"/>
  <c r="F76" i="3"/>
  <c r="G76" i="3"/>
  <c r="I76" i="3"/>
  <c r="H76" i="3" s="1"/>
  <c r="E77" i="3"/>
  <c r="F77" i="3"/>
  <c r="G77" i="3"/>
  <c r="I77" i="3"/>
  <c r="H77" i="3" s="1"/>
  <c r="E78" i="3"/>
  <c r="F78" i="3"/>
  <c r="G78" i="3"/>
  <c r="I78" i="3"/>
  <c r="H78" i="3" s="1"/>
  <c r="E79" i="3"/>
  <c r="F79" i="3"/>
  <c r="G79" i="3"/>
  <c r="I79" i="3"/>
  <c r="H79" i="3" s="1"/>
  <c r="E80" i="3"/>
  <c r="F80" i="3"/>
  <c r="G80" i="3"/>
  <c r="I80" i="3"/>
  <c r="H80" i="3" s="1"/>
  <c r="E81" i="3"/>
  <c r="F81" i="3"/>
  <c r="G81" i="3"/>
  <c r="I81" i="3"/>
  <c r="H81" i="3" s="1"/>
  <c r="E82" i="3"/>
  <c r="F82" i="3"/>
  <c r="G82" i="3"/>
  <c r="I82" i="3"/>
  <c r="H82" i="3" s="1"/>
  <c r="E83" i="3"/>
  <c r="F83" i="3"/>
  <c r="G83" i="3"/>
  <c r="I83" i="3"/>
  <c r="H83" i="3" s="1"/>
  <c r="E84" i="3"/>
  <c r="F84" i="3"/>
  <c r="G84" i="3"/>
  <c r="I84" i="3"/>
  <c r="H84" i="3" s="1"/>
  <c r="E85" i="3"/>
  <c r="F85" i="3"/>
  <c r="G85" i="3"/>
  <c r="I85" i="3"/>
  <c r="H85" i="3" s="1"/>
  <c r="E86" i="3"/>
  <c r="F86" i="3"/>
  <c r="G86" i="3"/>
  <c r="I86" i="3"/>
  <c r="H86" i="3" s="1"/>
  <c r="E87" i="3"/>
  <c r="F87" i="3"/>
  <c r="G87" i="3"/>
  <c r="I87" i="3"/>
  <c r="H87" i="3" s="1"/>
  <c r="E88" i="3"/>
  <c r="F88" i="3"/>
  <c r="G88" i="3"/>
  <c r="I88" i="3"/>
  <c r="H88" i="3" s="1"/>
  <c r="E89" i="3"/>
  <c r="F89" i="3"/>
  <c r="G89" i="3"/>
  <c r="I89" i="3"/>
  <c r="H89" i="3" s="1"/>
  <c r="E90" i="3"/>
  <c r="F90" i="3"/>
  <c r="G90" i="3"/>
  <c r="I90" i="3"/>
  <c r="H90" i="3" s="1"/>
  <c r="E91" i="3"/>
  <c r="F91" i="3"/>
  <c r="G91" i="3"/>
  <c r="I91" i="3"/>
  <c r="H91" i="3" s="1"/>
  <c r="E92" i="3"/>
  <c r="F92" i="3"/>
  <c r="G92" i="3"/>
  <c r="I92" i="3"/>
  <c r="H92" i="3" s="1"/>
  <c r="E93" i="3"/>
  <c r="F93" i="3"/>
  <c r="G93" i="3"/>
  <c r="I93" i="3"/>
  <c r="H93" i="3" s="1"/>
  <c r="E94" i="3"/>
  <c r="F94" i="3"/>
  <c r="G94" i="3"/>
  <c r="I94" i="3"/>
  <c r="H94" i="3" s="1"/>
  <c r="E95" i="3"/>
  <c r="F95" i="3"/>
  <c r="G95" i="3"/>
  <c r="I95" i="3"/>
  <c r="H95" i="3" s="1"/>
  <c r="E96" i="3"/>
  <c r="F96" i="3"/>
  <c r="G96" i="3"/>
  <c r="I96" i="3"/>
  <c r="H96" i="3" s="1"/>
  <c r="E97" i="3"/>
  <c r="F97" i="3"/>
  <c r="G97" i="3"/>
  <c r="I97" i="3"/>
  <c r="H97" i="3" s="1"/>
  <c r="E98" i="3"/>
  <c r="F98" i="3"/>
  <c r="G98" i="3"/>
  <c r="I98" i="3"/>
  <c r="H98" i="3" s="1"/>
  <c r="E99" i="3"/>
  <c r="F99" i="3"/>
  <c r="G99" i="3"/>
  <c r="I99" i="3"/>
  <c r="H99" i="3" s="1"/>
  <c r="E100" i="3"/>
  <c r="F100" i="3"/>
  <c r="G100" i="3"/>
  <c r="I100" i="3"/>
  <c r="H100" i="3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" i="5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3" i="4"/>
  <c r="B8" i="5"/>
  <c r="E17" i="2"/>
  <c r="D29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5" i="2"/>
  <c r="V4" i="1"/>
  <c r="K4" i="2"/>
  <c r="L4" i="2"/>
  <c r="M4" i="2" s="1"/>
  <c r="K5" i="2"/>
  <c r="L5" i="2"/>
  <c r="M5" i="2" s="1"/>
  <c r="K6" i="2"/>
  <c r="L6" i="2"/>
  <c r="M6" i="2" s="1"/>
  <c r="K7" i="2"/>
  <c r="L7" i="2"/>
  <c r="M7" i="2" s="1"/>
  <c r="K8" i="2"/>
  <c r="L8" i="2"/>
  <c r="M8" i="2" s="1"/>
  <c r="K9" i="2"/>
  <c r="L9" i="2"/>
  <c r="M9" i="2" s="1"/>
  <c r="K10" i="2"/>
  <c r="L10" i="2"/>
  <c r="M10" i="2" s="1"/>
  <c r="K11" i="2"/>
  <c r="L11" i="2"/>
  <c r="M11" i="2" s="1"/>
  <c r="K12" i="2"/>
  <c r="L12" i="2"/>
  <c r="M12" i="2" s="1"/>
  <c r="K13" i="2"/>
  <c r="L13" i="2"/>
  <c r="M13" i="2" s="1"/>
  <c r="K14" i="2"/>
  <c r="L14" i="2"/>
  <c r="M14" i="2" s="1"/>
  <c r="K15" i="2"/>
  <c r="L15" i="2"/>
  <c r="M15" i="2" s="1"/>
  <c r="K16" i="2"/>
  <c r="L16" i="2"/>
  <c r="M16" i="2" s="1"/>
  <c r="K17" i="2"/>
  <c r="L17" i="2"/>
  <c r="M17" i="2" s="1"/>
  <c r="K18" i="2"/>
  <c r="L18" i="2"/>
  <c r="M18" i="2" s="1"/>
  <c r="K19" i="2"/>
  <c r="L19" i="2"/>
  <c r="M19" i="2" s="1"/>
  <c r="K20" i="2"/>
  <c r="L20" i="2"/>
  <c r="M20" i="2" s="1"/>
  <c r="K21" i="2"/>
  <c r="L21" i="2"/>
  <c r="M21" i="2" s="1"/>
  <c r="K22" i="2"/>
  <c r="L22" i="2"/>
  <c r="M22" i="2" s="1"/>
  <c r="K23" i="2"/>
  <c r="L23" i="2"/>
  <c r="M23" i="2" s="1"/>
  <c r="K24" i="2"/>
  <c r="L24" i="2"/>
  <c r="M24" i="2" s="1"/>
  <c r="K25" i="2"/>
  <c r="L25" i="2"/>
  <c r="M25" i="2" s="1"/>
  <c r="K26" i="2"/>
  <c r="L26" i="2"/>
  <c r="M26" i="2" s="1"/>
  <c r="K27" i="2"/>
  <c r="L27" i="2"/>
  <c r="M27" i="2" s="1"/>
  <c r="K28" i="2"/>
  <c r="L28" i="2"/>
  <c r="M28" i="2" s="1"/>
  <c r="K29" i="2"/>
  <c r="L29" i="2"/>
  <c r="M29" i="2" s="1"/>
  <c r="K30" i="2"/>
  <c r="L30" i="2"/>
  <c r="M30" i="2" s="1"/>
  <c r="K31" i="2"/>
  <c r="L31" i="2"/>
  <c r="M31" i="2" s="1"/>
  <c r="K32" i="2"/>
  <c r="L32" i="2"/>
  <c r="M32" i="2" s="1"/>
  <c r="K33" i="2"/>
  <c r="L33" i="2"/>
  <c r="M33" i="2" s="1"/>
  <c r="K34" i="2"/>
  <c r="L34" i="2"/>
  <c r="M34" i="2" s="1"/>
  <c r="K35" i="2"/>
  <c r="L35" i="2"/>
  <c r="M35" i="2" s="1"/>
  <c r="K36" i="2"/>
  <c r="L36" i="2"/>
  <c r="M36" i="2" s="1"/>
  <c r="K37" i="2"/>
  <c r="L37" i="2"/>
  <c r="M37" i="2" s="1"/>
  <c r="K38" i="2"/>
  <c r="L38" i="2"/>
  <c r="M38" i="2" s="1"/>
  <c r="K39" i="2"/>
  <c r="L39" i="2"/>
  <c r="M39" i="2" s="1"/>
  <c r="K40" i="2"/>
  <c r="L40" i="2"/>
  <c r="M40" i="2" s="1"/>
  <c r="K41" i="2"/>
  <c r="L41" i="2"/>
  <c r="M41" i="2" s="1"/>
  <c r="K42" i="2"/>
  <c r="L42" i="2"/>
  <c r="M42" i="2" s="1"/>
  <c r="K43" i="2"/>
  <c r="L43" i="2"/>
  <c r="M43" i="2" s="1"/>
  <c r="K44" i="2"/>
  <c r="L44" i="2"/>
  <c r="M44" i="2" s="1"/>
  <c r="K45" i="2"/>
  <c r="L45" i="2"/>
  <c r="M45" i="2" s="1"/>
  <c r="K46" i="2"/>
  <c r="L46" i="2"/>
  <c r="M46" i="2" s="1"/>
  <c r="K47" i="2"/>
  <c r="L47" i="2"/>
  <c r="M47" i="2" s="1"/>
  <c r="K48" i="2"/>
  <c r="L48" i="2"/>
  <c r="M48" i="2" s="1"/>
  <c r="K49" i="2"/>
  <c r="L49" i="2"/>
  <c r="M49" i="2" s="1"/>
  <c r="K50" i="2"/>
  <c r="L50" i="2"/>
  <c r="M50" i="2" s="1"/>
  <c r="K51" i="2"/>
  <c r="L51" i="2"/>
  <c r="M51" i="2" s="1"/>
  <c r="K52" i="2"/>
  <c r="L52" i="2"/>
  <c r="M52" i="2" s="1"/>
  <c r="K53" i="2"/>
  <c r="L53" i="2"/>
  <c r="M53" i="2" s="1"/>
  <c r="K54" i="2"/>
  <c r="L54" i="2"/>
  <c r="M54" i="2" s="1"/>
  <c r="K55" i="2"/>
  <c r="L55" i="2"/>
  <c r="M55" i="2" s="1"/>
  <c r="K56" i="2"/>
  <c r="L56" i="2"/>
  <c r="M56" i="2" s="1"/>
  <c r="K57" i="2"/>
  <c r="L57" i="2"/>
  <c r="M57" i="2" s="1"/>
  <c r="K58" i="2"/>
  <c r="L58" i="2"/>
  <c r="M58" i="2" s="1"/>
  <c r="K59" i="2"/>
  <c r="L59" i="2"/>
  <c r="M59" i="2" s="1"/>
  <c r="K60" i="2"/>
  <c r="L60" i="2"/>
  <c r="M60" i="2" s="1"/>
  <c r="K61" i="2"/>
  <c r="L61" i="2"/>
  <c r="M61" i="2" s="1"/>
  <c r="K62" i="2"/>
  <c r="L62" i="2"/>
  <c r="M62" i="2" s="1"/>
  <c r="K63" i="2"/>
  <c r="L63" i="2"/>
  <c r="M63" i="2" s="1"/>
  <c r="K64" i="2"/>
  <c r="L64" i="2"/>
  <c r="M64" i="2" s="1"/>
  <c r="K65" i="2"/>
  <c r="L65" i="2"/>
  <c r="M65" i="2" s="1"/>
  <c r="K66" i="2"/>
  <c r="L66" i="2"/>
  <c r="M66" i="2" s="1"/>
  <c r="K67" i="2"/>
  <c r="L67" i="2"/>
  <c r="M67" i="2" s="1"/>
  <c r="K68" i="2"/>
  <c r="L68" i="2"/>
  <c r="M68" i="2" s="1"/>
  <c r="K69" i="2"/>
  <c r="L69" i="2"/>
  <c r="M69" i="2" s="1"/>
  <c r="K70" i="2"/>
  <c r="L70" i="2"/>
  <c r="M70" i="2" s="1"/>
  <c r="K71" i="2"/>
  <c r="L71" i="2"/>
  <c r="M71" i="2" s="1"/>
  <c r="K72" i="2"/>
  <c r="L72" i="2"/>
  <c r="M72" i="2" s="1"/>
  <c r="K73" i="2"/>
  <c r="L73" i="2"/>
  <c r="M73" i="2" s="1"/>
  <c r="K74" i="2"/>
  <c r="L74" i="2"/>
  <c r="M74" i="2" s="1"/>
  <c r="K75" i="2"/>
  <c r="L75" i="2"/>
  <c r="M75" i="2" s="1"/>
  <c r="K76" i="2"/>
  <c r="L76" i="2"/>
  <c r="M76" i="2" s="1"/>
  <c r="K77" i="2"/>
  <c r="L77" i="2"/>
  <c r="M77" i="2" s="1"/>
  <c r="K78" i="2"/>
  <c r="L78" i="2"/>
  <c r="M78" i="2" s="1"/>
  <c r="K79" i="2"/>
  <c r="L79" i="2"/>
  <c r="M79" i="2" s="1"/>
  <c r="K80" i="2"/>
  <c r="L80" i="2"/>
  <c r="M80" i="2" s="1"/>
  <c r="K81" i="2"/>
  <c r="L81" i="2"/>
  <c r="M81" i="2" s="1"/>
  <c r="K82" i="2"/>
  <c r="L82" i="2"/>
  <c r="M82" i="2" s="1"/>
  <c r="K83" i="2"/>
  <c r="L83" i="2"/>
  <c r="M83" i="2" s="1"/>
  <c r="K84" i="2"/>
  <c r="L84" i="2"/>
  <c r="M84" i="2" s="1"/>
  <c r="K85" i="2"/>
  <c r="L85" i="2"/>
  <c r="M85" i="2" s="1"/>
  <c r="K86" i="2"/>
  <c r="L86" i="2"/>
  <c r="M86" i="2" s="1"/>
  <c r="K87" i="2"/>
  <c r="L87" i="2"/>
  <c r="M87" i="2" s="1"/>
  <c r="K88" i="2"/>
  <c r="L88" i="2"/>
  <c r="M88" i="2" s="1"/>
  <c r="K89" i="2"/>
  <c r="L89" i="2"/>
  <c r="M89" i="2" s="1"/>
  <c r="K90" i="2"/>
  <c r="L90" i="2"/>
  <c r="M90" i="2" s="1"/>
  <c r="K91" i="2"/>
  <c r="L91" i="2"/>
  <c r="M91" i="2" s="1"/>
  <c r="K92" i="2"/>
  <c r="L92" i="2"/>
  <c r="M92" i="2" s="1"/>
  <c r="K93" i="2"/>
  <c r="L93" i="2"/>
  <c r="M93" i="2" s="1"/>
  <c r="K94" i="2"/>
  <c r="L94" i="2"/>
  <c r="M94" i="2" s="1"/>
  <c r="K95" i="2"/>
  <c r="L95" i="2"/>
  <c r="M95" i="2" s="1"/>
  <c r="K96" i="2"/>
  <c r="L96" i="2"/>
  <c r="M96" i="2" s="1"/>
  <c r="K97" i="2"/>
  <c r="L97" i="2"/>
  <c r="M97" i="2" s="1"/>
  <c r="K98" i="2"/>
  <c r="L98" i="2"/>
  <c r="M98" i="2" s="1"/>
  <c r="K99" i="2"/>
  <c r="L99" i="2"/>
  <c r="M99" i="2" s="1"/>
  <c r="K100" i="2"/>
  <c r="L100" i="2"/>
  <c r="M100" i="2" s="1"/>
  <c r="K101" i="2"/>
  <c r="L101" i="2"/>
  <c r="M101" i="2" s="1"/>
  <c r="K102" i="2"/>
  <c r="L102" i="2"/>
  <c r="M102" i="2" s="1"/>
  <c r="K103" i="2"/>
  <c r="L103" i="2"/>
  <c r="M103" i="2" s="1"/>
  <c r="K104" i="2"/>
  <c r="L104" i="2"/>
  <c r="M104" i="2" s="1"/>
  <c r="K105" i="2"/>
  <c r="L105" i="2"/>
  <c r="M105" i="2" s="1"/>
  <c r="K106" i="2"/>
  <c r="L106" i="2"/>
  <c r="M106" i="2" s="1"/>
  <c r="K107" i="2"/>
  <c r="L107" i="2"/>
  <c r="M107" i="2" s="1"/>
  <c r="K108" i="2"/>
  <c r="L108" i="2"/>
  <c r="M108" i="2" s="1"/>
  <c r="K109" i="2"/>
  <c r="L109" i="2"/>
  <c r="M109" i="2" s="1"/>
  <c r="K110" i="2"/>
  <c r="L110" i="2"/>
  <c r="M110" i="2" s="1"/>
  <c r="K111" i="2"/>
  <c r="L111" i="2"/>
  <c r="M111" i="2" s="1"/>
  <c r="K112" i="2"/>
  <c r="L112" i="2"/>
  <c r="M112" i="2" s="1"/>
  <c r="K113" i="2"/>
  <c r="L113" i="2"/>
  <c r="M113" i="2" s="1"/>
  <c r="K114" i="2"/>
  <c r="L114" i="2"/>
  <c r="M114" i="2" s="1"/>
  <c r="K115" i="2"/>
  <c r="L115" i="2"/>
  <c r="M115" i="2" s="1"/>
  <c r="K116" i="2"/>
  <c r="L116" i="2"/>
  <c r="M116" i="2" s="1"/>
  <c r="K117" i="2"/>
  <c r="L117" i="2"/>
  <c r="M117" i="2" s="1"/>
  <c r="K118" i="2"/>
  <c r="L118" i="2"/>
  <c r="M118" i="2" s="1"/>
  <c r="K119" i="2"/>
  <c r="L119" i="2"/>
  <c r="M119" i="2" s="1"/>
  <c r="K120" i="2"/>
  <c r="L120" i="2"/>
  <c r="M120" i="2" s="1"/>
  <c r="K121" i="2"/>
  <c r="L121" i="2"/>
  <c r="M121" i="2" s="1"/>
  <c r="K122" i="2"/>
  <c r="L122" i="2"/>
  <c r="M122" i="2" s="1"/>
  <c r="K123" i="2"/>
  <c r="L123" i="2"/>
  <c r="M123" i="2" s="1"/>
  <c r="K124" i="2"/>
  <c r="L124" i="2"/>
  <c r="M124" i="2" s="1"/>
  <c r="K125" i="2"/>
  <c r="L125" i="2"/>
  <c r="M125" i="2" s="1"/>
  <c r="K126" i="2"/>
  <c r="L126" i="2"/>
  <c r="M126" i="2" s="1"/>
  <c r="K127" i="2"/>
  <c r="L127" i="2"/>
  <c r="M127" i="2" s="1"/>
  <c r="K128" i="2"/>
  <c r="L128" i="2"/>
  <c r="M128" i="2" s="1"/>
  <c r="K129" i="2"/>
  <c r="L129" i="2"/>
  <c r="M129" i="2" s="1"/>
  <c r="K130" i="2"/>
  <c r="L130" i="2"/>
  <c r="M130" i="2" s="1"/>
  <c r="K131" i="2"/>
  <c r="L131" i="2"/>
  <c r="M131" i="2" s="1"/>
  <c r="K132" i="2"/>
  <c r="L132" i="2"/>
  <c r="M132" i="2" s="1"/>
  <c r="K133" i="2"/>
  <c r="L133" i="2"/>
  <c r="M133" i="2" s="1"/>
  <c r="K134" i="2"/>
  <c r="L134" i="2"/>
  <c r="M134" i="2" s="1"/>
  <c r="K135" i="2"/>
  <c r="L135" i="2"/>
  <c r="M135" i="2" s="1"/>
  <c r="K136" i="2"/>
  <c r="L136" i="2"/>
  <c r="M136" i="2" s="1"/>
  <c r="K137" i="2"/>
  <c r="L137" i="2"/>
  <c r="M137" i="2" s="1"/>
  <c r="K138" i="2"/>
  <c r="L138" i="2"/>
  <c r="M138" i="2" s="1"/>
  <c r="K139" i="2"/>
  <c r="L139" i="2"/>
  <c r="M139" i="2" s="1"/>
  <c r="K140" i="2"/>
  <c r="L140" i="2"/>
  <c r="M140" i="2" s="1"/>
  <c r="K141" i="2"/>
  <c r="L141" i="2"/>
  <c r="M141" i="2" s="1"/>
  <c r="K142" i="2"/>
  <c r="L142" i="2"/>
  <c r="M142" i="2" s="1"/>
  <c r="K143" i="2"/>
  <c r="L143" i="2"/>
  <c r="M143" i="2" s="1"/>
  <c r="K144" i="2"/>
  <c r="L144" i="2"/>
  <c r="M144" i="2" s="1"/>
  <c r="K145" i="2"/>
  <c r="L145" i="2"/>
  <c r="M145" i="2" s="1"/>
  <c r="K146" i="2"/>
  <c r="L146" i="2"/>
  <c r="M146" i="2" s="1"/>
  <c r="K147" i="2"/>
  <c r="L147" i="2"/>
  <c r="M147" i="2" s="1"/>
  <c r="K148" i="2"/>
  <c r="L148" i="2"/>
  <c r="M148" i="2" s="1"/>
  <c r="K149" i="2"/>
  <c r="L149" i="2"/>
  <c r="M149" i="2" s="1"/>
  <c r="K150" i="2"/>
  <c r="L150" i="2"/>
  <c r="M150" i="2" s="1"/>
  <c r="K151" i="2"/>
  <c r="L151" i="2"/>
  <c r="M151" i="2" s="1"/>
  <c r="K152" i="2"/>
  <c r="L152" i="2"/>
  <c r="M152" i="2" s="1"/>
  <c r="K153" i="2"/>
  <c r="L153" i="2"/>
  <c r="M153" i="2" s="1"/>
  <c r="K154" i="2"/>
  <c r="L154" i="2"/>
  <c r="M154" i="2" s="1"/>
  <c r="K155" i="2"/>
  <c r="L155" i="2"/>
  <c r="M155" i="2" s="1"/>
  <c r="K156" i="2"/>
  <c r="L156" i="2"/>
  <c r="M156" i="2" s="1"/>
  <c r="K157" i="2"/>
  <c r="L157" i="2"/>
  <c r="M157" i="2" s="1"/>
  <c r="K158" i="2"/>
  <c r="L158" i="2"/>
  <c r="M158" i="2" s="1"/>
  <c r="K159" i="2"/>
  <c r="L159" i="2"/>
  <c r="M159" i="2" s="1"/>
  <c r="K160" i="2"/>
  <c r="L160" i="2"/>
  <c r="M160" i="2" s="1"/>
  <c r="K161" i="2"/>
  <c r="L161" i="2"/>
  <c r="M161" i="2" s="1"/>
  <c r="K162" i="2"/>
  <c r="L162" i="2"/>
  <c r="M162" i="2" s="1"/>
  <c r="K163" i="2"/>
  <c r="L163" i="2"/>
  <c r="M163" i="2" s="1"/>
  <c r="K164" i="2"/>
  <c r="L164" i="2"/>
  <c r="M164" i="2" s="1"/>
  <c r="K165" i="2"/>
  <c r="L165" i="2"/>
  <c r="M165" i="2" s="1"/>
  <c r="K166" i="2"/>
  <c r="L166" i="2"/>
  <c r="M166" i="2" s="1"/>
  <c r="K167" i="2"/>
  <c r="L167" i="2"/>
  <c r="M167" i="2" s="1"/>
  <c r="K168" i="2"/>
  <c r="L168" i="2"/>
  <c r="M168" i="2" s="1"/>
  <c r="K169" i="2"/>
  <c r="L169" i="2"/>
  <c r="M169" i="2" s="1"/>
  <c r="K170" i="2"/>
  <c r="L170" i="2"/>
  <c r="M170" i="2" s="1"/>
  <c r="K171" i="2"/>
  <c r="L171" i="2"/>
  <c r="M171" i="2" s="1"/>
  <c r="K172" i="2"/>
  <c r="L172" i="2"/>
  <c r="M172" i="2" s="1"/>
  <c r="K173" i="2"/>
  <c r="L173" i="2"/>
  <c r="M173" i="2" s="1"/>
  <c r="K174" i="2"/>
  <c r="L174" i="2"/>
  <c r="M174" i="2" s="1"/>
  <c r="K175" i="2"/>
  <c r="L175" i="2"/>
  <c r="M175" i="2" s="1"/>
  <c r="K176" i="2"/>
  <c r="L176" i="2"/>
  <c r="M176" i="2" s="1"/>
  <c r="K177" i="2"/>
  <c r="L177" i="2"/>
  <c r="M177" i="2" s="1"/>
  <c r="K178" i="2"/>
  <c r="L178" i="2"/>
  <c r="M178" i="2" s="1"/>
  <c r="K179" i="2"/>
  <c r="L179" i="2"/>
  <c r="M179" i="2" s="1"/>
  <c r="K180" i="2"/>
  <c r="L180" i="2"/>
  <c r="M180" i="2" s="1"/>
  <c r="K181" i="2"/>
  <c r="L181" i="2"/>
  <c r="M181" i="2" s="1"/>
  <c r="K182" i="2"/>
  <c r="L182" i="2"/>
  <c r="M182" i="2" s="1"/>
  <c r="K183" i="2"/>
  <c r="L183" i="2"/>
  <c r="M183" i="2" s="1"/>
  <c r="K184" i="2"/>
  <c r="L184" i="2"/>
  <c r="M184" i="2" s="1"/>
  <c r="K185" i="2"/>
  <c r="L185" i="2"/>
  <c r="M185" i="2" s="1"/>
  <c r="K186" i="2"/>
  <c r="L186" i="2"/>
  <c r="M186" i="2" s="1"/>
  <c r="K187" i="2"/>
  <c r="L187" i="2"/>
  <c r="M187" i="2" s="1"/>
  <c r="K188" i="2"/>
  <c r="L188" i="2"/>
  <c r="M188" i="2" s="1"/>
  <c r="K189" i="2"/>
  <c r="L189" i="2"/>
  <c r="M189" i="2" s="1"/>
  <c r="K190" i="2"/>
  <c r="L190" i="2"/>
  <c r="M190" i="2" s="1"/>
  <c r="K191" i="2"/>
  <c r="L191" i="2"/>
  <c r="M191" i="2" s="1"/>
  <c r="K192" i="2"/>
  <c r="L192" i="2"/>
  <c r="M192" i="2" s="1"/>
  <c r="K193" i="2"/>
  <c r="L193" i="2"/>
  <c r="M193" i="2" s="1"/>
  <c r="K194" i="2"/>
  <c r="L194" i="2"/>
  <c r="M194" i="2" s="1"/>
  <c r="K195" i="2"/>
  <c r="L195" i="2"/>
  <c r="M195" i="2" s="1"/>
  <c r="K196" i="2"/>
  <c r="L196" i="2"/>
  <c r="M196" i="2" s="1"/>
  <c r="K197" i="2"/>
  <c r="L197" i="2"/>
  <c r="M197" i="2" s="1"/>
  <c r="K198" i="2"/>
  <c r="L198" i="2"/>
  <c r="M198" i="2" s="1"/>
  <c r="K199" i="2"/>
  <c r="L199" i="2"/>
  <c r="M199" i="2" s="1"/>
  <c r="K200" i="2"/>
  <c r="L200" i="2"/>
  <c r="M200" i="2" s="1"/>
  <c r="K201" i="2"/>
  <c r="L201" i="2"/>
  <c r="M201" i="2" s="1"/>
  <c r="K202" i="2"/>
  <c r="L202" i="2"/>
  <c r="M202" i="2" s="1"/>
  <c r="K203" i="2"/>
  <c r="L203" i="2"/>
  <c r="M203" i="2" s="1"/>
  <c r="K204" i="2"/>
  <c r="L204" i="2"/>
  <c r="M204" i="2" s="1"/>
  <c r="K205" i="2"/>
  <c r="L205" i="2"/>
  <c r="M205" i="2" s="1"/>
  <c r="K206" i="2"/>
  <c r="L206" i="2"/>
  <c r="M206" i="2" s="1"/>
  <c r="K207" i="2"/>
  <c r="L207" i="2"/>
  <c r="M207" i="2" s="1"/>
  <c r="K208" i="2"/>
  <c r="L208" i="2"/>
  <c r="M208" i="2" s="1"/>
  <c r="K209" i="2"/>
  <c r="L209" i="2"/>
  <c r="M209" i="2" s="1"/>
  <c r="K210" i="2"/>
  <c r="L210" i="2"/>
  <c r="M210" i="2" s="1"/>
  <c r="K211" i="2"/>
  <c r="L211" i="2"/>
  <c r="M211" i="2" s="1"/>
  <c r="K212" i="2"/>
  <c r="L212" i="2"/>
  <c r="M212" i="2" s="1"/>
  <c r="K213" i="2"/>
  <c r="L213" i="2"/>
  <c r="M213" i="2" s="1"/>
  <c r="K214" i="2"/>
  <c r="L214" i="2"/>
  <c r="M214" i="2" s="1"/>
  <c r="K215" i="2"/>
  <c r="L215" i="2"/>
  <c r="M215" i="2" s="1"/>
  <c r="K216" i="2"/>
  <c r="L216" i="2"/>
  <c r="M216" i="2" s="1"/>
  <c r="K217" i="2"/>
  <c r="L217" i="2"/>
  <c r="M217" i="2" s="1"/>
  <c r="K218" i="2"/>
  <c r="L218" i="2"/>
  <c r="M218" i="2" s="1"/>
  <c r="K219" i="2"/>
  <c r="L219" i="2"/>
  <c r="M219" i="2" s="1"/>
  <c r="K220" i="2"/>
  <c r="L220" i="2"/>
  <c r="M220" i="2" s="1"/>
  <c r="K221" i="2"/>
  <c r="L221" i="2"/>
  <c r="M221" i="2" s="1"/>
  <c r="K222" i="2"/>
  <c r="L222" i="2"/>
  <c r="M222" i="2" s="1"/>
  <c r="K223" i="2"/>
  <c r="L223" i="2"/>
  <c r="M223" i="2" s="1"/>
  <c r="K224" i="2"/>
  <c r="L224" i="2"/>
  <c r="M224" i="2" s="1"/>
  <c r="K225" i="2"/>
  <c r="L225" i="2"/>
  <c r="M225" i="2" s="1"/>
  <c r="K226" i="2"/>
  <c r="L226" i="2"/>
  <c r="M226" i="2" s="1"/>
  <c r="K227" i="2"/>
  <c r="L227" i="2"/>
  <c r="M227" i="2" s="1"/>
  <c r="K228" i="2"/>
  <c r="L228" i="2"/>
  <c r="M228" i="2" s="1"/>
  <c r="K229" i="2"/>
  <c r="L229" i="2"/>
  <c r="M229" i="2" s="1"/>
  <c r="K230" i="2"/>
  <c r="L230" i="2"/>
  <c r="M230" i="2" s="1"/>
  <c r="K231" i="2"/>
  <c r="L231" i="2"/>
  <c r="M231" i="2" s="1"/>
  <c r="K232" i="2"/>
  <c r="L232" i="2"/>
  <c r="M232" i="2" s="1"/>
  <c r="K233" i="2"/>
  <c r="L233" i="2"/>
  <c r="M233" i="2" s="1"/>
  <c r="K234" i="2"/>
  <c r="L234" i="2"/>
  <c r="M234" i="2" s="1"/>
  <c r="K235" i="2"/>
  <c r="L235" i="2"/>
  <c r="M235" i="2" s="1"/>
  <c r="K236" i="2"/>
  <c r="L236" i="2"/>
  <c r="M236" i="2" s="1"/>
  <c r="K237" i="2"/>
  <c r="L237" i="2"/>
  <c r="M237" i="2" s="1"/>
  <c r="K238" i="2"/>
  <c r="L238" i="2"/>
  <c r="M238" i="2" s="1"/>
  <c r="K239" i="2"/>
  <c r="L239" i="2"/>
  <c r="M239" i="2" s="1"/>
  <c r="K240" i="2"/>
  <c r="L240" i="2"/>
  <c r="M240" i="2" s="1"/>
  <c r="K241" i="2"/>
  <c r="L241" i="2"/>
  <c r="M241" i="2" s="1"/>
  <c r="K242" i="2"/>
  <c r="L242" i="2"/>
  <c r="M242" i="2" s="1"/>
  <c r="K243" i="2"/>
  <c r="L243" i="2"/>
  <c r="M243" i="2" s="1"/>
  <c r="K244" i="2"/>
  <c r="L244" i="2"/>
  <c r="M244" i="2" s="1"/>
  <c r="K245" i="2"/>
  <c r="L245" i="2"/>
  <c r="M245" i="2" s="1"/>
  <c r="K246" i="2"/>
  <c r="L246" i="2"/>
  <c r="M246" i="2" s="1"/>
  <c r="K247" i="2"/>
  <c r="L247" i="2"/>
  <c r="M247" i="2" s="1"/>
  <c r="K248" i="2"/>
  <c r="L248" i="2"/>
  <c r="M248" i="2" s="1"/>
  <c r="K249" i="2"/>
  <c r="L249" i="2"/>
  <c r="M249" i="2" s="1"/>
  <c r="K250" i="2"/>
  <c r="L250" i="2"/>
  <c r="M250" i="2" s="1"/>
  <c r="K251" i="2"/>
  <c r="L251" i="2"/>
  <c r="M251" i="2" s="1"/>
  <c r="K252" i="2"/>
  <c r="L252" i="2"/>
  <c r="M252" i="2" s="1"/>
  <c r="K253" i="2"/>
  <c r="L253" i="2"/>
  <c r="M253" i="2" s="1"/>
  <c r="K254" i="2"/>
  <c r="L254" i="2"/>
  <c r="M254" i="2" s="1"/>
  <c r="K255" i="2"/>
  <c r="L255" i="2"/>
  <c r="M255" i="2" s="1"/>
  <c r="K256" i="2"/>
  <c r="L256" i="2"/>
  <c r="M256" i="2" s="1"/>
  <c r="K257" i="2"/>
  <c r="L257" i="2"/>
  <c r="M257" i="2" s="1"/>
  <c r="K258" i="2"/>
  <c r="L258" i="2"/>
  <c r="M258" i="2" s="1"/>
  <c r="K259" i="2"/>
  <c r="L259" i="2"/>
  <c r="M259" i="2" s="1"/>
  <c r="K260" i="2"/>
  <c r="L260" i="2"/>
  <c r="M260" i="2" s="1"/>
  <c r="K261" i="2"/>
  <c r="L261" i="2"/>
  <c r="M261" i="2" s="1"/>
  <c r="K262" i="2"/>
  <c r="L262" i="2"/>
  <c r="M262" i="2" s="1"/>
  <c r="K263" i="2"/>
  <c r="L263" i="2"/>
  <c r="M263" i="2" s="1"/>
  <c r="K264" i="2"/>
  <c r="L264" i="2"/>
  <c r="M264" i="2" s="1"/>
  <c r="K265" i="2"/>
  <c r="L265" i="2"/>
  <c r="M265" i="2" s="1"/>
  <c r="K266" i="2"/>
  <c r="L266" i="2"/>
  <c r="M266" i="2" s="1"/>
  <c r="K267" i="2"/>
  <c r="L267" i="2"/>
  <c r="M267" i="2" s="1"/>
  <c r="K268" i="2"/>
  <c r="L268" i="2"/>
  <c r="M268" i="2" s="1"/>
  <c r="K269" i="2"/>
  <c r="L269" i="2"/>
  <c r="M269" i="2" s="1"/>
  <c r="K270" i="2"/>
  <c r="L270" i="2"/>
  <c r="M270" i="2" s="1"/>
  <c r="K271" i="2"/>
  <c r="L271" i="2"/>
  <c r="M271" i="2" s="1"/>
  <c r="K272" i="2"/>
  <c r="L272" i="2"/>
  <c r="M272" i="2" s="1"/>
  <c r="K273" i="2"/>
  <c r="L273" i="2"/>
  <c r="M273" i="2" s="1"/>
  <c r="K274" i="2"/>
  <c r="L274" i="2"/>
  <c r="M274" i="2" s="1"/>
  <c r="K275" i="2"/>
  <c r="L275" i="2"/>
  <c r="M275" i="2" s="1"/>
  <c r="K276" i="2"/>
  <c r="L276" i="2"/>
  <c r="M276" i="2" s="1"/>
  <c r="K277" i="2"/>
  <c r="L277" i="2"/>
  <c r="M277" i="2" s="1"/>
  <c r="K278" i="2"/>
  <c r="L278" i="2"/>
  <c r="M278" i="2" s="1"/>
  <c r="K279" i="2"/>
  <c r="L279" i="2"/>
  <c r="M279" i="2" s="1"/>
  <c r="K280" i="2"/>
  <c r="L280" i="2"/>
  <c r="M280" i="2" s="1"/>
  <c r="K281" i="2"/>
  <c r="L281" i="2"/>
  <c r="M281" i="2" s="1"/>
  <c r="K282" i="2"/>
  <c r="L282" i="2"/>
  <c r="M282" i="2" s="1"/>
  <c r="K283" i="2"/>
  <c r="L283" i="2"/>
  <c r="M283" i="2" s="1"/>
  <c r="K284" i="2"/>
  <c r="L284" i="2"/>
  <c r="M284" i="2" s="1"/>
  <c r="K285" i="2"/>
  <c r="L285" i="2"/>
  <c r="M285" i="2" s="1"/>
  <c r="K286" i="2"/>
  <c r="L286" i="2"/>
  <c r="M286" i="2" s="1"/>
  <c r="K287" i="2"/>
  <c r="L287" i="2"/>
  <c r="M287" i="2" s="1"/>
  <c r="K288" i="2"/>
  <c r="L288" i="2"/>
  <c r="M288" i="2" s="1"/>
  <c r="K289" i="2"/>
  <c r="L289" i="2"/>
  <c r="M289" i="2" s="1"/>
  <c r="K290" i="2"/>
  <c r="L290" i="2"/>
  <c r="M290" i="2" s="1"/>
  <c r="K291" i="2"/>
  <c r="L291" i="2"/>
  <c r="M291" i="2" s="1"/>
  <c r="K292" i="2"/>
  <c r="L292" i="2"/>
  <c r="M292" i="2" s="1"/>
  <c r="K293" i="2"/>
  <c r="L293" i="2"/>
  <c r="M293" i="2" s="1"/>
  <c r="K294" i="2"/>
  <c r="L294" i="2"/>
  <c r="M294" i="2" s="1"/>
  <c r="K295" i="2"/>
  <c r="L295" i="2"/>
  <c r="M295" i="2" s="1"/>
  <c r="K296" i="2"/>
  <c r="L296" i="2"/>
  <c r="M296" i="2" s="1"/>
  <c r="K297" i="2"/>
  <c r="L297" i="2"/>
  <c r="M297" i="2" s="1"/>
  <c r="K298" i="2"/>
  <c r="L298" i="2"/>
  <c r="M298" i="2" s="1"/>
  <c r="K299" i="2"/>
  <c r="L299" i="2"/>
  <c r="M299" i="2" s="1"/>
  <c r="K300" i="2"/>
  <c r="L300" i="2"/>
  <c r="M300" i="2" s="1"/>
  <c r="K301" i="2"/>
  <c r="L301" i="2"/>
  <c r="M301" i="2" s="1"/>
  <c r="K302" i="2"/>
  <c r="L302" i="2"/>
  <c r="M302" i="2" s="1"/>
  <c r="K303" i="2"/>
  <c r="L303" i="2"/>
  <c r="M303" i="2" s="1"/>
  <c r="K304" i="2"/>
  <c r="L304" i="2"/>
  <c r="M304" i="2" s="1"/>
  <c r="K305" i="2"/>
  <c r="L305" i="2"/>
  <c r="M305" i="2" s="1"/>
  <c r="K306" i="2"/>
  <c r="L306" i="2"/>
  <c r="M306" i="2" s="1"/>
  <c r="K307" i="2"/>
  <c r="L307" i="2"/>
  <c r="M307" i="2" s="1"/>
  <c r="K308" i="2"/>
  <c r="L308" i="2"/>
  <c r="M308" i="2" s="1"/>
  <c r="K309" i="2"/>
  <c r="L309" i="2"/>
  <c r="M309" i="2" s="1"/>
  <c r="K310" i="2"/>
  <c r="L310" i="2"/>
  <c r="M310" i="2" s="1"/>
  <c r="K311" i="2"/>
  <c r="L311" i="2"/>
  <c r="M311" i="2" s="1"/>
  <c r="K312" i="2"/>
  <c r="L312" i="2"/>
  <c r="M312" i="2" s="1"/>
  <c r="K313" i="2"/>
  <c r="L313" i="2"/>
  <c r="M313" i="2" s="1"/>
  <c r="K314" i="2"/>
  <c r="L314" i="2"/>
  <c r="M314" i="2" s="1"/>
  <c r="K315" i="2"/>
  <c r="L315" i="2"/>
  <c r="M315" i="2" s="1"/>
  <c r="K316" i="2"/>
  <c r="L316" i="2"/>
  <c r="M316" i="2" s="1"/>
  <c r="K317" i="2"/>
  <c r="L317" i="2"/>
  <c r="M317" i="2" s="1"/>
  <c r="K318" i="2"/>
  <c r="L318" i="2"/>
  <c r="M318" i="2" s="1"/>
  <c r="K319" i="2"/>
  <c r="L319" i="2"/>
  <c r="M319" i="2" s="1"/>
  <c r="K320" i="2"/>
  <c r="L320" i="2"/>
  <c r="M320" i="2" s="1"/>
  <c r="K321" i="2"/>
  <c r="L321" i="2"/>
  <c r="M321" i="2" s="1"/>
  <c r="K322" i="2"/>
  <c r="L322" i="2"/>
  <c r="M322" i="2" s="1"/>
  <c r="K323" i="2"/>
  <c r="L323" i="2"/>
  <c r="M323" i="2" s="1"/>
  <c r="K324" i="2"/>
  <c r="L324" i="2"/>
  <c r="M324" i="2" s="1"/>
  <c r="K325" i="2"/>
  <c r="L325" i="2"/>
  <c r="M325" i="2" s="1"/>
  <c r="K326" i="2"/>
  <c r="L326" i="2"/>
  <c r="M326" i="2" s="1"/>
  <c r="K327" i="2"/>
  <c r="L327" i="2"/>
  <c r="M327" i="2" s="1"/>
  <c r="K328" i="2"/>
  <c r="L328" i="2"/>
  <c r="M328" i="2" s="1"/>
  <c r="K329" i="2"/>
  <c r="L329" i="2"/>
  <c r="M329" i="2" s="1"/>
  <c r="K330" i="2"/>
  <c r="L330" i="2"/>
  <c r="M330" i="2" s="1"/>
  <c r="K331" i="2"/>
  <c r="L331" i="2"/>
  <c r="M331" i="2" s="1"/>
  <c r="K332" i="2"/>
  <c r="L332" i="2"/>
  <c r="M332" i="2" s="1"/>
  <c r="K333" i="2"/>
  <c r="L333" i="2"/>
  <c r="M333" i="2" s="1"/>
  <c r="K334" i="2"/>
  <c r="L334" i="2"/>
  <c r="M334" i="2" s="1"/>
  <c r="K335" i="2"/>
  <c r="L335" i="2"/>
  <c r="M335" i="2" s="1"/>
  <c r="K336" i="2"/>
  <c r="L336" i="2"/>
  <c r="M336" i="2" s="1"/>
  <c r="K337" i="2"/>
  <c r="L337" i="2"/>
  <c r="M337" i="2" s="1"/>
  <c r="K338" i="2"/>
  <c r="L338" i="2"/>
  <c r="M338" i="2" s="1"/>
  <c r="K339" i="2"/>
  <c r="L339" i="2"/>
  <c r="M339" i="2" s="1"/>
  <c r="K340" i="2"/>
  <c r="L340" i="2"/>
  <c r="M340" i="2" s="1"/>
  <c r="K341" i="2"/>
  <c r="L341" i="2"/>
  <c r="M341" i="2" s="1"/>
  <c r="K342" i="2"/>
  <c r="L342" i="2"/>
  <c r="M342" i="2" s="1"/>
  <c r="K343" i="2"/>
  <c r="L343" i="2"/>
  <c r="M343" i="2" s="1"/>
  <c r="K344" i="2"/>
  <c r="L344" i="2"/>
  <c r="M344" i="2" s="1"/>
  <c r="K345" i="2"/>
  <c r="L345" i="2"/>
  <c r="M345" i="2" s="1"/>
  <c r="K346" i="2"/>
  <c r="L346" i="2"/>
  <c r="M346" i="2" s="1"/>
  <c r="K347" i="2"/>
  <c r="L347" i="2"/>
  <c r="M347" i="2" s="1"/>
  <c r="K348" i="2"/>
  <c r="L348" i="2"/>
  <c r="M348" i="2" s="1"/>
  <c r="K349" i="2"/>
  <c r="L349" i="2"/>
  <c r="M349" i="2" s="1"/>
  <c r="K350" i="2"/>
  <c r="L350" i="2"/>
  <c r="M350" i="2" s="1"/>
  <c r="K351" i="2"/>
  <c r="L351" i="2"/>
  <c r="M351" i="2" s="1"/>
  <c r="K352" i="2"/>
  <c r="L352" i="2"/>
  <c r="M352" i="2" s="1"/>
  <c r="K353" i="2"/>
  <c r="L353" i="2"/>
  <c r="M353" i="2" s="1"/>
  <c r="K354" i="2"/>
  <c r="L354" i="2"/>
  <c r="M354" i="2" s="1"/>
  <c r="K355" i="2"/>
  <c r="L355" i="2"/>
  <c r="M355" i="2" s="1"/>
  <c r="K356" i="2"/>
  <c r="L356" i="2"/>
  <c r="M356" i="2" s="1"/>
  <c r="K357" i="2"/>
  <c r="L357" i="2"/>
  <c r="M357" i="2" s="1"/>
  <c r="K358" i="2"/>
  <c r="L358" i="2"/>
  <c r="M358" i="2" s="1"/>
  <c r="K359" i="2"/>
  <c r="L359" i="2"/>
  <c r="M359" i="2" s="1"/>
  <c r="K360" i="2"/>
  <c r="L360" i="2"/>
  <c r="M360" i="2" s="1"/>
  <c r="K361" i="2"/>
  <c r="L361" i="2"/>
  <c r="M361" i="2" s="1"/>
  <c r="K362" i="2"/>
  <c r="L362" i="2"/>
  <c r="M362" i="2" s="1"/>
  <c r="K363" i="2"/>
  <c r="L363" i="2"/>
  <c r="M363" i="2" s="1"/>
  <c r="K364" i="2"/>
  <c r="L364" i="2"/>
  <c r="M364" i="2" s="1"/>
  <c r="K365" i="2"/>
  <c r="L365" i="2"/>
  <c r="M365" i="2" s="1"/>
  <c r="K366" i="2"/>
  <c r="L366" i="2"/>
  <c r="M366" i="2" s="1"/>
  <c r="K367" i="2"/>
  <c r="L367" i="2"/>
  <c r="M367" i="2" s="1"/>
  <c r="K368" i="2"/>
  <c r="L368" i="2"/>
  <c r="M368" i="2" s="1"/>
  <c r="K369" i="2"/>
  <c r="L369" i="2"/>
  <c r="M369" i="2" s="1"/>
  <c r="K370" i="2"/>
  <c r="L370" i="2"/>
  <c r="M370" i="2" s="1"/>
  <c r="K371" i="2"/>
  <c r="L371" i="2"/>
  <c r="M371" i="2" s="1"/>
  <c r="K372" i="2"/>
  <c r="L372" i="2"/>
  <c r="M372" i="2" s="1"/>
  <c r="K373" i="2"/>
  <c r="L373" i="2"/>
  <c r="M373" i="2" s="1"/>
  <c r="K374" i="2"/>
  <c r="L374" i="2"/>
  <c r="M374" i="2" s="1"/>
  <c r="K375" i="2"/>
  <c r="L375" i="2"/>
  <c r="M375" i="2" s="1"/>
  <c r="K376" i="2"/>
  <c r="L376" i="2"/>
  <c r="M376" i="2" s="1"/>
  <c r="K377" i="2"/>
  <c r="L377" i="2"/>
  <c r="M377" i="2" s="1"/>
  <c r="K378" i="2"/>
  <c r="L378" i="2"/>
  <c r="M378" i="2" s="1"/>
  <c r="K379" i="2"/>
  <c r="L379" i="2"/>
  <c r="M379" i="2" s="1"/>
  <c r="K380" i="2"/>
  <c r="L380" i="2"/>
  <c r="M380" i="2" s="1"/>
  <c r="K381" i="2"/>
  <c r="L381" i="2"/>
  <c r="M381" i="2" s="1"/>
  <c r="K382" i="2"/>
  <c r="L382" i="2"/>
  <c r="M382" i="2" s="1"/>
  <c r="K383" i="2"/>
  <c r="L383" i="2"/>
  <c r="M383" i="2" s="1"/>
  <c r="K384" i="2"/>
  <c r="L384" i="2"/>
  <c r="M384" i="2" s="1"/>
  <c r="K385" i="2"/>
  <c r="L385" i="2"/>
  <c r="M385" i="2" s="1"/>
  <c r="K386" i="2"/>
  <c r="L386" i="2"/>
  <c r="M386" i="2" s="1"/>
  <c r="K387" i="2"/>
  <c r="L387" i="2"/>
  <c r="M387" i="2" s="1"/>
  <c r="K388" i="2"/>
  <c r="L388" i="2"/>
  <c r="M388" i="2" s="1"/>
  <c r="K389" i="2"/>
  <c r="L389" i="2"/>
  <c r="M389" i="2" s="1"/>
  <c r="K390" i="2"/>
  <c r="L390" i="2"/>
  <c r="M390" i="2" s="1"/>
  <c r="K391" i="2"/>
  <c r="L391" i="2"/>
  <c r="M391" i="2" s="1"/>
  <c r="K392" i="2"/>
  <c r="L392" i="2"/>
  <c r="M392" i="2" s="1"/>
  <c r="K393" i="2"/>
  <c r="L393" i="2"/>
  <c r="M393" i="2" s="1"/>
  <c r="K394" i="2"/>
  <c r="L394" i="2"/>
  <c r="M394" i="2" s="1"/>
  <c r="K395" i="2"/>
  <c r="L395" i="2"/>
  <c r="M395" i="2" s="1"/>
  <c r="K396" i="2"/>
  <c r="L396" i="2"/>
  <c r="M396" i="2" s="1"/>
  <c r="K397" i="2"/>
  <c r="L397" i="2"/>
  <c r="M397" i="2" s="1"/>
  <c r="K398" i="2"/>
  <c r="L398" i="2"/>
  <c r="M398" i="2" s="1"/>
  <c r="K399" i="2"/>
  <c r="L399" i="2"/>
  <c r="M399" i="2" s="1"/>
  <c r="K400" i="2"/>
  <c r="L400" i="2"/>
  <c r="M400" i="2" s="1"/>
  <c r="K401" i="2"/>
  <c r="L401" i="2"/>
  <c r="M401" i="2" s="1"/>
  <c r="K402" i="2"/>
  <c r="L402" i="2"/>
  <c r="M402" i="2" s="1"/>
  <c r="K403" i="2"/>
  <c r="L403" i="2"/>
  <c r="M403" i="2" s="1"/>
  <c r="K404" i="2"/>
  <c r="L404" i="2"/>
  <c r="M404" i="2" s="1"/>
  <c r="K405" i="2"/>
  <c r="L405" i="2"/>
  <c r="M405" i="2" s="1"/>
  <c r="K406" i="2"/>
  <c r="L406" i="2"/>
  <c r="M406" i="2" s="1"/>
  <c r="K407" i="2"/>
  <c r="L407" i="2"/>
  <c r="M407" i="2" s="1"/>
  <c r="K408" i="2"/>
  <c r="L408" i="2"/>
  <c r="M408" i="2" s="1"/>
  <c r="K409" i="2"/>
  <c r="L409" i="2"/>
  <c r="M409" i="2" s="1"/>
  <c r="K410" i="2"/>
  <c r="L410" i="2"/>
  <c r="M410" i="2" s="1"/>
  <c r="K411" i="2"/>
  <c r="L411" i="2"/>
  <c r="M411" i="2" s="1"/>
  <c r="K412" i="2"/>
  <c r="L412" i="2"/>
  <c r="M412" i="2" s="1"/>
  <c r="K413" i="2"/>
  <c r="L413" i="2"/>
  <c r="M413" i="2" s="1"/>
  <c r="K414" i="2"/>
  <c r="L414" i="2"/>
  <c r="M414" i="2" s="1"/>
  <c r="K415" i="2"/>
  <c r="L415" i="2"/>
  <c r="M415" i="2" s="1"/>
  <c r="K416" i="2"/>
  <c r="L416" i="2"/>
  <c r="M416" i="2" s="1"/>
  <c r="K417" i="2"/>
  <c r="L417" i="2"/>
  <c r="M417" i="2" s="1"/>
  <c r="K418" i="2"/>
  <c r="L418" i="2"/>
  <c r="M418" i="2" s="1"/>
  <c r="K419" i="2"/>
  <c r="L419" i="2"/>
  <c r="M419" i="2" s="1"/>
  <c r="K420" i="2"/>
  <c r="L420" i="2"/>
  <c r="M420" i="2" s="1"/>
  <c r="K421" i="2"/>
  <c r="L421" i="2"/>
  <c r="M421" i="2" s="1"/>
  <c r="K422" i="2"/>
  <c r="L422" i="2"/>
  <c r="M422" i="2" s="1"/>
  <c r="K423" i="2"/>
  <c r="L423" i="2"/>
  <c r="M423" i="2" s="1"/>
  <c r="K424" i="2"/>
  <c r="L424" i="2"/>
  <c r="M424" i="2" s="1"/>
  <c r="K425" i="2"/>
  <c r="L425" i="2"/>
  <c r="M425" i="2" s="1"/>
  <c r="K426" i="2"/>
  <c r="L426" i="2"/>
  <c r="M426" i="2" s="1"/>
  <c r="K427" i="2"/>
  <c r="L427" i="2"/>
  <c r="M427" i="2" s="1"/>
  <c r="K428" i="2"/>
  <c r="L428" i="2"/>
  <c r="M428" i="2" s="1"/>
  <c r="K429" i="2"/>
  <c r="L429" i="2"/>
  <c r="M429" i="2" s="1"/>
  <c r="K430" i="2"/>
  <c r="L430" i="2"/>
  <c r="M430" i="2" s="1"/>
  <c r="K431" i="2"/>
  <c r="L431" i="2"/>
  <c r="M431" i="2" s="1"/>
  <c r="K432" i="2"/>
  <c r="L432" i="2"/>
  <c r="M432" i="2" s="1"/>
  <c r="K433" i="2"/>
  <c r="L433" i="2"/>
  <c r="M433" i="2" s="1"/>
  <c r="K434" i="2"/>
  <c r="L434" i="2"/>
  <c r="M434" i="2" s="1"/>
  <c r="K435" i="2"/>
  <c r="L435" i="2"/>
  <c r="M435" i="2" s="1"/>
  <c r="K436" i="2"/>
  <c r="L436" i="2"/>
  <c r="M436" i="2" s="1"/>
  <c r="K437" i="2"/>
  <c r="L437" i="2"/>
  <c r="M437" i="2" s="1"/>
  <c r="K438" i="2"/>
  <c r="L438" i="2"/>
  <c r="M438" i="2" s="1"/>
  <c r="K439" i="2"/>
  <c r="L439" i="2"/>
  <c r="M439" i="2" s="1"/>
  <c r="K440" i="2"/>
  <c r="L440" i="2"/>
  <c r="M440" i="2" s="1"/>
  <c r="K441" i="2"/>
  <c r="L441" i="2"/>
  <c r="M441" i="2" s="1"/>
  <c r="K442" i="2"/>
  <c r="L442" i="2"/>
  <c r="M442" i="2" s="1"/>
  <c r="K443" i="2"/>
  <c r="L443" i="2"/>
  <c r="M443" i="2" s="1"/>
  <c r="K444" i="2"/>
  <c r="L444" i="2"/>
  <c r="M444" i="2" s="1"/>
  <c r="K445" i="2"/>
  <c r="L445" i="2"/>
  <c r="M445" i="2" s="1"/>
  <c r="K446" i="2"/>
  <c r="L446" i="2"/>
  <c r="M446" i="2" s="1"/>
  <c r="K447" i="2"/>
  <c r="L447" i="2"/>
  <c r="M447" i="2" s="1"/>
  <c r="K448" i="2"/>
  <c r="L448" i="2"/>
  <c r="M448" i="2" s="1"/>
  <c r="K449" i="2"/>
  <c r="L449" i="2"/>
  <c r="M449" i="2" s="1"/>
  <c r="K450" i="2"/>
  <c r="L450" i="2"/>
  <c r="M450" i="2" s="1"/>
  <c r="K451" i="2"/>
  <c r="L451" i="2"/>
  <c r="M451" i="2" s="1"/>
  <c r="K452" i="2"/>
  <c r="L452" i="2"/>
  <c r="M452" i="2" s="1"/>
  <c r="K453" i="2"/>
  <c r="L453" i="2"/>
  <c r="M453" i="2" s="1"/>
  <c r="K454" i="2"/>
  <c r="L454" i="2"/>
  <c r="M454" i="2" s="1"/>
  <c r="K455" i="2"/>
  <c r="L455" i="2"/>
  <c r="M455" i="2" s="1"/>
  <c r="K456" i="2"/>
  <c r="L456" i="2"/>
  <c r="M456" i="2" s="1"/>
  <c r="K457" i="2"/>
  <c r="L457" i="2"/>
  <c r="M457" i="2" s="1"/>
  <c r="K458" i="2"/>
  <c r="L458" i="2"/>
  <c r="M458" i="2" s="1"/>
  <c r="K459" i="2"/>
  <c r="L459" i="2"/>
  <c r="M459" i="2" s="1"/>
  <c r="K460" i="2"/>
  <c r="L460" i="2"/>
  <c r="M460" i="2" s="1"/>
  <c r="K461" i="2"/>
  <c r="L461" i="2"/>
  <c r="M461" i="2" s="1"/>
  <c r="K462" i="2"/>
  <c r="L462" i="2"/>
  <c r="M462" i="2" s="1"/>
  <c r="K463" i="2"/>
  <c r="L463" i="2"/>
  <c r="M463" i="2" s="1"/>
  <c r="K464" i="2"/>
  <c r="L464" i="2"/>
  <c r="M464" i="2" s="1"/>
  <c r="K465" i="2"/>
  <c r="L465" i="2"/>
  <c r="M465" i="2" s="1"/>
  <c r="K466" i="2"/>
  <c r="L466" i="2"/>
  <c r="M466" i="2" s="1"/>
  <c r="K467" i="2"/>
  <c r="L467" i="2"/>
  <c r="M467" i="2" s="1"/>
  <c r="K468" i="2"/>
  <c r="L468" i="2"/>
  <c r="M468" i="2" s="1"/>
  <c r="K469" i="2"/>
  <c r="L469" i="2"/>
  <c r="M469" i="2" s="1"/>
  <c r="K470" i="2"/>
  <c r="L470" i="2"/>
  <c r="M470" i="2" s="1"/>
  <c r="K471" i="2"/>
  <c r="L471" i="2"/>
  <c r="M471" i="2" s="1"/>
  <c r="K472" i="2"/>
  <c r="L472" i="2"/>
  <c r="M472" i="2" s="1"/>
  <c r="K473" i="2"/>
  <c r="L473" i="2"/>
  <c r="M473" i="2" s="1"/>
  <c r="K474" i="2"/>
  <c r="L474" i="2"/>
  <c r="M474" i="2" s="1"/>
  <c r="K475" i="2"/>
  <c r="L475" i="2"/>
  <c r="M475" i="2" s="1"/>
  <c r="K476" i="2"/>
  <c r="L476" i="2"/>
  <c r="M476" i="2" s="1"/>
  <c r="K477" i="2"/>
  <c r="L477" i="2"/>
  <c r="M477" i="2" s="1"/>
  <c r="K478" i="2"/>
  <c r="L478" i="2"/>
  <c r="M478" i="2" s="1"/>
  <c r="K479" i="2"/>
  <c r="L479" i="2"/>
  <c r="M479" i="2" s="1"/>
  <c r="K480" i="2"/>
  <c r="L480" i="2"/>
  <c r="M480" i="2" s="1"/>
  <c r="K481" i="2"/>
  <c r="L481" i="2"/>
  <c r="M481" i="2" s="1"/>
  <c r="K482" i="2"/>
  <c r="L482" i="2"/>
  <c r="M482" i="2" s="1"/>
  <c r="K483" i="2"/>
  <c r="L483" i="2"/>
  <c r="M483" i="2" s="1"/>
  <c r="K484" i="2"/>
  <c r="L484" i="2"/>
  <c r="M484" i="2" s="1"/>
  <c r="K485" i="2"/>
  <c r="L485" i="2"/>
  <c r="M485" i="2" s="1"/>
  <c r="K486" i="2"/>
  <c r="L486" i="2"/>
  <c r="M486" i="2" s="1"/>
  <c r="K487" i="2"/>
  <c r="L487" i="2"/>
  <c r="M487" i="2" s="1"/>
  <c r="K488" i="2"/>
  <c r="L488" i="2"/>
  <c r="M488" i="2" s="1"/>
  <c r="K489" i="2"/>
  <c r="L489" i="2"/>
  <c r="M489" i="2" s="1"/>
  <c r="K490" i="2"/>
  <c r="L490" i="2"/>
  <c r="M490" i="2" s="1"/>
  <c r="K491" i="2"/>
  <c r="L491" i="2"/>
  <c r="M491" i="2" s="1"/>
  <c r="K492" i="2"/>
  <c r="L492" i="2"/>
  <c r="M492" i="2" s="1"/>
  <c r="K493" i="2"/>
  <c r="L493" i="2"/>
  <c r="M493" i="2" s="1"/>
  <c r="K494" i="2"/>
  <c r="L494" i="2"/>
  <c r="M494" i="2" s="1"/>
  <c r="K495" i="2"/>
  <c r="L495" i="2"/>
  <c r="M495" i="2" s="1"/>
  <c r="K496" i="2"/>
  <c r="L496" i="2"/>
  <c r="M496" i="2" s="1"/>
  <c r="K497" i="2"/>
  <c r="L497" i="2"/>
  <c r="M497" i="2" s="1"/>
  <c r="K498" i="2"/>
  <c r="L498" i="2"/>
  <c r="M498" i="2" s="1"/>
  <c r="K499" i="2"/>
  <c r="L499" i="2"/>
  <c r="M499" i="2" s="1"/>
  <c r="K500" i="2"/>
  <c r="L500" i="2"/>
  <c r="M500" i="2" s="1"/>
  <c r="K501" i="2"/>
  <c r="L501" i="2"/>
  <c r="M501" i="2" s="1"/>
  <c r="K502" i="2"/>
  <c r="L502" i="2"/>
  <c r="M502" i="2" s="1"/>
  <c r="K503" i="2"/>
  <c r="L503" i="2"/>
  <c r="M503" i="2" s="1"/>
  <c r="K504" i="2"/>
  <c r="L504" i="2"/>
  <c r="M504" i="2" s="1"/>
  <c r="K505" i="2"/>
  <c r="L505" i="2"/>
  <c r="M505" i="2" s="1"/>
  <c r="K506" i="2"/>
  <c r="L506" i="2"/>
  <c r="M506" i="2" s="1"/>
  <c r="K507" i="2"/>
  <c r="L507" i="2"/>
  <c r="M507" i="2" s="1"/>
  <c r="K508" i="2"/>
  <c r="L508" i="2"/>
  <c r="M508" i="2" s="1"/>
  <c r="K509" i="2"/>
  <c r="L509" i="2"/>
  <c r="M509" i="2" s="1"/>
  <c r="K510" i="2"/>
  <c r="L510" i="2"/>
  <c r="M510" i="2" s="1"/>
  <c r="K511" i="2"/>
  <c r="L511" i="2"/>
  <c r="M511" i="2" s="1"/>
  <c r="K512" i="2"/>
  <c r="L512" i="2"/>
  <c r="M512" i="2" s="1"/>
  <c r="K513" i="2"/>
  <c r="L513" i="2"/>
  <c r="M513" i="2" s="1"/>
  <c r="K514" i="2"/>
  <c r="L514" i="2"/>
  <c r="M514" i="2" s="1"/>
  <c r="K515" i="2"/>
  <c r="L515" i="2"/>
  <c r="M515" i="2" s="1"/>
  <c r="K516" i="2"/>
  <c r="L516" i="2"/>
  <c r="M516" i="2" s="1"/>
  <c r="K517" i="2"/>
  <c r="L517" i="2"/>
  <c r="M517" i="2" s="1"/>
  <c r="K518" i="2"/>
  <c r="L518" i="2"/>
  <c r="M518" i="2" s="1"/>
  <c r="K519" i="2"/>
  <c r="L519" i="2"/>
  <c r="M519" i="2" s="1"/>
  <c r="K520" i="2"/>
  <c r="L520" i="2"/>
  <c r="M520" i="2" s="1"/>
  <c r="K521" i="2"/>
  <c r="L521" i="2"/>
  <c r="M521" i="2" s="1"/>
  <c r="K522" i="2"/>
  <c r="L522" i="2"/>
  <c r="M522" i="2" s="1"/>
  <c r="K523" i="2"/>
  <c r="L523" i="2"/>
  <c r="M523" i="2" s="1"/>
  <c r="K524" i="2"/>
  <c r="L524" i="2"/>
  <c r="M524" i="2" s="1"/>
  <c r="K525" i="2"/>
  <c r="L525" i="2"/>
  <c r="M525" i="2" s="1"/>
  <c r="K526" i="2"/>
  <c r="L526" i="2"/>
  <c r="M526" i="2" s="1"/>
  <c r="K527" i="2"/>
  <c r="L527" i="2"/>
  <c r="M527" i="2" s="1"/>
  <c r="K528" i="2"/>
  <c r="L528" i="2"/>
  <c r="M528" i="2" s="1"/>
  <c r="K529" i="2"/>
  <c r="L529" i="2"/>
  <c r="M529" i="2" s="1"/>
  <c r="K530" i="2"/>
  <c r="L530" i="2"/>
  <c r="M530" i="2" s="1"/>
  <c r="K531" i="2"/>
  <c r="L531" i="2"/>
  <c r="M531" i="2" s="1"/>
  <c r="K532" i="2"/>
  <c r="L532" i="2"/>
  <c r="M532" i="2" s="1"/>
  <c r="K533" i="2"/>
  <c r="L533" i="2"/>
  <c r="M533" i="2" s="1"/>
  <c r="K534" i="2"/>
  <c r="L534" i="2"/>
  <c r="M534" i="2" s="1"/>
  <c r="K535" i="2"/>
  <c r="L535" i="2"/>
  <c r="M535" i="2" s="1"/>
  <c r="K536" i="2"/>
  <c r="L536" i="2"/>
  <c r="M536" i="2" s="1"/>
  <c r="K537" i="2"/>
  <c r="L537" i="2"/>
  <c r="M537" i="2" s="1"/>
  <c r="K538" i="2"/>
  <c r="L538" i="2"/>
  <c r="M538" i="2" s="1"/>
  <c r="K539" i="2"/>
  <c r="L539" i="2"/>
  <c r="M539" i="2" s="1"/>
  <c r="K540" i="2"/>
  <c r="L540" i="2"/>
  <c r="M540" i="2" s="1"/>
  <c r="K541" i="2"/>
  <c r="L541" i="2"/>
  <c r="M541" i="2" s="1"/>
  <c r="K542" i="2"/>
  <c r="L542" i="2"/>
  <c r="M542" i="2" s="1"/>
  <c r="K543" i="2"/>
  <c r="L543" i="2"/>
  <c r="M543" i="2" s="1"/>
  <c r="K544" i="2"/>
  <c r="L544" i="2"/>
  <c r="M544" i="2" s="1"/>
  <c r="K545" i="2"/>
  <c r="L545" i="2"/>
  <c r="M545" i="2" s="1"/>
  <c r="K546" i="2"/>
  <c r="L546" i="2"/>
  <c r="M546" i="2" s="1"/>
  <c r="K547" i="2"/>
  <c r="L547" i="2"/>
  <c r="M547" i="2" s="1"/>
  <c r="K548" i="2"/>
  <c r="L548" i="2"/>
  <c r="M548" i="2" s="1"/>
  <c r="K549" i="2"/>
  <c r="L549" i="2"/>
  <c r="M549" i="2" s="1"/>
  <c r="K550" i="2"/>
  <c r="L550" i="2"/>
  <c r="M550" i="2" s="1"/>
  <c r="K551" i="2"/>
  <c r="L551" i="2"/>
  <c r="M551" i="2" s="1"/>
  <c r="K552" i="2"/>
  <c r="L552" i="2"/>
  <c r="M552" i="2" s="1"/>
  <c r="K553" i="2"/>
  <c r="L553" i="2"/>
  <c r="M553" i="2" s="1"/>
  <c r="K554" i="2"/>
  <c r="L554" i="2"/>
  <c r="M554" i="2" s="1"/>
  <c r="K555" i="2"/>
  <c r="L555" i="2"/>
  <c r="M555" i="2" s="1"/>
  <c r="K556" i="2"/>
  <c r="L556" i="2"/>
  <c r="M556" i="2" s="1"/>
  <c r="K557" i="2"/>
  <c r="L557" i="2"/>
  <c r="M557" i="2" s="1"/>
  <c r="K558" i="2"/>
  <c r="L558" i="2"/>
  <c r="M558" i="2" s="1"/>
  <c r="K559" i="2"/>
  <c r="L559" i="2"/>
  <c r="M559" i="2" s="1"/>
  <c r="K560" i="2"/>
  <c r="L560" i="2"/>
  <c r="M560" i="2" s="1"/>
  <c r="K561" i="2"/>
  <c r="L561" i="2"/>
  <c r="M561" i="2" s="1"/>
  <c r="K562" i="2"/>
  <c r="L562" i="2"/>
  <c r="M562" i="2" s="1"/>
  <c r="K563" i="2"/>
  <c r="L563" i="2"/>
  <c r="M563" i="2" s="1"/>
  <c r="K564" i="2"/>
  <c r="L564" i="2"/>
  <c r="M564" i="2" s="1"/>
  <c r="K565" i="2"/>
  <c r="L565" i="2"/>
  <c r="M565" i="2" s="1"/>
  <c r="K566" i="2"/>
  <c r="L566" i="2"/>
  <c r="M566" i="2" s="1"/>
  <c r="K567" i="2"/>
  <c r="L567" i="2"/>
  <c r="M567" i="2" s="1"/>
  <c r="K568" i="2"/>
  <c r="L568" i="2"/>
  <c r="M568" i="2" s="1"/>
  <c r="K569" i="2"/>
  <c r="L569" i="2"/>
  <c r="M569" i="2" s="1"/>
  <c r="K570" i="2"/>
  <c r="L570" i="2"/>
  <c r="M570" i="2" s="1"/>
  <c r="K571" i="2"/>
  <c r="L571" i="2"/>
  <c r="M571" i="2" s="1"/>
  <c r="K572" i="2"/>
  <c r="L572" i="2"/>
  <c r="M572" i="2" s="1"/>
  <c r="K573" i="2"/>
  <c r="L573" i="2"/>
  <c r="M573" i="2" s="1"/>
  <c r="K574" i="2"/>
  <c r="L574" i="2"/>
  <c r="M574" i="2" s="1"/>
  <c r="K575" i="2"/>
  <c r="L575" i="2"/>
  <c r="M575" i="2" s="1"/>
  <c r="K576" i="2"/>
  <c r="L576" i="2"/>
  <c r="M576" i="2" s="1"/>
  <c r="K577" i="2"/>
  <c r="L577" i="2"/>
  <c r="M577" i="2" s="1"/>
  <c r="K578" i="2"/>
  <c r="L578" i="2"/>
  <c r="M578" i="2" s="1"/>
  <c r="K579" i="2"/>
  <c r="L579" i="2"/>
  <c r="M579" i="2" s="1"/>
  <c r="K580" i="2"/>
  <c r="L580" i="2"/>
  <c r="M580" i="2" s="1"/>
  <c r="K581" i="2"/>
  <c r="L581" i="2"/>
  <c r="M581" i="2" s="1"/>
  <c r="K582" i="2"/>
  <c r="L582" i="2"/>
  <c r="M582" i="2" s="1"/>
  <c r="K583" i="2"/>
  <c r="L583" i="2"/>
  <c r="M583" i="2" s="1"/>
  <c r="K584" i="2"/>
  <c r="L584" i="2"/>
  <c r="M584" i="2" s="1"/>
  <c r="K585" i="2"/>
  <c r="L585" i="2"/>
  <c r="M585" i="2" s="1"/>
  <c r="K586" i="2"/>
  <c r="L586" i="2"/>
  <c r="M586" i="2" s="1"/>
  <c r="K587" i="2"/>
  <c r="L587" i="2"/>
  <c r="M587" i="2" s="1"/>
  <c r="K588" i="2"/>
  <c r="L588" i="2"/>
  <c r="M588" i="2" s="1"/>
  <c r="K589" i="2"/>
  <c r="L589" i="2"/>
  <c r="M589" i="2" s="1"/>
  <c r="K590" i="2"/>
  <c r="L590" i="2"/>
  <c r="M590" i="2" s="1"/>
  <c r="K591" i="2"/>
  <c r="L591" i="2"/>
  <c r="M591" i="2" s="1"/>
  <c r="K592" i="2"/>
  <c r="L592" i="2"/>
  <c r="M592" i="2" s="1"/>
  <c r="K593" i="2"/>
  <c r="L593" i="2"/>
  <c r="M593" i="2" s="1"/>
  <c r="K594" i="2"/>
  <c r="L594" i="2"/>
  <c r="M594" i="2" s="1"/>
  <c r="K595" i="2"/>
  <c r="L595" i="2"/>
  <c r="M595" i="2" s="1"/>
  <c r="K596" i="2"/>
  <c r="L596" i="2"/>
  <c r="M596" i="2" s="1"/>
  <c r="K597" i="2"/>
  <c r="L597" i="2"/>
  <c r="M597" i="2" s="1"/>
  <c r="K598" i="2"/>
  <c r="L598" i="2"/>
  <c r="M598" i="2" s="1"/>
  <c r="K599" i="2"/>
  <c r="L599" i="2"/>
  <c r="M599" i="2" s="1"/>
  <c r="K600" i="2"/>
  <c r="L600" i="2"/>
  <c r="M600" i="2" s="1"/>
  <c r="K601" i="2"/>
  <c r="L601" i="2"/>
  <c r="M601" i="2" s="1"/>
  <c r="K602" i="2"/>
  <c r="L602" i="2"/>
  <c r="M602" i="2" s="1"/>
  <c r="K603" i="2"/>
  <c r="L603" i="2"/>
  <c r="M603" i="2" s="1"/>
  <c r="K604" i="2"/>
  <c r="L604" i="2"/>
  <c r="M604" i="2" s="1"/>
  <c r="K605" i="2"/>
  <c r="L605" i="2"/>
  <c r="M605" i="2" s="1"/>
  <c r="K606" i="2"/>
  <c r="L606" i="2"/>
  <c r="M606" i="2" s="1"/>
  <c r="K607" i="2"/>
  <c r="L607" i="2"/>
  <c r="M607" i="2" s="1"/>
  <c r="K608" i="2"/>
  <c r="L608" i="2"/>
  <c r="M608" i="2" s="1"/>
  <c r="K609" i="2"/>
  <c r="L609" i="2"/>
  <c r="M609" i="2" s="1"/>
  <c r="K610" i="2"/>
  <c r="L610" i="2"/>
  <c r="M610" i="2" s="1"/>
  <c r="K611" i="2"/>
  <c r="L611" i="2"/>
  <c r="M611" i="2" s="1"/>
  <c r="K612" i="2"/>
  <c r="L612" i="2"/>
  <c r="M612" i="2" s="1"/>
  <c r="K613" i="2"/>
  <c r="L613" i="2"/>
  <c r="M613" i="2" s="1"/>
  <c r="K614" i="2"/>
  <c r="L614" i="2"/>
  <c r="M614" i="2" s="1"/>
  <c r="K615" i="2"/>
  <c r="L615" i="2"/>
  <c r="M615" i="2" s="1"/>
  <c r="K616" i="2"/>
  <c r="L616" i="2"/>
  <c r="M616" i="2" s="1"/>
  <c r="K617" i="2"/>
  <c r="L617" i="2"/>
  <c r="M617" i="2" s="1"/>
  <c r="K618" i="2"/>
  <c r="L618" i="2"/>
  <c r="M618" i="2" s="1"/>
  <c r="K619" i="2"/>
  <c r="L619" i="2"/>
  <c r="M619" i="2" s="1"/>
  <c r="K620" i="2"/>
  <c r="L620" i="2"/>
  <c r="M620" i="2" s="1"/>
  <c r="K621" i="2"/>
  <c r="L621" i="2"/>
  <c r="M621" i="2" s="1"/>
  <c r="K622" i="2"/>
  <c r="L622" i="2"/>
  <c r="M622" i="2" s="1"/>
  <c r="K623" i="2"/>
  <c r="L623" i="2"/>
  <c r="M623" i="2" s="1"/>
  <c r="K624" i="2"/>
  <c r="L624" i="2"/>
  <c r="M624" i="2" s="1"/>
  <c r="K625" i="2"/>
  <c r="L625" i="2"/>
  <c r="M625" i="2" s="1"/>
  <c r="K626" i="2"/>
  <c r="L626" i="2"/>
  <c r="M626" i="2" s="1"/>
  <c r="K627" i="2"/>
  <c r="L627" i="2"/>
  <c r="M627" i="2" s="1"/>
  <c r="K628" i="2"/>
  <c r="L628" i="2"/>
  <c r="M628" i="2" s="1"/>
  <c r="K629" i="2"/>
  <c r="L629" i="2"/>
  <c r="M629" i="2" s="1"/>
  <c r="K630" i="2"/>
  <c r="L630" i="2"/>
  <c r="M630" i="2" s="1"/>
  <c r="K631" i="2"/>
  <c r="L631" i="2"/>
  <c r="M631" i="2" s="1"/>
  <c r="K632" i="2"/>
  <c r="L632" i="2"/>
  <c r="M632" i="2" s="1"/>
  <c r="K633" i="2"/>
  <c r="L633" i="2"/>
  <c r="M633" i="2" s="1"/>
  <c r="K634" i="2"/>
  <c r="L634" i="2"/>
  <c r="M634" i="2" s="1"/>
  <c r="K635" i="2"/>
  <c r="L635" i="2"/>
  <c r="M635" i="2" s="1"/>
  <c r="K636" i="2"/>
  <c r="L636" i="2"/>
  <c r="M636" i="2" s="1"/>
  <c r="K637" i="2"/>
  <c r="L637" i="2"/>
  <c r="M637" i="2" s="1"/>
  <c r="K638" i="2"/>
  <c r="L638" i="2"/>
  <c r="M638" i="2" s="1"/>
  <c r="K639" i="2"/>
  <c r="L639" i="2"/>
  <c r="M639" i="2" s="1"/>
  <c r="K640" i="2"/>
  <c r="L640" i="2"/>
  <c r="M640" i="2" s="1"/>
  <c r="K641" i="2"/>
  <c r="L641" i="2"/>
  <c r="M641" i="2" s="1"/>
  <c r="K642" i="2"/>
  <c r="L642" i="2"/>
  <c r="M642" i="2" s="1"/>
  <c r="K643" i="2"/>
  <c r="L643" i="2"/>
  <c r="M643" i="2" s="1"/>
  <c r="K644" i="2"/>
  <c r="L644" i="2"/>
  <c r="M644" i="2" s="1"/>
  <c r="K645" i="2"/>
  <c r="L645" i="2"/>
  <c r="M645" i="2" s="1"/>
  <c r="K646" i="2"/>
  <c r="L646" i="2"/>
  <c r="M646" i="2" s="1"/>
  <c r="K647" i="2"/>
  <c r="L647" i="2"/>
  <c r="M647" i="2" s="1"/>
  <c r="K648" i="2"/>
  <c r="L648" i="2"/>
  <c r="M648" i="2" s="1"/>
  <c r="K649" i="2"/>
  <c r="L649" i="2"/>
  <c r="M649" i="2" s="1"/>
  <c r="K650" i="2"/>
  <c r="L650" i="2"/>
  <c r="M650" i="2" s="1"/>
  <c r="K651" i="2"/>
  <c r="L651" i="2"/>
  <c r="M651" i="2" s="1"/>
  <c r="K652" i="2"/>
  <c r="L652" i="2"/>
  <c r="M652" i="2" s="1"/>
  <c r="K653" i="2"/>
  <c r="L653" i="2"/>
  <c r="M653" i="2" s="1"/>
  <c r="K654" i="2"/>
  <c r="L654" i="2"/>
  <c r="M654" i="2" s="1"/>
  <c r="K655" i="2"/>
  <c r="L655" i="2"/>
  <c r="M655" i="2" s="1"/>
  <c r="K656" i="2"/>
  <c r="L656" i="2"/>
  <c r="M656" i="2" s="1"/>
  <c r="K657" i="2"/>
  <c r="L657" i="2"/>
  <c r="M657" i="2" s="1"/>
  <c r="K658" i="2"/>
  <c r="L658" i="2"/>
  <c r="M658" i="2" s="1"/>
  <c r="K659" i="2"/>
  <c r="L659" i="2"/>
  <c r="M659" i="2" s="1"/>
  <c r="K660" i="2"/>
  <c r="L660" i="2"/>
  <c r="M660" i="2" s="1"/>
  <c r="K661" i="2"/>
  <c r="L661" i="2"/>
  <c r="M661" i="2" s="1"/>
  <c r="K662" i="2"/>
  <c r="L662" i="2"/>
  <c r="M662" i="2" s="1"/>
  <c r="K663" i="2"/>
  <c r="L663" i="2"/>
  <c r="M663" i="2" s="1"/>
  <c r="K664" i="2"/>
  <c r="L664" i="2"/>
  <c r="M664" i="2" s="1"/>
  <c r="K665" i="2"/>
  <c r="L665" i="2"/>
  <c r="M665" i="2" s="1"/>
  <c r="K666" i="2"/>
  <c r="L666" i="2"/>
  <c r="M666" i="2" s="1"/>
  <c r="K667" i="2"/>
  <c r="L667" i="2"/>
  <c r="M667" i="2" s="1"/>
  <c r="K668" i="2"/>
  <c r="L668" i="2"/>
  <c r="M668" i="2" s="1"/>
  <c r="K669" i="2"/>
  <c r="L669" i="2"/>
  <c r="M669" i="2" s="1"/>
  <c r="K670" i="2"/>
  <c r="L670" i="2"/>
  <c r="M670" i="2" s="1"/>
  <c r="K671" i="2"/>
  <c r="L671" i="2"/>
  <c r="M671" i="2" s="1"/>
  <c r="K672" i="2"/>
  <c r="L672" i="2"/>
  <c r="M672" i="2" s="1"/>
  <c r="K673" i="2"/>
  <c r="L673" i="2"/>
  <c r="M673" i="2" s="1"/>
  <c r="K674" i="2"/>
  <c r="L674" i="2"/>
  <c r="M674" i="2" s="1"/>
  <c r="K675" i="2"/>
  <c r="L675" i="2"/>
  <c r="M675" i="2" s="1"/>
  <c r="K676" i="2"/>
  <c r="L676" i="2"/>
  <c r="M676" i="2" s="1"/>
  <c r="K677" i="2"/>
  <c r="L677" i="2"/>
  <c r="M677" i="2" s="1"/>
  <c r="K678" i="2"/>
  <c r="L678" i="2"/>
  <c r="M678" i="2" s="1"/>
  <c r="K679" i="2"/>
  <c r="L679" i="2"/>
  <c r="M679" i="2" s="1"/>
  <c r="K680" i="2"/>
  <c r="L680" i="2"/>
  <c r="M680" i="2" s="1"/>
  <c r="K681" i="2"/>
  <c r="L681" i="2"/>
  <c r="M681" i="2" s="1"/>
  <c r="K682" i="2"/>
  <c r="L682" i="2"/>
  <c r="M682" i="2" s="1"/>
  <c r="K683" i="2"/>
  <c r="L683" i="2"/>
  <c r="M683" i="2" s="1"/>
  <c r="K684" i="2"/>
  <c r="L684" i="2"/>
  <c r="M684" i="2" s="1"/>
  <c r="K685" i="2"/>
  <c r="L685" i="2"/>
  <c r="M685" i="2" s="1"/>
  <c r="K686" i="2"/>
  <c r="L686" i="2"/>
  <c r="M686" i="2" s="1"/>
  <c r="K687" i="2"/>
  <c r="L687" i="2"/>
  <c r="M687" i="2" s="1"/>
  <c r="K688" i="2"/>
  <c r="L688" i="2"/>
  <c r="M688" i="2" s="1"/>
  <c r="K689" i="2"/>
  <c r="L689" i="2"/>
  <c r="M689" i="2" s="1"/>
  <c r="K690" i="2"/>
  <c r="L690" i="2"/>
  <c r="M690" i="2" s="1"/>
  <c r="K691" i="2"/>
  <c r="L691" i="2"/>
  <c r="M691" i="2" s="1"/>
  <c r="K692" i="2"/>
  <c r="L692" i="2"/>
  <c r="M692" i="2" s="1"/>
  <c r="K693" i="2"/>
  <c r="L693" i="2"/>
  <c r="M693" i="2" s="1"/>
  <c r="K694" i="2"/>
  <c r="L694" i="2"/>
  <c r="M694" i="2" s="1"/>
  <c r="K695" i="2"/>
  <c r="L695" i="2"/>
  <c r="M695" i="2" s="1"/>
  <c r="K696" i="2"/>
  <c r="L696" i="2"/>
  <c r="M696" i="2" s="1"/>
  <c r="K697" i="2"/>
  <c r="L697" i="2"/>
  <c r="M697" i="2" s="1"/>
  <c r="K698" i="2"/>
  <c r="L698" i="2"/>
  <c r="M698" i="2" s="1"/>
  <c r="K699" i="2"/>
  <c r="L699" i="2"/>
  <c r="M699" i="2" s="1"/>
  <c r="K700" i="2"/>
  <c r="L700" i="2"/>
  <c r="M700" i="2" s="1"/>
  <c r="K701" i="2"/>
  <c r="L701" i="2"/>
  <c r="M701" i="2" s="1"/>
  <c r="K702" i="2"/>
  <c r="L702" i="2"/>
  <c r="M702" i="2" s="1"/>
  <c r="K703" i="2"/>
  <c r="L703" i="2"/>
  <c r="M703" i="2" s="1"/>
  <c r="K704" i="2"/>
  <c r="L704" i="2"/>
  <c r="M704" i="2" s="1"/>
  <c r="K705" i="2"/>
  <c r="L705" i="2"/>
  <c r="M705" i="2" s="1"/>
  <c r="K706" i="2"/>
  <c r="L706" i="2"/>
  <c r="M706" i="2" s="1"/>
  <c r="K707" i="2"/>
  <c r="L707" i="2"/>
  <c r="M707" i="2" s="1"/>
  <c r="K708" i="2"/>
  <c r="L708" i="2"/>
  <c r="M708" i="2" s="1"/>
  <c r="K709" i="2"/>
  <c r="L709" i="2"/>
  <c r="M709" i="2" s="1"/>
  <c r="K710" i="2"/>
  <c r="L710" i="2"/>
  <c r="M710" i="2" s="1"/>
  <c r="K711" i="2"/>
  <c r="L711" i="2"/>
  <c r="M711" i="2" s="1"/>
  <c r="K712" i="2"/>
  <c r="L712" i="2"/>
  <c r="M712" i="2" s="1"/>
  <c r="K713" i="2"/>
  <c r="L713" i="2"/>
  <c r="M713" i="2" s="1"/>
  <c r="K714" i="2"/>
  <c r="L714" i="2"/>
  <c r="M714" i="2" s="1"/>
  <c r="K715" i="2"/>
  <c r="L715" i="2"/>
  <c r="M715" i="2" s="1"/>
  <c r="K716" i="2"/>
  <c r="L716" i="2"/>
  <c r="M716" i="2" s="1"/>
  <c r="K717" i="2"/>
  <c r="L717" i="2"/>
  <c r="M717" i="2" s="1"/>
  <c r="K718" i="2"/>
  <c r="L718" i="2"/>
  <c r="M718" i="2" s="1"/>
  <c r="K719" i="2"/>
  <c r="L719" i="2"/>
  <c r="M719" i="2" s="1"/>
  <c r="K720" i="2"/>
  <c r="L720" i="2"/>
  <c r="M720" i="2" s="1"/>
  <c r="K721" i="2"/>
  <c r="L721" i="2"/>
  <c r="M721" i="2" s="1"/>
  <c r="K722" i="2"/>
  <c r="L722" i="2"/>
  <c r="M722" i="2" s="1"/>
  <c r="K723" i="2"/>
  <c r="L723" i="2"/>
  <c r="M723" i="2" s="1"/>
  <c r="K724" i="2"/>
  <c r="L724" i="2"/>
  <c r="M724" i="2" s="1"/>
  <c r="K725" i="2"/>
  <c r="L725" i="2"/>
  <c r="M725" i="2" s="1"/>
  <c r="K726" i="2"/>
  <c r="L726" i="2"/>
  <c r="M726" i="2" s="1"/>
  <c r="K727" i="2"/>
  <c r="L727" i="2"/>
  <c r="M727" i="2" s="1"/>
  <c r="K728" i="2"/>
  <c r="L728" i="2"/>
  <c r="M728" i="2" s="1"/>
  <c r="K729" i="2"/>
  <c r="L729" i="2"/>
  <c r="M729" i="2" s="1"/>
  <c r="K730" i="2"/>
  <c r="L730" i="2"/>
  <c r="M730" i="2" s="1"/>
  <c r="K731" i="2"/>
  <c r="L731" i="2"/>
  <c r="M731" i="2" s="1"/>
  <c r="K732" i="2"/>
  <c r="L732" i="2"/>
  <c r="M732" i="2" s="1"/>
  <c r="K733" i="2"/>
  <c r="L733" i="2"/>
  <c r="M733" i="2" s="1"/>
  <c r="K734" i="2"/>
  <c r="L734" i="2"/>
  <c r="M734" i="2" s="1"/>
  <c r="K735" i="2"/>
  <c r="L735" i="2"/>
  <c r="M735" i="2" s="1"/>
  <c r="K736" i="2"/>
  <c r="L736" i="2"/>
  <c r="M736" i="2" s="1"/>
  <c r="K737" i="2"/>
  <c r="L737" i="2"/>
  <c r="M737" i="2" s="1"/>
  <c r="K738" i="2"/>
  <c r="L738" i="2"/>
  <c r="M738" i="2" s="1"/>
  <c r="K739" i="2"/>
  <c r="L739" i="2"/>
  <c r="M739" i="2" s="1"/>
  <c r="K740" i="2"/>
  <c r="L740" i="2"/>
  <c r="M740" i="2" s="1"/>
  <c r="K741" i="2"/>
  <c r="L741" i="2"/>
  <c r="M741" i="2" s="1"/>
  <c r="K742" i="2"/>
  <c r="L742" i="2"/>
  <c r="M742" i="2" s="1"/>
  <c r="K743" i="2"/>
  <c r="L743" i="2"/>
  <c r="M743" i="2" s="1"/>
  <c r="K744" i="2"/>
  <c r="L744" i="2"/>
  <c r="M744" i="2" s="1"/>
  <c r="K745" i="2"/>
  <c r="L745" i="2"/>
  <c r="M745" i="2" s="1"/>
  <c r="K746" i="2"/>
  <c r="L746" i="2"/>
  <c r="M746" i="2" s="1"/>
  <c r="K747" i="2"/>
  <c r="L747" i="2"/>
  <c r="M747" i="2" s="1"/>
  <c r="K748" i="2"/>
  <c r="L748" i="2"/>
  <c r="M748" i="2" s="1"/>
  <c r="K749" i="2"/>
  <c r="L749" i="2"/>
  <c r="M749" i="2" s="1"/>
  <c r="K750" i="2"/>
  <c r="L750" i="2"/>
  <c r="M750" i="2" s="1"/>
  <c r="K751" i="2"/>
  <c r="L751" i="2"/>
  <c r="M751" i="2" s="1"/>
  <c r="K752" i="2"/>
  <c r="L752" i="2"/>
  <c r="M752" i="2" s="1"/>
  <c r="K753" i="2"/>
  <c r="L753" i="2"/>
  <c r="M753" i="2" s="1"/>
  <c r="K754" i="2"/>
  <c r="L754" i="2"/>
  <c r="M754" i="2" s="1"/>
  <c r="K755" i="2"/>
  <c r="L755" i="2"/>
  <c r="M755" i="2" s="1"/>
  <c r="K756" i="2"/>
  <c r="L756" i="2"/>
  <c r="M756" i="2" s="1"/>
  <c r="K757" i="2"/>
  <c r="L757" i="2"/>
  <c r="M757" i="2" s="1"/>
  <c r="K758" i="2"/>
  <c r="L758" i="2"/>
  <c r="M758" i="2" s="1"/>
  <c r="K759" i="2"/>
  <c r="L759" i="2"/>
  <c r="M759" i="2" s="1"/>
  <c r="K760" i="2"/>
  <c r="L760" i="2"/>
  <c r="M760" i="2" s="1"/>
  <c r="K761" i="2"/>
  <c r="L761" i="2"/>
  <c r="M761" i="2" s="1"/>
  <c r="K762" i="2"/>
  <c r="L762" i="2"/>
  <c r="M762" i="2" s="1"/>
  <c r="K763" i="2"/>
  <c r="L763" i="2"/>
  <c r="M763" i="2" s="1"/>
  <c r="K764" i="2"/>
  <c r="L764" i="2"/>
  <c r="M764" i="2" s="1"/>
  <c r="K765" i="2"/>
  <c r="L765" i="2"/>
  <c r="M765" i="2" s="1"/>
  <c r="K766" i="2"/>
  <c r="L766" i="2"/>
  <c r="M766" i="2" s="1"/>
  <c r="K767" i="2"/>
  <c r="L767" i="2"/>
  <c r="M767" i="2" s="1"/>
  <c r="K768" i="2"/>
  <c r="L768" i="2"/>
  <c r="M768" i="2" s="1"/>
  <c r="K769" i="2"/>
  <c r="L769" i="2"/>
  <c r="M769" i="2" s="1"/>
  <c r="K770" i="2"/>
  <c r="L770" i="2"/>
  <c r="M770" i="2" s="1"/>
  <c r="K771" i="2"/>
  <c r="L771" i="2"/>
  <c r="M771" i="2" s="1"/>
  <c r="K772" i="2"/>
  <c r="L772" i="2"/>
  <c r="M772" i="2" s="1"/>
  <c r="K773" i="2"/>
  <c r="L773" i="2"/>
  <c r="M773" i="2" s="1"/>
  <c r="K774" i="2"/>
  <c r="L774" i="2"/>
  <c r="M774" i="2" s="1"/>
  <c r="K775" i="2"/>
  <c r="L775" i="2"/>
  <c r="M775" i="2" s="1"/>
  <c r="K776" i="2"/>
  <c r="L776" i="2"/>
  <c r="M776" i="2" s="1"/>
  <c r="K777" i="2"/>
  <c r="L777" i="2"/>
  <c r="M777" i="2" s="1"/>
  <c r="K778" i="2"/>
  <c r="L778" i="2"/>
  <c r="M778" i="2" s="1"/>
  <c r="K779" i="2"/>
  <c r="L779" i="2"/>
  <c r="M779" i="2" s="1"/>
  <c r="K780" i="2"/>
  <c r="L780" i="2"/>
  <c r="M780" i="2" s="1"/>
  <c r="K781" i="2"/>
  <c r="L781" i="2"/>
  <c r="M781" i="2" s="1"/>
  <c r="K782" i="2"/>
  <c r="L782" i="2"/>
  <c r="M782" i="2" s="1"/>
  <c r="K783" i="2"/>
  <c r="L783" i="2"/>
  <c r="M783" i="2" s="1"/>
  <c r="K784" i="2"/>
  <c r="L784" i="2"/>
  <c r="M784" i="2" s="1"/>
  <c r="K785" i="2"/>
  <c r="L785" i="2"/>
  <c r="M785" i="2" s="1"/>
  <c r="K786" i="2"/>
  <c r="L786" i="2"/>
  <c r="M786" i="2" s="1"/>
  <c r="K787" i="2"/>
  <c r="L787" i="2"/>
  <c r="M787" i="2" s="1"/>
  <c r="K788" i="2"/>
  <c r="L788" i="2"/>
  <c r="M788" i="2" s="1"/>
  <c r="K789" i="2"/>
  <c r="L789" i="2"/>
  <c r="M789" i="2" s="1"/>
  <c r="K790" i="2"/>
  <c r="L790" i="2"/>
  <c r="M790" i="2" s="1"/>
  <c r="K791" i="2"/>
  <c r="L791" i="2"/>
  <c r="M791" i="2" s="1"/>
  <c r="K792" i="2"/>
  <c r="L792" i="2"/>
  <c r="M792" i="2" s="1"/>
  <c r="K793" i="2"/>
  <c r="L793" i="2"/>
  <c r="M793" i="2" s="1"/>
  <c r="K794" i="2"/>
  <c r="L794" i="2"/>
  <c r="M794" i="2" s="1"/>
  <c r="K795" i="2"/>
  <c r="L795" i="2"/>
  <c r="M795" i="2" s="1"/>
  <c r="K796" i="2"/>
  <c r="L796" i="2"/>
  <c r="M796" i="2" s="1"/>
  <c r="K797" i="2"/>
  <c r="L797" i="2"/>
  <c r="M797" i="2" s="1"/>
  <c r="K798" i="2"/>
  <c r="L798" i="2"/>
  <c r="M798" i="2" s="1"/>
  <c r="K799" i="2"/>
  <c r="L799" i="2"/>
  <c r="M799" i="2" s="1"/>
  <c r="K800" i="2"/>
  <c r="L800" i="2"/>
  <c r="M800" i="2" s="1"/>
  <c r="K801" i="2"/>
  <c r="L801" i="2"/>
  <c r="M801" i="2" s="1"/>
  <c r="K802" i="2"/>
  <c r="L802" i="2"/>
  <c r="M802" i="2" s="1"/>
  <c r="K803" i="2"/>
  <c r="L803" i="2"/>
  <c r="M803" i="2" s="1"/>
  <c r="K804" i="2"/>
  <c r="L804" i="2"/>
  <c r="M804" i="2" s="1"/>
  <c r="K805" i="2"/>
  <c r="L805" i="2"/>
  <c r="M805" i="2" s="1"/>
  <c r="K806" i="2"/>
  <c r="L806" i="2"/>
  <c r="M806" i="2" s="1"/>
  <c r="K807" i="2"/>
  <c r="L807" i="2"/>
  <c r="M807" i="2" s="1"/>
  <c r="K808" i="2"/>
  <c r="L808" i="2"/>
  <c r="M808" i="2" s="1"/>
  <c r="K809" i="2"/>
  <c r="L809" i="2"/>
  <c r="M809" i="2" s="1"/>
  <c r="K810" i="2"/>
  <c r="L810" i="2"/>
  <c r="M810" i="2" s="1"/>
  <c r="K811" i="2"/>
  <c r="L811" i="2"/>
  <c r="M811" i="2" s="1"/>
  <c r="K812" i="2"/>
  <c r="L812" i="2"/>
  <c r="M812" i="2" s="1"/>
  <c r="K813" i="2"/>
  <c r="L813" i="2"/>
  <c r="M813" i="2" s="1"/>
  <c r="K814" i="2"/>
  <c r="L814" i="2"/>
  <c r="M814" i="2" s="1"/>
  <c r="K815" i="2"/>
  <c r="L815" i="2"/>
  <c r="M815" i="2" s="1"/>
  <c r="K816" i="2"/>
  <c r="L816" i="2"/>
  <c r="M816" i="2" s="1"/>
  <c r="K817" i="2"/>
  <c r="L817" i="2"/>
  <c r="M817" i="2" s="1"/>
  <c r="K818" i="2"/>
  <c r="L818" i="2"/>
  <c r="M818" i="2" s="1"/>
  <c r="K819" i="2"/>
  <c r="L819" i="2"/>
  <c r="M819" i="2" s="1"/>
  <c r="K820" i="2"/>
  <c r="L820" i="2"/>
  <c r="M820" i="2" s="1"/>
  <c r="K821" i="2"/>
  <c r="L821" i="2"/>
  <c r="M821" i="2" s="1"/>
  <c r="K822" i="2"/>
  <c r="L822" i="2"/>
  <c r="M822" i="2" s="1"/>
  <c r="K823" i="2"/>
  <c r="L823" i="2"/>
  <c r="M823" i="2" s="1"/>
  <c r="K824" i="2"/>
  <c r="L824" i="2"/>
  <c r="M824" i="2" s="1"/>
  <c r="K825" i="2"/>
  <c r="L825" i="2"/>
  <c r="M825" i="2" s="1"/>
  <c r="K826" i="2"/>
  <c r="L826" i="2"/>
  <c r="M826" i="2" s="1"/>
  <c r="K827" i="2"/>
  <c r="L827" i="2"/>
  <c r="M827" i="2" s="1"/>
  <c r="K828" i="2"/>
  <c r="L828" i="2"/>
  <c r="M828" i="2" s="1"/>
  <c r="K829" i="2"/>
  <c r="L829" i="2"/>
  <c r="M829" i="2" s="1"/>
  <c r="K830" i="2"/>
  <c r="L830" i="2"/>
  <c r="M830" i="2" s="1"/>
  <c r="K831" i="2"/>
  <c r="L831" i="2"/>
  <c r="M831" i="2" s="1"/>
  <c r="K832" i="2"/>
  <c r="L832" i="2"/>
  <c r="M832" i="2" s="1"/>
  <c r="K833" i="2"/>
  <c r="L833" i="2"/>
  <c r="M833" i="2" s="1"/>
  <c r="K834" i="2"/>
  <c r="L834" i="2"/>
  <c r="M834" i="2" s="1"/>
  <c r="K835" i="2"/>
  <c r="L835" i="2"/>
  <c r="M835" i="2" s="1"/>
  <c r="K836" i="2"/>
  <c r="L836" i="2"/>
  <c r="M836" i="2" s="1"/>
  <c r="K837" i="2"/>
  <c r="L837" i="2"/>
  <c r="M837" i="2" s="1"/>
  <c r="K838" i="2"/>
  <c r="L838" i="2"/>
  <c r="M838" i="2" s="1"/>
  <c r="K839" i="2"/>
  <c r="L839" i="2"/>
  <c r="M839" i="2" s="1"/>
  <c r="K840" i="2"/>
  <c r="L840" i="2"/>
  <c r="M840" i="2" s="1"/>
  <c r="K841" i="2"/>
  <c r="L841" i="2"/>
  <c r="M841" i="2" s="1"/>
  <c r="K842" i="2"/>
  <c r="L842" i="2"/>
  <c r="M842" i="2" s="1"/>
  <c r="K843" i="2"/>
  <c r="L843" i="2"/>
  <c r="M843" i="2" s="1"/>
  <c r="K844" i="2"/>
  <c r="L844" i="2"/>
  <c r="M844" i="2" s="1"/>
  <c r="K845" i="2"/>
  <c r="L845" i="2"/>
  <c r="M845" i="2" s="1"/>
  <c r="K846" i="2"/>
  <c r="L846" i="2"/>
  <c r="M846" i="2" s="1"/>
  <c r="K847" i="2"/>
  <c r="L847" i="2"/>
  <c r="M847" i="2" s="1"/>
  <c r="K848" i="2"/>
  <c r="L848" i="2"/>
  <c r="M848" i="2" s="1"/>
  <c r="K849" i="2"/>
  <c r="L849" i="2"/>
  <c r="M849" i="2" s="1"/>
  <c r="K850" i="2"/>
  <c r="L850" i="2"/>
  <c r="M850" i="2" s="1"/>
  <c r="K851" i="2"/>
  <c r="L851" i="2"/>
  <c r="M851" i="2" s="1"/>
  <c r="K852" i="2"/>
  <c r="L852" i="2"/>
  <c r="M852" i="2" s="1"/>
  <c r="K853" i="2"/>
  <c r="L853" i="2"/>
  <c r="M853" i="2" s="1"/>
  <c r="K854" i="2"/>
  <c r="L854" i="2"/>
  <c r="M854" i="2" s="1"/>
  <c r="K855" i="2"/>
  <c r="L855" i="2"/>
  <c r="M855" i="2" s="1"/>
  <c r="K856" i="2"/>
  <c r="L856" i="2"/>
  <c r="M856" i="2" s="1"/>
  <c r="K857" i="2"/>
  <c r="L857" i="2"/>
  <c r="M857" i="2" s="1"/>
  <c r="K858" i="2"/>
  <c r="L858" i="2"/>
  <c r="M858" i="2" s="1"/>
  <c r="K859" i="2"/>
  <c r="L859" i="2"/>
  <c r="M859" i="2" s="1"/>
  <c r="K860" i="2"/>
  <c r="L860" i="2"/>
  <c r="M860" i="2" s="1"/>
  <c r="K861" i="2"/>
  <c r="L861" i="2"/>
  <c r="M861" i="2" s="1"/>
  <c r="K862" i="2"/>
  <c r="L862" i="2"/>
  <c r="M862" i="2" s="1"/>
  <c r="K863" i="2"/>
  <c r="L863" i="2"/>
  <c r="M863" i="2" s="1"/>
  <c r="K864" i="2"/>
  <c r="L864" i="2"/>
  <c r="M864" i="2" s="1"/>
  <c r="K865" i="2"/>
  <c r="L865" i="2"/>
  <c r="M865" i="2" s="1"/>
  <c r="K866" i="2"/>
  <c r="L866" i="2"/>
  <c r="M866" i="2" s="1"/>
  <c r="K867" i="2"/>
  <c r="L867" i="2"/>
  <c r="M867" i="2" s="1"/>
  <c r="K868" i="2"/>
  <c r="L868" i="2"/>
  <c r="M868" i="2" s="1"/>
  <c r="K869" i="2"/>
  <c r="L869" i="2"/>
  <c r="M869" i="2" s="1"/>
  <c r="K870" i="2"/>
  <c r="L870" i="2"/>
  <c r="M870" i="2" s="1"/>
  <c r="K871" i="2"/>
  <c r="L871" i="2"/>
  <c r="M871" i="2" s="1"/>
  <c r="K872" i="2"/>
  <c r="L872" i="2"/>
  <c r="M872" i="2" s="1"/>
  <c r="K873" i="2"/>
  <c r="L873" i="2"/>
  <c r="M873" i="2" s="1"/>
  <c r="K874" i="2"/>
  <c r="L874" i="2"/>
  <c r="M874" i="2" s="1"/>
  <c r="K875" i="2"/>
  <c r="L875" i="2"/>
  <c r="M875" i="2" s="1"/>
  <c r="K876" i="2"/>
  <c r="L876" i="2"/>
  <c r="M876" i="2" s="1"/>
  <c r="K877" i="2"/>
  <c r="L877" i="2"/>
  <c r="M877" i="2" s="1"/>
  <c r="K878" i="2"/>
  <c r="L878" i="2"/>
  <c r="M878" i="2" s="1"/>
  <c r="K879" i="2"/>
  <c r="L879" i="2"/>
  <c r="M879" i="2" s="1"/>
  <c r="K880" i="2"/>
  <c r="L880" i="2"/>
  <c r="M880" i="2" s="1"/>
  <c r="K881" i="2"/>
  <c r="L881" i="2"/>
  <c r="M881" i="2" s="1"/>
  <c r="K882" i="2"/>
  <c r="L882" i="2"/>
  <c r="M882" i="2" s="1"/>
  <c r="K883" i="2"/>
  <c r="L883" i="2"/>
  <c r="M883" i="2" s="1"/>
  <c r="K884" i="2"/>
  <c r="L884" i="2"/>
  <c r="M884" i="2" s="1"/>
  <c r="K885" i="2"/>
  <c r="L885" i="2"/>
  <c r="M885" i="2" s="1"/>
  <c r="K886" i="2"/>
  <c r="L886" i="2"/>
  <c r="M886" i="2" s="1"/>
  <c r="K887" i="2"/>
  <c r="L887" i="2"/>
  <c r="M887" i="2" s="1"/>
  <c r="K888" i="2"/>
  <c r="L888" i="2"/>
  <c r="M888" i="2" s="1"/>
  <c r="K889" i="2"/>
  <c r="L889" i="2"/>
  <c r="M889" i="2" s="1"/>
  <c r="K890" i="2"/>
  <c r="L890" i="2"/>
  <c r="M890" i="2" s="1"/>
  <c r="K891" i="2"/>
  <c r="L891" i="2"/>
  <c r="M891" i="2" s="1"/>
  <c r="K892" i="2"/>
  <c r="L892" i="2"/>
  <c r="M892" i="2" s="1"/>
  <c r="K893" i="2"/>
  <c r="L893" i="2"/>
  <c r="M893" i="2" s="1"/>
  <c r="K894" i="2"/>
  <c r="L894" i="2"/>
  <c r="M894" i="2" s="1"/>
  <c r="K895" i="2"/>
  <c r="L895" i="2"/>
  <c r="M895" i="2" s="1"/>
  <c r="K896" i="2"/>
  <c r="L896" i="2"/>
  <c r="M896" i="2" s="1"/>
  <c r="K897" i="2"/>
  <c r="L897" i="2"/>
  <c r="M897" i="2" s="1"/>
  <c r="K898" i="2"/>
  <c r="L898" i="2"/>
  <c r="M898" i="2" s="1"/>
  <c r="K899" i="2"/>
  <c r="L899" i="2"/>
  <c r="M899" i="2" s="1"/>
  <c r="K900" i="2"/>
  <c r="L900" i="2"/>
  <c r="M900" i="2" s="1"/>
  <c r="K901" i="2"/>
  <c r="L901" i="2"/>
  <c r="M901" i="2" s="1"/>
  <c r="K902" i="2"/>
  <c r="L902" i="2"/>
  <c r="M902" i="2" s="1"/>
  <c r="K903" i="2"/>
  <c r="L903" i="2"/>
  <c r="M903" i="2" s="1"/>
  <c r="K904" i="2"/>
  <c r="L904" i="2"/>
  <c r="M904" i="2" s="1"/>
  <c r="K905" i="2"/>
  <c r="L905" i="2"/>
  <c r="M905" i="2" s="1"/>
  <c r="K906" i="2"/>
  <c r="L906" i="2"/>
  <c r="M906" i="2" s="1"/>
  <c r="K907" i="2"/>
  <c r="L907" i="2"/>
  <c r="M907" i="2" s="1"/>
  <c r="K908" i="2"/>
  <c r="L908" i="2"/>
  <c r="M908" i="2" s="1"/>
  <c r="K909" i="2"/>
  <c r="L909" i="2"/>
  <c r="M909" i="2" s="1"/>
  <c r="K910" i="2"/>
  <c r="L910" i="2"/>
  <c r="M910" i="2" s="1"/>
  <c r="K911" i="2"/>
  <c r="L911" i="2"/>
  <c r="M911" i="2" s="1"/>
  <c r="K912" i="2"/>
  <c r="L912" i="2"/>
  <c r="M912" i="2" s="1"/>
  <c r="K913" i="2"/>
  <c r="L913" i="2"/>
  <c r="M913" i="2" s="1"/>
  <c r="K914" i="2"/>
  <c r="L914" i="2"/>
  <c r="M914" i="2" s="1"/>
  <c r="K915" i="2"/>
  <c r="L915" i="2"/>
  <c r="M915" i="2" s="1"/>
  <c r="K916" i="2"/>
  <c r="L916" i="2"/>
  <c r="M916" i="2" s="1"/>
  <c r="K917" i="2"/>
  <c r="L917" i="2"/>
  <c r="M917" i="2" s="1"/>
  <c r="K918" i="2"/>
  <c r="L918" i="2"/>
  <c r="M918" i="2" s="1"/>
  <c r="K919" i="2"/>
  <c r="L919" i="2"/>
  <c r="M919" i="2" s="1"/>
  <c r="K920" i="2"/>
  <c r="L920" i="2"/>
  <c r="M920" i="2" s="1"/>
  <c r="K921" i="2"/>
  <c r="L921" i="2"/>
  <c r="M921" i="2" s="1"/>
  <c r="K922" i="2"/>
  <c r="L922" i="2"/>
  <c r="M922" i="2" s="1"/>
  <c r="K923" i="2"/>
  <c r="L923" i="2"/>
  <c r="M923" i="2" s="1"/>
  <c r="K924" i="2"/>
  <c r="L924" i="2"/>
  <c r="M924" i="2" s="1"/>
  <c r="K925" i="2"/>
  <c r="L925" i="2"/>
  <c r="M925" i="2" s="1"/>
  <c r="K926" i="2"/>
  <c r="L926" i="2"/>
  <c r="M926" i="2" s="1"/>
  <c r="K927" i="2"/>
  <c r="L927" i="2"/>
  <c r="M927" i="2" s="1"/>
  <c r="K928" i="2"/>
  <c r="L928" i="2"/>
  <c r="M928" i="2" s="1"/>
  <c r="K929" i="2"/>
  <c r="L929" i="2"/>
  <c r="M929" i="2" s="1"/>
  <c r="K930" i="2"/>
  <c r="L930" i="2"/>
  <c r="M930" i="2" s="1"/>
  <c r="K931" i="2"/>
  <c r="L931" i="2"/>
  <c r="M931" i="2" s="1"/>
  <c r="K932" i="2"/>
  <c r="L932" i="2"/>
  <c r="M932" i="2" s="1"/>
  <c r="K933" i="2"/>
  <c r="L933" i="2"/>
  <c r="M933" i="2" s="1"/>
  <c r="K934" i="2"/>
  <c r="L934" i="2"/>
  <c r="M934" i="2" s="1"/>
  <c r="K935" i="2"/>
  <c r="L935" i="2"/>
  <c r="M935" i="2" s="1"/>
  <c r="K936" i="2"/>
  <c r="L936" i="2"/>
  <c r="M936" i="2" s="1"/>
  <c r="K937" i="2"/>
  <c r="L937" i="2"/>
  <c r="M937" i="2" s="1"/>
  <c r="K938" i="2"/>
  <c r="L938" i="2"/>
  <c r="M938" i="2" s="1"/>
  <c r="K939" i="2"/>
  <c r="L939" i="2"/>
  <c r="M939" i="2" s="1"/>
  <c r="K940" i="2"/>
  <c r="L940" i="2"/>
  <c r="M940" i="2" s="1"/>
  <c r="K941" i="2"/>
  <c r="L941" i="2"/>
  <c r="M941" i="2" s="1"/>
  <c r="K942" i="2"/>
  <c r="L942" i="2"/>
  <c r="M942" i="2" s="1"/>
  <c r="K943" i="2"/>
  <c r="L943" i="2"/>
  <c r="M943" i="2" s="1"/>
  <c r="K944" i="2"/>
  <c r="L944" i="2"/>
  <c r="M944" i="2" s="1"/>
  <c r="K945" i="2"/>
  <c r="L945" i="2"/>
  <c r="M945" i="2" s="1"/>
  <c r="K946" i="2"/>
  <c r="L946" i="2"/>
  <c r="M946" i="2" s="1"/>
  <c r="K947" i="2"/>
  <c r="L947" i="2"/>
  <c r="M947" i="2" s="1"/>
  <c r="K948" i="2"/>
  <c r="L948" i="2"/>
  <c r="M948" i="2" s="1"/>
  <c r="K949" i="2"/>
  <c r="L949" i="2"/>
  <c r="M949" i="2" s="1"/>
  <c r="K950" i="2"/>
  <c r="L950" i="2"/>
  <c r="M950" i="2" s="1"/>
  <c r="K951" i="2"/>
  <c r="L951" i="2"/>
  <c r="M951" i="2" s="1"/>
  <c r="K952" i="2"/>
  <c r="L952" i="2"/>
  <c r="M952" i="2" s="1"/>
  <c r="K953" i="2"/>
  <c r="L953" i="2"/>
  <c r="M953" i="2" s="1"/>
  <c r="K954" i="2"/>
  <c r="L954" i="2"/>
  <c r="M954" i="2" s="1"/>
  <c r="K955" i="2"/>
  <c r="L955" i="2"/>
  <c r="M955" i="2" s="1"/>
  <c r="K956" i="2"/>
  <c r="L956" i="2"/>
  <c r="M956" i="2" s="1"/>
  <c r="K957" i="2"/>
  <c r="L957" i="2"/>
  <c r="M957" i="2" s="1"/>
  <c r="K958" i="2"/>
  <c r="L958" i="2"/>
  <c r="M958" i="2" s="1"/>
  <c r="K959" i="2"/>
  <c r="L959" i="2"/>
  <c r="M959" i="2" s="1"/>
  <c r="K960" i="2"/>
  <c r="L960" i="2"/>
  <c r="M960" i="2" s="1"/>
  <c r="K961" i="2"/>
  <c r="L961" i="2"/>
  <c r="M961" i="2" s="1"/>
  <c r="K962" i="2"/>
  <c r="L962" i="2"/>
  <c r="M962" i="2" s="1"/>
  <c r="K963" i="2"/>
  <c r="L963" i="2"/>
  <c r="M963" i="2" s="1"/>
  <c r="K964" i="2"/>
  <c r="L964" i="2"/>
  <c r="M964" i="2" s="1"/>
  <c r="K965" i="2"/>
  <c r="L965" i="2"/>
  <c r="M965" i="2" s="1"/>
  <c r="K966" i="2"/>
  <c r="L966" i="2"/>
  <c r="M966" i="2" s="1"/>
  <c r="K967" i="2"/>
  <c r="L967" i="2"/>
  <c r="M967" i="2" s="1"/>
  <c r="K968" i="2"/>
  <c r="L968" i="2"/>
  <c r="M968" i="2" s="1"/>
  <c r="K969" i="2"/>
  <c r="L969" i="2"/>
  <c r="M969" i="2" s="1"/>
  <c r="K970" i="2"/>
  <c r="L970" i="2"/>
  <c r="M970" i="2" s="1"/>
  <c r="K971" i="2"/>
  <c r="L971" i="2"/>
  <c r="M971" i="2" s="1"/>
  <c r="K972" i="2"/>
  <c r="L972" i="2"/>
  <c r="M972" i="2" s="1"/>
  <c r="K973" i="2"/>
  <c r="L973" i="2"/>
  <c r="M973" i="2" s="1"/>
  <c r="K974" i="2"/>
  <c r="L974" i="2"/>
  <c r="M974" i="2" s="1"/>
  <c r="K975" i="2"/>
  <c r="L975" i="2"/>
  <c r="M975" i="2" s="1"/>
  <c r="K976" i="2"/>
  <c r="L976" i="2"/>
  <c r="M976" i="2" s="1"/>
  <c r="K977" i="2"/>
  <c r="L977" i="2"/>
  <c r="M977" i="2" s="1"/>
  <c r="K978" i="2"/>
  <c r="L978" i="2"/>
  <c r="M978" i="2" s="1"/>
  <c r="K979" i="2"/>
  <c r="L979" i="2"/>
  <c r="M979" i="2" s="1"/>
  <c r="K980" i="2"/>
  <c r="L980" i="2"/>
  <c r="M980" i="2" s="1"/>
  <c r="K981" i="2"/>
  <c r="L981" i="2"/>
  <c r="M981" i="2" s="1"/>
  <c r="K982" i="2"/>
  <c r="L982" i="2"/>
  <c r="M982" i="2" s="1"/>
  <c r="K983" i="2"/>
  <c r="L983" i="2"/>
  <c r="M983" i="2" s="1"/>
  <c r="K984" i="2"/>
  <c r="L984" i="2"/>
  <c r="M984" i="2" s="1"/>
  <c r="K985" i="2"/>
  <c r="L985" i="2"/>
  <c r="M985" i="2" s="1"/>
  <c r="K986" i="2"/>
  <c r="L986" i="2"/>
  <c r="M986" i="2" s="1"/>
  <c r="K987" i="2"/>
  <c r="L987" i="2"/>
  <c r="M987" i="2" s="1"/>
  <c r="K988" i="2"/>
  <c r="L988" i="2"/>
  <c r="M988" i="2" s="1"/>
  <c r="K989" i="2"/>
  <c r="L989" i="2"/>
  <c r="M989" i="2" s="1"/>
  <c r="K990" i="2"/>
  <c r="L990" i="2"/>
  <c r="M990" i="2" s="1"/>
  <c r="K991" i="2"/>
  <c r="L991" i="2"/>
  <c r="M991" i="2" s="1"/>
  <c r="K992" i="2"/>
  <c r="L992" i="2"/>
  <c r="M992" i="2" s="1"/>
  <c r="K993" i="2"/>
  <c r="L993" i="2"/>
  <c r="M993" i="2" s="1"/>
  <c r="K994" i="2"/>
  <c r="L994" i="2"/>
  <c r="M994" i="2" s="1"/>
  <c r="K995" i="2"/>
  <c r="L995" i="2"/>
  <c r="M995" i="2" s="1"/>
  <c r="K996" i="2"/>
  <c r="L996" i="2"/>
  <c r="M996" i="2" s="1"/>
  <c r="K997" i="2"/>
  <c r="L997" i="2"/>
  <c r="M997" i="2" s="1"/>
  <c r="K998" i="2"/>
  <c r="L998" i="2"/>
  <c r="M998" i="2" s="1"/>
  <c r="K999" i="2"/>
  <c r="L999" i="2"/>
  <c r="M999" i="2" s="1"/>
  <c r="K1000" i="2"/>
  <c r="L1000" i="2"/>
  <c r="M1000" i="2" s="1"/>
  <c r="L3" i="2"/>
  <c r="K3" i="2"/>
  <c r="U3" i="1"/>
  <c r="V3" i="1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L3" i="3"/>
  <c r="D4" i="2"/>
  <c r="E4" i="2"/>
  <c r="F4" i="2"/>
  <c r="I4" i="2"/>
  <c r="J4" i="2"/>
  <c r="D5" i="2"/>
  <c r="F5" i="2"/>
  <c r="I5" i="2"/>
  <c r="J5" i="2"/>
  <c r="D6" i="2"/>
  <c r="E6" i="2"/>
  <c r="F6" i="2"/>
  <c r="I6" i="2"/>
  <c r="J6" i="2"/>
  <c r="D7" i="2"/>
  <c r="E7" i="2"/>
  <c r="F7" i="2"/>
  <c r="I7" i="2"/>
  <c r="J7" i="2"/>
  <c r="D8" i="2"/>
  <c r="E8" i="2"/>
  <c r="F8" i="2"/>
  <c r="I8" i="2"/>
  <c r="J8" i="2"/>
  <c r="D9" i="2"/>
  <c r="E9" i="2"/>
  <c r="F9" i="2"/>
  <c r="I9" i="2"/>
  <c r="J9" i="2"/>
  <c r="D10" i="2"/>
  <c r="E10" i="2"/>
  <c r="F10" i="2"/>
  <c r="I10" i="2"/>
  <c r="J10" i="2"/>
  <c r="D11" i="2"/>
  <c r="E11" i="2"/>
  <c r="F11" i="2"/>
  <c r="I11" i="2"/>
  <c r="J11" i="2"/>
  <c r="D12" i="2"/>
  <c r="E12" i="2"/>
  <c r="F12" i="2"/>
  <c r="I12" i="2"/>
  <c r="J12" i="2"/>
  <c r="D13" i="2"/>
  <c r="E13" i="2"/>
  <c r="F13" i="2"/>
  <c r="I13" i="2"/>
  <c r="J13" i="2"/>
  <c r="D14" i="2"/>
  <c r="E14" i="2"/>
  <c r="F14" i="2"/>
  <c r="I14" i="2"/>
  <c r="J14" i="2"/>
  <c r="D15" i="2"/>
  <c r="E15" i="2"/>
  <c r="F15" i="2"/>
  <c r="I15" i="2"/>
  <c r="J15" i="2"/>
  <c r="D16" i="2"/>
  <c r="E16" i="2"/>
  <c r="F16" i="2"/>
  <c r="I16" i="2"/>
  <c r="J16" i="2"/>
  <c r="D17" i="2"/>
  <c r="F17" i="2"/>
  <c r="I17" i="2"/>
  <c r="J17" i="2"/>
  <c r="D18" i="2"/>
  <c r="E18" i="2"/>
  <c r="F18" i="2"/>
  <c r="I18" i="2"/>
  <c r="J18" i="2"/>
  <c r="D19" i="2"/>
  <c r="E19" i="2"/>
  <c r="I19" i="2"/>
  <c r="J19" i="2"/>
  <c r="D20" i="2"/>
  <c r="F20" i="2"/>
  <c r="I20" i="2"/>
  <c r="J20" i="2"/>
  <c r="D21" i="2"/>
  <c r="E21" i="2"/>
  <c r="F21" i="2"/>
  <c r="I21" i="2"/>
  <c r="J21" i="2"/>
  <c r="D22" i="2"/>
  <c r="E22" i="2"/>
  <c r="F22" i="2"/>
  <c r="I22" i="2"/>
  <c r="J22" i="2"/>
  <c r="D23" i="2"/>
  <c r="E23" i="2"/>
  <c r="F23" i="2"/>
  <c r="I23" i="2"/>
  <c r="J23" i="2"/>
  <c r="D24" i="2"/>
  <c r="E24" i="2"/>
  <c r="F24" i="2"/>
  <c r="I24" i="2"/>
  <c r="J24" i="2"/>
  <c r="D25" i="2"/>
  <c r="E25" i="2"/>
  <c r="F25" i="2"/>
  <c r="I25" i="2"/>
  <c r="J25" i="2"/>
  <c r="D26" i="2"/>
  <c r="E26" i="2"/>
  <c r="F26" i="2"/>
  <c r="I26" i="2"/>
  <c r="J26" i="2"/>
  <c r="D27" i="2"/>
  <c r="E27" i="2"/>
  <c r="F27" i="2"/>
  <c r="I27" i="2"/>
  <c r="J27" i="2"/>
  <c r="D28" i="2"/>
  <c r="E28" i="2"/>
  <c r="F28" i="2"/>
  <c r="I28" i="2"/>
  <c r="J28" i="2"/>
  <c r="E29" i="2"/>
  <c r="F29" i="2"/>
  <c r="I29" i="2"/>
  <c r="J29" i="2"/>
  <c r="D30" i="2"/>
  <c r="E30" i="2"/>
  <c r="F30" i="2"/>
  <c r="I30" i="2"/>
  <c r="J30" i="2"/>
  <c r="D31" i="2"/>
  <c r="E31" i="2"/>
  <c r="F31" i="2"/>
  <c r="I31" i="2"/>
  <c r="J31" i="2"/>
  <c r="D32" i="2"/>
  <c r="E32" i="2"/>
  <c r="F32" i="2"/>
  <c r="I32" i="2"/>
  <c r="J32" i="2"/>
  <c r="D33" i="2"/>
  <c r="E33" i="2"/>
  <c r="F33" i="2"/>
  <c r="I33" i="2"/>
  <c r="J33" i="2"/>
  <c r="D34" i="2"/>
  <c r="E34" i="2"/>
  <c r="F34" i="2"/>
  <c r="I34" i="2"/>
  <c r="J34" i="2"/>
  <c r="D35" i="2"/>
  <c r="E35" i="2"/>
  <c r="F35" i="2"/>
  <c r="I35" i="2"/>
  <c r="J35" i="2"/>
  <c r="D36" i="2"/>
  <c r="E36" i="2"/>
  <c r="F36" i="2"/>
  <c r="I36" i="2"/>
  <c r="J36" i="2"/>
  <c r="E37" i="2"/>
  <c r="I37" i="2"/>
  <c r="J37" i="2"/>
  <c r="D38" i="2"/>
  <c r="E38" i="2"/>
  <c r="I38" i="2"/>
  <c r="J38" i="2"/>
  <c r="D39" i="2"/>
  <c r="E39" i="2"/>
  <c r="I39" i="2"/>
  <c r="J39" i="2"/>
  <c r="D40" i="2"/>
  <c r="E40" i="2"/>
  <c r="I40" i="2"/>
  <c r="J40" i="2"/>
  <c r="D41" i="2"/>
  <c r="E41" i="2"/>
  <c r="I41" i="2"/>
  <c r="J41" i="2"/>
  <c r="D42" i="2"/>
  <c r="E42" i="2"/>
  <c r="I42" i="2"/>
  <c r="J42" i="2"/>
  <c r="D43" i="2"/>
  <c r="E43" i="2"/>
  <c r="I43" i="2"/>
  <c r="J43" i="2"/>
  <c r="D44" i="2"/>
  <c r="E44" i="2"/>
  <c r="I44" i="2"/>
  <c r="J44" i="2"/>
  <c r="D45" i="2"/>
  <c r="E45" i="2"/>
  <c r="I45" i="2"/>
  <c r="J45" i="2"/>
  <c r="D46" i="2"/>
  <c r="E46" i="2"/>
  <c r="I46" i="2"/>
  <c r="J46" i="2"/>
  <c r="D47" i="2"/>
  <c r="E47" i="2"/>
  <c r="I47" i="2"/>
  <c r="J47" i="2"/>
  <c r="D48" i="2"/>
  <c r="E48" i="2"/>
  <c r="I48" i="2"/>
  <c r="J48" i="2"/>
  <c r="D49" i="2"/>
  <c r="E49" i="2"/>
  <c r="I49" i="2"/>
  <c r="J49" i="2"/>
  <c r="D50" i="2"/>
  <c r="E50" i="2"/>
  <c r="I50" i="2"/>
  <c r="J50" i="2"/>
  <c r="D51" i="2"/>
  <c r="E51" i="2"/>
  <c r="I51" i="2"/>
  <c r="J51" i="2"/>
  <c r="D52" i="2"/>
  <c r="E52" i="2"/>
  <c r="I52" i="2"/>
  <c r="J52" i="2"/>
  <c r="D53" i="2"/>
  <c r="E53" i="2"/>
  <c r="I53" i="2"/>
  <c r="J53" i="2"/>
  <c r="D54" i="2"/>
  <c r="E54" i="2"/>
  <c r="I54" i="2"/>
  <c r="J54" i="2"/>
  <c r="D55" i="2"/>
  <c r="E55" i="2"/>
  <c r="I55" i="2"/>
  <c r="J55" i="2"/>
  <c r="D56" i="2"/>
  <c r="E56" i="2"/>
  <c r="I56" i="2"/>
  <c r="J56" i="2"/>
  <c r="D57" i="2"/>
  <c r="N57" i="2" s="1"/>
  <c r="E57" i="2"/>
  <c r="I57" i="2"/>
  <c r="J57" i="2"/>
  <c r="D58" i="2"/>
  <c r="N58" i="2" s="1"/>
  <c r="E58" i="2"/>
  <c r="I58" i="2"/>
  <c r="J58" i="2"/>
  <c r="D59" i="2"/>
  <c r="N59" i="2" s="1"/>
  <c r="E59" i="2"/>
  <c r="I59" i="2"/>
  <c r="J59" i="2"/>
  <c r="D60" i="2"/>
  <c r="N60" i="2" s="1"/>
  <c r="E60" i="2"/>
  <c r="I60" i="2"/>
  <c r="J60" i="2"/>
  <c r="D61" i="2"/>
  <c r="N61" i="2" s="1"/>
  <c r="E61" i="2"/>
  <c r="I61" i="2"/>
  <c r="J61" i="2"/>
  <c r="D62" i="2"/>
  <c r="N62" i="2" s="1"/>
  <c r="E62" i="2"/>
  <c r="I62" i="2"/>
  <c r="J62" i="2"/>
  <c r="D63" i="2"/>
  <c r="N63" i="2" s="1"/>
  <c r="E63" i="2"/>
  <c r="I63" i="2"/>
  <c r="J63" i="2"/>
  <c r="D64" i="2"/>
  <c r="N64" i="2" s="1"/>
  <c r="E64" i="2"/>
  <c r="I64" i="2"/>
  <c r="J64" i="2"/>
  <c r="D65" i="2"/>
  <c r="N65" i="2" s="1"/>
  <c r="E65" i="2"/>
  <c r="I65" i="2"/>
  <c r="J65" i="2"/>
  <c r="D66" i="2"/>
  <c r="N66" i="2" s="1"/>
  <c r="E66" i="2"/>
  <c r="I66" i="2"/>
  <c r="J66" i="2"/>
  <c r="D67" i="2"/>
  <c r="N67" i="2" s="1"/>
  <c r="E67" i="2"/>
  <c r="I67" i="2"/>
  <c r="J67" i="2"/>
  <c r="D68" i="2"/>
  <c r="N68" i="2" s="1"/>
  <c r="E68" i="2"/>
  <c r="I68" i="2"/>
  <c r="J68" i="2"/>
  <c r="D69" i="2"/>
  <c r="N69" i="2" s="1"/>
  <c r="E69" i="2"/>
  <c r="I69" i="2"/>
  <c r="J69" i="2"/>
  <c r="D70" i="2"/>
  <c r="N70" i="2" s="1"/>
  <c r="E70" i="2"/>
  <c r="I70" i="2"/>
  <c r="J70" i="2"/>
  <c r="D71" i="2"/>
  <c r="N71" i="2" s="1"/>
  <c r="E71" i="2"/>
  <c r="I71" i="2"/>
  <c r="J71" i="2"/>
  <c r="D72" i="2"/>
  <c r="N72" i="2" s="1"/>
  <c r="E72" i="2"/>
  <c r="I72" i="2"/>
  <c r="J72" i="2"/>
  <c r="D73" i="2"/>
  <c r="N73" i="2" s="1"/>
  <c r="E73" i="2"/>
  <c r="I73" i="2"/>
  <c r="J73" i="2"/>
  <c r="D74" i="2"/>
  <c r="N74" i="2" s="1"/>
  <c r="E74" i="2"/>
  <c r="I74" i="2"/>
  <c r="J74" i="2"/>
  <c r="D75" i="2"/>
  <c r="N75" i="2" s="1"/>
  <c r="E75" i="2"/>
  <c r="I75" i="2"/>
  <c r="J75" i="2"/>
  <c r="D76" i="2"/>
  <c r="N76" i="2" s="1"/>
  <c r="E76" i="2"/>
  <c r="I76" i="2"/>
  <c r="J76" i="2"/>
  <c r="D77" i="2"/>
  <c r="N77" i="2" s="1"/>
  <c r="E77" i="2"/>
  <c r="I77" i="2"/>
  <c r="J77" i="2"/>
  <c r="D78" i="2"/>
  <c r="N78" i="2" s="1"/>
  <c r="E78" i="2"/>
  <c r="I78" i="2"/>
  <c r="J78" i="2"/>
  <c r="D79" i="2"/>
  <c r="N79" i="2" s="1"/>
  <c r="E79" i="2"/>
  <c r="I79" i="2"/>
  <c r="J79" i="2"/>
  <c r="D80" i="2"/>
  <c r="N80" i="2" s="1"/>
  <c r="E80" i="2"/>
  <c r="I80" i="2"/>
  <c r="J80" i="2"/>
  <c r="D81" i="2"/>
  <c r="N81" i="2" s="1"/>
  <c r="E81" i="2"/>
  <c r="I81" i="2"/>
  <c r="J81" i="2"/>
  <c r="D82" i="2"/>
  <c r="N82" i="2" s="1"/>
  <c r="E82" i="2"/>
  <c r="I82" i="2"/>
  <c r="J82" i="2"/>
  <c r="D83" i="2"/>
  <c r="N83" i="2" s="1"/>
  <c r="E83" i="2"/>
  <c r="I83" i="2"/>
  <c r="J83" i="2"/>
  <c r="D84" i="2"/>
  <c r="N84" i="2" s="1"/>
  <c r="E84" i="2"/>
  <c r="I84" i="2"/>
  <c r="J84" i="2"/>
  <c r="D85" i="2"/>
  <c r="N85" i="2" s="1"/>
  <c r="E85" i="2"/>
  <c r="I85" i="2"/>
  <c r="J85" i="2"/>
  <c r="D86" i="2"/>
  <c r="N86" i="2" s="1"/>
  <c r="E86" i="2"/>
  <c r="I86" i="2"/>
  <c r="J86" i="2"/>
  <c r="D87" i="2"/>
  <c r="N87" i="2" s="1"/>
  <c r="E87" i="2"/>
  <c r="I87" i="2"/>
  <c r="J87" i="2"/>
  <c r="D88" i="2"/>
  <c r="N88" i="2" s="1"/>
  <c r="E88" i="2"/>
  <c r="I88" i="2"/>
  <c r="J88" i="2"/>
  <c r="D89" i="2"/>
  <c r="N89" i="2" s="1"/>
  <c r="E89" i="2"/>
  <c r="I89" i="2"/>
  <c r="J89" i="2"/>
  <c r="D90" i="2"/>
  <c r="N90" i="2" s="1"/>
  <c r="E90" i="2"/>
  <c r="I90" i="2"/>
  <c r="J90" i="2"/>
  <c r="D91" i="2"/>
  <c r="N91" i="2" s="1"/>
  <c r="E91" i="2"/>
  <c r="I91" i="2"/>
  <c r="J91" i="2"/>
  <c r="D92" i="2"/>
  <c r="N92" i="2" s="1"/>
  <c r="E92" i="2"/>
  <c r="I92" i="2"/>
  <c r="J92" i="2"/>
  <c r="D93" i="2"/>
  <c r="N93" i="2" s="1"/>
  <c r="E93" i="2"/>
  <c r="I93" i="2"/>
  <c r="J93" i="2"/>
  <c r="D94" i="2"/>
  <c r="N94" i="2" s="1"/>
  <c r="E94" i="2"/>
  <c r="I94" i="2"/>
  <c r="J94" i="2"/>
  <c r="D95" i="2"/>
  <c r="N95" i="2" s="1"/>
  <c r="E95" i="2"/>
  <c r="I95" i="2"/>
  <c r="J95" i="2"/>
  <c r="D96" i="2"/>
  <c r="N96" i="2" s="1"/>
  <c r="E96" i="2"/>
  <c r="I96" i="2"/>
  <c r="J96" i="2"/>
  <c r="D97" i="2"/>
  <c r="N97" i="2" s="1"/>
  <c r="E97" i="2"/>
  <c r="I97" i="2"/>
  <c r="J97" i="2"/>
  <c r="D98" i="2"/>
  <c r="N98" i="2" s="1"/>
  <c r="E98" i="2"/>
  <c r="I98" i="2"/>
  <c r="J98" i="2"/>
  <c r="D99" i="2"/>
  <c r="N99" i="2" s="1"/>
  <c r="E99" i="2"/>
  <c r="I99" i="2"/>
  <c r="J99" i="2"/>
  <c r="D100" i="2"/>
  <c r="N100" i="2" s="1"/>
  <c r="E100" i="2"/>
  <c r="I100" i="2"/>
  <c r="J100" i="2"/>
  <c r="D101" i="2"/>
  <c r="E101" i="2"/>
  <c r="I101" i="2"/>
  <c r="J101" i="2"/>
  <c r="N101" i="2"/>
  <c r="O101" i="2"/>
  <c r="D102" i="2"/>
  <c r="E102" i="2"/>
  <c r="I102" i="2"/>
  <c r="J102" i="2"/>
  <c r="N102" i="2"/>
  <c r="O102" i="2"/>
  <c r="D103" i="2"/>
  <c r="E103" i="2"/>
  <c r="I103" i="2"/>
  <c r="J103" i="2"/>
  <c r="N103" i="2"/>
  <c r="O103" i="2"/>
  <c r="D104" i="2"/>
  <c r="E104" i="2"/>
  <c r="I104" i="2"/>
  <c r="J104" i="2"/>
  <c r="N104" i="2"/>
  <c r="O104" i="2"/>
  <c r="D105" i="2"/>
  <c r="E105" i="2"/>
  <c r="I105" i="2"/>
  <c r="J105" i="2"/>
  <c r="N105" i="2"/>
  <c r="O105" i="2"/>
  <c r="D106" i="2"/>
  <c r="E106" i="2"/>
  <c r="I106" i="2"/>
  <c r="J106" i="2"/>
  <c r="N106" i="2"/>
  <c r="O106" i="2"/>
  <c r="D107" i="2"/>
  <c r="E107" i="2"/>
  <c r="I107" i="2"/>
  <c r="J107" i="2"/>
  <c r="N107" i="2"/>
  <c r="O107" i="2"/>
  <c r="D108" i="2"/>
  <c r="E108" i="2"/>
  <c r="I108" i="2"/>
  <c r="J108" i="2"/>
  <c r="N108" i="2"/>
  <c r="O108" i="2"/>
  <c r="D109" i="2"/>
  <c r="E109" i="2"/>
  <c r="I109" i="2"/>
  <c r="J109" i="2"/>
  <c r="N109" i="2"/>
  <c r="O109" i="2"/>
  <c r="D110" i="2"/>
  <c r="E110" i="2"/>
  <c r="I110" i="2"/>
  <c r="J110" i="2"/>
  <c r="N110" i="2"/>
  <c r="O110" i="2"/>
  <c r="D111" i="2"/>
  <c r="E111" i="2"/>
  <c r="I111" i="2"/>
  <c r="J111" i="2"/>
  <c r="N111" i="2"/>
  <c r="O111" i="2"/>
  <c r="D112" i="2"/>
  <c r="E112" i="2"/>
  <c r="I112" i="2"/>
  <c r="J112" i="2"/>
  <c r="N112" i="2"/>
  <c r="O112" i="2"/>
  <c r="D113" i="2"/>
  <c r="E113" i="2"/>
  <c r="I113" i="2"/>
  <c r="J113" i="2"/>
  <c r="N113" i="2"/>
  <c r="O113" i="2"/>
  <c r="D114" i="2"/>
  <c r="E114" i="2"/>
  <c r="I114" i="2"/>
  <c r="J114" i="2"/>
  <c r="N114" i="2"/>
  <c r="O114" i="2"/>
  <c r="D115" i="2"/>
  <c r="E115" i="2"/>
  <c r="I115" i="2"/>
  <c r="J115" i="2"/>
  <c r="N115" i="2"/>
  <c r="O115" i="2"/>
  <c r="D116" i="2"/>
  <c r="E116" i="2"/>
  <c r="I116" i="2"/>
  <c r="J116" i="2"/>
  <c r="N116" i="2"/>
  <c r="O116" i="2"/>
  <c r="D117" i="2"/>
  <c r="E117" i="2"/>
  <c r="I117" i="2"/>
  <c r="J117" i="2"/>
  <c r="N117" i="2"/>
  <c r="O117" i="2"/>
  <c r="D118" i="2"/>
  <c r="E118" i="2"/>
  <c r="I118" i="2"/>
  <c r="J118" i="2"/>
  <c r="N118" i="2"/>
  <c r="O118" i="2"/>
  <c r="D119" i="2"/>
  <c r="E119" i="2"/>
  <c r="I119" i="2"/>
  <c r="J119" i="2"/>
  <c r="N119" i="2"/>
  <c r="O119" i="2"/>
  <c r="D120" i="2"/>
  <c r="E120" i="2"/>
  <c r="I120" i="2"/>
  <c r="J120" i="2"/>
  <c r="N120" i="2"/>
  <c r="O120" i="2"/>
  <c r="D121" i="2"/>
  <c r="E121" i="2"/>
  <c r="I121" i="2"/>
  <c r="J121" i="2"/>
  <c r="N121" i="2"/>
  <c r="O121" i="2"/>
  <c r="D122" i="2"/>
  <c r="E122" i="2"/>
  <c r="I122" i="2"/>
  <c r="J122" i="2"/>
  <c r="N122" i="2"/>
  <c r="O122" i="2"/>
  <c r="D123" i="2"/>
  <c r="E123" i="2"/>
  <c r="I123" i="2"/>
  <c r="J123" i="2"/>
  <c r="N123" i="2"/>
  <c r="O123" i="2"/>
  <c r="D124" i="2"/>
  <c r="E124" i="2"/>
  <c r="I124" i="2"/>
  <c r="J124" i="2"/>
  <c r="N124" i="2"/>
  <c r="O124" i="2"/>
  <c r="D125" i="2"/>
  <c r="E125" i="2"/>
  <c r="I125" i="2"/>
  <c r="J125" i="2"/>
  <c r="N125" i="2"/>
  <c r="O125" i="2"/>
  <c r="D126" i="2"/>
  <c r="E126" i="2"/>
  <c r="I126" i="2"/>
  <c r="J126" i="2"/>
  <c r="N126" i="2"/>
  <c r="O126" i="2"/>
  <c r="D127" i="2"/>
  <c r="E127" i="2"/>
  <c r="I127" i="2"/>
  <c r="J127" i="2"/>
  <c r="N127" i="2"/>
  <c r="O127" i="2"/>
  <c r="D128" i="2"/>
  <c r="E128" i="2"/>
  <c r="I128" i="2"/>
  <c r="J128" i="2"/>
  <c r="N128" i="2"/>
  <c r="O128" i="2"/>
  <c r="D129" i="2"/>
  <c r="E129" i="2"/>
  <c r="I129" i="2"/>
  <c r="J129" i="2"/>
  <c r="N129" i="2"/>
  <c r="O129" i="2"/>
  <c r="D130" i="2"/>
  <c r="E130" i="2"/>
  <c r="I130" i="2"/>
  <c r="J130" i="2"/>
  <c r="N130" i="2"/>
  <c r="O130" i="2"/>
  <c r="D131" i="2"/>
  <c r="E131" i="2"/>
  <c r="I131" i="2"/>
  <c r="J131" i="2"/>
  <c r="N131" i="2"/>
  <c r="O131" i="2"/>
  <c r="D132" i="2"/>
  <c r="E132" i="2"/>
  <c r="I132" i="2"/>
  <c r="J132" i="2"/>
  <c r="N132" i="2"/>
  <c r="O132" i="2"/>
  <c r="D133" i="2"/>
  <c r="E133" i="2"/>
  <c r="I133" i="2"/>
  <c r="J133" i="2"/>
  <c r="N133" i="2"/>
  <c r="O133" i="2"/>
  <c r="D134" i="2"/>
  <c r="E134" i="2"/>
  <c r="I134" i="2"/>
  <c r="J134" i="2"/>
  <c r="N134" i="2"/>
  <c r="O134" i="2"/>
  <c r="D135" i="2"/>
  <c r="E135" i="2"/>
  <c r="I135" i="2"/>
  <c r="J135" i="2"/>
  <c r="N135" i="2"/>
  <c r="O135" i="2"/>
  <c r="D136" i="2"/>
  <c r="E136" i="2"/>
  <c r="I136" i="2"/>
  <c r="J136" i="2"/>
  <c r="N136" i="2"/>
  <c r="O136" i="2"/>
  <c r="D137" i="2"/>
  <c r="E137" i="2"/>
  <c r="I137" i="2"/>
  <c r="J137" i="2"/>
  <c r="N137" i="2"/>
  <c r="O137" i="2"/>
  <c r="D138" i="2"/>
  <c r="E138" i="2"/>
  <c r="I138" i="2"/>
  <c r="J138" i="2"/>
  <c r="N138" i="2"/>
  <c r="O138" i="2"/>
  <c r="D139" i="2"/>
  <c r="E139" i="2"/>
  <c r="I139" i="2"/>
  <c r="J139" i="2"/>
  <c r="N139" i="2"/>
  <c r="O139" i="2"/>
  <c r="D140" i="2"/>
  <c r="E140" i="2"/>
  <c r="I140" i="2"/>
  <c r="J140" i="2"/>
  <c r="N140" i="2"/>
  <c r="O140" i="2"/>
  <c r="D141" i="2"/>
  <c r="E141" i="2"/>
  <c r="I141" i="2"/>
  <c r="J141" i="2"/>
  <c r="N141" i="2"/>
  <c r="O141" i="2"/>
  <c r="D142" i="2"/>
  <c r="E142" i="2"/>
  <c r="I142" i="2"/>
  <c r="J142" i="2"/>
  <c r="N142" i="2"/>
  <c r="O142" i="2"/>
  <c r="D143" i="2"/>
  <c r="E143" i="2"/>
  <c r="I143" i="2"/>
  <c r="J143" i="2"/>
  <c r="N143" i="2"/>
  <c r="O143" i="2"/>
  <c r="D144" i="2"/>
  <c r="E144" i="2"/>
  <c r="I144" i="2"/>
  <c r="J144" i="2"/>
  <c r="N144" i="2"/>
  <c r="O144" i="2"/>
  <c r="D145" i="2"/>
  <c r="E145" i="2"/>
  <c r="I145" i="2"/>
  <c r="J145" i="2"/>
  <c r="N145" i="2"/>
  <c r="O145" i="2"/>
  <c r="D146" i="2"/>
  <c r="E146" i="2"/>
  <c r="I146" i="2"/>
  <c r="J146" i="2"/>
  <c r="N146" i="2"/>
  <c r="O146" i="2"/>
  <c r="D147" i="2"/>
  <c r="E147" i="2"/>
  <c r="I147" i="2"/>
  <c r="J147" i="2"/>
  <c r="N147" i="2"/>
  <c r="O147" i="2"/>
  <c r="D148" i="2"/>
  <c r="E148" i="2"/>
  <c r="I148" i="2"/>
  <c r="J148" i="2"/>
  <c r="N148" i="2"/>
  <c r="O148" i="2"/>
  <c r="D149" i="2"/>
  <c r="E149" i="2"/>
  <c r="I149" i="2"/>
  <c r="J149" i="2"/>
  <c r="N149" i="2"/>
  <c r="O149" i="2"/>
  <c r="D150" i="2"/>
  <c r="E150" i="2"/>
  <c r="I150" i="2"/>
  <c r="J150" i="2"/>
  <c r="N150" i="2"/>
  <c r="O150" i="2"/>
  <c r="D151" i="2"/>
  <c r="E151" i="2"/>
  <c r="I151" i="2"/>
  <c r="J151" i="2"/>
  <c r="N151" i="2"/>
  <c r="O151" i="2"/>
  <c r="D152" i="2"/>
  <c r="E152" i="2"/>
  <c r="I152" i="2"/>
  <c r="J152" i="2"/>
  <c r="N152" i="2"/>
  <c r="O152" i="2"/>
  <c r="D153" i="2"/>
  <c r="E153" i="2"/>
  <c r="I153" i="2"/>
  <c r="J153" i="2"/>
  <c r="N153" i="2"/>
  <c r="O153" i="2"/>
  <c r="D154" i="2"/>
  <c r="E154" i="2"/>
  <c r="I154" i="2"/>
  <c r="J154" i="2"/>
  <c r="N154" i="2"/>
  <c r="O154" i="2"/>
  <c r="D155" i="2"/>
  <c r="E155" i="2"/>
  <c r="I155" i="2"/>
  <c r="J155" i="2"/>
  <c r="N155" i="2"/>
  <c r="O155" i="2"/>
  <c r="D156" i="2"/>
  <c r="E156" i="2"/>
  <c r="I156" i="2"/>
  <c r="J156" i="2"/>
  <c r="N156" i="2"/>
  <c r="O156" i="2"/>
  <c r="D157" i="2"/>
  <c r="E157" i="2"/>
  <c r="I157" i="2"/>
  <c r="J157" i="2"/>
  <c r="N157" i="2"/>
  <c r="O157" i="2"/>
  <c r="D158" i="2"/>
  <c r="E158" i="2"/>
  <c r="I158" i="2"/>
  <c r="J158" i="2"/>
  <c r="N158" i="2"/>
  <c r="O158" i="2"/>
  <c r="D159" i="2"/>
  <c r="E159" i="2"/>
  <c r="I159" i="2"/>
  <c r="J159" i="2"/>
  <c r="N159" i="2"/>
  <c r="O159" i="2"/>
  <c r="D160" i="2"/>
  <c r="E160" i="2"/>
  <c r="I160" i="2"/>
  <c r="J160" i="2"/>
  <c r="N160" i="2"/>
  <c r="O160" i="2"/>
  <c r="D161" i="2"/>
  <c r="E161" i="2"/>
  <c r="I161" i="2"/>
  <c r="J161" i="2"/>
  <c r="N161" i="2"/>
  <c r="O161" i="2"/>
  <c r="D162" i="2"/>
  <c r="E162" i="2"/>
  <c r="I162" i="2"/>
  <c r="J162" i="2"/>
  <c r="N162" i="2"/>
  <c r="O162" i="2"/>
  <c r="D163" i="2"/>
  <c r="E163" i="2"/>
  <c r="I163" i="2"/>
  <c r="J163" i="2"/>
  <c r="N163" i="2"/>
  <c r="O163" i="2"/>
  <c r="D164" i="2"/>
  <c r="E164" i="2"/>
  <c r="I164" i="2"/>
  <c r="J164" i="2"/>
  <c r="N164" i="2"/>
  <c r="O164" i="2"/>
  <c r="D165" i="2"/>
  <c r="E165" i="2"/>
  <c r="I165" i="2"/>
  <c r="J165" i="2"/>
  <c r="N165" i="2"/>
  <c r="O165" i="2"/>
  <c r="D166" i="2"/>
  <c r="E166" i="2"/>
  <c r="I166" i="2"/>
  <c r="J166" i="2"/>
  <c r="N166" i="2"/>
  <c r="O166" i="2"/>
  <c r="D167" i="2"/>
  <c r="E167" i="2"/>
  <c r="I167" i="2"/>
  <c r="J167" i="2"/>
  <c r="N167" i="2"/>
  <c r="O167" i="2"/>
  <c r="D168" i="2"/>
  <c r="E168" i="2"/>
  <c r="I168" i="2"/>
  <c r="J168" i="2"/>
  <c r="N168" i="2"/>
  <c r="O168" i="2"/>
  <c r="D169" i="2"/>
  <c r="E169" i="2"/>
  <c r="I169" i="2"/>
  <c r="J169" i="2"/>
  <c r="N169" i="2"/>
  <c r="O169" i="2"/>
  <c r="D170" i="2"/>
  <c r="E170" i="2"/>
  <c r="I170" i="2"/>
  <c r="J170" i="2"/>
  <c r="N170" i="2"/>
  <c r="O170" i="2"/>
  <c r="D171" i="2"/>
  <c r="E171" i="2"/>
  <c r="I171" i="2"/>
  <c r="J171" i="2"/>
  <c r="N171" i="2"/>
  <c r="O171" i="2"/>
  <c r="D172" i="2"/>
  <c r="E172" i="2"/>
  <c r="I172" i="2"/>
  <c r="J172" i="2"/>
  <c r="N172" i="2"/>
  <c r="O172" i="2"/>
  <c r="D173" i="2"/>
  <c r="E173" i="2"/>
  <c r="I173" i="2"/>
  <c r="J173" i="2"/>
  <c r="N173" i="2"/>
  <c r="O173" i="2"/>
  <c r="D174" i="2"/>
  <c r="E174" i="2"/>
  <c r="I174" i="2"/>
  <c r="J174" i="2"/>
  <c r="N174" i="2"/>
  <c r="O174" i="2"/>
  <c r="D175" i="2"/>
  <c r="E175" i="2"/>
  <c r="I175" i="2"/>
  <c r="J175" i="2"/>
  <c r="N175" i="2"/>
  <c r="O175" i="2"/>
  <c r="D176" i="2"/>
  <c r="E176" i="2"/>
  <c r="I176" i="2"/>
  <c r="J176" i="2"/>
  <c r="N176" i="2"/>
  <c r="O176" i="2"/>
  <c r="D177" i="2"/>
  <c r="E177" i="2"/>
  <c r="I177" i="2"/>
  <c r="J177" i="2"/>
  <c r="N177" i="2"/>
  <c r="O177" i="2"/>
  <c r="D178" i="2"/>
  <c r="E178" i="2"/>
  <c r="I178" i="2"/>
  <c r="J178" i="2"/>
  <c r="N178" i="2"/>
  <c r="O178" i="2"/>
  <c r="D179" i="2"/>
  <c r="E179" i="2"/>
  <c r="I179" i="2"/>
  <c r="J179" i="2"/>
  <c r="N179" i="2"/>
  <c r="O179" i="2"/>
  <c r="D180" i="2"/>
  <c r="E180" i="2"/>
  <c r="I180" i="2"/>
  <c r="J180" i="2"/>
  <c r="N180" i="2"/>
  <c r="O180" i="2"/>
  <c r="D181" i="2"/>
  <c r="E181" i="2"/>
  <c r="I181" i="2"/>
  <c r="J181" i="2"/>
  <c r="N181" i="2"/>
  <c r="O181" i="2"/>
  <c r="D182" i="2"/>
  <c r="E182" i="2"/>
  <c r="I182" i="2"/>
  <c r="J182" i="2"/>
  <c r="N182" i="2"/>
  <c r="O182" i="2"/>
  <c r="D183" i="2"/>
  <c r="E183" i="2"/>
  <c r="I183" i="2"/>
  <c r="J183" i="2"/>
  <c r="N183" i="2"/>
  <c r="O183" i="2"/>
  <c r="D184" i="2"/>
  <c r="E184" i="2"/>
  <c r="I184" i="2"/>
  <c r="J184" i="2"/>
  <c r="N184" i="2"/>
  <c r="O184" i="2"/>
  <c r="D185" i="2"/>
  <c r="E185" i="2"/>
  <c r="I185" i="2"/>
  <c r="J185" i="2"/>
  <c r="N185" i="2"/>
  <c r="O185" i="2"/>
  <c r="D186" i="2"/>
  <c r="E186" i="2"/>
  <c r="I186" i="2"/>
  <c r="J186" i="2"/>
  <c r="N186" i="2"/>
  <c r="O186" i="2"/>
  <c r="D187" i="2"/>
  <c r="E187" i="2"/>
  <c r="I187" i="2"/>
  <c r="J187" i="2"/>
  <c r="N187" i="2"/>
  <c r="O187" i="2"/>
  <c r="D188" i="2"/>
  <c r="E188" i="2"/>
  <c r="I188" i="2"/>
  <c r="J188" i="2"/>
  <c r="N188" i="2"/>
  <c r="O188" i="2"/>
  <c r="D189" i="2"/>
  <c r="E189" i="2"/>
  <c r="I189" i="2"/>
  <c r="J189" i="2"/>
  <c r="N189" i="2"/>
  <c r="O189" i="2"/>
  <c r="D190" i="2"/>
  <c r="E190" i="2"/>
  <c r="I190" i="2"/>
  <c r="J190" i="2"/>
  <c r="N190" i="2"/>
  <c r="O190" i="2"/>
  <c r="D191" i="2"/>
  <c r="E191" i="2"/>
  <c r="I191" i="2"/>
  <c r="J191" i="2"/>
  <c r="N191" i="2"/>
  <c r="O191" i="2"/>
  <c r="D192" i="2"/>
  <c r="E192" i="2"/>
  <c r="I192" i="2"/>
  <c r="J192" i="2"/>
  <c r="N192" i="2"/>
  <c r="O192" i="2"/>
  <c r="D193" i="2"/>
  <c r="E193" i="2"/>
  <c r="I193" i="2"/>
  <c r="J193" i="2"/>
  <c r="N193" i="2"/>
  <c r="O193" i="2"/>
  <c r="D194" i="2"/>
  <c r="E194" i="2"/>
  <c r="I194" i="2"/>
  <c r="J194" i="2"/>
  <c r="N194" i="2"/>
  <c r="O194" i="2"/>
  <c r="D195" i="2"/>
  <c r="E195" i="2"/>
  <c r="I195" i="2"/>
  <c r="J195" i="2"/>
  <c r="N195" i="2"/>
  <c r="O195" i="2"/>
  <c r="D196" i="2"/>
  <c r="E196" i="2"/>
  <c r="I196" i="2"/>
  <c r="J196" i="2"/>
  <c r="N196" i="2"/>
  <c r="O196" i="2"/>
  <c r="D197" i="2"/>
  <c r="E197" i="2"/>
  <c r="I197" i="2"/>
  <c r="J197" i="2"/>
  <c r="N197" i="2"/>
  <c r="O197" i="2"/>
  <c r="D198" i="2"/>
  <c r="E198" i="2"/>
  <c r="I198" i="2"/>
  <c r="J198" i="2"/>
  <c r="N198" i="2"/>
  <c r="O198" i="2"/>
  <c r="D199" i="2"/>
  <c r="E199" i="2"/>
  <c r="I199" i="2"/>
  <c r="J199" i="2"/>
  <c r="N199" i="2"/>
  <c r="O199" i="2"/>
  <c r="D200" i="2"/>
  <c r="E200" i="2"/>
  <c r="I200" i="2"/>
  <c r="J200" i="2"/>
  <c r="N200" i="2"/>
  <c r="O200" i="2"/>
  <c r="D201" i="2"/>
  <c r="E201" i="2"/>
  <c r="I201" i="2"/>
  <c r="J201" i="2"/>
  <c r="N201" i="2"/>
  <c r="O201" i="2"/>
  <c r="D202" i="2"/>
  <c r="E202" i="2"/>
  <c r="I202" i="2"/>
  <c r="J202" i="2"/>
  <c r="N202" i="2"/>
  <c r="O202" i="2"/>
  <c r="D203" i="2"/>
  <c r="E203" i="2"/>
  <c r="I203" i="2"/>
  <c r="J203" i="2"/>
  <c r="N203" i="2"/>
  <c r="O203" i="2"/>
  <c r="D204" i="2"/>
  <c r="E204" i="2"/>
  <c r="I204" i="2"/>
  <c r="J204" i="2"/>
  <c r="N204" i="2"/>
  <c r="O204" i="2"/>
  <c r="D205" i="2"/>
  <c r="E205" i="2"/>
  <c r="I205" i="2"/>
  <c r="J205" i="2"/>
  <c r="N205" i="2"/>
  <c r="O205" i="2"/>
  <c r="D206" i="2"/>
  <c r="E206" i="2"/>
  <c r="I206" i="2"/>
  <c r="J206" i="2"/>
  <c r="N206" i="2"/>
  <c r="O206" i="2"/>
  <c r="D207" i="2"/>
  <c r="E207" i="2"/>
  <c r="I207" i="2"/>
  <c r="J207" i="2"/>
  <c r="N207" i="2"/>
  <c r="O207" i="2"/>
  <c r="D208" i="2"/>
  <c r="E208" i="2"/>
  <c r="I208" i="2"/>
  <c r="J208" i="2"/>
  <c r="N208" i="2"/>
  <c r="O208" i="2"/>
  <c r="D209" i="2"/>
  <c r="E209" i="2"/>
  <c r="I209" i="2"/>
  <c r="J209" i="2"/>
  <c r="N209" i="2"/>
  <c r="O209" i="2"/>
  <c r="D210" i="2"/>
  <c r="E210" i="2"/>
  <c r="I210" i="2"/>
  <c r="J210" i="2"/>
  <c r="N210" i="2"/>
  <c r="O210" i="2"/>
  <c r="D211" i="2"/>
  <c r="E211" i="2"/>
  <c r="I211" i="2"/>
  <c r="J211" i="2"/>
  <c r="N211" i="2"/>
  <c r="O211" i="2"/>
  <c r="D212" i="2"/>
  <c r="E212" i="2"/>
  <c r="I212" i="2"/>
  <c r="J212" i="2"/>
  <c r="N212" i="2"/>
  <c r="O212" i="2"/>
  <c r="D213" i="2"/>
  <c r="E213" i="2"/>
  <c r="I213" i="2"/>
  <c r="J213" i="2"/>
  <c r="N213" i="2"/>
  <c r="O213" i="2"/>
  <c r="D214" i="2"/>
  <c r="E214" i="2"/>
  <c r="I214" i="2"/>
  <c r="J214" i="2"/>
  <c r="N214" i="2"/>
  <c r="O214" i="2"/>
  <c r="D215" i="2"/>
  <c r="E215" i="2"/>
  <c r="I215" i="2"/>
  <c r="J215" i="2"/>
  <c r="N215" i="2"/>
  <c r="O215" i="2"/>
  <c r="D216" i="2"/>
  <c r="E216" i="2"/>
  <c r="I216" i="2"/>
  <c r="J216" i="2"/>
  <c r="N216" i="2"/>
  <c r="O216" i="2"/>
  <c r="D217" i="2"/>
  <c r="E217" i="2"/>
  <c r="I217" i="2"/>
  <c r="J217" i="2"/>
  <c r="N217" i="2"/>
  <c r="O217" i="2"/>
  <c r="D218" i="2"/>
  <c r="E218" i="2"/>
  <c r="I218" i="2"/>
  <c r="J218" i="2"/>
  <c r="N218" i="2"/>
  <c r="O218" i="2"/>
  <c r="D219" i="2"/>
  <c r="E219" i="2"/>
  <c r="I219" i="2"/>
  <c r="J219" i="2"/>
  <c r="N219" i="2"/>
  <c r="O219" i="2"/>
  <c r="D220" i="2"/>
  <c r="E220" i="2"/>
  <c r="I220" i="2"/>
  <c r="J220" i="2"/>
  <c r="N220" i="2"/>
  <c r="O220" i="2"/>
  <c r="D221" i="2"/>
  <c r="E221" i="2"/>
  <c r="I221" i="2"/>
  <c r="J221" i="2"/>
  <c r="N221" i="2"/>
  <c r="O221" i="2"/>
  <c r="D222" i="2"/>
  <c r="E222" i="2"/>
  <c r="I222" i="2"/>
  <c r="J222" i="2"/>
  <c r="N222" i="2"/>
  <c r="O222" i="2"/>
  <c r="D223" i="2"/>
  <c r="E223" i="2"/>
  <c r="I223" i="2"/>
  <c r="J223" i="2"/>
  <c r="N223" i="2"/>
  <c r="O223" i="2"/>
  <c r="D224" i="2"/>
  <c r="E224" i="2"/>
  <c r="I224" i="2"/>
  <c r="J224" i="2"/>
  <c r="N224" i="2"/>
  <c r="O224" i="2"/>
  <c r="D225" i="2"/>
  <c r="E225" i="2"/>
  <c r="I225" i="2"/>
  <c r="J225" i="2"/>
  <c r="N225" i="2"/>
  <c r="O225" i="2"/>
  <c r="D226" i="2"/>
  <c r="E226" i="2"/>
  <c r="I226" i="2"/>
  <c r="J226" i="2"/>
  <c r="N226" i="2"/>
  <c r="O226" i="2"/>
  <c r="D227" i="2"/>
  <c r="E227" i="2"/>
  <c r="I227" i="2"/>
  <c r="J227" i="2"/>
  <c r="N227" i="2"/>
  <c r="O227" i="2"/>
  <c r="D228" i="2"/>
  <c r="E228" i="2"/>
  <c r="I228" i="2"/>
  <c r="J228" i="2"/>
  <c r="N228" i="2"/>
  <c r="O228" i="2"/>
  <c r="D229" i="2"/>
  <c r="E229" i="2"/>
  <c r="I229" i="2"/>
  <c r="J229" i="2"/>
  <c r="N229" i="2"/>
  <c r="O229" i="2"/>
  <c r="D230" i="2"/>
  <c r="E230" i="2"/>
  <c r="I230" i="2"/>
  <c r="J230" i="2"/>
  <c r="N230" i="2"/>
  <c r="O230" i="2"/>
  <c r="D231" i="2"/>
  <c r="E231" i="2"/>
  <c r="I231" i="2"/>
  <c r="J231" i="2"/>
  <c r="N231" i="2"/>
  <c r="O231" i="2"/>
  <c r="D232" i="2"/>
  <c r="E232" i="2"/>
  <c r="I232" i="2"/>
  <c r="J232" i="2"/>
  <c r="N232" i="2"/>
  <c r="O232" i="2"/>
  <c r="D233" i="2"/>
  <c r="E233" i="2"/>
  <c r="I233" i="2"/>
  <c r="J233" i="2"/>
  <c r="N233" i="2"/>
  <c r="O233" i="2"/>
  <c r="D234" i="2"/>
  <c r="E234" i="2"/>
  <c r="I234" i="2"/>
  <c r="J234" i="2"/>
  <c r="N234" i="2"/>
  <c r="O234" i="2"/>
  <c r="D235" i="2"/>
  <c r="E235" i="2"/>
  <c r="I235" i="2"/>
  <c r="J235" i="2"/>
  <c r="N235" i="2"/>
  <c r="O235" i="2"/>
  <c r="D236" i="2"/>
  <c r="E236" i="2"/>
  <c r="I236" i="2"/>
  <c r="J236" i="2"/>
  <c r="N236" i="2"/>
  <c r="O236" i="2"/>
  <c r="D237" i="2"/>
  <c r="E237" i="2"/>
  <c r="I237" i="2"/>
  <c r="J237" i="2"/>
  <c r="N237" i="2"/>
  <c r="O237" i="2"/>
  <c r="D238" i="2"/>
  <c r="E238" i="2"/>
  <c r="I238" i="2"/>
  <c r="J238" i="2"/>
  <c r="N238" i="2"/>
  <c r="O238" i="2"/>
  <c r="D239" i="2"/>
  <c r="E239" i="2"/>
  <c r="I239" i="2"/>
  <c r="J239" i="2"/>
  <c r="N239" i="2"/>
  <c r="O239" i="2"/>
  <c r="D240" i="2"/>
  <c r="E240" i="2"/>
  <c r="I240" i="2"/>
  <c r="J240" i="2"/>
  <c r="N240" i="2"/>
  <c r="O240" i="2"/>
  <c r="D241" i="2"/>
  <c r="E241" i="2"/>
  <c r="I241" i="2"/>
  <c r="J241" i="2"/>
  <c r="N241" i="2"/>
  <c r="O241" i="2"/>
  <c r="D242" i="2"/>
  <c r="E242" i="2"/>
  <c r="I242" i="2"/>
  <c r="J242" i="2"/>
  <c r="N242" i="2"/>
  <c r="O242" i="2"/>
  <c r="D243" i="2"/>
  <c r="E243" i="2"/>
  <c r="I243" i="2"/>
  <c r="J243" i="2"/>
  <c r="N243" i="2"/>
  <c r="O243" i="2"/>
  <c r="D244" i="2"/>
  <c r="E244" i="2"/>
  <c r="I244" i="2"/>
  <c r="J244" i="2"/>
  <c r="N244" i="2"/>
  <c r="O244" i="2"/>
  <c r="D245" i="2"/>
  <c r="E245" i="2"/>
  <c r="I245" i="2"/>
  <c r="J245" i="2"/>
  <c r="N245" i="2"/>
  <c r="O245" i="2"/>
  <c r="D246" i="2"/>
  <c r="E246" i="2"/>
  <c r="I246" i="2"/>
  <c r="J246" i="2"/>
  <c r="N246" i="2"/>
  <c r="O246" i="2"/>
  <c r="D247" i="2"/>
  <c r="E247" i="2"/>
  <c r="I247" i="2"/>
  <c r="J247" i="2"/>
  <c r="N247" i="2"/>
  <c r="O247" i="2"/>
  <c r="D248" i="2"/>
  <c r="E248" i="2"/>
  <c r="I248" i="2"/>
  <c r="J248" i="2"/>
  <c r="N248" i="2"/>
  <c r="O248" i="2"/>
  <c r="D249" i="2"/>
  <c r="E249" i="2"/>
  <c r="I249" i="2"/>
  <c r="J249" i="2"/>
  <c r="N249" i="2"/>
  <c r="O249" i="2"/>
  <c r="D250" i="2"/>
  <c r="E250" i="2"/>
  <c r="I250" i="2"/>
  <c r="J250" i="2"/>
  <c r="N250" i="2"/>
  <c r="O250" i="2"/>
  <c r="D251" i="2"/>
  <c r="E251" i="2"/>
  <c r="I251" i="2"/>
  <c r="J251" i="2"/>
  <c r="N251" i="2"/>
  <c r="O251" i="2"/>
  <c r="D252" i="2"/>
  <c r="E252" i="2"/>
  <c r="I252" i="2"/>
  <c r="J252" i="2"/>
  <c r="N252" i="2"/>
  <c r="O252" i="2"/>
  <c r="D253" i="2"/>
  <c r="E253" i="2"/>
  <c r="I253" i="2"/>
  <c r="J253" i="2"/>
  <c r="N253" i="2"/>
  <c r="O253" i="2"/>
  <c r="D254" i="2"/>
  <c r="E254" i="2"/>
  <c r="I254" i="2"/>
  <c r="J254" i="2"/>
  <c r="N254" i="2"/>
  <c r="O254" i="2"/>
  <c r="D255" i="2"/>
  <c r="E255" i="2"/>
  <c r="I255" i="2"/>
  <c r="J255" i="2"/>
  <c r="N255" i="2"/>
  <c r="O255" i="2"/>
  <c r="D256" i="2"/>
  <c r="E256" i="2"/>
  <c r="I256" i="2"/>
  <c r="J256" i="2"/>
  <c r="N256" i="2"/>
  <c r="O256" i="2"/>
  <c r="D257" i="2"/>
  <c r="E257" i="2"/>
  <c r="I257" i="2"/>
  <c r="J257" i="2"/>
  <c r="N257" i="2"/>
  <c r="O257" i="2"/>
  <c r="D258" i="2"/>
  <c r="E258" i="2"/>
  <c r="I258" i="2"/>
  <c r="J258" i="2"/>
  <c r="N258" i="2"/>
  <c r="O258" i="2"/>
  <c r="D259" i="2"/>
  <c r="E259" i="2"/>
  <c r="I259" i="2"/>
  <c r="J259" i="2"/>
  <c r="N259" i="2"/>
  <c r="O259" i="2"/>
  <c r="D260" i="2"/>
  <c r="E260" i="2"/>
  <c r="I260" i="2"/>
  <c r="J260" i="2"/>
  <c r="N260" i="2"/>
  <c r="O260" i="2"/>
  <c r="D261" i="2"/>
  <c r="E261" i="2"/>
  <c r="I261" i="2"/>
  <c r="J261" i="2"/>
  <c r="N261" i="2"/>
  <c r="O261" i="2"/>
  <c r="D262" i="2"/>
  <c r="E262" i="2"/>
  <c r="I262" i="2"/>
  <c r="J262" i="2"/>
  <c r="N262" i="2"/>
  <c r="O262" i="2"/>
  <c r="D263" i="2"/>
  <c r="E263" i="2"/>
  <c r="I263" i="2"/>
  <c r="J263" i="2"/>
  <c r="N263" i="2"/>
  <c r="O263" i="2"/>
  <c r="D264" i="2"/>
  <c r="E264" i="2"/>
  <c r="I264" i="2"/>
  <c r="J264" i="2"/>
  <c r="N264" i="2"/>
  <c r="O264" i="2"/>
  <c r="D265" i="2"/>
  <c r="E265" i="2"/>
  <c r="I265" i="2"/>
  <c r="J265" i="2"/>
  <c r="N265" i="2"/>
  <c r="O265" i="2"/>
  <c r="D266" i="2"/>
  <c r="E266" i="2"/>
  <c r="I266" i="2"/>
  <c r="J266" i="2"/>
  <c r="N266" i="2"/>
  <c r="O266" i="2"/>
  <c r="D267" i="2"/>
  <c r="E267" i="2"/>
  <c r="I267" i="2"/>
  <c r="J267" i="2"/>
  <c r="N267" i="2"/>
  <c r="O267" i="2"/>
  <c r="D268" i="2"/>
  <c r="E268" i="2"/>
  <c r="I268" i="2"/>
  <c r="J268" i="2"/>
  <c r="N268" i="2"/>
  <c r="O268" i="2"/>
  <c r="D269" i="2"/>
  <c r="E269" i="2"/>
  <c r="I269" i="2"/>
  <c r="J269" i="2"/>
  <c r="N269" i="2"/>
  <c r="O269" i="2"/>
  <c r="D270" i="2"/>
  <c r="E270" i="2"/>
  <c r="I270" i="2"/>
  <c r="J270" i="2"/>
  <c r="N270" i="2"/>
  <c r="O270" i="2"/>
  <c r="D271" i="2"/>
  <c r="E271" i="2"/>
  <c r="I271" i="2"/>
  <c r="J271" i="2"/>
  <c r="N271" i="2"/>
  <c r="O271" i="2"/>
  <c r="D272" i="2"/>
  <c r="E272" i="2"/>
  <c r="I272" i="2"/>
  <c r="J272" i="2"/>
  <c r="N272" i="2"/>
  <c r="O272" i="2"/>
  <c r="D273" i="2"/>
  <c r="E273" i="2"/>
  <c r="I273" i="2"/>
  <c r="J273" i="2"/>
  <c r="N273" i="2"/>
  <c r="O273" i="2"/>
  <c r="D274" i="2"/>
  <c r="E274" i="2"/>
  <c r="I274" i="2"/>
  <c r="J274" i="2"/>
  <c r="N274" i="2"/>
  <c r="O274" i="2"/>
  <c r="D275" i="2"/>
  <c r="E275" i="2"/>
  <c r="I275" i="2"/>
  <c r="J275" i="2"/>
  <c r="N275" i="2"/>
  <c r="O275" i="2"/>
  <c r="D276" i="2"/>
  <c r="E276" i="2"/>
  <c r="I276" i="2"/>
  <c r="J276" i="2"/>
  <c r="N276" i="2"/>
  <c r="O276" i="2"/>
  <c r="D277" i="2"/>
  <c r="E277" i="2"/>
  <c r="I277" i="2"/>
  <c r="J277" i="2"/>
  <c r="N277" i="2"/>
  <c r="O277" i="2"/>
  <c r="D278" i="2"/>
  <c r="E278" i="2"/>
  <c r="I278" i="2"/>
  <c r="J278" i="2"/>
  <c r="N278" i="2"/>
  <c r="O278" i="2"/>
  <c r="D279" i="2"/>
  <c r="E279" i="2"/>
  <c r="I279" i="2"/>
  <c r="J279" i="2"/>
  <c r="N279" i="2"/>
  <c r="O279" i="2"/>
  <c r="D280" i="2"/>
  <c r="E280" i="2"/>
  <c r="I280" i="2"/>
  <c r="J280" i="2"/>
  <c r="N280" i="2"/>
  <c r="O280" i="2"/>
  <c r="D281" i="2"/>
  <c r="E281" i="2"/>
  <c r="I281" i="2"/>
  <c r="J281" i="2"/>
  <c r="N281" i="2"/>
  <c r="O281" i="2"/>
  <c r="D282" i="2"/>
  <c r="E282" i="2"/>
  <c r="I282" i="2"/>
  <c r="J282" i="2"/>
  <c r="N282" i="2"/>
  <c r="O282" i="2"/>
  <c r="D283" i="2"/>
  <c r="E283" i="2"/>
  <c r="I283" i="2"/>
  <c r="J283" i="2"/>
  <c r="N283" i="2"/>
  <c r="O283" i="2"/>
  <c r="D284" i="2"/>
  <c r="E284" i="2"/>
  <c r="I284" i="2"/>
  <c r="J284" i="2"/>
  <c r="N284" i="2"/>
  <c r="O284" i="2"/>
  <c r="D285" i="2"/>
  <c r="E285" i="2"/>
  <c r="I285" i="2"/>
  <c r="J285" i="2"/>
  <c r="N285" i="2"/>
  <c r="O285" i="2"/>
  <c r="D286" i="2"/>
  <c r="E286" i="2"/>
  <c r="I286" i="2"/>
  <c r="J286" i="2"/>
  <c r="N286" i="2"/>
  <c r="O286" i="2"/>
  <c r="D287" i="2"/>
  <c r="E287" i="2"/>
  <c r="I287" i="2"/>
  <c r="J287" i="2"/>
  <c r="N287" i="2"/>
  <c r="O287" i="2"/>
  <c r="D288" i="2"/>
  <c r="E288" i="2"/>
  <c r="I288" i="2"/>
  <c r="J288" i="2"/>
  <c r="N288" i="2"/>
  <c r="O288" i="2"/>
  <c r="D289" i="2"/>
  <c r="E289" i="2"/>
  <c r="I289" i="2"/>
  <c r="J289" i="2"/>
  <c r="N289" i="2"/>
  <c r="O289" i="2"/>
  <c r="D290" i="2"/>
  <c r="E290" i="2"/>
  <c r="I290" i="2"/>
  <c r="J290" i="2"/>
  <c r="N290" i="2"/>
  <c r="O290" i="2"/>
  <c r="D291" i="2"/>
  <c r="E291" i="2"/>
  <c r="I291" i="2"/>
  <c r="J291" i="2"/>
  <c r="N291" i="2"/>
  <c r="O291" i="2"/>
  <c r="D292" i="2"/>
  <c r="E292" i="2"/>
  <c r="I292" i="2"/>
  <c r="J292" i="2"/>
  <c r="N292" i="2"/>
  <c r="O292" i="2"/>
  <c r="D293" i="2"/>
  <c r="E293" i="2"/>
  <c r="I293" i="2"/>
  <c r="J293" i="2"/>
  <c r="N293" i="2"/>
  <c r="O293" i="2"/>
  <c r="D294" i="2"/>
  <c r="E294" i="2"/>
  <c r="I294" i="2"/>
  <c r="J294" i="2"/>
  <c r="N294" i="2"/>
  <c r="O294" i="2"/>
  <c r="D295" i="2"/>
  <c r="E295" i="2"/>
  <c r="I295" i="2"/>
  <c r="J295" i="2"/>
  <c r="N295" i="2"/>
  <c r="O295" i="2"/>
  <c r="D296" i="2"/>
  <c r="E296" i="2"/>
  <c r="I296" i="2"/>
  <c r="J296" i="2"/>
  <c r="N296" i="2"/>
  <c r="O296" i="2"/>
  <c r="D297" i="2"/>
  <c r="E297" i="2"/>
  <c r="I297" i="2"/>
  <c r="J297" i="2"/>
  <c r="N297" i="2"/>
  <c r="O297" i="2"/>
  <c r="D298" i="2"/>
  <c r="E298" i="2"/>
  <c r="I298" i="2"/>
  <c r="J298" i="2"/>
  <c r="N298" i="2"/>
  <c r="O298" i="2"/>
  <c r="D299" i="2"/>
  <c r="E299" i="2"/>
  <c r="I299" i="2"/>
  <c r="J299" i="2"/>
  <c r="N299" i="2"/>
  <c r="O299" i="2"/>
  <c r="D300" i="2"/>
  <c r="E300" i="2"/>
  <c r="I300" i="2"/>
  <c r="J300" i="2"/>
  <c r="N300" i="2"/>
  <c r="O300" i="2"/>
  <c r="D301" i="2"/>
  <c r="E301" i="2"/>
  <c r="I301" i="2"/>
  <c r="J301" i="2"/>
  <c r="N301" i="2"/>
  <c r="O301" i="2"/>
  <c r="D302" i="2"/>
  <c r="E302" i="2"/>
  <c r="I302" i="2"/>
  <c r="J302" i="2"/>
  <c r="N302" i="2"/>
  <c r="O302" i="2"/>
  <c r="D303" i="2"/>
  <c r="E303" i="2"/>
  <c r="I303" i="2"/>
  <c r="J303" i="2"/>
  <c r="N303" i="2"/>
  <c r="O303" i="2"/>
  <c r="D304" i="2"/>
  <c r="E304" i="2"/>
  <c r="I304" i="2"/>
  <c r="J304" i="2"/>
  <c r="N304" i="2"/>
  <c r="O304" i="2"/>
  <c r="D305" i="2"/>
  <c r="E305" i="2"/>
  <c r="I305" i="2"/>
  <c r="J305" i="2"/>
  <c r="N305" i="2"/>
  <c r="O305" i="2"/>
  <c r="D306" i="2"/>
  <c r="E306" i="2"/>
  <c r="I306" i="2"/>
  <c r="J306" i="2"/>
  <c r="N306" i="2"/>
  <c r="O306" i="2"/>
  <c r="D307" i="2"/>
  <c r="E307" i="2"/>
  <c r="I307" i="2"/>
  <c r="J307" i="2"/>
  <c r="N307" i="2"/>
  <c r="O307" i="2"/>
  <c r="D308" i="2"/>
  <c r="E308" i="2"/>
  <c r="I308" i="2"/>
  <c r="J308" i="2"/>
  <c r="N308" i="2"/>
  <c r="O308" i="2"/>
  <c r="D309" i="2"/>
  <c r="E309" i="2"/>
  <c r="I309" i="2"/>
  <c r="J309" i="2"/>
  <c r="N309" i="2"/>
  <c r="O309" i="2"/>
  <c r="D310" i="2"/>
  <c r="E310" i="2"/>
  <c r="I310" i="2"/>
  <c r="J310" i="2"/>
  <c r="N310" i="2"/>
  <c r="O310" i="2"/>
  <c r="D311" i="2"/>
  <c r="E311" i="2"/>
  <c r="I311" i="2"/>
  <c r="J311" i="2"/>
  <c r="N311" i="2"/>
  <c r="O311" i="2"/>
  <c r="D312" i="2"/>
  <c r="E312" i="2"/>
  <c r="I312" i="2"/>
  <c r="J312" i="2"/>
  <c r="N312" i="2"/>
  <c r="O312" i="2"/>
  <c r="D313" i="2"/>
  <c r="E313" i="2"/>
  <c r="I313" i="2"/>
  <c r="J313" i="2"/>
  <c r="N313" i="2"/>
  <c r="O313" i="2"/>
  <c r="D314" i="2"/>
  <c r="E314" i="2"/>
  <c r="I314" i="2"/>
  <c r="J314" i="2"/>
  <c r="N314" i="2"/>
  <c r="O314" i="2"/>
  <c r="D315" i="2"/>
  <c r="E315" i="2"/>
  <c r="I315" i="2"/>
  <c r="J315" i="2"/>
  <c r="N315" i="2"/>
  <c r="O315" i="2"/>
  <c r="D316" i="2"/>
  <c r="E316" i="2"/>
  <c r="I316" i="2"/>
  <c r="J316" i="2"/>
  <c r="N316" i="2"/>
  <c r="O316" i="2"/>
  <c r="D317" i="2"/>
  <c r="E317" i="2"/>
  <c r="I317" i="2"/>
  <c r="J317" i="2"/>
  <c r="N317" i="2"/>
  <c r="O317" i="2"/>
  <c r="D318" i="2"/>
  <c r="E318" i="2"/>
  <c r="I318" i="2"/>
  <c r="J318" i="2"/>
  <c r="N318" i="2"/>
  <c r="O318" i="2"/>
  <c r="D319" i="2"/>
  <c r="E319" i="2"/>
  <c r="I319" i="2"/>
  <c r="J319" i="2"/>
  <c r="N319" i="2"/>
  <c r="O319" i="2"/>
  <c r="D320" i="2"/>
  <c r="E320" i="2"/>
  <c r="I320" i="2"/>
  <c r="J320" i="2"/>
  <c r="N320" i="2"/>
  <c r="O320" i="2"/>
  <c r="D321" i="2"/>
  <c r="E321" i="2"/>
  <c r="I321" i="2"/>
  <c r="J321" i="2"/>
  <c r="N321" i="2"/>
  <c r="O321" i="2"/>
  <c r="D322" i="2"/>
  <c r="E322" i="2"/>
  <c r="I322" i="2"/>
  <c r="J322" i="2"/>
  <c r="N322" i="2"/>
  <c r="O322" i="2"/>
  <c r="D323" i="2"/>
  <c r="E323" i="2"/>
  <c r="I323" i="2"/>
  <c r="J323" i="2"/>
  <c r="N323" i="2"/>
  <c r="O323" i="2"/>
  <c r="D324" i="2"/>
  <c r="E324" i="2"/>
  <c r="I324" i="2"/>
  <c r="J324" i="2"/>
  <c r="N324" i="2"/>
  <c r="O324" i="2"/>
  <c r="D325" i="2"/>
  <c r="E325" i="2"/>
  <c r="I325" i="2"/>
  <c r="J325" i="2"/>
  <c r="N325" i="2"/>
  <c r="O325" i="2"/>
  <c r="D326" i="2"/>
  <c r="E326" i="2"/>
  <c r="I326" i="2"/>
  <c r="J326" i="2"/>
  <c r="N326" i="2"/>
  <c r="O326" i="2"/>
  <c r="D327" i="2"/>
  <c r="E327" i="2"/>
  <c r="I327" i="2"/>
  <c r="J327" i="2"/>
  <c r="N327" i="2"/>
  <c r="O327" i="2"/>
  <c r="D328" i="2"/>
  <c r="E328" i="2"/>
  <c r="I328" i="2"/>
  <c r="J328" i="2"/>
  <c r="N328" i="2"/>
  <c r="O328" i="2"/>
  <c r="D329" i="2"/>
  <c r="E329" i="2"/>
  <c r="I329" i="2"/>
  <c r="J329" i="2"/>
  <c r="N329" i="2"/>
  <c r="O329" i="2"/>
  <c r="D330" i="2"/>
  <c r="E330" i="2"/>
  <c r="I330" i="2"/>
  <c r="J330" i="2"/>
  <c r="N330" i="2"/>
  <c r="O330" i="2"/>
  <c r="D331" i="2"/>
  <c r="E331" i="2"/>
  <c r="I331" i="2"/>
  <c r="J331" i="2"/>
  <c r="N331" i="2"/>
  <c r="O331" i="2"/>
  <c r="D332" i="2"/>
  <c r="E332" i="2"/>
  <c r="I332" i="2"/>
  <c r="J332" i="2"/>
  <c r="N332" i="2"/>
  <c r="O332" i="2"/>
  <c r="D333" i="2"/>
  <c r="E333" i="2"/>
  <c r="I333" i="2"/>
  <c r="J333" i="2"/>
  <c r="N333" i="2"/>
  <c r="O333" i="2"/>
  <c r="D334" i="2"/>
  <c r="E334" i="2"/>
  <c r="I334" i="2"/>
  <c r="J334" i="2"/>
  <c r="N334" i="2"/>
  <c r="O334" i="2"/>
  <c r="D335" i="2"/>
  <c r="E335" i="2"/>
  <c r="I335" i="2"/>
  <c r="J335" i="2"/>
  <c r="N335" i="2"/>
  <c r="O335" i="2"/>
  <c r="D336" i="2"/>
  <c r="E336" i="2"/>
  <c r="I336" i="2"/>
  <c r="J336" i="2"/>
  <c r="N336" i="2"/>
  <c r="O336" i="2"/>
  <c r="D337" i="2"/>
  <c r="E337" i="2"/>
  <c r="I337" i="2"/>
  <c r="J337" i="2"/>
  <c r="N337" i="2"/>
  <c r="O337" i="2"/>
  <c r="D338" i="2"/>
  <c r="E338" i="2"/>
  <c r="I338" i="2"/>
  <c r="J338" i="2"/>
  <c r="N338" i="2"/>
  <c r="O338" i="2"/>
  <c r="D339" i="2"/>
  <c r="E339" i="2"/>
  <c r="I339" i="2"/>
  <c r="J339" i="2"/>
  <c r="N339" i="2"/>
  <c r="O339" i="2"/>
  <c r="D340" i="2"/>
  <c r="E340" i="2"/>
  <c r="I340" i="2"/>
  <c r="J340" i="2"/>
  <c r="N340" i="2"/>
  <c r="O340" i="2"/>
  <c r="D341" i="2"/>
  <c r="E341" i="2"/>
  <c r="I341" i="2"/>
  <c r="J341" i="2"/>
  <c r="N341" i="2"/>
  <c r="O341" i="2"/>
  <c r="D342" i="2"/>
  <c r="E342" i="2"/>
  <c r="I342" i="2"/>
  <c r="J342" i="2"/>
  <c r="N342" i="2"/>
  <c r="O342" i="2"/>
  <c r="D343" i="2"/>
  <c r="E343" i="2"/>
  <c r="I343" i="2"/>
  <c r="J343" i="2"/>
  <c r="N343" i="2"/>
  <c r="O343" i="2"/>
  <c r="D344" i="2"/>
  <c r="E344" i="2"/>
  <c r="I344" i="2"/>
  <c r="J344" i="2"/>
  <c r="N344" i="2"/>
  <c r="O344" i="2"/>
  <c r="D345" i="2"/>
  <c r="E345" i="2"/>
  <c r="I345" i="2"/>
  <c r="J345" i="2"/>
  <c r="N345" i="2"/>
  <c r="O345" i="2"/>
  <c r="D346" i="2"/>
  <c r="E346" i="2"/>
  <c r="I346" i="2"/>
  <c r="J346" i="2"/>
  <c r="N346" i="2"/>
  <c r="O346" i="2"/>
  <c r="D347" i="2"/>
  <c r="E347" i="2"/>
  <c r="I347" i="2"/>
  <c r="J347" i="2"/>
  <c r="N347" i="2"/>
  <c r="O347" i="2"/>
  <c r="D348" i="2"/>
  <c r="E348" i="2"/>
  <c r="I348" i="2"/>
  <c r="J348" i="2"/>
  <c r="N348" i="2"/>
  <c r="O348" i="2"/>
  <c r="D349" i="2"/>
  <c r="E349" i="2"/>
  <c r="I349" i="2"/>
  <c r="J349" i="2"/>
  <c r="N349" i="2"/>
  <c r="O349" i="2"/>
  <c r="D350" i="2"/>
  <c r="E350" i="2"/>
  <c r="I350" i="2"/>
  <c r="J350" i="2"/>
  <c r="N350" i="2"/>
  <c r="O350" i="2"/>
  <c r="D351" i="2"/>
  <c r="E351" i="2"/>
  <c r="I351" i="2"/>
  <c r="J351" i="2"/>
  <c r="N351" i="2"/>
  <c r="O351" i="2"/>
  <c r="D352" i="2"/>
  <c r="E352" i="2"/>
  <c r="I352" i="2"/>
  <c r="J352" i="2"/>
  <c r="N352" i="2"/>
  <c r="O352" i="2"/>
  <c r="D353" i="2"/>
  <c r="E353" i="2"/>
  <c r="I353" i="2"/>
  <c r="J353" i="2"/>
  <c r="N353" i="2"/>
  <c r="O353" i="2"/>
  <c r="D354" i="2"/>
  <c r="E354" i="2"/>
  <c r="I354" i="2"/>
  <c r="J354" i="2"/>
  <c r="N354" i="2"/>
  <c r="O354" i="2"/>
  <c r="D355" i="2"/>
  <c r="E355" i="2"/>
  <c r="I355" i="2"/>
  <c r="J355" i="2"/>
  <c r="N355" i="2"/>
  <c r="O355" i="2"/>
  <c r="D356" i="2"/>
  <c r="E356" i="2"/>
  <c r="I356" i="2"/>
  <c r="J356" i="2"/>
  <c r="N356" i="2"/>
  <c r="O356" i="2"/>
  <c r="D357" i="2"/>
  <c r="E357" i="2"/>
  <c r="I357" i="2"/>
  <c r="J357" i="2"/>
  <c r="N357" i="2"/>
  <c r="O357" i="2"/>
  <c r="D358" i="2"/>
  <c r="E358" i="2"/>
  <c r="I358" i="2"/>
  <c r="J358" i="2"/>
  <c r="N358" i="2"/>
  <c r="O358" i="2"/>
  <c r="D359" i="2"/>
  <c r="E359" i="2"/>
  <c r="I359" i="2"/>
  <c r="J359" i="2"/>
  <c r="N359" i="2"/>
  <c r="O359" i="2"/>
  <c r="D360" i="2"/>
  <c r="E360" i="2"/>
  <c r="I360" i="2"/>
  <c r="J360" i="2"/>
  <c r="N360" i="2"/>
  <c r="O360" i="2"/>
  <c r="D361" i="2"/>
  <c r="E361" i="2"/>
  <c r="I361" i="2"/>
  <c r="J361" i="2"/>
  <c r="N361" i="2"/>
  <c r="O361" i="2"/>
  <c r="D362" i="2"/>
  <c r="E362" i="2"/>
  <c r="I362" i="2"/>
  <c r="J362" i="2"/>
  <c r="N362" i="2"/>
  <c r="O362" i="2"/>
  <c r="D363" i="2"/>
  <c r="E363" i="2"/>
  <c r="I363" i="2"/>
  <c r="J363" i="2"/>
  <c r="N363" i="2"/>
  <c r="O363" i="2"/>
  <c r="D364" i="2"/>
  <c r="E364" i="2"/>
  <c r="I364" i="2"/>
  <c r="J364" i="2"/>
  <c r="N364" i="2"/>
  <c r="O364" i="2"/>
  <c r="D365" i="2"/>
  <c r="E365" i="2"/>
  <c r="I365" i="2"/>
  <c r="J365" i="2"/>
  <c r="N365" i="2"/>
  <c r="O365" i="2"/>
  <c r="D366" i="2"/>
  <c r="E366" i="2"/>
  <c r="I366" i="2"/>
  <c r="J366" i="2"/>
  <c r="N366" i="2"/>
  <c r="O366" i="2"/>
  <c r="D367" i="2"/>
  <c r="E367" i="2"/>
  <c r="I367" i="2"/>
  <c r="J367" i="2"/>
  <c r="N367" i="2"/>
  <c r="O367" i="2"/>
  <c r="D368" i="2"/>
  <c r="E368" i="2"/>
  <c r="I368" i="2"/>
  <c r="J368" i="2"/>
  <c r="N368" i="2"/>
  <c r="O368" i="2"/>
  <c r="D369" i="2"/>
  <c r="E369" i="2"/>
  <c r="I369" i="2"/>
  <c r="J369" i="2"/>
  <c r="N369" i="2"/>
  <c r="O369" i="2"/>
  <c r="D370" i="2"/>
  <c r="E370" i="2"/>
  <c r="I370" i="2"/>
  <c r="J370" i="2"/>
  <c r="N370" i="2"/>
  <c r="O370" i="2"/>
  <c r="D371" i="2"/>
  <c r="E371" i="2"/>
  <c r="I371" i="2"/>
  <c r="J371" i="2"/>
  <c r="N371" i="2"/>
  <c r="O371" i="2"/>
  <c r="D372" i="2"/>
  <c r="E372" i="2"/>
  <c r="I372" i="2"/>
  <c r="J372" i="2"/>
  <c r="N372" i="2"/>
  <c r="O372" i="2"/>
  <c r="D373" i="2"/>
  <c r="E373" i="2"/>
  <c r="I373" i="2"/>
  <c r="J373" i="2"/>
  <c r="N373" i="2"/>
  <c r="O373" i="2"/>
  <c r="D374" i="2"/>
  <c r="E374" i="2"/>
  <c r="I374" i="2"/>
  <c r="J374" i="2"/>
  <c r="N374" i="2"/>
  <c r="O374" i="2"/>
  <c r="D375" i="2"/>
  <c r="E375" i="2"/>
  <c r="I375" i="2"/>
  <c r="J375" i="2"/>
  <c r="N375" i="2"/>
  <c r="O375" i="2"/>
  <c r="D376" i="2"/>
  <c r="E376" i="2"/>
  <c r="I376" i="2"/>
  <c r="J376" i="2"/>
  <c r="N376" i="2"/>
  <c r="O376" i="2"/>
  <c r="D377" i="2"/>
  <c r="E377" i="2"/>
  <c r="I377" i="2"/>
  <c r="J377" i="2"/>
  <c r="N377" i="2"/>
  <c r="O377" i="2"/>
  <c r="D378" i="2"/>
  <c r="E378" i="2"/>
  <c r="I378" i="2"/>
  <c r="J378" i="2"/>
  <c r="N378" i="2"/>
  <c r="O378" i="2"/>
  <c r="D379" i="2"/>
  <c r="E379" i="2"/>
  <c r="I379" i="2"/>
  <c r="J379" i="2"/>
  <c r="N379" i="2"/>
  <c r="O379" i="2"/>
  <c r="D380" i="2"/>
  <c r="E380" i="2"/>
  <c r="I380" i="2"/>
  <c r="J380" i="2"/>
  <c r="N380" i="2"/>
  <c r="O380" i="2"/>
  <c r="D381" i="2"/>
  <c r="E381" i="2"/>
  <c r="I381" i="2"/>
  <c r="J381" i="2"/>
  <c r="N381" i="2"/>
  <c r="O381" i="2"/>
  <c r="D382" i="2"/>
  <c r="E382" i="2"/>
  <c r="I382" i="2"/>
  <c r="J382" i="2"/>
  <c r="N382" i="2"/>
  <c r="O382" i="2"/>
  <c r="D383" i="2"/>
  <c r="E383" i="2"/>
  <c r="I383" i="2"/>
  <c r="J383" i="2"/>
  <c r="N383" i="2"/>
  <c r="O383" i="2"/>
  <c r="D384" i="2"/>
  <c r="E384" i="2"/>
  <c r="I384" i="2"/>
  <c r="J384" i="2"/>
  <c r="N384" i="2"/>
  <c r="O384" i="2"/>
  <c r="D385" i="2"/>
  <c r="E385" i="2"/>
  <c r="I385" i="2"/>
  <c r="J385" i="2"/>
  <c r="N385" i="2"/>
  <c r="O385" i="2"/>
  <c r="D386" i="2"/>
  <c r="E386" i="2"/>
  <c r="I386" i="2"/>
  <c r="J386" i="2"/>
  <c r="N386" i="2"/>
  <c r="O386" i="2"/>
  <c r="D387" i="2"/>
  <c r="E387" i="2"/>
  <c r="I387" i="2"/>
  <c r="J387" i="2"/>
  <c r="N387" i="2"/>
  <c r="O387" i="2"/>
  <c r="D388" i="2"/>
  <c r="E388" i="2"/>
  <c r="I388" i="2"/>
  <c r="J388" i="2"/>
  <c r="N388" i="2"/>
  <c r="O388" i="2"/>
  <c r="D389" i="2"/>
  <c r="E389" i="2"/>
  <c r="I389" i="2"/>
  <c r="J389" i="2"/>
  <c r="N389" i="2"/>
  <c r="O389" i="2"/>
  <c r="D390" i="2"/>
  <c r="E390" i="2"/>
  <c r="I390" i="2"/>
  <c r="J390" i="2"/>
  <c r="N390" i="2"/>
  <c r="O390" i="2"/>
  <c r="D391" i="2"/>
  <c r="E391" i="2"/>
  <c r="I391" i="2"/>
  <c r="J391" i="2"/>
  <c r="N391" i="2"/>
  <c r="O391" i="2"/>
  <c r="D392" i="2"/>
  <c r="E392" i="2"/>
  <c r="I392" i="2"/>
  <c r="J392" i="2"/>
  <c r="N392" i="2"/>
  <c r="O392" i="2"/>
  <c r="D393" i="2"/>
  <c r="E393" i="2"/>
  <c r="I393" i="2"/>
  <c r="J393" i="2"/>
  <c r="N393" i="2"/>
  <c r="O393" i="2"/>
  <c r="D394" i="2"/>
  <c r="E394" i="2"/>
  <c r="I394" i="2"/>
  <c r="J394" i="2"/>
  <c r="N394" i="2"/>
  <c r="O394" i="2"/>
  <c r="D395" i="2"/>
  <c r="E395" i="2"/>
  <c r="I395" i="2"/>
  <c r="J395" i="2"/>
  <c r="N395" i="2"/>
  <c r="O395" i="2"/>
  <c r="D396" i="2"/>
  <c r="E396" i="2"/>
  <c r="I396" i="2"/>
  <c r="J396" i="2"/>
  <c r="N396" i="2"/>
  <c r="O396" i="2"/>
  <c r="D397" i="2"/>
  <c r="E397" i="2"/>
  <c r="I397" i="2"/>
  <c r="J397" i="2"/>
  <c r="N397" i="2"/>
  <c r="O397" i="2"/>
  <c r="D398" i="2"/>
  <c r="E398" i="2"/>
  <c r="I398" i="2"/>
  <c r="J398" i="2"/>
  <c r="N398" i="2"/>
  <c r="O398" i="2"/>
  <c r="D399" i="2"/>
  <c r="E399" i="2"/>
  <c r="I399" i="2"/>
  <c r="J399" i="2"/>
  <c r="N399" i="2"/>
  <c r="O399" i="2"/>
  <c r="D400" i="2"/>
  <c r="E400" i="2"/>
  <c r="I400" i="2"/>
  <c r="J400" i="2"/>
  <c r="N400" i="2"/>
  <c r="O400" i="2"/>
  <c r="D401" i="2"/>
  <c r="E401" i="2"/>
  <c r="I401" i="2"/>
  <c r="J401" i="2"/>
  <c r="N401" i="2"/>
  <c r="O401" i="2"/>
  <c r="D402" i="2"/>
  <c r="E402" i="2"/>
  <c r="I402" i="2"/>
  <c r="J402" i="2"/>
  <c r="N402" i="2"/>
  <c r="O402" i="2"/>
  <c r="D403" i="2"/>
  <c r="E403" i="2"/>
  <c r="I403" i="2"/>
  <c r="J403" i="2"/>
  <c r="N403" i="2"/>
  <c r="O403" i="2"/>
  <c r="D404" i="2"/>
  <c r="E404" i="2"/>
  <c r="I404" i="2"/>
  <c r="J404" i="2"/>
  <c r="N404" i="2"/>
  <c r="O404" i="2"/>
  <c r="D405" i="2"/>
  <c r="E405" i="2"/>
  <c r="I405" i="2"/>
  <c r="J405" i="2"/>
  <c r="N405" i="2"/>
  <c r="O405" i="2"/>
  <c r="D406" i="2"/>
  <c r="E406" i="2"/>
  <c r="I406" i="2"/>
  <c r="J406" i="2"/>
  <c r="N406" i="2"/>
  <c r="O406" i="2"/>
  <c r="D407" i="2"/>
  <c r="E407" i="2"/>
  <c r="I407" i="2"/>
  <c r="J407" i="2"/>
  <c r="N407" i="2"/>
  <c r="O407" i="2"/>
  <c r="D408" i="2"/>
  <c r="E408" i="2"/>
  <c r="I408" i="2"/>
  <c r="J408" i="2"/>
  <c r="N408" i="2"/>
  <c r="O408" i="2"/>
  <c r="D409" i="2"/>
  <c r="E409" i="2"/>
  <c r="I409" i="2"/>
  <c r="J409" i="2"/>
  <c r="N409" i="2"/>
  <c r="O409" i="2"/>
  <c r="D410" i="2"/>
  <c r="E410" i="2"/>
  <c r="I410" i="2"/>
  <c r="J410" i="2"/>
  <c r="N410" i="2"/>
  <c r="O410" i="2"/>
  <c r="D411" i="2"/>
  <c r="E411" i="2"/>
  <c r="I411" i="2"/>
  <c r="J411" i="2"/>
  <c r="N411" i="2"/>
  <c r="O411" i="2"/>
  <c r="D412" i="2"/>
  <c r="E412" i="2"/>
  <c r="I412" i="2"/>
  <c r="J412" i="2"/>
  <c r="N412" i="2"/>
  <c r="O412" i="2"/>
  <c r="D413" i="2"/>
  <c r="E413" i="2"/>
  <c r="I413" i="2"/>
  <c r="J413" i="2"/>
  <c r="N413" i="2"/>
  <c r="O413" i="2"/>
  <c r="D414" i="2"/>
  <c r="E414" i="2"/>
  <c r="I414" i="2"/>
  <c r="J414" i="2"/>
  <c r="N414" i="2"/>
  <c r="O414" i="2"/>
  <c r="D415" i="2"/>
  <c r="E415" i="2"/>
  <c r="I415" i="2"/>
  <c r="J415" i="2"/>
  <c r="N415" i="2"/>
  <c r="O415" i="2"/>
  <c r="D416" i="2"/>
  <c r="E416" i="2"/>
  <c r="I416" i="2"/>
  <c r="J416" i="2"/>
  <c r="N416" i="2"/>
  <c r="O416" i="2"/>
  <c r="D417" i="2"/>
  <c r="E417" i="2"/>
  <c r="I417" i="2"/>
  <c r="J417" i="2"/>
  <c r="N417" i="2"/>
  <c r="O417" i="2"/>
  <c r="D418" i="2"/>
  <c r="E418" i="2"/>
  <c r="I418" i="2"/>
  <c r="J418" i="2"/>
  <c r="N418" i="2"/>
  <c r="O418" i="2"/>
  <c r="D419" i="2"/>
  <c r="E419" i="2"/>
  <c r="I419" i="2"/>
  <c r="J419" i="2"/>
  <c r="N419" i="2"/>
  <c r="O419" i="2"/>
  <c r="D420" i="2"/>
  <c r="E420" i="2"/>
  <c r="I420" i="2"/>
  <c r="J420" i="2"/>
  <c r="N420" i="2"/>
  <c r="O420" i="2"/>
  <c r="D421" i="2"/>
  <c r="E421" i="2"/>
  <c r="I421" i="2"/>
  <c r="J421" i="2"/>
  <c r="N421" i="2"/>
  <c r="O421" i="2"/>
  <c r="D422" i="2"/>
  <c r="E422" i="2"/>
  <c r="I422" i="2"/>
  <c r="J422" i="2"/>
  <c r="N422" i="2"/>
  <c r="O422" i="2"/>
  <c r="D423" i="2"/>
  <c r="E423" i="2"/>
  <c r="I423" i="2"/>
  <c r="J423" i="2"/>
  <c r="N423" i="2"/>
  <c r="O423" i="2"/>
  <c r="D424" i="2"/>
  <c r="E424" i="2"/>
  <c r="I424" i="2"/>
  <c r="J424" i="2"/>
  <c r="N424" i="2"/>
  <c r="O424" i="2"/>
  <c r="D425" i="2"/>
  <c r="E425" i="2"/>
  <c r="I425" i="2"/>
  <c r="J425" i="2"/>
  <c r="N425" i="2"/>
  <c r="O425" i="2"/>
  <c r="D426" i="2"/>
  <c r="E426" i="2"/>
  <c r="I426" i="2"/>
  <c r="J426" i="2"/>
  <c r="N426" i="2"/>
  <c r="O426" i="2"/>
  <c r="D427" i="2"/>
  <c r="E427" i="2"/>
  <c r="I427" i="2"/>
  <c r="J427" i="2"/>
  <c r="N427" i="2"/>
  <c r="O427" i="2"/>
  <c r="D428" i="2"/>
  <c r="E428" i="2"/>
  <c r="I428" i="2"/>
  <c r="J428" i="2"/>
  <c r="N428" i="2"/>
  <c r="O428" i="2"/>
  <c r="D429" i="2"/>
  <c r="E429" i="2"/>
  <c r="I429" i="2"/>
  <c r="J429" i="2"/>
  <c r="N429" i="2"/>
  <c r="O429" i="2"/>
  <c r="D430" i="2"/>
  <c r="E430" i="2"/>
  <c r="I430" i="2"/>
  <c r="J430" i="2"/>
  <c r="N430" i="2"/>
  <c r="O430" i="2"/>
  <c r="D431" i="2"/>
  <c r="E431" i="2"/>
  <c r="I431" i="2"/>
  <c r="J431" i="2"/>
  <c r="N431" i="2"/>
  <c r="O431" i="2"/>
  <c r="D432" i="2"/>
  <c r="E432" i="2"/>
  <c r="I432" i="2"/>
  <c r="J432" i="2"/>
  <c r="N432" i="2"/>
  <c r="O432" i="2"/>
  <c r="D433" i="2"/>
  <c r="E433" i="2"/>
  <c r="I433" i="2"/>
  <c r="J433" i="2"/>
  <c r="N433" i="2"/>
  <c r="O433" i="2"/>
  <c r="D434" i="2"/>
  <c r="E434" i="2"/>
  <c r="I434" i="2"/>
  <c r="J434" i="2"/>
  <c r="N434" i="2"/>
  <c r="O434" i="2"/>
  <c r="D435" i="2"/>
  <c r="E435" i="2"/>
  <c r="I435" i="2"/>
  <c r="J435" i="2"/>
  <c r="N435" i="2"/>
  <c r="O435" i="2"/>
  <c r="D436" i="2"/>
  <c r="E436" i="2"/>
  <c r="I436" i="2"/>
  <c r="J436" i="2"/>
  <c r="N436" i="2"/>
  <c r="O436" i="2"/>
  <c r="D437" i="2"/>
  <c r="E437" i="2"/>
  <c r="I437" i="2"/>
  <c r="J437" i="2"/>
  <c r="N437" i="2"/>
  <c r="O437" i="2"/>
  <c r="D438" i="2"/>
  <c r="E438" i="2"/>
  <c r="I438" i="2"/>
  <c r="J438" i="2"/>
  <c r="N438" i="2"/>
  <c r="O438" i="2"/>
  <c r="D439" i="2"/>
  <c r="E439" i="2"/>
  <c r="I439" i="2"/>
  <c r="J439" i="2"/>
  <c r="N439" i="2"/>
  <c r="O439" i="2"/>
  <c r="D440" i="2"/>
  <c r="E440" i="2"/>
  <c r="I440" i="2"/>
  <c r="J440" i="2"/>
  <c r="N440" i="2"/>
  <c r="O440" i="2"/>
  <c r="D441" i="2"/>
  <c r="E441" i="2"/>
  <c r="I441" i="2"/>
  <c r="J441" i="2"/>
  <c r="N441" i="2"/>
  <c r="O441" i="2"/>
  <c r="D442" i="2"/>
  <c r="E442" i="2"/>
  <c r="I442" i="2"/>
  <c r="J442" i="2"/>
  <c r="N442" i="2"/>
  <c r="O442" i="2"/>
  <c r="D443" i="2"/>
  <c r="E443" i="2"/>
  <c r="I443" i="2"/>
  <c r="J443" i="2"/>
  <c r="N443" i="2"/>
  <c r="O443" i="2"/>
  <c r="D444" i="2"/>
  <c r="E444" i="2"/>
  <c r="I444" i="2"/>
  <c r="J444" i="2"/>
  <c r="N444" i="2"/>
  <c r="O444" i="2"/>
  <c r="D445" i="2"/>
  <c r="E445" i="2"/>
  <c r="I445" i="2"/>
  <c r="J445" i="2"/>
  <c r="N445" i="2"/>
  <c r="O445" i="2"/>
  <c r="D446" i="2"/>
  <c r="E446" i="2"/>
  <c r="I446" i="2"/>
  <c r="J446" i="2"/>
  <c r="N446" i="2"/>
  <c r="O446" i="2"/>
  <c r="D447" i="2"/>
  <c r="E447" i="2"/>
  <c r="I447" i="2"/>
  <c r="J447" i="2"/>
  <c r="N447" i="2"/>
  <c r="O447" i="2"/>
  <c r="D448" i="2"/>
  <c r="E448" i="2"/>
  <c r="I448" i="2"/>
  <c r="J448" i="2"/>
  <c r="N448" i="2"/>
  <c r="O448" i="2"/>
  <c r="D449" i="2"/>
  <c r="E449" i="2"/>
  <c r="I449" i="2"/>
  <c r="J449" i="2"/>
  <c r="N449" i="2"/>
  <c r="O449" i="2"/>
  <c r="D450" i="2"/>
  <c r="E450" i="2"/>
  <c r="I450" i="2"/>
  <c r="J450" i="2"/>
  <c r="N450" i="2"/>
  <c r="O450" i="2"/>
  <c r="D451" i="2"/>
  <c r="E451" i="2"/>
  <c r="I451" i="2"/>
  <c r="J451" i="2"/>
  <c r="N451" i="2"/>
  <c r="O451" i="2"/>
  <c r="D452" i="2"/>
  <c r="E452" i="2"/>
  <c r="I452" i="2"/>
  <c r="J452" i="2"/>
  <c r="N452" i="2"/>
  <c r="O452" i="2"/>
  <c r="D453" i="2"/>
  <c r="E453" i="2"/>
  <c r="I453" i="2"/>
  <c r="J453" i="2"/>
  <c r="N453" i="2"/>
  <c r="O453" i="2"/>
  <c r="D454" i="2"/>
  <c r="E454" i="2"/>
  <c r="I454" i="2"/>
  <c r="J454" i="2"/>
  <c r="N454" i="2"/>
  <c r="O454" i="2"/>
  <c r="D455" i="2"/>
  <c r="E455" i="2"/>
  <c r="I455" i="2"/>
  <c r="J455" i="2"/>
  <c r="N455" i="2"/>
  <c r="O455" i="2"/>
  <c r="D456" i="2"/>
  <c r="E456" i="2"/>
  <c r="I456" i="2"/>
  <c r="J456" i="2"/>
  <c r="N456" i="2"/>
  <c r="O456" i="2"/>
  <c r="D457" i="2"/>
  <c r="E457" i="2"/>
  <c r="I457" i="2"/>
  <c r="J457" i="2"/>
  <c r="N457" i="2"/>
  <c r="O457" i="2"/>
  <c r="D458" i="2"/>
  <c r="E458" i="2"/>
  <c r="I458" i="2"/>
  <c r="J458" i="2"/>
  <c r="N458" i="2"/>
  <c r="O458" i="2"/>
  <c r="D459" i="2"/>
  <c r="E459" i="2"/>
  <c r="I459" i="2"/>
  <c r="J459" i="2"/>
  <c r="N459" i="2"/>
  <c r="O459" i="2"/>
  <c r="D460" i="2"/>
  <c r="E460" i="2"/>
  <c r="I460" i="2"/>
  <c r="J460" i="2"/>
  <c r="N460" i="2"/>
  <c r="O460" i="2"/>
  <c r="D461" i="2"/>
  <c r="E461" i="2"/>
  <c r="I461" i="2"/>
  <c r="J461" i="2"/>
  <c r="N461" i="2"/>
  <c r="O461" i="2"/>
  <c r="D462" i="2"/>
  <c r="E462" i="2"/>
  <c r="I462" i="2"/>
  <c r="J462" i="2"/>
  <c r="N462" i="2"/>
  <c r="O462" i="2"/>
  <c r="D463" i="2"/>
  <c r="E463" i="2"/>
  <c r="I463" i="2"/>
  <c r="J463" i="2"/>
  <c r="N463" i="2"/>
  <c r="O463" i="2"/>
  <c r="D464" i="2"/>
  <c r="E464" i="2"/>
  <c r="I464" i="2"/>
  <c r="J464" i="2"/>
  <c r="N464" i="2"/>
  <c r="O464" i="2"/>
  <c r="D465" i="2"/>
  <c r="E465" i="2"/>
  <c r="I465" i="2"/>
  <c r="J465" i="2"/>
  <c r="N465" i="2"/>
  <c r="O465" i="2"/>
  <c r="D466" i="2"/>
  <c r="E466" i="2"/>
  <c r="I466" i="2"/>
  <c r="J466" i="2"/>
  <c r="N466" i="2"/>
  <c r="O466" i="2"/>
  <c r="D467" i="2"/>
  <c r="E467" i="2"/>
  <c r="I467" i="2"/>
  <c r="J467" i="2"/>
  <c r="N467" i="2"/>
  <c r="O467" i="2"/>
  <c r="D468" i="2"/>
  <c r="E468" i="2"/>
  <c r="I468" i="2"/>
  <c r="J468" i="2"/>
  <c r="N468" i="2"/>
  <c r="O468" i="2"/>
  <c r="D469" i="2"/>
  <c r="E469" i="2"/>
  <c r="I469" i="2"/>
  <c r="J469" i="2"/>
  <c r="N469" i="2"/>
  <c r="O469" i="2"/>
  <c r="D470" i="2"/>
  <c r="E470" i="2"/>
  <c r="I470" i="2"/>
  <c r="J470" i="2"/>
  <c r="N470" i="2"/>
  <c r="O470" i="2"/>
  <c r="D471" i="2"/>
  <c r="E471" i="2"/>
  <c r="I471" i="2"/>
  <c r="J471" i="2"/>
  <c r="N471" i="2"/>
  <c r="O471" i="2"/>
  <c r="D472" i="2"/>
  <c r="E472" i="2"/>
  <c r="I472" i="2"/>
  <c r="J472" i="2"/>
  <c r="N472" i="2"/>
  <c r="O472" i="2"/>
  <c r="D473" i="2"/>
  <c r="E473" i="2"/>
  <c r="I473" i="2"/>
  <c r="J473" i="2"/>
  <c r="N473" i="2"/>
  <c r="O473" i="2"/>
  <c r="D474" i="2"/>
  <c r="E474" i="2"/>
  <c r="I474" i="2"/>
  <c r="J474" i="2"/>
  <c r="N474" i="2"/>
  <c r="O474" i="2"/>
  <c r="D475" i="2"/>
  <c r="E475" i="2"/>
  <c r="I475" i="2"/>
  <c r="J475" i="2"/>
  <c r="N475" i="2"/>
  <c r="O475" i="2"/>
  <c r="D476" i="2"/>
  <c r="E476" i="2"/>
  <c r="I476" i="2"/>
  <c r="J476" i="2"/>
  <c r="N476" i="2"/>
  <c r="O476" i="2"/>
  <c r="D477" i="2"/>
  <c r="E477" i="2"/>
  <c r="I477" i="2"/>
  <c r="J477" i="2"/>
  <c r="N477" i="2"/>
  <c r="O477" i="2"/>
  <c r="D478" i="2"/>
  <c r="E478" i="2"/>
  <c r="I478" i="2"/>
  <c r="J478" i="2"/>
  <c r="N478" i="2"/>
  <c r="O478" i="2"/>
  <c r="D479" i="2"/>
  <c r="E479" i="2"/>
  <c r="I479" i="2"/>
  <c r="J479" i="2"/>
  <c r="N479" i="2"/>
  <c r="O479" i="2"/>
  <c r="D480" i="2"/>
  <c r="E480" i="2"/>
  <c r="I480" i="2"/>
  <c r="J480" i="2"/>
  <c r="N480" i="2"/>
  <c r="O480" i="2"/>
  <c r="D481" i="2"/>
  <c r="E481" i="2"/>
  <c r="I481" i="2"/>
  <c r="J481" i="2"/>
  <c r="N481" i="2"/>
  <c r="O481" i="2"/>
  <c r="D482" i="2"/>
  <c r="E482" i="2"/>
  <c r="I482" i="2"/>
  <c r="J482" i="2"/>
  <c r="N482" i="2"/>
  <c r="O482" i="2"/>
  <c r="D483" i="2"/>
  <c r="E483" i="2"/>
  <c r="I483" i="2"/>
  <c r="J483" i="2"/>
  <c r="N483" i="2"/>
  <c r="O483" i="2"/>
  <c r="D484" i="2"/>
  <c r="E484" i="2"/>
  <c r="I484" i="2"/>
  <c r="J484" i="2"/>
  <c r="N484" i="2"/>
  <c r="O484" i="2"/>
  <c r="D485" i="2"/>
  <c r="E485" i="2"/>
  <c r="I485" i="2"/>
  <c r="J485" i="2"/>
  <c r="N485" i="2"/>
  <c r="O485" i="2"/>
  <c r="D486" i="2"/>
  <c r="E486" i="2"/>
  <c r="I486" i="2"/>
  <c r="J486" i="2"/>
  <c r="N486" i="2"/>
  <c r="O486" i="2"/>
  <c r="D487" i="2"/>
  <c r="E487" i="2"/>
  <c r="I487" i="2"/>
  <c r="J487" i="2"/>
  <c r="N487" i="2"/>
  <c r="O487" i="2"/>
  <c r="D488" i="2"/>
  <c r="E488" i="2"/>
  <c r="I488" i="2"/>
  <c r="J488" i="2"/>
  <c r="N488" i="2"/>
  <c r="O488" i="2"/>
  <c r="D489" i="2"/>
  <c r="E489" i="2"/>
  <c r="I489" i="2"/>
  <c r="J489" i="2"/>
  <c r="N489" i="2"/>
  <c r="O489" i="2"/>
  <c r="D490" i="2"/>
  <c r="E490" i="2"/>
  <c r="I490" i="2"/>
  <c r="J490" i="2"/>
  <c r="N490" i="2"/>
  <c r="O490" i="2"/>
  <c r="D491" i="2"/>
  <c r="E491" i="2"/>
  <c r="I491" i="2"/>
  <c r="J491" i="2"/>
  <c r="N491" i="2"/>
  <c r="O491" i="2"/>
  <c r="D492" i="2"/>
  <c r="E492" i="2"/>
  <c r="I492" i="2"/>
  <c r="J492" i="2"/>
  <c r="N492" i="2"/>
  <c r="O492" i="2"/>
  <c r="D493" i="2"/>
  <c r="E493" i="2"/>
  <c r="I493" i="2"/>
  <c r="J493" i="2"/>
  <c r="N493" i="2"/>
  <c r="O493" i="2"/>
  <c r="D494" i="2"/>
  <c r="E494" i="2"/>
  <c r="I494" i="2"/>
  <c r="J494" i="2"/>
  <c r="N494" i="2"/>
  <c r="O494" i="2"/>
  <c r="D495" i="2"/>
  <c r="E495" i="2"/>
  <c r="I495" i="2"/>
  <c r="J495" i="2"/>
  <c r="N495" i="2"/>
  <c r="O495" i="2"/>
  <c r="D496" i="2"/>
  <c r="E496" i="2"/>
  <c r="I496" i="2"/>
  <c r="J496" i="2"/>
  <c r="N496" i="2"/>
  <c r="O496" i="2"/>
  <c r="D497" i="2"/>
  <c r="E497" i="2"/>
  <c r="I497" i="2"/>
  <c r="J497" i="2"/>
  <c r="N497" i="2"/>
  <c r="O497" i="2"/>
  <c r="D498" i="2"/>
  <c r="E498" i="2"/>
  <c r="I498" i="2"/>
  <c r="J498" i="2"/>
  <c r="N498" i="2"/>
  <c r="O498" i="2"/>
  <c r="D499" i="2"/>
  <c r="E499" i="2"/>
  <c r="I499" i="2"/>
  <c r="J499" i="2"/>
  <c r="N499" i="2"/>
  <c r="O499" i="2"/>
  <c r="D500" i="2"/>
  <c r="E500" i="2"/>
  <c r="I500" i="2"/>
  <c r="J500" i="2"/>
  <c r="N500" i="2"/>
  <c r="O500" i="2"/>
  <c r="D501" i="2"/>
  <c r="E501" i="2"/>
  <c r="I501" i="2"/>
  <c r="J501" i="2"/>
  <c r="N501" i="2"/>
  <c r="O501" i="2"/>
  <c r="D502" i="2"/>
  <c r="E502" i="2"/>
  <c r="I502" i="2"/>
  <c r="J502" i="2"/>
  <c r="N502" i="2"/>
  <c r="O502" i="2"/>
  <c r="D503" i="2"/>
  <c r="E503" i="2"/>
  <c r="I503" i="2"/>
  <c r="J503" i="2"/>
  <c r="N503" i="2"/>
  <c r="O503" i="2"/>
  <c r="D504" i="2"/>
  <c r="E504" i="2"/>
  <c r="I504" i="2"/>
  <c r="J504" i="2"/>
  <c r="N504" i="2"/>
  <c r="O504" i="2"/>
  <c r="D505" i="2"/>
  <c r="E505" i="2"/>
  <c r="I505" i="2"/>
  <c r="J505" i="2"/>
  <c r="N505" i="2"/>
  <c r="O505" i="2"/>
  <c r="D506" i="2"/>
  <c r="E506" i="2"/>
  <c r="I506" i="2"/>
  <c r="J506" i="2"/>
  <c r="N506" i="2"/>
  <c r="O506" i="2"/>
  <c r="D507" i="2"/>
  <c r="E507" i="2"/>
  <c r="I507" i="2"/>
  <c r="J507" i="2"/>
  <c r="N507" i="2"/>
  <c r="O507" i="2"/>
  <c r="D508" i="2"/>
  <c r="E508" i="2"/>
  <c r="I508" i="2"/>
  <c r="J508" i="2"/>
  <c r="N508" i="2"/>
  <c r="O508" i="2"/>
  <c r="D509" i="2"/>
  <c r="E509" i="2"/>
  <c r="I509" i="2"/>
  <c r="J509" i="2"/>
  <c r="N509" i="2"/>
  <c r="O509" i="2"/>
  <c r="D510" i="2"/>
  <c r="E510" i="2"/>
  <c r="I510" i="2"/>
  <c r="J510" i="2"/>
  <c r="N510" i="2"/>
  <c r="O510" i="2"/>
  <c r="D511" i="2"/>
  <c r="E511" i="2"/>
  <c r="I511" i="2"/>
  <c r="J511" i="2"/>
  <c r="N511" i="2"/>
  <c r="O511" i="2"/>
  <c r="D512" i="2"/>
  <c r="E512" i="2"/>
  <c r="I512" i="2"/>
  <c r="J512" i="2"/>
  <c r="N512" i="2"/>
  <c r="O512" i="2"/>
  <c r="D513" i="2"/>
  <c r="E513" i="2"/>
  <c r="I513" i="2"/>
  <c r="J513" i="2"/>
  <c r="N513" i="2"/>
  <c r="O513" i="2"/>
  <c r="D514" i="2"/>
  <c r="E514" i="2"/>
  <c r="I514" i="2"/>
  <c r="J514" i="2"/>
  <c r="N514" i="2"/>
  <c r="O514" i="2"/>
  <c r="D515" i="2"/>
  <c r="E515" i="2"/>
  <c r="I515" i="2"/>
  <c r="J515" i="2"/>
  <c r="N515" i="2"/>
  <c r="O515" i="2"/>
  <c r="D516" i="2"/>
  <c r="E516" i="2"/>
  <c r="I516" i="2"/>
  <c r="J516" i="2"/>
  <c r="N516" i="2"/>
  <c r="O516" i="2"/>
  <c r="D517" i="2"/>
  <c r="E517" i="2"/>
  <c r="I517" i="2"/>
  <c r="J517" i="2"/>
  <c r="N517" i="2"/>
  <c r="O517" i="2"/>
  <c r="D518" i="2"/>
  <c r="E518" i="2"/>
  <c r="I518" i="2"/>
  <c r="J518" i="2"/>
  <c r="N518" i="2"/>
  <c r="O518" i="2"/>
  <c r="D519" i="2"/>
  <c r="E519" i="2"/>
  <c r="I519" i="2"/>
  <c r="J519" i="2"/>
  <c r="N519" i="2"/>
  <c r="O519" i="2"/>
  <c r="D520" i="2"/>
  <c r="E520" i="2"/>
  <c r="I520" i="2"/>
  <c r="J520" i="2"/>
  <c r="N520" i="2"/>
  <c r="O520" i="2"/>
  <c r="D521" i="2"/>
  <c r="E521" i="2"/>
  <c r="I521" i="2"/>
  <c r="J521" i="2"/>
  <c r="N521" i="2"/>
  <c r="O521" i="2"/>
  <c r="D522" i="2"/>
  <c r="E522" i="2"/>
  <c r="I522" i="2"/>
  <c r="J522" i="2"/>
  <c r="N522" i="2"/>
  <c r="O522" i="2"/>
  <c r="D523" i="2"/>
  <c r="E523" i="2"/>
  <c r="I523" i="2"/>
  <c r="J523" i="2"/>
  <c r="N523" i="2"/>
  <c r="O523" i="2"/>
  <c r="D524" i="2"/>
  <c r="E524" i="2"/>
  <c r="I524" i="2"/>
  <c r="J524" i="2"/>
  <c r="N524" i="2"/>
  <c r="O524" i="2"/>
  <c r="D525" i="2"/>
  <c r="E525" i="2"/>
  <c r="I525" i="2"/>
  <c r="J525" i="2"/>
  <c r="N525" i="2"/>
  <c r="O525" i="2"/>
  <c r="D526" i="2"/>
  <c r="E526" i="2"/>
  <c r="I526" i="2"/>
  <c r="J526" i="2"/>
  <c r="N526" i="2"/>
  <c r="O526" i="2"/>
  <c r="D527" i="2"/>
  <c r="E527" i="2"/>
  <c r="I527" i="2"/>
  <c r="J527" i="2"/>
  <c r="N527" i="2"/>
  <c r="O527" i="2"/>
  <c r="D528" i="2"/>
  <c r="E528" i="2"/>
  <c r="I528" i="2"/>
  <c r="J528" i="2"/>
  <c r="N528" i="2"/>
  <c r="O528" i="2"/>
  <c r="D529" i="2"/>
  <c r="E529" i="2"/>
  <c r="I529" i="2"/>
  <c r="J529" i="2"/>
  <c r="N529" i="2"/>
  <c r="O529" i="2"/>
  <c r="D530" i="2"/>
  <c r="E530" i="2"/>
  <c r="I530" i="2"/>
  <c r="J530" i="2"/>
  <c r="N530" i="2"/>
  <c r="O530" i="2"/>
  <c r="D531" i="2"/>
  <c r="E531" i="2"/>
  <c r="I531" i="2"/>
  <c r="J531" i="2"/>
  <c r="N531" i="2"/>
  <c r="O531" i="2"/>
  <c r="D532" i="2"/>
  <c r="E532" i="2"/>
  <c r="I532" i="2"/>
  <c r="J532" i="2"/>
  <c r="N532" i="2"/>
  <c r="O532" i="2"/>
  <c r="D533" i="2"/>
  <c r="E533" i="2"/>
  <c r="I533" i="2"/>
  <c r="J533" i="2"/>
  <c r="N533" i="2"/>
  <c r="O533" i="2"/>
  <c r="D534" i="2"/>
  <c r="E534" i="2"/>
  <c r="I534" i="2"/>
  <c r="J534" i="2"/>
  <c r="N534" i="2"/>
  <c r="O534" i="2"/>
  <c r="D535" i="2"/>
  <c r="E535" i="2"/>
  <c r="I535" i="2"/>
  <c r="J535" i="2"/>
  <c r="N535" i="2"/>
  <c r="O535" i="2"/>
  <c r="D536" i="2"/>
  <c r="E536" i="2"/>
  <c r="I536" i="2"/>
  <c r="J536" i="2"/>
  <c r="N536" i="2"/>
  <c r="O536" i="2"/>
  <c r="D537" i="2"/>
  <c r="E537" i="2"/>
  <c r="I537" i="2"/>
  <c r="J537" i="2"/>
  <c r="N537" i="2"/>
  <c r="O537" i="2"/>
  <c r="D538" i="2"/>
  <c r="E538" i="2"/>
  <c r="I538" i="2"/>
  <c r="J538" i="2"/>
  <c r="N538" i="2"/>
  <c r="O538" i="2"/>
  <c r="D539" i="2"/>
  <c r="E539" i="2"/>
  <c r="I539" i="2"/>
  <c r="J539" i="2"/>
  <c r="N539" i="2"/>
  <c r="O539" i="2"/>
  <c r="D540" i="2"/>
  <c r="E540" i="2"/>
  <c r="I540" i="2"/>
  <c r="J540" i="2"/>
  <c r="N540" i="2"/>
  <c r="O540" i="2"/>
  <c r="D541" i="2"/>
  <c r="E541" i="2"/>
  <c r="I541" i="2"/>
  <c r="J541" i="2"/>
  <c r="N541" i="2"/>
  <c r="O541" i="2"/>
  <c r="D542" i="2"/>
  <c r="E542" i="2"/>
  <c r="I542" i="2"/>
  <c r="J542" i="2"/>
  <c r="N542" i="2"/>
  <c r="O542" i="2"/>
  <c r="D543" i="2"/>
  <c r="E543" i="2"/>
  <c r="I543" i="2"/>
  <c r="J543" i="2"/>
  <c r="N543" i="2"/>
  <c r="O543" i="2"/>
  <c r="D544" i="2"/>
  <c r="E544" i="2"/>
  <c r="I544" i="2"/>
  <c r="J544" i="2"/>
  <c r="N544" i="2"/>
  <c r="O544" i="2"/>
  <c r="D545" i="2"/>
  <c r="E545" i="2"/>
  <c r="I545" i="2"/>
  <c r="J545" i="2"/>
  <c r="N545" i="2"/>
  <c r="O545" i="2"/>
  <c r="D546" i="2"/>
  <c r="E546" i="2"/>
  <c r="I546" i="2"/>
  <c r="J546" i="2"/>
  <c r="N546" i="2"/>
  <c r="O546" i="2"/>
  <c r="D547" i="2"/>
  <c r="E547" i="2"/>
  <c r="I547" i="2"/>
  <c r="J547" i="2"/>
  <c r="N547" i="2"/>
  <c r="O547" i="2"/>
  <c r="D548" i="2"/>
  <c r="E548" i="2"/>
  <c r="I548" i="2"/>
  <c r="J548" i="2"/>
  <c r="N548" i="2"/>
  <c r="O548" i="2"/>
  <c r="D549" i="2"/>
  <c r="E549" i="2"/>
  <c r="I549" i="2"/>
  <c r="J549" i="2"/>
  <c r="N549" i="2"/>
  <c r="O549" i="2"/>
  <c r="D550" i="2"/>
  <c r="E550" i="2"/>
  <c r="I550" i="2"/>
  <c r="J550" i="2"/>
  <c r="N550" i="2"/>
  <c r="O550" i="2"/>
  <c r="D551" i="2"/>
  <c r="E551" i="2"/>
  <c r="I551" i="2"/>
  <c r="J551" i="2"/>
  <c r="N551" i="2"/>
  <c r="O551" i="2"/>
  <c r="D552" i="2"/>
  <c r="E552" i="2"/>
  <c r="I552" i="2"/>
  <c r="J552" i="2"/>
  <c r="N552" i="2"/>
  <c r="O552" i="2"/>
  <c r="D553" i="2"/>
  <c r="E553" i="2"/>
  <c r="I553" i="2"/>
  <c r="J553" i="2"/>
  <c r="N553" i="2"/>
  <c r="O553" i="2"/>
  <c r="D554" i="2"/>
  <c r="E554" i="2"/>
  <c r="I554" i="2"/>
  <c r="J554" i="2"/>
  <c r="N554" i="2"/>
  <c r="O554" i="2"/>
  <c r="D555" i="2"/>
  <c r="E555" i="2"/>
  <c r="I555" i="2"/>
  <c r="J555" i="2"/>
  <c r="N555" i="2"/>
  <c r="O555" i="2"/>
  <c r="D556" i="2"/>
  <c r="E556" i="2"/>
  <c r="I556" i="2"/>
  <c r="J556" i="2"/>
  <c r="N556" i="2"/>
  <c r="O556" i="2"/>
  <c r="D557" i="2"/>
  <c r="E557" i="2"/>
  <c r="I557" i="2"/>
  <c r="J557" i="2"/>
  <c r="N557" i="2"/>
  <c r="O557" i="2"/>
  <c r="D558" i="2"/>
  <c r="E558" i="2"/>
  <c r="I558" i="2"/>
  <c r="J558" i="2"/>
  <c r="N558" i="2"/>
  <c r="O558" i="2"/>
  <c r="D559" i="2"/>
  <c r="E559" i="2"/>
  <c r="I559" i="2"/>
  <c r="J559" i="2"/>
  <c r="N559" i="2"/>
  <c r="O559" i="2"/>
  <c r="D560" i="2"/>
  <c r="E560" i="2"/>
  <c r="I560" i="2"/>
  <c r="J560" i="2"/>
  <c r="N560" i="2"/>
  <c r="O560" i="2"/>
  <c r="D561" i="2"/>
  <c r="E561" i="2"/>
  <c r="I561" i="2"/>
  <c r="J561" i="2"/>
  <c r="N561" i="2"/>
  <c r="O561" i="2"/>
  <c r="D562" i="2"/>
  <c r="E562" i="2"/>
  <c r="I562" i="2"/>
  <c r="J562" i="2"/>
  <c r="N562" i="2"/>
  <c r="O562" i="2"/>
  <c r="D563" i="2"/>
  <c r="E563" i="2"/>
  <c r="I563" i="2"/>
  <c r="J563" i="2"/>
  <c r="N563" i="2"/>
  <c r="O563" i="2"/>
  <c r="D564" i="2"/>
  <c r="E564" i="2"/>
  <c r="I564" i="2"/>
  <c r="J564" i="2"/>
  <c r="N564" i="2"/>
  <c r="O564" i="2"/>
  <c r="D565" i="2"/>
  <c r="E565" i="2"/>
  <c r="I565" i="2"/>
  <c r="J565" i="2"/>
  <c r="N565" i="2"/>
  <c r="O565" i="2"/>
  <c r="D566" i="2"/>
  <c r="E566" i="2"/>
  <c r="I566" i="2"/>
  <c r="J566" i="2"/>
  <c r="N566" i="2"/>
  <c r="O566" i="2"/>
  <c r="D567" i="2"/>
  <c r="E567" i="2"/>
  <c r="I567" i="2"/>
  <c r="J567" i="2"/>
  <c r="N567" i="2"/>
  <c r="O567" i="2"/>
  <c r="D568" i="2"/>
  <c r="E568" i="2"/>
  <c r="I568" i="2"/>
  <c r="J568" i="2"/>
  <c r="N568" i="2"/>
  <c r="O568" i="2"/>
  <c r="D569" i="2"/>
  <c r="E569" i="2"/>
  <c r="I569" i="2"/>
  <c r="J569" i="2"/>
  <c r="N569" i="2"/>
  <c r="O569" i="2"/>
  <c r="D570" i="2"/>
  <c r="E570" i="2"/>
  <c r="I570" i="2"/>
  <c r="J570" i="2"/>
  <c r="N570" i="2"/>
  <c r="O570" i="2"/>
  <c r="D571" i="2"/>
  <c r="E571" i="2"/>
  <c r="I571" i="2"/>
  <c r="J571" i="2"/>
  <c r="N571" i="2"/>
  <c r="O571" i="2"/>
  <c r="D572" i="2"/>
  <c r="E572" i="2"/>
  <c r="I572" i="2"/>
  <c r="J572" i="2"/>
  <c r="N572" i="2"/>
  <c r="O572" i="2"/>
  <c r="D573" i="2"/>
  <c r="E573" i="2"/>
  <c r="I573" i="2"/>
  <c r="J573" i="2"/>
  <c r="N573" i="2"/>
  <c r="O573" i="2"/>
  <c r="D574" i="2"/>
  <c r="E574" i="2"/>
  <c r="I574" i="2"/>
  <c r="J574" i="2"/>
  <c r="N574" i="2"/>
  <c r="O574" i="2"/>
  <c r="D575" i="2"/>
  <c r="E575" i="2"/>
  <c r="I575" i="2"/>
  <c r="J575" i="2"/>
  <c r="N575" i="2"/>
  <c r="O575" i="2"/>
  <c r="D576" i="2"/>
  <c r="E576" i="2"/>
  <c r="I576" i="2"/>
  <c r="J576" i="2"/>
  <c r="N576" i="2"/>
  <c r="O576" i="2"/>
  <c r="D577" i="2"/>
  <c r="E577" i="2"/>
  <c r="I577" i="2"/>
  <c r="J577" i="2"/>
  <c r="N577" i="2"/>
  <c r="O577" i="2"/>
  <c r="D578" i="2"/>
  <c r="E578" i="2"/>
  <c r="I578" i="2"/>
  <c r="J578" i="2"/>
  <c r="N578" i="2"/>
  <c r="O578" i="2"/>
  <c r="D579" i="2"/>
  <c r="E579" i="2"/>
  <c r="I579" i="2"/>
  <c r="J579" i="2"/>
  <c r="N579" i="2"/>
  <c r="O579" i="2"/>
  <c r="D580" i="2"/>
  <c r="E580" i="2"/>
  <c r="I580" i="2"/>
  <c r="J580" i="2"/>
  <c r="N580" i="2"/>
  <c r="O580" i="2"/>
  <c r="D581" i="2"/>
  <c r="E581" i="2"/>
  <c r="I581" i="2"/>
  <c r="J581" i="2"/>
  <c r="N581" i="2"/>
  <c r="O581" i="2"/>
  <c r="D582" i="2"/>
  <c r="E582" i="2"/>
  <c r="I582" i="2"/>
  <c r="J582" i="2"/>
  <c r="N582" i="2"/>
  <c r="O582" i="2"/>
  <c r="D583" i="2"/>
  <c r="E583" i="2"/>
  <c r="I583" i="2"/>
  <c r="J583" i="2"/>
  <c r="N583" i="2"/>
  <c r="O583" i="2"/>
  <c r="D584" i="2"/>
  <c r="E584" i="2"/>
  <c r="I584" i="2"/>
  <c r="J584" i="2"/>
  <c r="N584" i="2"/>
  <c r="O584" i="2"/>
  <c r="D585" i="2"/>
  <c r="E585" i="2"/>
  <c r="I585" i="2"/>
  <c r="J585" i="2"/>
  <c r="N585" i="2"/>
  <c r="O585" i="2"/>
  <c r="D586" i="2"/>
  <c r="E586" i="2"/>
  <c r="I586" i="2"/>
  <c r="J586" i="2"/>
  <c r="N586" i="2"/>
  <c r="O586" i="2"/>
  <c r="D587" i="2"/>
  <c r="E587" i="2"/>
  <c r="I587" i="2"/>
  <c r="J587" i="2"/>
  <c r="N587" i="2"/>
  <c r="O587" i="2"/>
  <c r="D588" i="2"/>
  <c r="E588" i="2"/>
  <c r="I588" i="2"/>
  <c r="J588" i="2"/>
  <c r="N588" i="2"/>
  <c r="O588" i="2"/>
  <c r="D589" i="2"/>
  <c r="E589" i="2"/>
  <c r="I589" i="2"/>
  <c r="J589" i="2"/>
  <c r="N589" i="2"/>
  <c r="O589" i="2"/>
  <c r="D590" i="2"/>
  <c r="E590" i="2"/>
  <c r="I590" i="2"/>
  <c r="J590" i="2"/>
  <c r="N590" i="2"/>
  <c r="O590" i="2"/>
  <c r="D591" i="2"/>
  <c r="E591" i="2"/>
  <c r="I591" i="2"/>
  <c r="J591" i="2"/>
  <c r="N591" i="2"/>
  <c r="O591" i="2"/>
  <c r="D592" i="2"/>
  <c r="E592" i="2"/>
  <c r="I592" i="2"/>
  <c r="J592" i="2"/>
  <c r="N592" i="2"/>
  <c r="O592" i="2"/>
  <c r="D593" i="2"/>
  <c r="E593" i="2"/>
  <c r="I593" i="2"/>
  <c r="J593" i="2"/>
  <c r="N593" i="2"/>
  <c r="O593" i="2"/>
  <c r="D594" i="2"/>
  <c r="E594" i="2"/>
  <c r="I594" i="2"/>
  <c r="J594" i="2"/>
  <c r="N594" i="2"/>
  <c r="O594" i="2"/>
  <c r="D595" i="2"/>
  <c r="E595" i="2"/>
  <c r="I595" i="2"/>
  <c r="J595" i="2"/>
  <c r="N595" i="2"/>
  <c r="O595" i="2"/>
  <c r="D596" i="2"/>
  <c r="E596" i="2"/>
  <c r="I596" i="2"/>
  <c r="J596" i="2"/>
  <c r="N596" i="2"/>
  <c r="O596" i="2"/>
  <c r="D597" i="2"/>
  <c r="E597" i="2"/>
  <c r="I597" i="2"/>
  <c r="J597" i="2"/>
  <c r="N597" i="2"/>
  <c r="O597" i="2"/>
  <c r="D598" i="2"/>
  <c r="E598" i="2"/>
  <c r="I598" i="2"/>
  <c r="J598" i="2"/>
  <c r="N598" i="2"/>
  <c r="O598" i="2"/>
  <c r="D599" i="2"/>
  <c r="E599" i="2"/>
  <c r="I599" i="2"/>
  <c r="J599" i="2"/>
  <c r="N599" i="2"/>
  <c r="O599" i="2"/>
  <c r="D600" i="2"/>
  <c r="E600" i="2"/>
  <c r="I600" i="2"/>
  <c r="J600" i="2"/>
  <c r="N600" i="2"/>
  <c r="O600" i="2"/>
  <c r="D601" i="2"/>
  <c r="E601" i="2"/>
  <c r="I601" i="2"/>
  <c r="J601" i="2"/>
  <c r="N601" i="2"/>
  <c r="O601" i="2"/>
  <c r="D602" i="2"/>
  <c r="E602" i="2"/>
  <c r="I602" i="2"/>
  <c r="J602" i="2"/>
  <c r="N602" i="2"/>
  <c r="O602" i="2"/>
  <c r="D603" i="2"/>
  <c r="E603" i="2"/>
  <c r="I603" i="2"/>
  <c r="J603" i="2"/>
  <c r="N603" i="2"/>
  <c r="O603" i="2"/>
  <c r="D604" i="2"/>
  <c r="E604" i="2"/>
  <c r="I604" i="2"/>
  <c r="J604" i="2"/>
  <c r="N604" i="2"/>
  <c r="O604" i="2"/>
  <c r="D605" i="2"/>
  <c r="E605" i="2"/>
  <c r="I605" i="2"/>
  <c r="J605" i="2"/>
  <c r="N605" i="2"/>
  <c r="O605" i="2"/>
  <c r="D606" i="2"/>
  <c r="E606" i="2"/>
  <c r="I606" i="2"/>
  <c r="J606" i="2"/>
  <c r="N606" i="2"/>
  <c r="O606" i="2"/>
  <c r="D607" i="2"/>
  <c r="E607" i="2"/>
  <c r="I607" i="2"/>
  <c r="J607" i="2"/>
  <c r="N607" i="2"/>
  <c r="O607" i="2"/>
  <c r="D608" i="2"/>
  <c r="E608" i="2"/>
  <c r="I608" i="2"/>
  <c r="J608" i="2"/>
  <c r="N608" i="2"/>
  <c r="O608" i="2"/>
  <c r="D609" i="2"/>
  <c r="E609" i="2"/>
  <c r="I609" i="2"/>
  <c r="J609" i="2"/>
  <c r="N609" i="2"/>
  <c r="O609" i="2"/>
  <c r="D610" i="2"/>
  <c r="E610" i="2"/>
  <c r="I610" i="2"/>
  <c r="J610" i="2"/>
  <c r="N610" i="2"/>
  <c r="O610" i="2"/>
  <c r="D611" i="2"/>
  <c r="E611" i="2"/>
  <c r="I611" i="2"/>
  <c r="J611" i="2"/>
  <c r="N611" i="2"/>
  <c r="O611" i="2"/>
  <c r="D612" i="2"/>
  <c r="E612" i="2"/>
  <c r="I612" i="2"/>
  <c r="J612" i="2"/>
  <c r="N612" i="2"/>
  <c r="O612" i="2"/>
  <c r="D613" i="2"/>
  <c r="E613" i="2"/>
  <c r="I613" i="2"/>
  <c r="J613" i="2"/>
  <c r="N613" i="2"/>
  <c r="O613" i="2"/>
  <c r="D614" i="2"/>
  <c r="E614" i="2"/>
  <c r="I614" i="2"/>
  <c r="J614" i="2"/>
  <c r="N614" i="2"/>
  <c r="O614" i="2"/>
  <c r="D615" i="2"/>
  <c r="E615" i="2"/>
  <c r="I615" i="2"/>
  <c r="J615" i="2"/>
  <c r="N615" i="2"/>
  <c r="O615" i="2"/>
  <c r="D616" i="2"/>
  <c r="E616" i="2"/>
  <c r="I616" i="2"/>
  <c r="J616" i="2"/>
  <c r="N616" i="2"/>
  <c r="O616" i="2"/>
  <c r="D617" i="2"/>
  <c r="E617" i="2"/>
  <c r="I617" i="2"/>
  <c r="J617" i="2"/>
  <c r="N617" i="2"/>
  <c r="O617" i="2"/>
  <c r="D618" i="2"/>
  <c r="E618" i="2"/>
  <c r="I618" i="2"/>
  <c r="J618" i="2"/>
  <c r="N618" i="2"/>
  <c r="O618" i="2"/>
  <c r="D619" i="2"/>
  <c r="E619" i="2"/>
  <c r="I619" i="2"/>
  <c r="J619" i="2"/>
  <c r="N619" i="2"/>
  <c r="O619" i="2"/>
  <c r="D620" i="2"/>
  <c r="E620" i="2"/>
  <c r="I620" i="2"/>
  <c r="J620" i="2"/>
  <c r="N620" i="2"/>
  <c r="O620" i="2"/>
  <c r="D621" i="2"/>
  <c r="E621" i="2"/>
  <c r="I621" i="2"/>
  <c r="J621" i="2"/>
  <c r="N621" i="2"/>
  <c r="O621" i="2"/>
  <c r="D622" i="2"/>
  <c r="E622" i="2"/>
  <c r="I622" i="2"/>
  <c r="J622" i="2"/>
  <c r="N622" i="2"/>
  <c r="O622" i="2"/>
  <c r="D623" i="2"/>
  <c r="E623" i="2"/>
  <c r="I623" i="2"/>
  <c r="J623" i="2"/>
  <c r="N623" i="2"/>
  <c r="O623" i="2"/>
  <c r="D624" i="2"/>
  <c r="E624" i="2"/>
  <c r="I624" i="2"/>
  <c r="J624" i="2"/>
  <c r="N624" i="2"/>
  <c r="O624" i="2"/>
  <c r="D625" i="2"/>
  <c r="E625" i="2"/>
  <c r="I625" i="2"/>
  <c r="J625" i="2"/>
  <c r="N625" i="2"/>
  <c r="O625" i="2"/>
  <c r="D626" i="2"/>
  <c r="E626" i="2"/>
  <c r="I626" i="2"/>
  <c r="J626" i="2"/>
  <c r="N626" i="2"/>
  <c r="O626" i="2"/>
  <c r="D627" i="2"/>
  <c r="E627" i="2"/>
  <c r="I627" i="2"/>
  <c r="J627" i="2"/>
  <c r="N627" i="2"/>
  <c r="O627" i="2"/>
  <c r="D628" i="2"/>
  <c r="E628" i="2"/>
  <c r="I628" i="2"/>
  <c r="J628" i="2"/>
  <c r="N628" i="2"/>
  <c r="O628" i="2"/>
  <c r="D629" i="2"/>
  <c r="E629" i="2"/>
  <c r="I629" i="2"/>
  <c r="J629" i="2"/>
  <c r="N629" i="2"/>
  <c r="O629" i="2"/>
  <c r="D630" i="2"/>
  <c r="E630" i="2"/>
  <c r="I630" i="2"/>
  <c r="J630" i="2"/>
  <c r="N630" i="2"/>
  <c r="O630" i="2"/>
  <c r="D631" i="2"/>
  <c r="E631" i="2"/>
  <c r="I631" i="2"/>
  <c r="J631" i="2"/>
  <c r="N631" i="2"/>
  <c r="O631" i="2"/>
  <c r="D632" i="2"/>
  <c r="E632" i="2"/>
  <c r="I632" i="2"/>
  <c r="J632" i="2"/>
  <c r="N632" i="2"/>
  <c r="O632" i="2"/>
  <c r="D633" i="2"/>
  <c r="E633" i="2"/>
  <c r="I633" i="2"/>
  <c r="J633" i="2"/>
  <c r="N633" i="2"/>
  <c r="O633" i="2"/>
  <c r="D634" i="2"/>
  <c r="E634" i="2"/>
  <c r="I634" i="2"/>
  <c r="J634" i="2"/>
  <c r="N634" i="2"/>
  <c r="O634" i="2"/>
  <c r="D635" i="2"/>
  <c r="E635" i="2"/>
  <c r="I635" i="2"/>
  <c r="J635" i="2"/>
  <c r="N635" i="2"/>
  <c r="O635" i="2"/>
  <c r="D636" i="2"/>
  <c r="E636" i="2"/>
  <c r="I636" i="2"/>
  <c r="J636" i="2"/>
  <c r="N636" i="2"/>
  <c r="O636" i="2"/>
  <c r="D637" i="2"/>
  <c r="E637" i="2"/>
  <c r="I637" i="2"/>
  <c r="J637" i="2"/>
  <c r="N637" i="2"/>
  <c r="O637" i="2"/>
  <c r="D638" i="2"/>
  <c r="E638" i="2"/>
  <c r="I638" i="2"/>
  <c r="J638" i="2"/>
  <c r="N638" i="2"/>
  <c r="O638" i="2"/>
  <c r="D639" i="2"/>
  <c r="E639" i="2"/>
  <c r="I639" i="2"/>
  <c r="J639" i="2"/>
  <c r="N639" i="2"/>
  <c r="O639" i="2"/>
  <c r="D640" i="2"/>
  <c r="E640" i="2"/>
  <c r="I640" i="2"/>
  <c r="J640" i="2"/>
  <c r="N640" i="2"/>
  <c r="O640" i="2"/>
  <c r="D641" i="2"/>
  <c r="E641" i="2"/>
  <c r="I641" i="2"/>
  <c r="J641" i="2"/>
  <c r="N641" i="2"/>
  <c r="O641" i="2"/>
  <c r="D642" i="2"/>
  <c r="E642" i="2"/>
  <c r="I642" i="2"/>
  <c r="J642" i="2"/>
  <c r="N642" i="2"/>
  <c r="O642" i="2"/>
  <c r="D643" i="2"/>
  <c r="E643" i="2"/>
  <c r="I643" i="2"/>
  <c r="J643" i="2"/>
  <c r="N643" i="2"/>
  <c r="O643" i="2"/>
  <c r="D644" i="2"/>
  <c r="E644" i="2"/>
  <c r="I644" i="2"/>
  <c r="J644" i="2"/>
  <c r="N644" i="2"/>
  <c r="O644" i="2"/>
  <c r="D645" i="2"/>
  <c r="E645" i="2"/>
  <c r="I645" i="2"/>
  <c r="J645" i="2"/>
  <c r="N645" i="2"/>
  <c r="O645" i="2"/>
  <c r="D646" i="2"/>
  <c r="E646" i="2"/>
  <c r="I646" i="2"/>
  <c r="J646" i="2"/>
  <c r="N646" i="2"/>
  <c r="O646" i="2"/>
  <c r="D647" i="2"/>
  <c r="E647" i="2"/>
  <c r="I647" i="2"/>
  <c r="J647" i="2"/>
  <c r="N647" i="2"/>
  <c r="O647" i="2"/>
  <c r="D648" i="2"/>
  <c r="E648" i="2"/>
  <c r="I648" i="2"/>
  <c r="J648" i="2"/>
  <c r="N648" i="2"/>
  <c r="O648" i="2"/>
  <c r="D649" i="2"/>
  <c r="E649" i="2"/>
  <c r="I649" i="2"/>
  <c r="J649" i="2"/>
  <c r="N649" i="2"/>
  <c r="O649" i="2"/>
  <c r="D650" i="2"/>
  <c r="E650" i="2"/>
  <c r="I650" i="2"/>
  <c r="J650" i="2"/>
  <c r="N650" i="2"/>
  <c r="O650" i="2"/>
  <c r="D651" i="2"/>
  <c r="E651" i="2"/>
  <c r="I651" i="2"/>
  <c r="J651" i="2"/>
  <c r="N651" i="2"/>
  <c r="O651" i="2"/>
  <c r="D652" i="2"/>
  <c r="E652" i="2"/>
  <c r="I652" i="2"/>
  <c r="J652" i="2"/>
  <c r="N652" i="2"/>
  <c r="O652" i="2"/>
  <c r="D653" i="2"/>
  <c r="E653" i="2"/>
  <c r="I653" i="2"/>
  <c r="J653" i="2"/>
  <c r="N653" i="2"/>
  <c r="O653" i="2"/>
  <c r="D654" i="2"/>
  <c r="E654" i="2"/>
  <c r="I654" i="2"/>
  <c r="J654" i="2"/>
  <c r="N654" i="2"/>
  <c r="O654" i="2"/>
  <c r="D655" i="2"/>
  <c r="E655" i="2"/>
  <c r="I655" i="2"/>
  <c r="J655" i="2"/>
  <c r="N655" i="2"/>
  <c r="O655" i="2"/>
  <c r="D656" i="2"/>
  <c r="E656" i="2"/>
  <c r="I656" i="2"/>
  <c r="J656" i="2"/>
  <c r="N656" i="2"/>
  <c r="O656" i="2"/>
  <c r="D657" i="2"/>
  <c r="E657" i="2"/>
  <c r="I657" i="2"/>
  <c r="J657" i="2"/>
  <c r="N657" i="2"/>
  <c r="O657" i="2"/>
  <c r="D658" i="2"/>
  <c r="E658" i="2"/>
  <c r="I658" i="2"/>
  <c r="J658" i="2"/>
  <c r="N658" i="2"/>
  <c r="O658" i="2"/>
  <c r="D659" i="2"/>
  <c r="E659" i="2"/>
  <c r="I659" i="2"/>
  <c r="J659" i="2"/>
  <c r="N659" i="2"/>
  <c r="O659" i="2"/>
  <c r="D660" i="2"/>
  <c r="E660" i="2"/>
  <c r="I660" i="2"/>
  <c r="J660" i="2"/>
  <c r="N660" i="2"/>
  <c r="O660" i="2"/>
  <c r="D661" i="2"/>
  <c r="E661" i="2"/>
  <c r="I661" i="2"/>
  <c r="J661" i="2"/>
  <c r="N661" i="2"/>
  <c r="O661" i="2"/>
  <c r="D662" i="2"/>
  <c r="E662" i="2"/>
  <c r="I662" i="2"/>
  <c r="J662" i="2"/>
  <c r="N662" i="2"/>
  <c r="O662" i="2"/>
  <c r="D663" i="2"/>
  <c r="E663" i="2"/>
  <c r="I663" i="2"/>
  <c r="J663" i="2"/>
  <c r="N663" i="2"/>
  <c r="O663" i="2"/>
  <c r="D664" i="2"/>
  <c r="E664" i="2"/>
  <c r="I664" i="2"/>
  <c r="J664" i="2"/>
  <c r="N664" i="2"/>
  <c r="O664" i="2"/>
  <c r="D665" i="2"/>
  <c r="E665" i="2"/>
  <c r="I665" i="2"/>
  <c r="J665" i="2"/>
  <c r="N665" i="2"/>
  <c r="O665" i="2"/>
  <c r="D666" i="2"/>
  <c r="E666" i="2"/>
  <c r="I666" i="2"/>
  <c r="J666" i="2"/>
  <c r="N666" i="2"/>
  <c r="O666" i="2"/>
  <c r="D667" i="2"/>
  <c r="E667" i="2"/>
  <c r="I667" i="2"/>
  <c r="J667" i="2"/>
  <c r="N667" i="2"/>
  <c r="O667" i="2"/>
  <c r="D668" i="2"/>
  <c r="E668" i="2"/>
  <c r="I668" i="2"/>
  <c r="J668" i="2"/>
  <c r="N668" i="2"/>
  <c r="O668" i="2"/>
  <c r="D669" i="2"/>
  <c r="E669" i="2"/>
  <c r="I669" i="2"/>
  <c r="J669" i="2"/>
  <c r="N669" i="2"/>
  <c r="O669" i="2"/>
  <c r="D670" i="2"/>
  <c r="E670" i="2"/>
  <c r="I670" i="2"/>
  <c r="J670" i="2"/>
  <c r="N670" i="2"/>
  <c r="O670" i="2"/>
  <c r="D671" i="2"/>
  <c r="E671" i="2"/>
  <c r="I671" i="2"/>
  <c r="J671" i="2"/>
  <c r="N671" i="2"/>
  <c r="O671" i="2"/>
  <c r="D672" i="2"/>
  <c r="E672" i="2"/>
  <c r="I672" i="2"/>
  <c r="J672" i="2"/>
  <c r="N672" i="2"/>
  <c r="O672" i="2"/>
  <c r="D673" i="2"/>
  <c r="E673" i="2"/>
  <c r="I673" i="2"/>
  <c r="J673" i="2"/>
  <c r="N673" i="2"/>
  <c r="O673" i="2"/>
  <c r="D674" i="2"/>
  <c r="E674" i="2"/>
  <c r="I674" i="2"/>
  <c r="J674" i="2"/>
  <c r="N674" i="2"/>
  <c r="O674" i="2"/>
  <c r="D675" i="2"/>
  <c r="E675" i="2"/>
  <c r="I675" i="2"/>
  <c r="J675" i="2"/>
  <c r="N675" i="2"/>
  <c r="O675" i="2"/>
  <c r="D676" i="2"/>
  <c r="E676" i="2"/>
  <c r="I676" i="2"/>
  <c r="J676" i="2"/>
  <c r="N676" i="2"/>
  <c r="O676" i="2"/>
  <c r="D677" i="2"/>
  <c r="E677" i="2"/>
  <c r="I677" i="2"/>
  <c r="J677" i="2"/>
  <c r="N677" i="2"/>
  <c r="O677" i="2"/>
  <c r="D678" i="2"/>
  <c r="E678" i="2"/>
  <c r="I678" i="2"/>
  <c r="J678" i="2"/>
  <c r="N678" i="2"/>
  <c r="O678" i="2"/>
  <c r="D679" i="2"/>
  <c r="E679" i="2"/>
  <c r="I679" i="2"/>
  <c r="J679" i="2"/>
  <c r="N679" i="2"/>
  <c r="O679" i="2"/>
  <c r="D680" i="2"/>
  <c r="E680" i="2"/>
  <c r="I680" i="2"/>
  <c r="J680" i="2"/>
  <c r="N680" i="2"/>
  <c r="O680" i="2"/>
  <c r="D681" i="2"/>
  <c r="E681" i="2"/>
  <c r="I681" i="2"/>
  <c r="J681" i="2"/>
  <c r="N681" i="2"/>
  <c r="O681" i="2"/>
  <c r="D682" i="2"/>
  <c r="E682" i="2"/>
  <c r="I682" i="2"/>
  <c r="J682" i="2"/>
  <c r="N682" i="2"/>
  <c r="O682" i="2"/>
  <c r="D683" i="2"/>
  <c r="E683" i="2"/>
  <c r="I683" i="2"/>
  <c r="J683" i="2"/>
  <c r="N683" i="2"/>
  <c r="O683" i="2"/>
  <c r="D684" i="2"/>
  <c r="E684" i="2"/>
  <c r="I684" i="2"/>
  <c r="J684" i="2"/>
  <c r="N684" i="2"/>
  <c r="O684" i="2"/>
  <c r="D685" i="2"/>
  <c r="E685" i="2"/>
  <c r="I685" i="2"/>
  <c r="J685" i="2"/>
  <c r="N685" i="2"/>
  <c r="O685" i="2"/>
  <c r="D686" i="2"/>
  <c r="E686" i="2"/>
  <c r="I686" i="2"/>
  <c r="J686" i="2"/>
  <c r="N686" i="2"/>
  <c r="O686" i="2"/>
  <c r="D687" i="2"/>
  <c r="E687" i="2"/>
  <c r="I687" i="2"/>
  <c r="J687" i="2"/>
  <c r="N687" i="2"/>
  <c r="O687" i="2"/>
  <c r="D688" i="2"/>
  <c r="E688" i="2"/>
  <c r="I688" i="2"/>
  <c r="J688" i="2"/>
  <c r="N688" i="2"/>
  <c r="O688" i="2"/>
  <c r="D689" i="2"/>
  <c r="E689" i="2"/>
  <c r="I689" i="2"/>
  <c r="J689" i="2"/>
  <c r="N689" i="2"/>
  <c r="O689" i="2"/>
  <c r="D690" i="2"/>
  <c r="E690" i="2"/>
  <c r="I690" i="2"/>
  <c r="J690" i="2"/>
  <c r="N690" i="2"/>
  <c r="O690" i="2"/>
  <c r="D691" i="2"/>
  <c r="E691" i="2"/>
  <c r="I691" i="2"/>
  <c r="J691" i="2"/>
  <c r="N691" i="2"/>
  <c r="O691" i="2"/>
  <c r="D692" i="2"/>
  <c r="E692" i="2"/>
  <c r="I692" i="2"/>
  <c r="J692" i="2"/>
  <c r="N692" i="2"/>
  <c r="O692" i="2"/>
  <c r="D693" i="2"/>
  <c r="E693" i="2"/>
  <c r="I693" i="2"/>
  <c r="J693" i="2"/>
  <c r="N693" i="2"/>
  <c r="O693" i="2"/>
  <c r="D694" i="2"/>
  <c r="E694" i="2"/>
  <c r="I694" i="2"/>
  <c r="J694" i="2"/>
  <c r="N694" i="2"/>
  <c r="O694" i="2"/>
  <c r="D695" i="2"/>
  <c r="E695" i="2"/>
  <c r="I695" i="2"/>
  <c r="J695" i="2"/>
  <c r="N695" i="2"/>
  <c r="O695" i="2"/>
  <c r="D696" i="2"/>
  <c r="E696" i="2"/>
  <c r="I696" i="2"/>
  <c r="J696" i="2"/>
  <c r="N696" i="2"/>
  <c r="O696" i="2"/>
  <c r="D697" i="2"/>
  <c r="E697" i="2"/>
  <c r="I697" i="2"/>
  <c r="J697" i="2"/>
  <c r="N697" i="2"/>
  <c r="O697" i="2"/>
  <c r="D698" i="2"/>
  <c r="E698" i="2"/>
  <c r="I698" i="2"/>
  <c r="J698" i="2"/>
  <c r="N698" i="2"/>
  <c r="O698" i="2"/>
  <c r="D699" i="2"/>
  <c r="E699" i="2"/>
  <c r="I699" i="2"/>
  <c r="J699" i="2"/>
  <c r="N699" i="2"/>
  <c r="O699" i="2"/>
  <c r="D700" i="2"/>
  <c r="E700" i="2"/>
  <c r="I700" i="2"/>
  <c r="J700" i="2"/>
  <c r="N700" i="2"/>
  <c r="O700" i="2"/>
  <c r="D701" i="2"/>
  <c r="E701" i="2"/>
  <c r="I701" i="2"/>
  <c r="J701" i="2"/>
  <c r="N701" i="2"/>
  <c r="O701" i="2"/>
  <c r="D702" i="2"/>
  <c r="E702" i="2"/>
  <c r="I702" i="2"/>
  <c r="J702" i="2"/>
  <c r="N702" i="2"/>
  <c r="O702" i="2"/>
  <c r="D703" i="2"/>
  <c r="E703" i="2"/>
  <c r="I703" i="2"/>
  <c r="J703" i="2"/>
  <c r="N703" i="2"/>
  <c r="O703" i="2"/>
  <c r="D704" i="2"/>
  <c r="E704" i="2"/>
  <c r="I704" i="2"/>
  <c r="J704" i="2"/>
  <c r="N704" i="2"/>
  <c r="O704" i="2"/>
  <c r="D705" i="2"/>
  <c r="E705" i="2"/>
  <c r="I705" i="2"/>
  <c r="J705" i="2"/>
  <c r="N705" i="2"/>
  <c r="O705" i="2"/>
  <c r="D706" i="2"/>
  <c r="E706" i="2"/>
  <c r="I706" i="2"/>
  <c r="J706" i="2"/>
  <c r="N706" i="2"/>
  <c r="O706" i="2"/>
  <c r="D707" i="2"/>
  <c r="E707" i="2"/>
  <c r="I707" i="2"/>
  <c r="J707" i="2"/>
  <c r="N707" i="2"/>
  <c r="O707" i="2"/>
  <c r="D708" i="2"/>
  <c r="E708" i="2"/>
  <c r="I708" i="2"/>
  <c r="J708" i="2"/>
  <c r="N708" i="2"/>
  <c r="O708" i="2"/>
  <c r="D709" i="2"/>
  <c r="E709" i="2"/>
  <c r="I709" i="2"/>
  <c r="J709" i="2"/>
  <c r="N709" i="2"/>
  <c r="O709" i="2"/>
  <c r="D710" i="2"/>
  <c r="E710" i="2"/>
  <c r="I710" i="2"/>
  <c r="J710" i="2"/>
  <c r="N710" i="2"/>
  <c r="O710" i="2"/>
  <c r="D711" i="2"/>
  <c r="E711" i="2"/>
  <c r="I711" i="2"/>
  <c r="J711" i="2"/>
  <c r="N711" i="2"/>
  <c r="O711" i="2"/>
  <c r="D712" i="2"/>
  <c r="E712" i="2"/>
  <c r="I712" i="2"/>
  <c r="J712" i="2"/>
  <c r="N712" i="2"/>
  <c r="O712" i="2"/>
  <c r="D713" i="2"/>
  <c r="E713" i="2"/>
  <c r="I713" i="2"/>
  <c r="J713" i="2"/>
  <c r="N713" i="2"/>
  <c r="O713" i="2"/>
  <c r="D714" i="2"/>
  <c r="E714" i="2"/>
  <c r="I714" i="2"/>
  <c r="J714" i="2"/>
  <c r="N714" i="2"/>
  <c r="O714" i="2"/>
  <c r="D715" i="2"/>
  <c r="E715" i="2"/>
  <c r="I715" i="2"/>
  <c r="J715" i="2"/>
  <c r="N715" i="2"/>
  <c r="O715" i="2"/>
  <c r="D716" i="2"/>
  <c r="E716" i="2"/>
  <c r="I716" i="2"/>
  <c r="J716" i="2"/>
  <c r="N716" i="2"/>
  <c r="O716" i="2"/>
  <c r="D717" i="2"/>
  <c r="E717" i="2"/>
  <c r="I717" i="2"/>
  <c r="J717" i="2"/>
  <c r="N717" i="2"/>
  <c r="O717" i="2"/>
  <c r="D718" i="2"/>
  <c r="E718" i="2"/>
  <c r="I718" i="2"/>
  <c r="J718" i="2"/>
  <c r="N718" i="2"/>
  <c r="O718" i="2"/>
  <c r="D719" i="2"/>
  <c r="E719" i="2"/>
  <c r="I719" i="2"/>
  <c r="J719" i="2"/>
  <c r="N719" i="2"/>
  <c r="O719" i="2"/>
  <c r="D720" i="2"/>
  <c r="E720" i="2"/>
  <c r="I720" i="2"/>
  <c r="J720" i="2"/>
  <c r="N720" i="2"/>
  <c r="O720" i="2"/>
  <c r="D721" i="2"/>
  <c r="E721" i="2"/>
  <c r="I721" i="2"/>
  <c r="J721" i="2"/>
  <c r="N721" i="2"/>
  <c r="O721" i="2"/>
  <c r="D722" i="2"/>
  <c r="E722" i="2"/>
  <c r="I722" i="2"/>
  <c r="J722" i="2"/>
  <c r="N722" i="2"/>
  <c r="O722" i="2"/>
  <c r="D723" i="2"/>
  <c r="E723" i="2"/>
  <c r="I723" i="2"/>
  <c r="J723" i="2"/>
  <c r="N723" i="2"/>
  <c r="O723" i="2"/>
  <c r="D724" i="2"/>
  <c r="E724" i="2"/>
  <c r="I724" i="2"/>
  <c r="J724" i="2"/>
  <c r="N724" i="2"/>
  <c r="O724" i="2"/>
  <c r="D725" i="2"/>
  <c r="E725" i="2"/>
  <c r="I725" i="2"/>
  <c r="J725" i="2"/>
  <c r="N725" i="2"/>
  <c r="O725" i="2"/>
  <c r="D726" i="2"/>
  <c r="E726" i="2"/>
  <c r="I726" i="2"/>
  <c r="J726" i="2"/>
  <c r="N726" i="2"/>
  <c r="O726" i="2"/>
  <c r="D727" i="2"/>
  <c r="E727" i="2"/>
  <c r="I727" i="2"/>
  <c r="J727" i="2"/>
  <c r="N727" i="2"/>
  <c r="O727" i="2"/>
  <c r="D728" i="2"/>
  <c r="E728" i="2"/>
  <c r="I728" i="2"/>
  <c r="J728" i="2"/>
  <c r="N728" i="2"/>
  <c r="O728" i="2"/>
  <c r="D729" i="2"/>
  <c r="E729" i="2"/>
  <c r="I729" i="2"/>
  <c r="J729" i="2"/>
  <c r="N729" i="2"/>
  <c r="O729" i="2"/>
  <c r="D730" i="2"/>
  <c r="E730" i="2"/>
  <c r="I730" i="2"/>
  <c r="J730" i="2"/>
  <c r="N730" i="2"/>
  <c r="O730" i="2"/>
  <c r="D731" i="2"/>
  <c r="E731" i="2"/>
  <c r="I731" i="2"/>
  <c r="J731" i="2"/>
  <c r="N731" i="2"/>
  <c r="O731" i="2"/>
  <c r="D732" i="2"/>
  <c r="E732" i="2"/>
  <c r="I732" i="2"/>
  <c r="J732" i="2"/>
  <c r="N732" i="2"/>
  <c r="O732" i="2"/>
  <c r="D733" i="2"/>
  <c r="E733" i="2"/>
  <c r="I733" i="2"/>
  <c r="J733" i="2"/>
  <c r="N733" i="2"/>
  <c r="O733" i="2"/>
  <c r="D734" i="2"/>
  <c r="E734" i="2"/>
  <c r="I734" i="2"/>
  <c r="J734" i="2"/>
  <c r="N734" i="2"/>
  <c r="O734" i="2"/>
  <c r="D735" i="2"/>
  <c r="E735" i="2"/>
  <c r="I735" i="2"/>
  <c r="J735" i="2"/>
  <c r="N735" i="2"/>
  <c r="O735" i="2"/>
  <c r="D736" i="2"/>
  <c r="E736" i="2"/>
  <c r="I736" i="2"/>
  <c r="J736" i="2"/>
  <c r="N736" i="2"/>
  <c r="O736" i="2"/>
  <c r="D737" i="2"/>
  <c r="E737" i="2"/>
  <c r="I737" i="2"/>
  <c r="J737" i="2"/>
  <c r="N737" i="2"/>
  <c r="O737" i="2"/>
  <c r="D738" i="2"/>
  <c r="E738" i="2"/>
  <c r="I738" i="2"/>
  <c r="J738" i="2"/>
  <c r="N738" i="2"/>
  <c r="O738" i="2"/>
  <c r="D739" i="2"/>
  <c r="E739" i="2"/>
  <c r="I739" i="2"/>
  <c r="J739" i="2"/>
  <c r="N739" i="2"/>
  <c r="O739" i="2"/>
  <c r="D740" i="2"/>
  <c r="E740" i="2"/>
  <c r="I740" i="2"/>
  <c r="J740" i="2"/>
  <c r="N740" i="2"/>
  <c r="O740" i="2"/>
  <c r="D741" i="2"/>
  <c r="E741" i="2"/>
  <c r="I741" i="2"/>
  <c r="J741" i="2"/>
  <c r="N741" i="2"/>
  <c r="O741" i="2"/>
  <c r="D742" i="2"/>
  <c r="E742" i="2"/>
  <c r="I742" i="2"/>
  <c r="J742" i="2"/>
  <c r="N742" i="2"/>
  <c r="O742" i="2"/>
  <c r="D743" i="2"/>
  <c r="E743" i="2"/>
  <c r="I743" i="2"/>
  <c r="J743" i="2"/>
  <c r="N743" i="2"/>
  <c r="O743" i="2"/>
  <c r="D744" i="2"/>
  <c r="E744" i="2"/>
  <c r="I744" i="2"/>
  <c r="J744" i="2"/>
  <c r="N744" i="2"/>
  <c r="O744" i="2"/>
  <c r="D745" i="2"/>
  <c r="E745" i="2"/>
  <c r="I745" i="2"/>
  <c r="J745" i="2"/>
  <c r="N745" i="2"/>
  <c r="O745" i="2"/>
  <c r="D746" i="2"/>
  <c r="E746" i="2"/>
  <c r="I746" i="2"/>
  <c r="J746" i="2"/>
  <c r="N746" i="2"/>
  <c r="O746" i="2"/>
  <c r="D747" i="2"/>
  <c r="E747" i="2"/>
  <c r="I747" i="2"/>
  <c r="J747" i="2"/>
  <c r="N747" i="2"/>
  <c r="O747" i="2"/>
  <c r="D748" i="2"/>
  <c r="E748" i="2"/>
  <c r="I748" i="2"/>
  <c r="J748" i="2"/>
  <c r="N748" i="2"/>
  <c r="O748" i="2"/>
  <c r="D749" i="2"/>
  <c r="E749" i="2"/>
  <c r="I749" i="2"/>
  <c r="J749" i="2"/>
  <c r="N749" i="2"/>
  <c r="O749" i="2"/>
  <c r="D750" i="2"/>
  <c r="E750" i="2"/>
  <c r="I750" i="2"/>
  <c r="J750" i="2"/>
  <c r="N750" i="2"/>
  <c r="O750" i="2"/>
  <c r="D751" i="2"/>
  <c r="E751" i="2"/>
  <c r="I751" i="2"/>
  <c r="J751" i="2"/>
  <c r="N751" i="2"/>
  <c r="O751" i="2"/>
  <c r="D752" i="2"/>
  <c r="E752" i="2"/>
  <c r="I752" i="2"/>
  <c r="J752" i="2"/>
  <c r="N752" i="2"/>
  <c r="O752" i="2"/>
  <c r="D753" i="2"/>
  <c r="E753" i="2"/>
  <c r="I753" i="2"/>
  <c r="J753" i="2"/>
  <c r="N753" i="2"/>
  <c r="O753" i="2"/>
  <c r="D754" i="2"/>
  <c r="E754" i="2"/>
  <c r="I754" i="2"/>
  <c r="J754" i="2"/>
  <c r="N754" i="2"/>
  <c r="O754" i="2"/>
  <c r="D755" i="2"/>
  <c r="E755" i="2"/>
  <c r="I755" i="2"/>
  <c r="J755" i="2"/>
  <c r="N755" i="2"/>
  <c r="O755" i="2"/>
  <c r="D756" i="2"/>
  <c r="E756" i="2"/>
  <c r="I756" i="2"/>
  <c r="J756" i="2"/>
  <c r="N756" i="2"/>
  <c r="O756" i="2"/>
  <c r="D757" i="2"/>
  <c r="E757" i="2"/>
  <c r="I757" i="2"/>
  <c r="J757" i="2"/>
  <c r="N757" i="2"/>
  <c r="O757" i="2"/>
  <c r="D758" i="2"/>
  <c r="E758" i="2"/>
  <c r="I758" i="2"/>
  <c r="J758" i="2"/>
  <c r="N758" i="2"/>
  <c r="O758" i="2"/>
  <c r="D759" i="2"/>
  <c r="E759" i="2"/>
  <c r="I759" i="2"/>
  <c r="J759" i="2"/>
  <c r="N759" i="2"/>
  <c r="O759" i="2"/>
  <c r="D760" i="2"/>
  <c r="E760" i="2"/>
  <c r="I760" i="2"/>
  <c r="J760" i="2"/>
  <c r="N760" i="2"/>
  <c r="O760" i="2"/>
  <c r="D761" i="2"/>
  <c r="E761" i="2"/>
  <c r="I761" i="2"/>
  <c r="J761" i="2"/>
  <c r="N761" i="2"/>
  <c r="O761" i="2"/>
  <c r="D762" i="2"/>
  <c r="E762" i="2"/>
  <c r="I762" i="2"/>
  <c r="J762" i="2"/>
  <c r="N762" i="2"/>
  <c r="O762" i="2"/>
  <c r="D763" i="2"/>
  <c r="E763" i="2"/>
  <c r="I763" i="2"/>
  <c r="J763" i="2"/>
  <c r="N763" i="2"/>
  <c r="O763" i="2"/>
  <c r="D764" i="2"/>
  <c r="E764" i="2"/>
  <c r="I764" i="2"/>
  <c r="J764" i="2"/>
  <c r="N764" i="2"/>
  <c r="O764" i="2"/>
  <c r="D765" i="2"/>
  <c r="E765" i="2"/>
  <c r="I765" i="2"/>
  <c r="J765" i="2"/>
  <c r="N765" i="2"/>
  <c r="O765" i="2"/>
  <c r="D766" i="2"/>
  <c r="E766" i="2"/>
  <c r="I766" i="2"/>
  <c r="J766" i="2"/>
  <c r="N766" i="2"/>
  <c r="O766" i="2"/>
  <c r="D767" i="2"/>
  <c r="E767" i="2"/>
  <c r="I767" i="2"/>
  <c r="J767" i="2"/>
  <c r="N767" i="2"/>
  <c r="O767" i="2"/>
  <c r="D768" i="2"/>
  <c r="E768" i="2"/>
  <c r="I768" i="2"/>
  <c r="J768" i="2"/>
  <c r="N768" i="2"/>
  <c r="O768" i="2"/>
  <c r="D769" i="2"/>
  <c r="E769" i="2"/>
  <c r="I769" i="2"/>
  <c r="J769" i="2"/>
  <c r="N769" i="2"/>
  <c r="O769" i="2"/>
  <c r="D770" i="2"/>
  <c r="E770" i="2"/>
  <c r="I770" i="2"/>
  <c r="J770" i="2"/>
  <c r="N770" i="2"/>
  <c r="O770" i="2"/>
  <c r="D771" i="2"/>
  <c r="E771" i="2"/>
  <c r="I771" i="2"/>
  <c r="J771" i="2"/>
  <c r="N771" i="2"/>
  <c r="O771" i="2"/>
  <c r="D772" i="2"/>
  <c r="E772" i="2"/>
  <c r="I772" i="2"/>
  <c r="J772" i="2"/>
  <c r="N772" i="2"/>
  <c r="O772" i="2"/>
  <c r="D773" i="2"/>
  <c r="E773" i="2"/>
  <c r="I773" i="2"/>
  <c r="J773" i="2"/>
  <c r="N773" i="2"/>
  <c r="O773" i="2"/>
  <c r="D774" i="2"/>
  <c r="E774" i="2"/>
  <c r="I774" i="2"/>
  <c r="J774" i="2"/>
  <c r="N774" i="2"/>
  <c r="O774" i="2"/>
  <c r="D775" i="2"/>
  <c r="E775" i="2"/>
  <c r="I775" i="2"/>
  <c r="J775" i="2"/>
  <c r="N775" i="2"/>
  <c r="O775" i="2"/>
  <c r="D776" i="2"/>
  <c r="E776" i="2"/>
  <c r="I776" i="2"/>
  <c r="J776" i="2"/>
  <c r="N776" i="2"/>
  <c r="O776" i="2"/>
  <c r="D777" i="2"/>
  <c r="E777" i="2"/>
  <c r="I777" i="2"/>
  <c r="J777" i="2"/>
  <c r="N777" i="2"/>
  <c r="O777" i="2"/>
  <c r="D778" i="2"/>
  <c r="E778" i="2"/>
  <c r="I778" i="2"/>
  <c r="J778" i="2"/>
  <c r="N778" i="2"/>
  <c r="O778" i="2"/>
  <c r="D779" i="2"/>
  <c r="E779" i="2"/>
  <c r="I779" i="2"/>
  <c r="J779" i="2"/>
  <c r="N779" i="2"/>
  <c r="O779" i="2"/>
  <c r="D780" i="2"/>
  <c r="E780" i="2"/>
  <c r="I780" i="2"/>
  <c r="J780" i="2"/>
  <c r="N780" i="2"/>
  <c r="O780" i="2"/>
  <c r="D781" i="2"/>
  <c r="E781" i="2"/>
  <c r="I781" i="2"/>
  <c r="J781" i="2"/>
  <c r="N781" i="2"/>
  <c r="O781" i="2"/>
  <c r="D782" i="2"/>
  <c r="E782" i="2"/>
  <c r="I782" i="2"/>
  <c r="J782" i="2"/>
  <c r="N782" i="2"/>
  <c r="O782" i="2"/>
  <c r="D783" i="2"/>
  <c r="E783" i="2"/>
  <c r="I783" i="2"/>
  <c r="J783" i="2"/>
  <c r="N783" i="2"/>
  <c r="O783" i="2"/>
  <c r="D784" i="2"/>
  <c r="E784" i="2"/>
  <c r="I784" i="2"/>
  <c r="J784" i="2"/>
  <c r="N784" i="2"/>
  <c r="O784" i="2"/>
  <c r="D785" i="2"/>
  <c r="E785" i="2"/>
  <c r="I785" i="2"/>
  <c r="J785" i="2"/>
  <c r="N785" i="2"/>
  <c r="O785" i="2"/>
  <c r="D786" i="2"/>
  <c r="E786" i="2"/>
  <c r="I786" i="2"/>
  <c r="J786" i="2"/>
  <c r="N786" i="2"/>
  <c r="O786" i="2"/>
  <c r="D787" i="2"/>
  <c r="E787" i="2"/>
  <c r="I787" i="2"/>
  <c r="J787" i="2"/>
  <c r="N787" i="2"/>
  <c r="O787" i="2"/>
  <c r="D788" i="2"/>
  <c r="E788" i="2"/>
  <c r="I788" i="2"/>
  <c r="J788" i="2"/>
  <c r="N788" i="2"/>
  <c r="O788" i="2"/>
  <c r="D789" i="2"/>
  <c r="E789" i="2"/>
  <c r="I789" i="2"/>
  <c r="J789" i="2"/>
  <c r="N789" i="2"/>
  <c r="O789" i="2"/>
  <c r="D790" i="2"/>
  <c r="E790" i="2"/>
  <c r="I790" i="2"/>
  <c r="J790" i="2"/>
  <c r="N790" i="2"/>
  <c r="O790" i="2"/>
  <c r="D791" i="2"/>
  <c r="E791" i="2"/>
  <c r="I791" i="2"/>
  <c r="J791" i="2"/>
  <c r="N791" i="2"/>
  <c r="O791" i="2"/>
  <c r="D792" i="2"/>
  <c r="E792" i="2"/>
  <c r="I792" i="2"/>
  <c r="J792" i="2"/>
  <c r="N792" i="2"/>
  <c r="O792" i="2"/>
  <c r="D793" i="2"/>
  <c r="E793" i="2"/>
  <c r="I793" i="2"/>
  <c r="J793" i="2"/>
  <c r="N793" i="2"/>
  <c r="O793" i="2"/>
  <c r="D794" i="2"/>
  <c r="E794" i="2"/>
  <c r="I794" i="2"/>
  <c r="J794" i="2"/>
  <c r="N794" i="2"/>
  <c r="O794" i="2"/>
  <c r="D795" i="2"/>
  <c r="E795" i="2"/>
  <c r="I795" i="2"/>
  <c r="J795" i="2"/>
  <c r="N795" i="2"/>
  <c r="O795" i="2"/>
  <c r="D796" i="2"/>
  <c r="E796" i="2"/>
  <c r="I796" i="2"/>
  <c r="J796" i="2"/>
  <c r="N796" i="2"/>
  <c r="O796" i="2"/>
  <c r="D797" i="2"/>
  <c r="E797" i="2"/>
  <c r="I797" i="2"/>
  <c r="J797" i="2"/>
  <c r="N797" i="2"/>
  <c r="O797" i="2"/>
  <c r="D798" i="2"/>
  <c r="E798" i="2"/>
  <c r="I798" i="2"/>
  <c r="J798" i="2"/>
  <c r="N798" i="2"/>
  <c r="O798" i="2"/>
  <c r="D799" i="2"/>
  <c r="E799" i="2"/>
  <c r="I799" i="2"/>
  <c r="J799" i="2"/>
  <c r="N799" i="2"/>
  <c r="O799" i="2"/>
  <c r="D800" i="2"/>
  <c r="E800" i="2"/>
  <c r="I800" i="2"/>
  <c r="J800" i="2"/>
  <c r="N800" i="2"/>
  <c r="O800" i="2"/>
  <c r="D801" i="2"/>
  <c r="E801" i="2"/>
  <c r="I801" i="2"/>
  <c r="J801" i="2"/>
  <c r="N801" i="2"/>
  <c r="O801" i="2"/>
  <c r="D802" i="2"/>
  <c r="E802" i="2"/>
  <c r="I802" i="2"/>
  <c r="J802" i="2"/>
  <c r="N802" i="2"/>
  <c r="O802" i="2"/>
  <c r="D803" i="2"/>
  <c r="E803" i="2"/>
  <c r="I803" i="2"/>
  <c r="J803" i="2"/>
  <c r="N803" i="2"/>
  <c r="O803" i="2"/>
  <c r="D804" i="2"/>
  <c r="E804" i="2"/>
  <c r="I804" i="2"/>
  <c r="J804" i="2"/>
  <c r="N804" i="2"/>
  <c r="O804" i="2"/>
  <c r="D805" i="2"/>
  <c r="E805" i="2"/>
  <c r="I805" i="2"/>
  <c r="J805" i="2"/>
  <c r="N805" i="2"/>
  <c r="O805" i="2"/>
  <c r="D806" i="2"/>
  <c r="E806" i="2"/>
  <c r="I806" i="2"/>
  <c r="J806" i="2"/>
  <c r="N806" i="2"/>
  <c r="O806" i="2"/>
  <c r="D807" i="2"/>
  <c r="E807" i="2"/>
  <c r="I807" i="2"/>
  <c r="J807" i="2"/>
  <c r="N807" i="2"/>
  <c r="O807" i="2"/>
  <c r="D808" i="2"/>
  <c r="E808" i="2"/>
  <c r="I808" i="2"/>
  <c r="J808" i="2"/>
  <c r="N808" i="2"/>
  <c r="O808" i="2"/>
  <c r="D809" i="2"/>
  <c r="E809" i="2"/>
  <c r="I809" i="2"/>
  <c r="J809" i="2"/>
  <c r="N809" i="2"/>
  <c r="O809" i="2"/>
  <c r="D810" i="2"/>
  <c r="E810" i="2"/>
  <c r="I810" i="2"/>
  <c r="J810" i="2"/>
  <c r="N810" i="2"/>
  <c r="O810" i="2"/>
  <c r="D811" i="2"/>
  <c r="E811" i="2"/>
  <c r="I811" i="2"/>
  <c r="J811" i="2"/>
  <c r="N811" i="2"/>
  <c r="O811" i="2"/>
  <c r="D812" i="2"/>
  <c r="E812" i="2"/>
  <c r="I812" i="2"/>
  <c r="J812" i="2"/>
  <c r="N812" i="2"/>
  <c r="O812" i="2"/>
  <c r="D813" i="2"/>
  <c r="E813" i="2"/>
  <c r="I813" i="2"/>
  <c r="J813" i="2"/>
  <c r="N813" i="2"/>
  <c r="O813" i="2"/>
  <c r="D814" i="2"/>
  <c r="E814" i="2"/>
  <c r="I814" i="2"/>
  <c r="J814" i="2"/>
  <c r="N814" i="2"/>
  <c r="O814" i="2"/>
  <c r="D815" i="2"/>
  <c r="E815" i="2"/>
  <c r="I815" i="2"/>
  <c r="J815" i="2"/>
  <c r="N815" i="2"/>
  <c r="O815" i="2"/>
  <c r="D816" i="2"/>
  <c r="E816" i="2"/>
  <c r="I816" i="2"/>
  <c r="J816" i="2"/>
  <c r="N816" i="2"/>
  <c r="O816" i="2"/>
  <c r="D817" i="2"/>
  <c r="E817" i="2"/>
  <c r="I817" i="2"/>
  <c r="J817" i="2"/>
  <c r="N817" i="2"/>
  <c r="O817" i="2"/>
  <c r="D818" i="2"/>
  <c r="E818" i="2"/>
  <c r="I818" i="2"/>
  <c r="J818" i="2"/>
  <c r="N818" i="2"/>
  <c r="O818" i="2"/>
  <c r="D819" i="2"/>
  <c r="E819" i="2"/>
  <c r="I819" i="2"/>
  <c r="J819" i="2"/>
  <c r="N819" i="2"/>
  <c r="O819" i="2"/>
  <c r="D820" i="2"/>
  <c r="E820" i="2"/>
  <c r="I820" i="2"/>
  <c r="J820" i="2"/>
  <c r="N820" i="2"/>
  <c r="O820" i="2"/>
  <c r="D821" i="2"/>
  <c r="E821" i="2"/>
  <c r="I821" i="2"/>
  <c r="J821" i="2"/>
  <c r="N821" i="2"/>
  <c r="O821" i="2"/>
  <c r="D822" i="2"/>
  <c r="E822" i="2"/>
  <c r="I822" i="2"/>
  <c r="J822" i="2"/>
  <c r="N822" i="2"/>
  <c r="O822" i="2"/>
  <c r="D823" i="2"/>
  <c r="E823" i="2"/>
  <c r="I823" i="2"/>
  <c r="J823" i="2"/>
  <c r="N823" i="2"/>
  <c r="O823" i="2"/>
  <c r="D824" i="2"/>
  <c r="E824" i="2"/>
  <c r="I824" i="2"/>
  <c r="J824" i="2"/>
  <c r="N824" i="2"/>
  <c r="O824" i="2"/>
  <c r="D825" i="2"/>
  <c r="E825" i="2"/>
  <c r="I825" i="2"/>
  <c r="J825" i="2"/>
  <c r="N825" i="2"/>
  <c r="O825" i="2"/>
  <c r="D826" i="2"/>
  <c r="E826" i="2"/>
  <c r="I826" i="2"/>
  <c r="J826" i="2"/>
  <c r="N826" i="2"/>
  <c r="O826" i="2"/>
  <c r="D827" i="2"/>
  <c r="E827" i="2"/>
  <c r="I827" i="2"/>
  <c r="J827" i="2"/>
  <c r="N827" i="2"/>
  <c r="O827" i="2"/>
  <c r="D828" i="2"/>
  <c r="E828" i="2"/>
  <c r="I828" i="2"/>
  <c r="J828" i="2"/>
  <c r="N828" i="2"/>
  <c r="O828" i="2"/>
  <c r="D829" i="2"/>
  <c r="E829" i="2"/>
  <c r="I829" i="2"/>
  <c r="J829" i="2"/>
  <c r="N829" i="2"/>
  <c r="O829" i="2"/>
  <c r="D830" i="2"/>
  <c r="E830" i="2"/>
  <c r="I830" i="2"/>
  <c r="J830" i="2"/>
  <c r="N830" i="2"/>
  <c r="O830" i="2"/>
  <c r="D831" i="2"/>
  <c r="E831" i="2"/>
  <c r="I831" i="2"/>
  <c r="J831" i="2"/>
  <c r="N831" i="2"/>
  <c r="O831" i="2"/>
  <c r="D832" i="2"/>
  <c r="E832" i="2"/>
  <c r="I832" i="2"/>
  <c r="J832" i="2"/>
  <c r="N832" i="2"/>
  <c r="O832" i="2"/>
  <c r="D833" i="2"/>
  <c r="E833" i="2"/>
  <c r="I833" i="2"/>
  <c r="J833" i="2"/>
  <c r="N833" i="2"/>
  <c r="O833" i="2"/>
  <c r="D834" i="2"/>
  <c r="E834" i="2"/>
  <c r="I834" i="2"/>
  <c r="J834" i="2"/>
  <c r="N834" i="2"/>
  <c r="O834" i="2"/>
  <c r="D835" i="2"/>
  <c r="E835" i="2"/>
  <c r="I835" i="2"/>
  <c r="J835" i="2"/>
  <c r="N835" i="2"/>
  <c r="O835" i="2"/>
  <c r="D836" i="2"/>
  <c r="E836" i="2"/>
  <c r="I836" i="2"/>
  <c r="J836" i="2"/>
  <c r="N836" i="2"/>
  <c r="O836" i="2"/>
  <c r="D837" i="2"/>
  <c r="E837" i="2"/>
  <c r="I837" i="2"/>
  <c r="J837" i="2"/>
  <c r="N837" i="2"/>
  <c r="O837" i="2"/>
  <c r="D838" i="2"/>
  <c r="E838" i="2"/>
  <c r="I838" i="2"/>
  <c r="J838" i="2"/>
  <c r="N838" i="2"/>
  <c r="O838" i="2"/>
  <c r="D839" i="2"/>
  <c r="E839" i="2"/>
  <c r="I839" i="2"/>
  <c r="J839" i="2"/>
  <c r="N839" i="2"/>
  <c r="O839" i="2"/>
  <c r="D840" i="2"/>
  <c r="E840" i="2"/>
  <c r="I840" i="2"/>
  <c r="J840" i="2"/>
  <c r="N840" i="2"/>
  <c r="O840" i="2"/>
  <c r="D841" i="2"/>
  <c r="E841" i="2"/>
  <c r="I841" i="2"/>
  <c r="J841" i="2"/>
  <c r="N841" i="2"/>
  <c r="O841" i="2"/>
  <c r="D842" i="2"/>
  <c r="E842" i="2"/>
  <c r="I842" i="2"/>
  <c r="J842" i="2"/>
  <c r="N842" i="2"/>
  <c r="O842" i="2"/>
  <c r="D843" i="2"/>
  <c r="E843" i="2"/>
  <c r="I843" i="2"/>
  <c r="J843" i="2"/>
  <c r="N843" i="2"/>
  <c r="O843" i="2"/>
  <c r="D844" i="2"/>
  <c r="E844" i="2"/>
  <c r="I844" i="2"/>
  <c r="J844" i="2"/>
  <c r="N844" i="2"/>
  <c r="O844" i="2"/>
  <c r="D845" i="2"/>
  <c r="E845" i="2"/>
  <c r="I845" i="2"/>
  <c r="J845" i="2"/>
  <c r="N845" i="2"/>
  <c r="O845" i="2"/>
  <c r="D846" i="2"/>
  <c r="E846" i="2"/>
  <c r="I846" i="2"/>
  <c r="J846" i="2"/>
  <c r="N846" i="2"/>
  <c r="O846" i="2"/>
  <c r="D847" i="2"/>
  <c r="E847" i="2"/>
  <c r="I847" i="2"/>
  <c r="J847" i="2"/>
  <c r="N847" i="2"/>
  <c r="O847" i="2"/>
  <c r="D848" i="2"/>
  <c r="E848" i="2"/>
  <c r="I848" i="2"/>
  <c r="J848" i="2"/>
  <c r="N848" i="2"/>
  <c r="O848" i="2"/>
  <c r="D849" i="2"/>
  <c r="E849" i="2"/>
  <c r="I849" i="2"/>
  <c r="J849" i="2"/>
  <c r="N849" i="2"/>
  <c r="O849" i="2"/>
  <c r="D850" i="2"/>
  <c r="E850" i="2"/>
  <c r="I850" i="2"/>
  <c r="J850" i="2"/>
  <c r="N850" i="2"/>
  <c r="O850" i="2"/>
  <c r="D851" i="2"/>
  <c r="E851" i="2"/>
  <c r="I851" i="2"/>
  <c r="J851" i="2"/>
  <c r="N851" i="2"/>
  <c r="O851" i="2"/>
  <c r="D852" i="2"/>
  <c r="E852" i="2"/>
  <c r="I852" i="2"/>
  <c r="J852" i="2"/>
  <c r="N852" i="2"/>
  <c r="O852" i="2"/>
  <c r="D853" i="2"/>
  <c r="E853" i="2"/>
  <c r="I853" i="2"/>
  <c r="J853" i="2"/>
  <c r="N853" i="2"/>
  <c r="O853" i="2"/>
  <c r="D854" i="2"/>
  <c r="E854" i="2"/>
  <c r="I854" i="2"/>
  <c r="J854" i="2"/>
  <c r="N854" i="2"/>
  <c r="O854" i="2"/>
  <c r="D855" i="2"/>
  <c r="E855" i="2"/>
  <c r="I855" i="2"/>
  <c r="J855" i="2"/>
  <c r="N855" i="2"/>
  <c r="O855" i="2"/>
  <c r="D856" i="2"/>
  <c r="E856" i="2"/>
  <c r="I856" i="2"/>
  <c r="J856" i="2"/>
  <c r="N856" i="2"/>
  <c r="O856" i="2"/>
  <c r="D857" i="2"/>
  <c r="E857" i="2"/>
  <c r="I857" i="2"/>
  <c r="J857" i="2"/>
  <c r="N857" i="2"/>
  <c r="O857" i="2"/>
  <c r="D858" i="2"/>
  <c r="E858" i="2"/>
  <c r="I858" i="2"/>
  <c r="J858" i="2"/>
  <c r="N858" i="2"/>
  <c r="O858" i="2"/>
  <c r="D859" i="2"/>
  <c r="E859" i="2"/>
  <c r="I859" i="2"/>
  <c r="J859" i="2"/>
  <c r="N859" i="2"/>
  <c r="O859" i="2"/>
  <c r="D860" i="2"/>
  <c r="E860" i="2"/>
  <c r="I860" i="2"/>
  <c r="J860" i="2"/>
  <c r="N860" i="2"/>
  <c r="O860" i="2"/>
  <c r="D861" i="2"/>
  <c r="E861" i="2"/>
  <c r="I861" i="2"/>
  <c r="J861" i="2"/>
  <c r="N861" i="2"/>
  <c r="O861" i="2"/>
  <c r="D862" i="2"/>
  <c r="E862" i="2"/>
  <c r="I862" i="2"/>
  <c r="J862" i="2"/>
  <c r="N862" i="2"/>
  <c r="O862" i="2"/>
  <c r="D863" i="2"/>
  <c r="E863" i="2"/>
  <c r="I863" i="2"/>
  <c r="J863" i="2"/>
  <c r="N863" i="2"/>
  <c r="O863" i="2"/>
  <c r="D864" i="2"/>
  <c r="E864" i="2"/>
  <c r="I864" i="2"/>
  <c r="J864" i="2"/>
  <c r="N864" i="2"/>
  <c r="O864" i="2"/>
  <c r="D865" i="2"/>
  <c r="E865" i="2"/>
  <c r="I865" i="2"/>
  <c r="J865" i="2"/>
  <c r="N865" i="2"/>
  <c r="O865" i="2"/>
  <c r="D866" i="2"/>
  <c r="E866" i="2"/>
  <c r="I866" i="2"/>
  <c r="J866" i="2"/>
  <c r="N866" i="2"/>
  <c r="O866" i="2"/>
  <c r="D867" i="2"/>
  <c r="E867" i="2"/>
  <c r="I867" i="2"/>
  <c r="J867" i="2"/>
  <c r="N867" i="2"/>
  <c r="O867" i="2"/>
  <c r="D868" i="2"/>
  <c r="E868" i="2"/>
  <c r="I868" i="2"/>
  <c r="J868" i="2"/>
  <c r="N868" i="2"/>
  <c r="O868" i="2"/>
  <c r="D869" i="2"/>
  <c r="E869" i="2"/>
  <c r="I869" i="2"/>
  <c r="J869" i="2"/>
  <c r="N869" i="2"/>
  <c r="O869" i="2"/>
  <c r="D870" i="2"/>
  <c r="E870" i="2"/>
  <c r="I870" i="2"/>
  <c r="J870" i="2"/>
  <c r="N870" i="2"/>
  <c r="O870" i="2"/>
  <c r="D871" i="2"/>
  <c r="E871" i="2"/>
  <c r="I871" i="2"/>
  <c r="J871" i="2"/>
  <c r="N871" i="2"/>
  <c r="O871" i="2"/>
  <c r="D872" i="2"/>
  <c r="E872" i="2"/>
  <c r="I872" i="2"/>
  <c r="J872" i="2"/>
  <c r="N872" i="2"/>
  <c r="O872" i="2"/>
  <c r="D873" i="2"/>
  <c r="E873" i="2"/>
  <c r="I873" i="2"/>
  <c r="J873" i="2"/>
  <c r="N873" i="2"/>
  <c r="O873" i="2"/>
  <c r="D874" i="2"/>
  <c r="E874" i="2"/>
  <c r="I874" i="2"/>
  <c r="J874" i="2"/>
  <c r="N874" i="2"/>
  <c r="O874" i="2"/>
  <c r="D875" i="2"/>
  <c r="E875" i="2"/>
  <c r="I875" i="2"/>
  <c r="J875" i="2"/>
  <c r="N875" i="2"/>
  <c r="O875" i="2"/>
  <c r="D876" i="2"/>
  <c r="E876" i="2"/>
  <c r="I876" i="2"/>
  <c r="J876" i="2"/>
  <c r="N876" i="2"/>
  <c r="O876" i="2"/>
  <c r="D877" i="2"/>
  <c r="E877" i="2"/>
  <c r="I877" i="2"/>
  <c r="J877" i="2"/>
  <c r="N877" i="2"/>
  <c r="O877" i="2"/>
  <c r="D878" i="2"/>
  <c r="E878" i="2"/>
  <c r="I878" i="2"/>
  <c r="J878" i="2"/>
  <c r="N878" i="2"/>
  <c r="O878" i="2"/>
  <c r="D879" i="2"/>
  <c r="E879" i="2"/>
  <c r="I879" i="2"/>
  <c r="J879" i="2"/>
  <c r="N879" i="2"/>
  <c r="O879" i="2"/>
  <c r="D880" i="2"/>
  <c r="E880" i="2"/>
  <c r="I880" i="2"/>
  <c r="J880" i="2"/>
  <c r="N880" i="2"/>
  <c r="O880" i="2"/>
  <c r="D881" i="2"/>
  <c r="E881" i="2"/>
  <c r="I881" i="2"/>
  <c r="J881" i="2"/>
  <c r="N881" i="2"/>
  <c r="O881" i="2"/>
  <c r="D882" i="2"/>
  <c r="E882" i="2"/>
  <c r="I882" i="2"/>
  <c r="J882" i="2"/>
  <c r="N882" i="2"/>
  <c r="O882" i="2"/>
  <c r="D883" i="2"/>
  <c r="E883" i="2"/>
  <c r="I883" i="2"/>
  <c r="J883" i="2"/>
  <c r="N883" i="2"/>
  <c r="O883" i="2"/>
  <c r="D884" i="2"/>
  <c r="E884" i="2"/>
  <c r="I884" i="2"/>
  <c r="J884" i="2"/>
  <c r="N884" i="2"/>
  <c r="O884" i="2"/>
  <c r="D885" i="2"/>
  <c r="E885" i="2"/>
  <c r="I885" i="2"/>
  <c r="J885" i="2"/>
  <c r="N885" i="2"/>
  <c r="O885" i="2"/>
  <c r="D886" i="2"/>
  <c r="E886" i="2"/>
  <c r="I886" i="2"/>
  <c r="J886" i="2"/>
  <c r="N886" i="2"/>
  <c r="O886" i="2"/>
  <c r="D887" i="2"/>
  <c r="E887" i="2"/>
  <c r="I887" i="2"/>
  <c r="J887" i="2"/>
  <c r="N887" i="2"/>
  <c r="O887" i="2"/>
  <c r="D888" i="2"/>
  <c r="E888" i="2"/>
  <c r="I888" i="2"/>
  <c r="J888" i="2"/>
  <c r="N888" i="2"/>
  <c r="O888" i="2"/>
  <c r="D889" i="2"/>
  <c r="E889" i="2"/>
  <c r="I889" i="2"/>
  <c r="J889" i="2"/>
  <c r="N889" i="2"/>
  <c r="O889" i="2"/>
  <c r="D890" i="2"/>
  <c r="E890" i="2"/>
  <c r="I890" i="2"/>
  <c r="J890" i="2"/>
  <c r="N890" i="2"/>
  <c r="O890" i="2"/>
  <c r="D891" i="2"/>
  <c r="E891" i="2"/>
  <c r="I891" i="2"/>
  <c r="J891" i="2"/>
  <c r="N891" i="2"/>
  <c r="O891" i="2"/>
  <c r="D892" i="2"/>
  <c r="E892" i="2"/>
  <c r="I892" i="2"/>
  <c r="J892" i="2"/>
  <c r="N892" i="2"/>
  <c r="O892" i="2"/>
  <c r="D893" i="2"/>
  <c r="E893" i="2"/>
  <c r="I893" i="2"/>
  <c r="J893" i="2"/>
  <c r="N893" i="2"/>
  <c r="O893" i="2"/>
  <c r="D894" i="2"/>
  <c r="E894" i="2"/>
  <c r="I894" i="2"/>
  <c r="J894" i="2"/>
  <c r="N894" i="2"/>
  <c r="O894" i="2"/>
  <c r="D895" i="2"/>
  <c r="E895" i="2"/>
  <c r="I895" i="2"/>
  <c r="J895" i="2"/>
  <c r="N895" i="2"/>
  <c r="O895" i="2"/>
  <c r="D896" i="2"/>
  <c r="E896" i="2"/>
  <c r="I896" i="2"/>
  <c r="J896" i="2"/>
  <c r="N896" i="2"/>
  <c r="O896" i="2"/>
  <c r="D897" i="2"/>
  <c r="E897" i="2"/>
  <c r="I897" i="2"/>
  <c r="J897" i="2"/>
  <c r="N897" i="2"/>
  <c r="O897" i="2"/>
  <c r="D898" i="2"/>
  <c r="E898" i="2"/>
  <c r="I898" i="2"/>
  <c r="J898" i="2"/>
  <c r="N898" i="2"/>
  <c r="O898" i="2"/>
  <c r="D899" i="2"/>
  <c r="E899" i="2"/>
  <c r="I899" i="2"/>
  <c r="J899" i="2"/>
  <c r="N899" i="2"/>
  <c r="O899" i="2"/>
  <c r="D900" i="2"/>
  <c r="E900" i="2"/>
  <c r="I900" i="2"/>
  <c r="J900" i="2"/>
  <c r="N900" i="2"/>
  <c r="O900" i="2"/>
  <c r="D901" i="2"/>
  <c r="E901" i="2"/>
  <c r="I901" i="2"/>
  <c r="J901" i="2"/>
  <c r="N901" i="2"/>
  <c r="O901" i="2"/>
  <c r="D902" i="2"/>
  <c r="E902" i="2"/>
  <c r="I902" i="2"/>
  <c r="J902" i="2"/>
  <c r="N902" i="2"/>
  <c r="O902" i="2"/>
  <c r="D903" i="2"/>
  <c r="E903" i="2"/>
  <c r="I903" i="2"/>
  <c r="J903" i="2"/>
  <c r="N903" i="2"/>
  <c r="O903" i="2"/>
  <c r="D904" i="2"/>
  <c r="E904" i="2"/>
  <c r="I904" i="2"/>
  <c r="J904" i="2"/>
  <c r="N904" i="2"/>
  <c r="O904" i="2"/>
  <c r="D905" i="2"/>
  <c r="E905" i="2"/>
  <c r="I905" i="2"/>
  <c r="J905" i="2"/>
  <c r="N905" i="2"/>
  <c r="O905" i="2"/>
  <c r="D906" i="2"/>
  <c r="E906" i="2"/>
  <c r="I906" i="2"/>
  <c r="J906" i="2"/>
  <c r="N906" i="2"/>
  <c r="O906" i="2"/>
  <c r="D907" i="2"/>
  <c r="E907" i="2"/>
  <c r="I907" i="2"/>
  <c r="J907" i="2"/>
  <c r="N907" i="2"/>
  <c r="O907" i="2"/>
  <c r="D908" i="2"/>
  <c r="E908" i="2"/>
  <c r="I908" i="2"/>
  <c r="J908" i="2"/>
  <c r="N908" i="2"/>
  <c r="O908" i="2"/>
  <c r="D909" i="2"/>
  <c r="E909" i="2"/>
  <c r="I909" i="2"/>
  <c r="J909" i="2"/>
  <c r="N909" i="2"/>
  <c r="O909" i="2"/>
  <c r="D910" i="2"/>
  <c r="E910" i="2"/>
  <c r="I910" i="2"/>
  <c r="J910" i="2"/>
  <c r="N910" i="2"/>
  <c r="O910" i="2"/>
  <c r="D911" i="2"/>
  <c r="E911" i="2"/>
  <c r="I911" i="2"/>
  <c r="J911" i="2"/>
  <c r="N911" i="2"/>
  <c r="O911" i="2"/>
  <c r="D912" i="2"/>
  <c r="E912" i="2"/>
  <c r="I912" i="2"/>
  <c r="J912" i="2"/>
  <c r="N912" i="2"/>
  <c r="O912" i="2"/>
  <c r="D913" i="2"/>
  <c r="E913" i="2"/>
  <c r="I913" i="2"/>
  <c r="J913" i="2"/>
  <c r="N913" i="2"/>
  <c r="O913" i="2"/>
  <c r="D914" i="2"/>
  <c r="E914" i="2"/>
  <c r="I914" i="2"/>
  <c r="J914" i="2"/>
  <c r="N914" i="2"/>
  <c r="O914" i="2"/>
  <c r="D915" i="2"/>
  <c r="E915" i="2"/>
  <c r="I915" i="2"/>
  <c r="J915" i="2"/>
  <c r="N915" i="2"/>
  <c r="O915" i="2"/>
  <c r="D916" i="2"/>
  <c r="E916" i="2"/>
  <c r="I916" i="2"/>
  <c r="J916" i="2"/>
  <c r="N916" i="2"/>
  <c r="O916" i="2"/>
  <c r="D917" i="2"/>
  <c r="E917" i="2"/>
  <c r="I917" i="2"/>
  <c r="J917" i="2"/>
  <c r="N917" i="2"/>
  <c r="O917" i="2"/>
  <c r="D918" i="2"/>
  <c r="E918" i="2"/>
  <c r="I918" i="2"/>
  <c r="J918" i="2"/>
  <c r="N918" i="2"/>
  <c r="O918" i="2"/>
  <c r="D919" i="2"/>
  <c r="E919" i="2"/>
  <c r="I919" i="2"/>
  <c r="J919" i="2"/>
  <c r="N919" i="2"/>
  <c r="O919" i="2"/>
  <c r="D920" i="2"/>
  <c r="E920" i="2"/>
  <c r="I920" i="2"/>
  <c r="J920" i="2"/>
  <c r="N920" i="2"/>
  <c r="O920" i="2"/>
  <c r="D921" i="2"/>
  <c r="E921" i="2"/>
  <c r="I921" i="2"/>
  <c r="J921" i="2"/>
  <c r="N921" i="2"/>
  <c r="O921" i="2"/>
  <c r="D922" i="2"/>
  <c r="E922" i="2"/>
  <c r="I922" i="2"/>
  <c r="J922" i="2"/>
  <c r="N922" i="2"/>
  <c r="O922" i="2"/>
  <c r="D923" i="2"/>
  <c r="E923" i="2"/>
  <c r="I923" i="2"/>
  <c r="J923" i="2"/>
  <c r="N923" i="2"/>
  <c r="O923" i="2"/>
  <c r="D924" i="2"/>
  <c r="E924" i="2"/>
  <c r="I924" i="2"/>
  <c r="J924" i="2"/>
  <c r="N924" i="2"/>
  <c r="O924" i="2"/>
  <c r="D925" i="2"/>
  <c r="E925" i="2"/>
  <c r="I925" i="2"/>
  <c r="J925" i="2"/>
  <c r="N925" i="2"/>
  <c r="O925" i="2"/>
  <c r="D926" i="2"/>
  <c r="E926" i="2"/>
  <c r="I926" i="2"/>
  <c r="J926" i="2"/>
  <c r="N926" i="2"/>
  <c r="O926" i="2"/>
  <c r="D927" i="2"/>
  <c r="E927" i="2"/>
  <c r="I927" i="2"/>
  <c r="J927" i="2"/>
  <c r="N927" i="2"/>
  <c r="O927" i="2"/>
  <c r="D928" i="2"/>
  <c r="E928" i="2"/>
  <c r="I928" i="2"/>
  <c r="J928" i="2"/>
  <c r="N928" i="2"/>
  <c r="O928" i="2"/>
  <c r="D929" i="2"/>
  <c r="E929" i="2"/>
  <c r="I929" i="2"/>
  <c r="J929" i="2"/>
  <c r="N929" i="2"/>
  <c r="O929" i="2"/>
  <c r="D930" i="2"/>
  <c r="E930" i="2"/>
  <c r="I930" i="2"/>
  <c r="J930" i="2"/>
  <c r="N930" i="2"/>
  <c r="O930" i="2"/>
  <c r="D931" i="2"/>
  <c r="E931" i="2"/>
  <c r="I931" i="2"/>
  <c r="J931" i="2"/>
  <c r="N931" i="2"/>
  <c r="O931" i="2"/>
  <c r="D932" i="2"/>
  <c r="E932" i="2"/>
  <c r="I932" i="2"/>
  <c r="J932" i="2"/>
  <c r="N932" i="2"/>
  <c r="O932" i="2"/>
  <c r="D933" i="2"/>
  <c r="E933" i="2"/>
  <c r="I933" i="2"/>
  <c r="J933" i="2"/>
  <c r="N933" i="2"/>
  <c r="O933" i="2"/>
  <c r="D934" i="2"/>
  <c r="E934" i="2"/>
  <c r="I934" i="2"/>
  <c r="J934" i="2"/>
  <c r="N934" i="2"/>
  <c r="O934" i="2"/>
  <c r="D935" i="2"/>
  <c r="E935" i="2"/>
  <c r="I935" i="2"/>
  <c r="J935" i="2"/>
  <c r="N935" i="2"/>
  <c r="O935" i="2"/>
  <c r="D936" i="2"/>
  <c r="E936" i="2"/>
  <c r="I936" i="2"/>
  <c r="J936" i="2"/>
  <c r="N936" i="2"/>
  <c r="O936" i="2"/>
  <c r="D937" i="2"/>
  <c r="E937" i="2"/>
  <c r="I937" i="2"/>
  <c r="J937" i="2"/>
  <c r="N937" i="2"/>
  <c r="O937" i="2"/>
  <c r="D938" i="2"/>
  <c r="E938" i="2"/>
  <c r="I938" i="2"/>
  <c r="J938" i="2"/>
  <c r="N938" i="2"/>
  <c r="O938" i="2"/>
  <c r="D939" i="2"/>
  <c r="E939" i="2"/>
  <c r="I939" i="2"/>
  <c r="J939" i="2"/>
  <c r="N939" i="2"/>
  <c r="O939" i="2"/>
  <c r="D940" i="2"/>
  <c r="E940" i="2"/>
  <c r="I940" i="2"/>
  <c r="J940" i="2"/>
  <c r="N940" i="2"/>
  <c r="O940" i="2"/>
  <c r="D941" i="2"/>
  <c r="E941" i="2"/>
  <c r="I941" i="2"/>
  <c r="J941" i="2"/>
  <c r="N941" i="2"/>
  <c r="O941" i="2"/>
  <c r="D942" i="2"/>
  <c r="E942" i="2"/>
  <c r="I942" i="2"/>
  <c r="J942" i="2"/>
  <c r="N942" i="2"/>
  <c r="O942" i="2"/>
  <c r="D943" i="2"/>
  <c r="E943" i="2"/>
  <c r="I943" i="2"/>
  <c r="J943" i="2"/>
  <c r="N943" i="2"/>
  <c r="O943" i="2"/>
  <c r="D944" i="2"/>
  <c r="E944" i="2"/>
  <c r="I944" i="2"/>
  <c r="J944" i="2"/>
  <c r="N944" i="2"/>
  <c r="O944" i="2"/>
  <c r="D945" i="2"/>
  <c r="E945" i="2"/>
  <c r="I945" i="2"/>
  <c r="J945" i="2"/>
  <c r="N945" i="2"/>
  <c r="O945" i="2"/>
  <c r="D946" i="2"/>
  <c r="E946" i="2"/>
  <c r="I946" i="2"/>
  <c r="J946" i="2"/>
  <c r="N946" i="2"/>
  <c r="O946" i="2"/>
  <c r="D947" i="2"/>
  <c r="E947" i="2"/>
  <c r="I947" i="2"/>
  <c r="J947" i="2"/>
  <c r="N947" i="2"/>
  <c r="O947" i="2"/>
  <c r="D948" i="2"/>
  <c r="E948" i="2"/>
  <c r="I948" i="2"/>
  <c r="J948" i="2"/>
  <c r="N948" i="2"/>
  <c r="O948" i="2"/>
  <c r="D949" i="2"/>
  <c r="E949" i="2"/>
  <c r="I949" i="2"/>
  <c r="J949" i="2"/>
  <c r="N949" i="2"/>
  <c r="O949" i="2"/>
  <c r="D950" i="2"/>
  <c r="E950" i="2"/>
  <c r="I950" i="2"/>
  <c r="J950" i="2"/>
  <c r="N950" i="2"/>
  <c r="O950" i="2"/>
  <c r="D951" i="2"/>
  <c r="E951" i="2"/>
  <c r="I951" i="2"/>
  <c r="J951" i="2"/>
  <c r="N951" i="2"/>
  <c r="O951" i="2"/>
  <c r="D952" i="2"/>
  <c r="E952" i="2"/>
  <c r="I952" i="2"/>
  <c r="J952" i="2"/>
  <c r="N952" i="2"/>
  <c r="O952" i="2"/>
  <c r="D953" i="2"/>
  <c r="E953" i="2"/>
  <c r="I953" i="2"/>
  <c r="J953" i="2"/>
  <c r="N953" i="2"/>
  <c r="O953" i="2"/>
  <c r="D954" i="2"/>
  <c r="E954" i="2"/>
  <c r="I954" i="2"/>
  <c r="J954" i="2"/>
  <c r="N954" i="2"/>
  <c r="O954" i="2"/>
  <c r="D955" i="2"/>
  <c r="E955" i="2"/>
  <c r="I955" i="2"/>
  <c r="J955" i="2"/>
  <c r="N955" i="2"/>
  <c r="O955" i="2"/>
  <c r="D956" i="2"/>
  <c r="E956" i="2"/>
  <c r="I956" i="2"/>
  <c r="J956" i="2"/>
  <c r="N956" i="2"/>
  <c r="O956" i="2"/>
  <c r="D957" i="2"/>
  <c r="E957" i="2"/>
  <c r="I957" i="2"/>
  <c r="J957" i="2"/>
  <c r="N957" i="2"/>
  <c r="O957" i="2"/>
  <c r="D958" i="2"/>
  <c r="E958" i="2"/>
  <c r="I958" i="2"/>
  <c r="J958" i="2"/>
  <c r="N958" i="2"/>
  <c r="O958" i="2"/>
  <c r="D959" i="2"/>
  <c r="E959" i="2"/>
  <c r="I959" i="2"/>
  <c r="J959" i="2"/>
  <c r="N959" i="2"/>
  <c r="O959" i="2"/>
  <c r="D960" i="2"/>
  <c r="E960" i="2"/>
  <c r="I960" i="2"/>
  <c r="J960" i="2"/>
  <c r="N960" i="2"/>
  <c r="O960" i="2"/>
  <c r="D961" i="2"/>
  <c r="E961" i="2"/>
  <c r="I961" i="2"/>
  <c r="J961" i="2"/>
  <c r="N961" i="2"/>
  <c r="O961" i="2"/>
  <c r="D962" i="2"/>
  <c r="E962" i="2"/>
  <c r="I962" i="2"/>
  <c r="J962" i="2"/>
  <c r="N962" i="2"/>
  <c r="O962" i="2"/>
  <c r="D963" i="2"/>
  <c r="E963" i="2"/>
  <c r="I963" i="2"/>
  <c r="J963" i="2"/>
  <c r="N963" i="2"/>
  <c r="O963" i="2"/>
  <c r="D964" i="2"/>
  <c r="E964" i="2"/>
  <c r="I964" i="2"/>
  <c r="J964" i="2"/>
  <c r="N964" i="2"/>
  <c r="O964" i="2"/>
  <c r="D965" i="2"/>
  <c r="E965" i="2"/>
  <c r="I965" i="2"/>
  <c r="J965" i="2"/>
  <c r="N965" i="2"/>
  <c r="O965" i="2"/>
  <c r="D966" i="2"/>
  <c r="E966" i="2"/>
  <c r="I966" i="2"/>
  <c r="J966" i="2"/>
  <c r="N966" i="2"/>
  <c r="O966" i="2"/>
  <c r="D967" i="2"/>
  <c r="E967" i="2"/>
  <c r="I967" i="2"/>
  <c r="J967" i="2"/>
  <c r="N967" i="2"/>
  <c r="O967" i="2"/>
  <c r="D968" i="2"/>
  <c r="E968" i="2"/>
  <c r="I968" i="2"/>
  <c r="J968" i="2"/>
  <c r="N968" i="2"/>
  <c r="O968" i="2"/>
  <c r="D969" i="2"/>
  <c r="E969" i="2"/>
  <c r="I969" i="2"/>
  <c r="J969" i="2"/>
  <c r="N969" i="2"/>
  <c r="O969" i="2"/>
  <c r="D970" i="2"/>
  <c r="E970" i="2"/>
  <c r="I970" i="2"/>
  <c r="J970" i="2"/>
  <c r="N970" i="2"/>
  <c r="O970" i="2"/>
  <c r="D971" i="2"/>
  <c r="E971" i="2"/>
  <c r="I971" i="2"/>
  <c r="J971" i="2"/>
  <c r="N971" i="2"/>
  <c r="O971" i="2"/>
  <c r="D972" i="2"/>
  <c r="E972" i="2"/>
  <c r="I972" i="2"/>
  <c r="J972" i="2"/>
  <c r="N972" i="2"/>
  <c r="O972" i="2"/>
  <c r="D973" i="2"/>
  <c r="E973" i="2"/>
  <c r="I973" i="2"/>
  <c r="J973" i="2"/>
  <c r="N973" i="2"/>
  <c r="O973" i="2"/>
  <c r="D974" i="2"/>
  <c r="E974" i="2"/>
  <c r="I974" i="2"/>
  <c r="J974" i="2"/>
  <c r="N974" i="2"/>
  <c r="O974" i="2"/>
  <c r="D975" i="2"/>
  <c r="E975" i="2"/>
  <c r="I975" i="2"/>
  <c r="J975" i="2"/>
  <c r="N975" i="2"/>
  <c r="O975" i="2"/>
  <c r="D976" i="2"/>
  <c r="E976" i="2"/>
  <c r="I976" i="2"/>
  <c r="J976" i="2"/>
  <c r="N976" i="2"/>
  <c r="O976" i="2"/>
  <c r="D977" i="2"/>
  <c r="E977" i="2"/>
  <c r="I977" i="2"/>
  <c r="J977" i="2"/>
  <c r="N977" i="2"/>
  <c r="O977" i="2"/>
  <c r="D978" i="2"/>
  <c r="E978" i="2"/>
  <c r="I978" i="2"/>
  <c r="J978" i="2"/>
  <c r="N978" i="2"/>
  <c r="O978" i="2"/>
  <c r="D979" i="2"/>
  <c r="E979" i="2"/>
  <c r="I979" i="2"/>
  <c r="J979" i="2"/>
  <c r="N979" i="2"/>
  <c r="O979" i="2"/>
  <c r="D980" i="2"/>
  <c r="E980" i="2"/>
  <c r="I980" i="2"/>
  <c r="J980" i="2"/>
  <c r="N980" i="2"/>
  <c r="O980" i="2"/>
  <c r="D981" i="2"/>
  <c r="E981" i="2"/>
  <c r="I981" i="2"/>
  <c r="J981" i="2"/>
  <c r="N981" i="2"/>
  <c r="O981" i="2"/>
  <c r="D982" i="2"/>
  <c r="E982" i="2"/>
  <c r="I982" i="2"/>
  <c r="J982" i="2"/>
  <c r="N982" i="2"/>
  <c r="O982" i="2"/>
  <c r="D983" i="2"/>
  <c r="E983" i="2"/>
  <c r="I983" i="2"/>
  <c r="J983" i="2"/>
  <c r="N983" i="2"/>
  <c r="O983" i="2"/>
  <c r="D984" i="2"/>
  <c r="E984" i="2"/>
  <c r="I984" i="2"/>
  <c r="J984" i="2"/>
  <c r="N984" i="2"/>
  <c r="O984" i="2"/>
  <c r="D985" i="2"/>
  <c r="E985" i="2"/>
  <c r="I985" i="2"/>
  <c r="J985" i="2"/>
  <c r="N985" i="2"/>
  <c r="O985" i="2"/>
  <c r="D986" i="2"/>
  <c r="E986" i="2"/>
  <c r="I986" i="2"/>
  <c r="J986" i="2"/>
  <c r="N986" i="2"/>
  <c r="O986" i="2"/>
  <c r="D987" i="2"/>
  <c r="E987" i="2"/>
  <c r="I987" i="2"/>
  <c r="J987" i="2"/>
  <c r="N987" i="2"/>
  <c r="O987" i="2"/>
  <c r="D988" i="2"/>
  <c r="E988" i="2"/>
  <c r="I988" i="2"/>
  <c r="J988" i="2"/>
  <c r="N988" i="2"/>
  <c r="O988" i="2"/>
  <c r="D989" i="2"/>
  <c r="E989" i="2"/>
  <c r="I989" i="2"/>
  <c r="J989" i="2"/>
  <c r="N989" i="2"/>
  <c r="O989" i="2"/>
  <c r="D990" i="2"/>
  <c r="E990" i="2"/>
  <c r="I990" i="2"/>
  <c r="J990" i="2"/>
  <c r="N990" i="2"/>
  <c r="O990" i="2"/>
  <c r="D991" i="2"/>
  <c r="E991" i="2"/>
  <c r="I991" i="2"/>
  <c r="J991" i="2"/>
  <c r="N991" i="2"/>
  <c r="O991" i="2"/>
  <c r="D992" i="2"/>
  <c r="E992" i="2"/>
  <c r="I992" i="2"/>
  <c r="J992" i="2"/>
  <c r="N992" i="2"/>
  <c r="O992" i="2"/>
  <c r="D993" i="2"/>
  <c r="E993" i="2"/>
  <c r="I993" i="2"/>
  <c r="J993" i="2"/>
  <c r="N993" i="2"/>
  <c r="O993" i="2"/>
  <c r="D994" i="2"/>
  <c r="E994" i="2"/>
  <c r="I994" i="2"/>
  <c r="J994" i="2"/>
  <c r="N994" i="2"/>
  <c r="O994" i="2"/>
  <c r="D995" i="2"/>
  <c r="E995" i="2"/>
  <c r="I995" i="2"/>
  <c r="J995" i="2"/>
  <c r="N995" i="2"/>
  <c r="O995" i="2"/>
  <c r="D996" i="2"/>
  <c r="E996" i="2"/>
  <c r="I996" i="2"/>
  <c r="J996" i="2"/>
  <c r="N996" i="2"/>
  <c r="O996" i="2"/>
  <c r="D997" i="2"/>
  <c r="E997" i="2"/>
  <c r="I997" i="2"/>
  <c r="J997" i="2"/>
  <c r="N997" i="2"/>
  <c r="O997" i="2"/>
  <c r="D998" i="2"/>
  <c r="E998" i="2"/>
  <c r="I998" i="2"/>
  <c r="J998" i="2"/>
  <c r="N998" i="2"/>
  <c r="O998" i="2"/>
  <c r="D999" i="2"/>
  <c r="E999" i="2"/>
  <c r="I999" i="2"/>
  <c r="J999" i="2"/>
  <c r="N999" i="2"/>
  <c r="O999" i="2"/>
  <c r="D1000" i="2"/>
  <c r="E1000" i="2"/>
  <c r="I1000" i="2"/>
  <c r="J1000" i="2"/>
  <c r="N1000" i="2"/>
  <c r="O1000" i="2"/>
  <c r="O3" i="2"/>
  <c r="J3" i="2"/>
  <c r="I3" i="2"/>
  <c r="F3" i="2"/>
  <c r="E3" i="2"/>
  <c r="D3" i="2"/>
  <c r="N3" i="2" s="1"/>
  <c r="W3" i="1"/>
  <c r="E4" i="4" l="1"/>
  <c r="E3" i="4"/>
  <c r="L3" i="4"/>
  <c r="K3" i="4"/>
  <c r="J3" i="4"/>
  <c r="E32" i="4"/>
  <c r="E31" i="4"/>
  <c r="E23" i="4"/>
  <c r="L4" i="4"/>
  <c r="L23" i="4"/>
  <c r="L31" i="4"/>
  <c r="L32" i="4"/>
  <c r="K4" i="4"/>
  <c r="K23" i="4"/>
  <c r="K31" i="4"/>
  <c r="K32" i="4"/>
  <c r="J4" i="4"/>
  <c r="J23" i="4"/>
  <c r="J31" i="4"/>
  <c r="J32" i="4"/>
  <c r="M100" i="4"/>
  <c r="I100" i="4"/>
  <c r="M99" i="4"/>
  <c r="I99" i="4"/>
  <c r="M98" i="4"/>
  <c r="I98" i="4"/>
  <c r="M97" i="4"/>
  <c r="I97" i="4"/>
  <c r="M96" i="4"/>
  <c r="I96" i="4"/>
  <c r="M95" i="4"/>
  <c r="I95" i="4"/>
  <c r="M94" i="4"/>
  <c r="I94" i="4"/>
  <c r="M93" i="4"/>
  <c r="I93" i="4"/>
  <c r="M92" i="4"/>
  <c r="I92" i="4"/>
  <c r="M91" i="4"/>
  <c r="I91" i="4"/>
  <c r="M90" i="4"/>
  <c r="I90" i="4"/>
  <c r="M89" i="4"/>
  <c r="I89" i="4"/>
  <c r="M88" i="4"/>
  <c r="I88" i="4"/>
  <c r="M87" i="4"/>
  <c r="I87" i="4"/>
  <c r="M86" i="4"/>
  <c r="I86" i="4"/>
  <c r="M85" i="4"/>
  <c r="I85" i="4"/>
  <c r="M84" i="4"/>
  <c r="I84" i="4"/>
  <c r="M83" i="4"/>
  <c r="I83" i="4"/>
  <c r="M82" i="4"/>
  <c r="I82" i="4"/>
  <c r="M81" i="4"/>
  <c r="I81" i="4"/>
  <c r="M80" i="4"/>
  <c r="I80" i="4"/>
  <c r="M79" i="4"/>
  <c r="I79" i="4"/>
  <c r="M78" i="4"/>
  <c r="I78" i="4"/>
  <c r="M77" i="4"/>
  <c r="I77" i="4"/>
  <c r="M76" i="4"/>
  <c r="I76" i="4"/>
  <c r="M75" i="4"/>
  <c r="I75" i="4"/>
  <c r="M74" i="4"/>
  <c r="I74" i="4"/>
  <c r="M73" i="4"/>
  <c r="I73" i="4"/>
  <c r="M72" i="4"/>
  <c r="I72" i="4"/>
  <c r="M71" i="4"/>
  <c r="I71" i="4"/>
  <c r="M70" i="4"/>
  <c r="I70" i="4"/>
  <c r="M69" i="4"/>
  <c r="I69" i="4"/>
  <c r="M68" i="4"/>
  <c r="I68" i="4"/>
  <c r="M67" i="4"/>
  <c r="I67" i="4"/>
  <c r="M66" i="4"/>
  <c r="I66" i="4"/>
  <c r="M65" i="4"/>
  <c r="I65" i="4"/>
  <c r="M64" i="4"/>
  <c r="I64" i="4"/>
  <c r="M63" i="4"/>
  <c r="I63" i="4"/>
  <c r="M62" i="4"/>
  <c r="I62" i="4"/>
  <c r="M61" i="4"/>
  <c r="I61" i="4"/>
  <c r="M60" i="4"/>
  <c r="I60" i="4"/>
  <c r="M59" i="4"/>
  <c r="I59" i="4"/>
  <c r="M58" i="4"/>
  <c r="I58" i="4"/>
  <c r="M57" i="4"/>
  <c r="I57" i="4"/>
  <c r="M56" i="4"/>
  <c r="I56" i="4"/>
  <c r="M55" i="4"/>
  <c r="I55" i="4"/>
  <c r="M54" i="4"/>
  <c r="I54" i="4"/>
  <c r="M53" i="4"/>
  <c r="I53" i="4"/>
  <c r="M52" i="4"/>
  <c r="I52" i="4"/>
  <c r="M51" i="4"/>
  <c r="I51" i="4"/>
  <c r="M50" i="4"/>
  <c r="I50" i="4"/>
  <c r="M49" i="4"/>
  <c r="I49" i="4"/>
  <c r="M48" i="4"/>
  <c r="I48" i="4"/>
  <c r="M47" i="4"/>
  <c r="I47" i="4"/>
  <c r="M46" i="4"/>
  <c r="I46" i="4"/>
  <c r="M45" i="4"/>
  <c r="I45" i="4"/>
  <c r="M44" i="4"/>
  <c r="I44" i="4"/>
  <c r="M43" i="4"/>
  <c r="I43" i="4"/>
  <c r="M42" i="4"/>
  <c r="I42" i="4"/>
  <c r="M41" i="4"/>
  <c r="I41" i="4"/>
  <c r="G11" i="9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23" i="3"/>
  <c r="I47" i="9"/>
  <c r="J47" i="9" s="1"/>
  <c r="I46" i="9"/>
  <c r="J46" i="9" s="1"/>
  <c r="J22" i="3"/>
  <c r="I45" i="9"/>
  <c r="J45" i="9" s="1"/>
  <c r="I44" i="9"/>
  <c r="J44" i="9" s="1"/>
  <c r="J21" i="3"/>
  <c r="I27" i="9"/>
  <c r="J27" i="9" s="1"/>
  <c r="I26" i="9"/>
  <c r="J26" i="9" s="1"/>
  <c r="J20" i="3"/>
  <c r="I25" i="9"/>
  <c r="J25" i="9" s="1"/>
  <c r="I24" i="9"/>
  <c r="J24" i="9" s="1"/>
  <c r="J19" i="3"/>
  <c r="I61" i="9"/>
  <c r="J61" i="9" s="1"/>
  <c r="I60" i="9"/>
  <c r="J60" i="9" s="1"/>
  <c r="J18" i="3"/>
  <c r="I59" i="9"/>
  <c r="J59" i="9" s="1"/>
  <c r="I58" i="9"/>
  <c r="J58" i="9" s="1"/>
  <c r="J17" i="3"/>
  <c r="I57" i="9"/>
  <c r="J57" i="9" s="1"/>
  <c r="I56" i="9"/>
  <c r="J56" i="9" s="1"/>
  <c r="I55" i="9"/>
  <c r="J55" i="9" s="1"/>
  <c r="I54" i="9"/>
  <c r="J54" i="9" s="1"/>
  <c r="J15" i="3"/>
  <c r="I53" i="9"/>
  <c r="J53" i="9" s="1"/>
  <c r="I52" i="9"/>
  <c r="J52" i="9" s="1"/>
  <c r="J14" i="3"/>
  <c r="I51" i="9"/>
  <c r="J51" i="9" s="1"/>
  <c r="I50" i="9"/>
  <c r="J50" i="9" s="1"/>
  <c r="J13" i="3"/>
  <c r="I49" i="9"/>
  <c r="J49" i="9" s="1"/>
  <c r="I48" i="9"/>
  <c r="J48" i="9" s="1"/>
  <c r="J12" i="3"/>
  <c r="I43" i="9"/>
  <c r="J43" i="9" s="1"/>
  <c r="I42" i="9"/>
  <c r="J42" i="9" s="1"/>
  <c r="J11" i="3"/>
  <c r="I41" i="9"/>
  <c r="J41" i="9" s="1"/>
  <c r="I40" i="9"/>
  <c r="J40" i="9" s="1"/>
  <c r="J10" i="3"/>
  <c r="I36" i="9"/>
  <c r="J36" i="9" s="1"/>
  <c r="I35" i="9"/>
  <c r="J35" i="9" s="1"/>
  <c r="J9" i="3"/>
  <c r="I34" i="9"/>
  <c r="J34" i="9" s="1"/>
  <c r="I33" i="9"/>
  <c r="J33" i="9" s="1"/>
  <c r="J8" i="3"/>
  <c r="I32" i="9"/>
  <c r="J32" i="9" s="1"/>
  <c r="I28" i="9"/>
  <c r="J28" i="9" s="1"/>
  <c r="J7" i="3"/>
  <c r="I12" i="9"/>
  <c r="J12" i="9" s="1"/>
  <c r="I11" i="9"/>
  <c r="J11" i="9" s="1"/>
  <c r="J6" i="3"/>
  <c r="I10" i="9"/>
  <c r="J10" i="9" s="1"/>
  <c r="I9" i="9"/>
  <c r="J9" i="9" s="1"/>
  <c r="J5" i="3"/>
  <c r="I8" i="9"/>
  <c r="J8" i="9" s="1"/>
  <c r="I7" i="9"/>
  <c r="J7" i="9" s="1"/>
  <c r="K9" i="9"/>
  <c r="K8" i="9"/>
  <c r="K7" i="9"/>
  <c r="K6" i="9"/>
  <c r="K5" i="9"/>
  <c r="J4" i="3"/>
  <c r="I6" i="9"/>
  <c r="J6" i="9" s="1"/>
  <c r="I5" i="9"/>
  <c r="J5" i="9" s="1"/>
  <c r="K4" i="9"/>
  <c r="K3" i="9"/>
  <c r="J3" i="3"/>
  <c r="I3" i="9"/>
  <c r="J3" i="9" s="1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J32" i="3"/>
  <c r="L23" i="3"/>
  <c r="L22" i="3"/>
  <c r="L21" i="3"/>
  <c r="L20" i="3"/>
  <c r="L19" i="3"/>
  <c r="L18" i="3"/>
  <c r="L17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K8" i="3"/>
  <c r="K9" i="3"/>
  <c r="K10" i="3"/>
  <c r="K11" i="3"/>
  <c r="K22" i="3"/>
  <c r="K23" i="3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D2" i="5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M3" i="2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24" i="3"/>
  <c r="N4" i="2"/>
  <c r="N5" i="2"/>
  <c r="N6" i="2"/>
  <c r="L11" i="9" l="1"/>
  <c r="G12" i="9"/>
  <c r="J24" i="3"/>
  <c r="K24" i="3" s="1"/>
  <c r="I63" i="9"/>
  <c r="J63" i="9" s="1"/>
  <c r="I62" i="9"/>
  <c r="J62" i="9" s="1"/>
  <c r="J31" i="3"/>
  <c r="K31" i="3" s="1"/>
  <c r="I75" i="9"/>
  <c r="J75" i="9" s="1"/>
  <c r="I74" i="9"/>
  <c r="J74" i="9" s="1"/>
  <c r="J30" i="3"/>
  <c r="K30" i="3" s="1"/>
  <c r="I73" i="9"/>
  <c r="J73" i="9" s="1"/>
  <c r="I72" i="9"/>
  <c r="J72" i="9" s="1"/>
  <c r="J29" i="3"/>
  <c r="K29" i="3" s="1"/>
  <c r="I71" i="9"/>
  <c r="J71" i="9" s="1"/>
  <c r="I70" i="9"/>
  <c r="J70" i="9" s="1"/>
  <c r="J28" i="3"/>
  <c r="K28" i="3" s="1"/>
  <c r="I69" i="9"/>
  <c r="J69" i="9" s="1"/>
  <c r="I68" i="9"/>
  <c r="J68" i="9" s="1"/>
  <c r="J27" i="3"/>
  <c r="K27" i="3" s="1"/>
  <c r="I67" i="9"/>
  <c r="J67" i="9" s="1"/>
  <c r="I66" i="9"/>
  <c r="J66" i="9" s="1"/>
  <c r="J25" i="3"/>
  <c r="K25" i="3" s="1"/>
  <c r="I65" i="9"/>
  <c r="J65" i="9" s="1"/>
  <c r="I64" i="9"/>
  <c r="J64" i="9" s="1"/>
  <c r="J26" i="3"/>
  <c r="K26" i="3" s="1"/>
  <c r="J16" i="3"/>
  <c r="K13" i="3"/>
  <c r="K14" i="3"/>
  <c r="K15" i="3"/>
  <c r="K16" i="3"/>
  <c r="K17" i="3"/>
  <c r="K18" i="3"/>
  <c r="K19" i="3"/>
  <c r="E33" i="4" l="1"/>
  <c r="L33" i="4"/>
  <c r="K33" i="4"/>
  <c r="J33" i="4"/>
  <c r="L12" i="9"/>
  <c r="F25" i="9"/>
  <c r="G24" i="9"/>
  <c r="K4" i="3"/>
  <c r="K5" i="3"/>
  <c r="K6" i="3"/>
  <c r="K7" i="3"/>
  <c r="K12" i="3"/>
  <c r="K20" i="3"/>
  <c r="K21" i="3"/>
  <c r="K3" i="3"/>
  <c r="L24" i="9" l="1"/>
  <c r="G25" i="9"/>
  <c r="L25" i="9" l="1"/>
  <c r="G26" i="9"/>
  <c r="L26" i="9" l="1"/>
  <c r="E19" i="4"/>
  <c r="L19" i="4"/>
  <c r="K19" i="4"/>
  <c r="J19" i="4"/>
  <c r="G27" i="9"/>
  <c r="L27" i="9" l="1"/>
  <c r="E6" i="4"/>
  <c r="L6" i="4"/>
  <c r="K6" i="4"/>
  <c r="J6" i="4"/>
  <c r="L28" i="9" l="1"/>
  <c r="E20" i="4"/>
  <c r="L20" i="4"/>
  <c r="K20" i="4"/>
  <c r="J20" i="4"/>
  <c r="F33" i="9"/>
  <c r="G33" i="9" s="1"/>
  <c r="L32" i="9" l="1"/>
  <c r="E26" i="4"/>
  <c r="L26" i="4"/>
  <c r="K26" i="4"/>
  <c r="J26" i="4"/>
  <c r="F34" i="9"/>
  <c r="G34" i="9" s="1"/>
  <c r="L33" i="9" l="1"/>
  <c r="L34" i="9" l="1"/>
  <c r="F36" i="9"/>
  <c r="L35" i="9" l="1"/>
  <c r="L36" i="9" l="1"/>
  <c r="F41" i="9"/>
  <c r="L40" i="9" l="1"/>
  <c r="F42" i="9"/>
  <c r="L41" i="9" l="1"/>
  <c r="L42" i="9" l="1"/>
  <c r="F44" i="9"/>
  <c r="L43" i="9" l="1"/>
  <c r="F45" i="9"/>
  <c r="L44" i="9" l="1"/>
  <c r="L45" i="9" l="1"/>
  <c r="F47" i="9"/>
  <c r="L46" i="9" l="1"/>
  <c r="F48" i="9"/>
  <c r="L47" i="9" l="1"/>
  <c r="F49" i="9"/>
  <c r="G48" i="9"/>
  <c r="L48" i="9" l="1"/>
  <c r="G49" i="9"/>
  <c r="L49" i="9" l="1"/>
  <c r="F51" i="9"/>
  <c r="G50" i="9"/>
  <c r="L50" i="9" l="1"/>
  <c r="G51" i="9"/>
  <c r="L51" i="9" l="1"/>
  <c r="G52" i="9"/>
  <c r="L52" i="9" l="1"/>
  <c r="G53" i="9"/>
  <c r="L53" i="9" l="1"/>
  <c r="F55" i="9"/>
  <c r="G54" i="9"/>
  <c r="L54" i="9" l="1"/>
  <c r="G55" i="9"/>
  <c r="L55" i="9" l="1"/>
  <c r="F57" i="9"/>
  <c r="G56" i="9"/>
  <c r="L56" i="9" l="1"/>
  <c r="G57" i="9"/>
  <c r="L57" i="9" l="1"/>
  <c r="F59" i="9"/>
  <c r="G58" i="9"/>
  <c r="L58" i="9" l="1"/>
  <c r="F60" i="9"/>
  <c r="G59" i="9"/>
  <c r="L59" i="9" l="1"/>
  <c r="F61" i="9"/>
  <c r="G60" i="9"/>
  <c r="L60" i="9" l="1"/>
  <c r="G61" i="9"/>
  <c r="L61" i="9" l="1"/>
  <c r="F63" i="9"/>
  <c r="G62" i="9"/>
  <c r="L62" i="9" l="1"/>
  <c r="F64" i="9"/>
  <c r="G63" i="9"/>
  <c r="L63" i="9" l="1"/>
  <c r="F65" i="9"/>
  <c r="G64" i="9"/>
  <c r="L64" i="9" l="1"/>
  <c r="F66" i="9"/>
  <c r="G65" i="9"/>
  <c r="L65" i="9" l="1"/>
  <c r="F67" i="9"/>
  <c r="G66" i="9"/>
  <c r="L66" i="9" l="1"/>
  <c r="F68" i="9"/>
  <c r="G67" i="9"/>
  <c r="L67" i="9" l="1"/>
  <c r="F69" i="9"/>
  <c r="G68" i="9"/>
  <c r="L68" i="9" l="1"/>
  <c r="F70" i="9"/>
  <c r="G69" i="9"/>
  <c r="L69" i="9" l="1"/>
  <c r="F71" i="9"/>
  <c r="G70" i="9"/>
  <c r="L70" i="9" l="1"/>
  <c r="F72" i="9"/>
  <c r="G71" i="9"/>
  <c r="L71" i="9" l="1"/>
  <c r="F73" i="9"/>
  <c r="G72" i="9"/>
  <c r="L72" i="9" l="1"/>
  <c r="F74" i="9"/>
  <c r="G73" i="9"/>
  <c r="L73" i="9" l="1"/>
  <c r="F75" i="9"/>
  <c r="G75" i="9" s="1"/>
  <c r="G74" i="9"/>
  <c r="E24" i="4" l="1"/>
  <c r="L24" i="4"/>
  <c r="K24" i="4"/>
  <c r="J24" i="4"/>
  <c r="E34" i="4"/>
  <c r="L34" i="4"/>
  <c r="K34" i="4"/>
  <c r="J34" i="4"/>
  <c r="E25" i="4"/>
  <c r="L25" i="4"/>
  <c r="K25" i="4"/>
  <c r="J25" i="4"/>
  <c r="E35" i="4"/>
  <c r="L35" i="4"/>
  <c r="K35" i="4"/>
  <c r="J35" i="4"/>
  <c r="E36" i="4"/>
  <c r="L36" i="4"/>
  <c r="K36" i="4"/>
  <c r="J36" i="4"/>
  <c r="E27" i="4"/>
  <c r="L27" i="4"/>
  <c r="K27" i="4"/>
  <c r="J27" i="4"/>
  <c r="E37" i="4"/>
  <c r="L37" i="4"/>
  <c r="K37" i="4"/>
  <c r="J37" i="4"/>
  <c r="E28" i="4"/>
  <c r="L28" i="4"/>
  <c r="K28" i="4"/>
  <c r="J28" i="4"/>
  <c r="E38" i="4"/>
  <c r="L38" i="4"/>
  <c r="K38" i="4"/>
  <c r="J38" i="4"/>
  <c r="E29" i="4"/>
  <c r="L29" i="4"/>
  <c r="K29" i="4"/>
  <c r="J29" i="4"/>
  <c r="E39" i="4"/>
  <c r="L39" i="4"/>
  <c r="K39" i="4"/>
  <c r="J39" i="4"/>
  <c r="E30" i="4"/>
  <c r="L30" i="4"/>
  <c r="K30" i="4"/>
  <c r="J30" i="4"/>
  <c r="E40" i="4"/>
  <c r="L40" i="4"/>
  <c r="K40" i="4"/>
  <c r="J40" i="4"/>
  <c r="E17" i="4"/>
  <c r="L17" i="4"/>
  <c r="K17" i="4"/>
  <c r="J17" i="4"/>
  <c r="E21" i="4"/>
  <c r="L21" i="4"/>
  <c r="K21" i="4"/>
  <c r="J21" i="4"/>
  <c r="E18" i="4"/>
  <c r="L18" i="4"/>
  <c r="K18" i="4"/>
  <c r="J18" i="4"/>
  <c r="E22" i="4"/>
  <c r="L22" i="4"/>
  <c r="K22" i="4"/>
  <c r="J22" i="4"/>
  <c r="E7" i="4"/>
  <c r="L7" i="4"/>
  <c r="K7" i="4"/>
  <c r="J7" i="4"/>
  <c r="E8" i="4"/>
  <c r="L8" i="4"/>
  <c r="K8" i="4"/>
  <c r="J8" i="4"/>
  <c r="E15" i="4"/>
  <c r="L15" i="4"/>
  <c r="K15" i="4"/>
  <c r="J15" i="4"/>
  <c r="E11" i="4"/>
  <c r="L11" i="4"/>
  <c r="K11" i="4"/>
  <c r="J11" i="4"/>
  <c r="E14" i="4"/>
  <c r="L14" i="4"/>
  <c r="K14" i="4"/>
  <c r="J14" i="4"/>
  <c r="E12" i="4"/>
  <c r="L12" i="4"/>
  <c r="K12" i="4"/>
  <c r="J12" i="4"/>
  <c r="E13" i="4"/>
  <c r="L13" i="4"/>
  <c r="K13" i="4"/>
  <c r="J13" i="4"/>
  <c r="E9" i="4"/>
  <c r="L9" i="4"/>
  <c r="K9" i="4"/>
  <c r="J9" i="4"/>
  <c r="E10" i="4"/>
  <c r="L10" i="4"/>
  <c r="K10" i="4"/>
  <c r="J10" i="4"/>
  <c r="E16" i="4"/>
  <c r="L16" i="4"/>
  <c r="K16" i="4"/>
  <c r="J16" i="4"/>
  <c r="L5" i="4"/>
  <c r="K5" i="4"/>
  <c r="J5" i="4"/>
  <c r="L74" i="9"/>
  <c r="H31" i="4"/>
  <c r="H4" i="4"/>
  <c r="H32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3" i="4"/>
  <c r="H34" i="4"/>
  <c r="H35" i="4"/>
  <c r="H36" i="4"/>
  <c r="H37" i="4"/>
  <c r="H38" i="4"/>
  <c r="H39" i="4"/>
  <c r="H40" i="4"/>
  <c r="H3" i="4"/>
  <c r="H2" i="10" a="1"/>
  <c r="I57" i="10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3" i="4"/>
  <c r="L75" i="9"/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H2" i="10"/>
  <c r="M3" i="4"/>
  <c r="I3" i="4"/>
  <c r="M40" i="4"/>
  <c r="I40" i="4"/>
  <c r="M39" i="4"/>
  <c r="I39" i="4"/>
  <c r="M38" i="4"/>
  <c r="I38" i="4"/>
  <c r="M37" i="4"/>
  <c r="I37" i="4"/>
  <c r="M36" i="4"/>
  <c r="I36" i="4"/>
  <c r="M35" i="4"/>
  <c r="I35" i="4"/>
  <c r="M34" i="4"/>
  <c r="I34" i="4"/>
  <c r="M33" i="4"/>
  <c r="I33" i="4"/>
  <c r="M30" i="4"/>
  <c r="I30" i="4"/>
  <c r="M29" i="4"/>
  <c r="I29" i="4"/>
  <c r="M28" i="4"/>
  <c r="I28" i="4"/>
  <c r="M27" i="4"/>
  <c r="I27" i="4"/>
  <c r="M26" i="4"/>
  <c r="I26" i="4"/>
  <c r="M25" i="4"/>
  <c r="I25" i="4"/>
  <c r="M24" i="4"/>
  <c r="I24" i="4"/>
  <c r="M23" i="4"/>
  <c r="I23" i="4"/>
  <c r="M22" i="4"/>
  <c r="I22" i="4"/>
  <c r="M21" i="4"/>
  <c r="I21" i="4"/>
  <c r="M20" i="4"/>
  <c r="I20" i="4"/>
  <c r="M19" i="4"/>
  <c r="I19" i="4"/>
  <c r="M18" i="4"/>
  <c r="I18" i="4"/>
  <c r="M17" i="4"/>
  <c r="I17" i="4"/>
  <c r="M16" i="4"/>
  <c r="I16" i="4"/>
  <c r="M15" i="4"/>
  <c r="I15" i="4"/>
  <c r="M14" i="4"/>
  <c r="I14" i="4"/>
  <c r="M13" i="4"/>
  <c r="I13" i="4"/>
  <c r="M12" i="4"/>
  <c r="I12" i="4"/>
  <c r="M11" i="4"/>
  <c r="I11" i="4"/>
  <c r="M10" i="4"/>
  <c r="I10" i="4"/>
  <c r="M9" i="4"/>
  <c r="I9" i="4"/>
  <c r="M8" i="4"/>
  <c r="I8" i="4"/>
  <c r="M7" i="4"/>
  <c r="I7" i="4"/>
  <c r="M6" i="4"/>
  <c r="I6" i="4"/>
  <c r="M5" i="4"/>
  <c r="I5" i="4"/>
  <c r="M32" i="4"/>
  <c r="I32" i="4"/>
  <c r="M4" i="4"/>
  <c r="I4" i="4"/>
  <c r="M31" i="4"/>
  <c r="I31" i="4"/>
  <c r="AA2" i="10" l="1" a="1"/>
  <c r="AA2" i="10" s="1"/>
  <c r="I2" i="10"/>
  <c r="Y2" i="10" l="1" a="1"/>
  <c r="Y2" i="10" s="1"/>
  <c r="X2" i="10" a="1"/>
  <c r="X2" i="10" s="1"/>
  <c r="W2" i="10" a="1"/>
  <c r="W2" i="10" s="1"/>
  <c r="V2" i="10" a="1"/>
  <c r="V2" i="10" s="1"/>
  <c r="U2" i="10" a="1"/>
  <c r="U2" i="10" s="1"/>
  <c r="T2" i="10" a="1"/>
  <c r="T2" i="10" s="1"/>
  <c r="P2" i="10" a="1"/>
  <c r="P2" i="10" s="1"/>
  <c r="O2" i="10" a="1"/>
  <c r="O2" i="10" s="1"/>
  <c r="N2" i="10" a="1"/>
  <c r="N2" i="10" s="1"/>
  <c r="M2" i="10" a="1"/>
  <c r="M2" i="10" s="1"/>
  <c r="L2" i="10" a="1"/>
  <c r="L2" i="10" s="1"/>
  <c r="K2" i="10" a="1"/>
  <c r="K2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<sst xmlns="http://schemas.openxmlformats.org/spreadsheetml/2006/main" count="1663" uniqueCount="810">
  <si>
    <t>🔵 Input Parameters</t>
  </si>
  <si>
    <t>🟢 Auto-ID</t>
  </si>
  <si>
    <t>🟢 Performance Metrics</t>
  </si>
  <si>
    <t>🔵 Chemistry (Input)</t>
  </si>
  <si>
    <t>🟡 Validation Helpers</t>
  </si>
  <si>
    <t>Date of Inward</t>
  </si>
  <si>
    <t>HR Coil No.</t>
  </si>
  <si>
    <t>HR Coil ID</t>
  </si>
  <si>
    <t>Input Coil Number (Batch ID)</t>
  </si>
  <si>
    <t>Coil Grade</t>
  </si>
  <si>
    <t>Heat Number</t>
  </si>
  <si>
    <t>Thickness (mm)</t>
  </si>
  <si>
    <t>Length (mm)</t>
  </si>
  <si>
    <t>Width (mm)</t>
  </si>
  <si>
    <t>Invoice Weight (T)</t>
  </si>
  <si>
    <t>Actual Weight (T)</t>
  </si>
  <si>
    <t>Cost Price (₹)</t>
  </si>
  <si>
    <t>PO Number</t>
  </si>
  <si>
    <t>FG Readiness</t>
  </si>
  <si>
    <t>Dispatched Weight (T)</t>
  </si>
  <si>
    <t>Yield % (Dispatch/Total Weight)</t>
  </si>
  <si>
    <t>Carbon</t>
  </si>
  <si>
    <t>Mn</t>
  </si>
  <si>
    <t>YS (MPa)</t>
  </si>
  <si>
    <t>Elongation (%)</t>
  </si>
  <si>
    <t>Total Baby Coil Width (mm)</t>
  </si>
  <si>
    <t>Width Check (Baby vs Parent)</t>
  </si>
  <si>
    <t>Duplicate ID Check</t>
  </si>
  <si>
    <t>C102781102</t>
  </si>
  <si>
    <t>E250- BR</t>
  </si>
  <si>
    <t>C102781</t>
  </si>
  <si>
    <t>C202753205</t>
  </si>
  <si>
    <t>C202753</t>
  </si>
  <si>
    <t>K633360481</t>
  </si>
  <si>
    <t>IS10748 Gr 1</t>
  </si>
  <si>
    <t>A3Y2286</t>
  </si>
  <si>
    <t>IS10748 Gr 2</t>
  </si>
  <si>
    <t>25A3330</t>
  </si>
  <si>
    <t>HR2</t>
  </si>
  <si>
    <t>H111261</t>
  </si>
  <si>
    <t> </t>
  </si>
  <si>
    <t>11,65,122.0</t>
  </si>
  <si>
    <t>JOO-0BGCK1QR7</t>
  </si>
  <si>
    <t>H113559</t>
  </si>
  <si>
    <t>13,01,244.0</t>
  </si>
  <si>
    <t>B589219</t>
  </si>
  <si>
    <t>8,37,760.00</t>
  </si>
  <si>
    <t>🔵 Manual Entry ↓</t>
  </si>
  <si>
    <t>🟡 Validation Helpers ↓</t>
  </si>
  <si>
    <t>Date of Conversion</t>
  </si>
  <si>
    <t>Baby Coil Entry (A,B,C...)</t>
  </si>
  <si>
    <t>Baby Coil ID</t>
  </si>
  <si>
    <t>Weight (T)</t>
  </si>
  <si>
    <t>Sum Baby Width for HR Coil (mm)</t>
  </si>
  <si>
    <t>Parent Coil Width (mm)</t>
  </si>
  <si>
    <t>Width Validation</t>
  </si>
  <si>
    <t>Duplicate Baby ID Check</t>
  </si>
  <si>
    <t>Width Sum vs Parent (mm)</t>
  </si>
  <si>
    <t>HYD-0326-01</t>
  </si>
  <si>
    <t>A</t>
  </si>
  <si>
    <t>B</t>
  </si>
  <si>
    <t>C</t>
  </si>
  <si>
    <t>D</t>
  </si>
  <si>
    <t>E</t>
  </si>
  <si>
    <t>F</t>
  </si>
  <si>
    <t>G</t>
  </si>
  <si>
    <t>H</t>
  </si>
  <si>
    <t>HYD-0326-02</t>
  </si>
  <si>
    <t>HYD-0326-03</t>
  </si>
  <si>
    <t>I</t>
  </si>
  <si>
    <t>J</t>
  </si>
  <si>
    <t>29-03-2026</t>
  </si>
  <si>
    <t>HYD-0326-04</t>
  </si>
  <si>
    <t>HYD-0426-05</t>
  </si>
  <si>
    <t>HYD-0426-06</t>
  </si>
  <si>
    <t>HYD-0426-07</t>
  </si>
  <si>
    <t>🔵 Manual Entry</t>
  </si>
  <si>
    <t>SKU Code</t>
  </si>
  <si>
    <t>Number of Pieces</t>
  </si>
  <si>
    <t>Theortical Weight (T)</t>
  </si>
  <si>
    <t>Mother Coil Wt (T)</t>
  </si>
  <si>
    <t>Sum Bundle Wt (T)</t>
  </si>
  <si>
    <t>Wt Validation</t>
  </si>
  <si>
    <t>Duplicate Bundle ID Check</t>
  </si>
  <si>
    <t>MS SHS One Helix IS 4923 YSt 210 Black 38x38x2.80x6000</t>
  </si>
  <si>
    <t>HYD-0326-01-A</t>
  </si>
  <si>
    <t>HYD-0326-01-B</t>
  </si>
  <si>
    <t>HYD-0326-01-C</t>
  </si>
  <si>
    <t>HYD-0326-01-D</t>
  </si>
  <si>
    <t>HYD-0326-01-E</t>
  </si>
  <si>
    <t>HYD-0326-02-A</t>
  </si>
  <si>
    <t>HYD-0326-02-B</t>
  </si>
  <si>
    <t>HYD-0326-02-C</t>
  </si>
  <si>
    <t>HYD-0326-02-D</t>
  </si>
  <si>
    <t>HYD-0326-02-E</t>
  </si>
  <si>
    <t>MS SHS One Helix IS 4923 YSt 210 Black 38x38x2.50x6000</t>
  </si>
  <si>
    <t>HYD-0326-03-A</t>
  </si>
  <si>
    <t>HYD-0326-03-B</t>
  </si>
  <si>
    <t>HYD-0326-03-C</t>
  </si>
  <si>
    <t>HYD-0326-03-D</t>
  </si>
  <si>
    <t>MS SHS One Helix IS 4923 YSt 210 Black 50x50x2.50x6000</t>
  </si>
  <si>
    <t>HYD-0326-03-E</t>
  </si>
  <si>
    <t>HYD-0326-03-F</t>
  </si>
  <si>
    <t>HYD-0326-03-G</t>
  </si>
  <si>
    <t>MS SHS One Helix IS 4923 YSt 210 Black 50x50x2.80x6000</t>
  </si>
  <si>
    <t>HYD-0326-01-F</t>
  </si>
  <si>
    <t>HYD-0326-01-G</t>
  </si>
  <si>
    <t>HYD-0326-02-F</t>
  </si>
  <si>
    <t>HYD-0326-02-G</t>
  </si>
  <si>
    <t>MS SHS One Helix IS 4923 YSt 210 Black 50x50x2.20x6000</t>
  </si>
  <si>
    <t>HYD-0326-04-F</t>
  </si>
  <si>
    <t>HYD-0326-04-G</t>
  </si>
  <si>
    <t>MS SHS One Helix IS 4923 YSt 210 Black 38x38x2.20x6000</t>
  </si>
  <si>
    <t>HYD-0326-04-A</t>
  </si>
  <si>
    <t>HYD-0326-04-B</t>
  </si>
  <si>
    <t>HYD-0326-04-C</t>
  </si>
  <si>
    <t>HYD-0326-04-D</t>
  </si>
  <si>
    <t>HYD-0326-04-E</t>
  </si>
  <si>
    <t>MS SHS One Helix IS 4923 YSt 210 Black 50x50x2x6000</t>
  </si>
  <si>
    <t>HYD-0426-07-A</t>
  </si>
  <si>
    <t>HYD-0426-07-B</t>
  </si>
  <si>
    <t>HYD-0426-07-C</t>
  </si>
  <si>
    <t>HYD-0426-05-A</t>
  </si>
  <si>
    <t>HYD-0426-05-B</t>
  </si>
  <si>
    <t>HYD-0426-05-C</t>
  </si>
  <si>
    <t>HYD-0426-05-D</t>
  </si>
  <si>
    <t>HYD-0426-05-E</t>
  </si>
  <si>
    <t>HYD-0426-05-F</t>
  </si>
  <si>
    <t>HYD-0426-06-A</t>
  </si>
  <si>
    <t>HYD-0426-06-B</t>
  </si>
  <si>
    <t>HYD-0426-06-C</t>
  </si>
  <si>
    <t>HYD-0426-06-D</t>
  </si>
  <si>
    <t>HYD-0426-06-E</t>
  </si>
  <si>
    <t>HYD-0426-06-F</t>
  </si>
  <si>
    <t>Date of Entry</t>
  </si>
  <si>
    <t>No. of tube pieces left</t>
  </si>
  <si>
    <t>No. of Tube Pieces</t>
  </si>
  <si>
    <t xml:space="preserve">Bundle No. </t>
  </si>
  <si>
    <t>Bundle ID</t>
  </si>
  <si>
    <t>Remaining Tube Pieces</t>
  </si>
  <si>
    <t>Weight per Piece (T)</t>
  </si>
  <si>
    <t>Total Bundle Weight (T)</t>
  </si>
  <si>
    <t>Baby Coil ID Validation</t>
  </si>
  <si>
    <t>Duplicate Row Check</t>
  </si>
  <si>
    <t>Pieces vs FG Conversion</t>
  </si>
  <si>
    <t>🟢 Auto-Calculated</t>
  </si>
  <si>
    <t>Date of Dispatch</t>
  </si>
  <si>
    <t>Vehicle No.</t>
  </si>
  <si>
    <t xml:space="preserve">Invoice No. </t>
  </si>
  <si>
    <t>Vehicle Weight (T)</t>
  </si>
  <si>
    <t>No.of Pieces</t>
  </si>
  <si>
    <t>Theoretical Weight (T)</t>
  </si>
  <si>
    <t>Variance (T)</t>
  </si>
  <si>
    <t>Yield Flag</t>
  </si>
  <si>
    <t>Duplicate Bundle Check</t>
  </si>
  <si>
    <t>TS08UJ6444</t>
  </si>
  <si>
    <t>BND-1</t>
  </si>
  <si>
    <t>BND-2</t>
  </si>
  <si>
    <t>BND-11</t>
  </si>
  <si>
    <t>BND-13</t>
  </si>
  <si>
    <t>BND-29</t>
  </si>
  <si>
    <t>BND-31</t>
  </si>
  <si>
    <t>BND-37</t>
  </si>
  <si>
    <t>BND-39</t>
  </si>
  <si>
    <t>KA37B3630</t>
  </si>
  <si>
    <t>BND-33</t>
  </si>
  <si>
    <t>BND-35</t>
  </si>
  <si>
    <t>BND-36</t>
  </si>
  <si>
    <t>BND-34</t>
  </si>
  <si>
    <t>BND-32</t>
  </si>
  <si>
    <t>BND-41</t>
  </si>
  <si>
    <t>BND-25</t>
  </si>
  <si>
    <t>BND-27</t>
  </si>
  <si>
    <t>BND-12</t>
  </si>
  <si>
    <t>BND-14</t>
  </si>
  <si>
    <t>BND-26</t>
  </si>
  <si>
    <t>BND-28</t>
  </si>
  <si>
    <t>BND-5</t>
  </si>
  <si>
    <t>BND-7</t>
  </si>
  <si>
    <t>BND-9</t>
  </si>
  <si>
    <t>BND-15</t>
  </si>
  <si>
    <t>BND-17</t>
  </si>
  <si>
    <t>BND-19</t>
  </si>
  <si>
    <t>BND-21</t>
  </si>
  <si>
    <t>BND-23</t>
  </si>
  <si>
    <t>BND-4</t>
  </si>
  <si>
    <t>BND-6</t>
  </si>
  <si>
    <t>BND-8</t>
  </si>
  <si>
    <t>BND-10</t>
  </si>
  <si>
    <t>BND-16</t>
  </si>
  <si>
    <t>BND-18</t>
  </si>
  <si>
    <t>BND-20</t>
  </si>
  <si>
    <t>BND-22</t>
  </si>
  <si>
    <t>BND-24</t>
  </si>
  <si>
    <t>Product Type</t>
  </si>
  <si>
    <t>SKU (MMID)</t>
  </si>
  <si>
    <t>Material Info</t>
  </si>
  <si>
    <t>Height (Depth)</t>
  </si>
  <si>
    <t>Breadth (Width)</t>
  </si>
  <si>
    <t>Thickness</t>
  </si>
  <si>
    <t>Length</t>
  </si>
  <si>
    <t>Nominal Bore</t>
  </si>
  <si>
    <t>Outside Diameter</t>
  </si>
  <si>
    <t>HSN</t>
  </si>
  <si>
    <t>Status</t>
  </si>
  <si>
    <t>SHS</t>
  </si>
  <si>
    <t>1139-13064-10055315</t>
  </si>
  <si>
    <t>MS SHS One Helix IS 4923 YSt 210 Black 25x25x2.50x6000</t>
  </si>
  <si>
    <t>published</t>
  </si>
  <si>
    <t>1139-13064-10055318</t>
  </si>
  <si>
    <t>MS SHS One Helix IS 4923 YSt 210 Black 25x25x1.60x6000</t>
  </si>
  <si>
    <t>1139-13064-10057858</t>
  </si>
  <si>
    <t>MS SHS One Helix IS 4923 YSt 210 Black 25x25x2.20x6000</t>
  </si>
  <si>
    <t>1139-13064-10058789</t>
  </si>
  <si>
    <t>1139-13064-10059382</t>
  </si>
  <si>
    <t>MS SHS One Helix IS 4923 YSt 210 Black 12.50x12.50x1x6000</t>
  </si>
  <si>
    <t>1139-13064-10059383</t>
  </si>
  <si>
    <t>MS SHS One Helix IS 4923 YSt 210 Black 12.50x12.50x1.20x6000</t>
  </si>
  <si>
    <t>1139-13064-10059384</t>
  </si>
  <si>
    <t>MS SHS One Helix IS 4923 YSt 210 Black 12.50x12.50x1.60x6000</t>
  </si>
  <si>
    <t>1139-13064-10059385</t>
  </si>
  <si>
    <t>MS SHS One Helix IS 4923 YSt 210 Black 15x15x1.20x6000</t>
  </si>
  <si>
    <t>1139-13064-10059386</t>
  </si>
  <si>
    <t>MS SHS One Helix IS 4923 YSt 210 Black 15x15x1.60x6000</t>
  </si>
  <si>
    <t>1139-13064-10059387</t>
  </si>
  <si>
    <t>MS SHS One Helix IS 4923 YSt 210 Black 20x20x1.20x6000</t>
  </si>
  <si>
    <t>1139-13064-10059388</t>
  </si>
  <si>
    <t>MS SHS One Helix IS 4923 YSt 210 Black 20x20x1.60x6000</t>
  </si>
  <si>
    <t>1139-13064-10059389</t>
  </si>
  <si>
    <t>MS SHS One Helix IS 4923 YSt 210 Black 20x20x1.80x6000</t>
  </si>
  <si>
    <t>1139-13064-10059390</t>
  </si>
  <si>
    <t>MS SHS One Helix IS 4923 YSt 210 Black 20x20x2x6000</t>
  </si>
  <si>
    <t>1139-13064-10059391</t>
  </si>
  <si>
    <t>MS SHS One Helix IS 4923 YSt 210 Black 20x20x2.20x6000</t>
  </si>
  <si>
    <t>1139-13064-10059392</t>
  </si>
  <si>
    <t>MS SHS One Helix IS 4923 YSt 210 Black 25x25x1x6000</t>
  </si>
  <si>
    <t>1139-13064-10059393</t>
  </si>
  <si>
    <t>MS SHS One Helix IS 4923 YSt 210 Black 25x25x1.20x6000</t>
  </si>
  <si>
    <t>1139-13064-10059394</t>
  </si>
  <si>
    <t>MS SHS One Helix IS 4923 YSt 210 Black 25x25x1.80x6000</t>
  </si>
  <si>
    <t>1139-13064-10059395</t>
  </si>
  <si>
    <t>MS SHS One Helix IS 4923 YSt 210 Black 25x25x2x6000</t>
  </si>
  <si>
    <t>1139-13064-10059396</t>
  </si>
  <si>
    <t>MS SHS One Helix IS 4923 YSt 210 Black 25x25x2.90x6000</t>
  </si>
  <si>
    <t>1139-13064-10059397</t>
  </si>
  <si>
    <t>MS SHS One Helix IS 4923 YSt 210 Black 32x32x1.60x6000</t>
  </si>
  <si>
    <t>1139-13064-10059398</t>
  </si>
  <si>
    <t>MS SHS One Helix IS 4923 YSt 210 Black 32x32x2x6000</t>
  </si>
  <si>
    <t>1139-13064-10059399</t>
  </si>
  <si>
    <t>MS SHS One Helix IS 4923 YSt 210 Black 32x32x2.20x6000</t>
  </si>
  <si>
    <t>1139-13064-10059400</t>
  </si>
  <si>
    <t>MS SHS One Helix IS 4923 YSt 210 Black 32x32x2.50x6000</t>
  </si>
  <si>
    <t>1139-13064-10059401</t>
  </si>
  <si>
    <t>MS SHS One Helix IS 4923 YSt 210 Black 38x38x1.20x6000</t>
  </si>
  <si>
    <t>1139-13064-10059402</t>
  </si>
  <si>
    <t>MS SHS One Helix IS 4923 YSt 210 Black 38x38x1.60x6000</t>
  </si>
  <si>
    <t>1139-13064-10059403</t>
  </si>
  <si>
    <t>MS SHS One Helix IS 4923 YSt 210 Black 38x38x1.80x6000</t>
  </si>
  <si>
    <t>1139-13064-10059404</t>
  </si>
  <si>
    <t>MS SHS One Helix IS 4923 YSt 210 Black 38x38x2x6000</t>
  </si>
  <si>
    <t>1139-13064-10059405</t>
  </si>
  <si>
    <t>1139-13064-10059406</t>
  </si>
  <si>
    <t>MS SHS One Helix IS 4923 YSt 210 Black 38x38x2.90x6000</t>
  </si>
  <si>
    <t>1139-13064-10059407</t>
  </si>
  <si>
    <t>MS SHS One Helix IS 4923 YSt 210 Black 40x40x1.20x6000</t>
  </si>
  <si>
    <t>1139-13064-10059408</t>
  </si>
  <si>
    <t>MS SHS One Helix IS 4923 YSt 210 Black 40x40x1.60x6000</t>
  </si>
  <si>
    <t>1139-13064-10059409</t>
  </si>
  <si>
    <t>MS SHS One Helix IS 4923 YSt 210 Black 40x40x1.80x6000</t>
  </si>
  <si>
    <t>1139-13064-10059410</t>
  </si>
  <si>
    <t>MS SHS One Helix IS 4923 YSt 210 Black 40x40x2x6000</t>
  </si>
  <si>
    <t>1139-13064-10059411</t>
  </si>
  <si>
    <t>MS SHS One Helix IS 4923 YSt 210 Black 40x40x2.20x6000</t>
  </si>
  <si>
    <t>1139-13064-10059412</t>
  </si>
  <si>
    <t>MS SHS One Helix IS 4923 YSt 210 Black 40x40x2.50x6000</t>
  </si>
  <si>
    <t>1139-13064-10059413</t>
  </si>
  <si>
    <t>MS SHS One Helix IS 4923 YSt 210 Black 40x40x2.90x6000</t>
  </si>
  <si>
    <t>1139-13064-10059414</t>
  </si>
  <si>
    <t>MS SHS One Helix IS 4923 YSt 210 Black 40x40x3.20x6000</t>
  </si>
  <si>
    <t>1139-13064-10059415</t>
  </si>
  <si>
    <t>MS SHS One Helix IS 4923 YSt 210 Black 40x40x4x6000</t>
  </si>
  <si>
    <t>1139-13064-10059416</t>
  </si>
  <si>
    <t>MS SHS One Helix IS 4923 YSt 210 Black 50x50x1.20x6000</t>
  </si>
  <si>
    <t>1139-13064-10059417</t>
  </si>
  <si>
    <t>MS SHS One Helix IS 4923 YSt 210 Black 50x50x1.60x6000</t>
  </si>
  <si>
    <t>1139-13064-10059418</t>
  </si>
  <si>
    <t>MS SHS One Helix IS 4923 YSt 210 Black 50x50x1.80x6000</t>
  </si>
  <si>
    <t>1139-13064-10059419</t>
  </si>
  <si>
    <t>1139-13064-10059420</t>
  </si>
  <si>
    <t>1139-13064-10059421</t>
  </si>
  <si>
    <t>1139-13064-10059422</t>
  </si>
  <si>
    <t>MS SHS One Helix IS 4923 YSt 210 Black 50x50x2.90x6000</t>
  </si>
  <si>
    <t>1139-13064-10059423</t>
  </si>
  <si>
    <t>MS SHS One Helix IS 4923 YSt 210 Black 50x50x3.60x6000</t>
  </si>
  <si>
    <t>1139-13064-10059424</t>
  </si>
  <si>
    <t>MS SHS One Helix IS 4923 YSt 210 Black 50x50x4x6000</t>
  </si>
  <si>
    <t>1139-13064-10059425</t>
  </si>
  <si>
    <t>MS SHS One Helix IS 4923 YSt 210 Black 50x50x4.80x6000</t>
  </si>
  <si>
    <t>1139-13064-10059426</t>
  </si>
  <si>
    <t>MS SHS One Helix IS 4923 YSt 210 Black 60x60x1.80x6000</t>
  </si>
  <si>
    <t>1139-13064-10059427</t>
  </si>
  <si>
    <t>MS SHS One Helix IS 4923 YSt 210 Black 60x60x2x6000</t>
  </si>
  <si>
    <t>1139-13064-10059428</t>
  </si>
  <si>
    <t>MS SHS One Helix IS 4923 YSt 210 Black 60x60x2.20x6000</t>
  </si>
  <si>
    <t>1139-13064-10059429</t>
  </si>
  <si>
    <t>MS SHS One Helix IS 4923 YSt 210 Black 60x60x2.50x6000</t>
  </si>
  <si>
    <t>1139-13064-10059430</t>
  </si>
  <si>
    <t>MS SHS One Helix IS 4923 YSt 210 Black 60x60x2.90x6000</t>
  </si>
  <si>
    <t>1139-13064-10059431</t>
  </si>
  <si>
    <t>MS SHS One Helix IS 4923 YSt 210 Black 72x72x1.60x6000</t>
  </si>
  <si>
    <t>1139-13064-10059432</t>
  </si>
  <si>
    <t>MS SHS One Helix IS 4923 YSt 210 Black 72x72x1.80x6000</t>
  </si>
  <si>
    <t>1139-13064-10059433</t>
  </si>
  <si>
    <t>MS SHS One Helix IS 4923 YSt 210 Black 72x72x2x6000</t>
  </si>
  <si>
    <t>1139-13064-10059434</t>
  </si>
  <si>
    <t>MS SHS One Helix IS 4923 YSt 210 Black 72x72x2.20x6000</t>
  </si>
  <si>
    <t>1139-13064-10059435</t>
  </si>
  <si>
    <t>MS SHS One Helix IS 4923 YSt 210 Black 72x72x2.50x6000</t>
  </si>
  <si>
    <t>1139-13064-10059436</t>
  </si>
  <si>
    <t>MS SHS One Helix IS 4923 YSt 210 Black 72x72x2.90x6000</t>
  </si>
  <si>
    <t>1139-13064-10059437</t>
  </si>
  <si>
    <t>MS SHS One Helix IS 4923 YSt 210 Black 72x72x3.20x6000</t>
  </si>
  <si>
    <t>1139-13064-10059438</t>
  </si>
  <si>
    <t>MS SHS One Helix IS 4923 YSt 210 Black 72x72x4x6000</t>
  </si>
  <si>
    <t>1139-13064-10059439</t>
  </si>
  <si>
    <t>MS SHS One Helix IS 4923 YSt 210 Black 72x72x4.80x6000</t>
  </si>
  <si>
    <t>1139-13064-10059440</t>
  </si>
  <si>
    <t>MS SHS One Helix IS 4923 YSt 210 Black 80x80x4x6000</t>
  </si>
  <si>
    <t>1139-13064-10059441</t>
  </si>
  <si>
    <t>MS SHS One Helix IS 4923 YSt 210 Black 91.50x91.50x2.90x6000</t>
  </si>
  <si>
    <t>1139-13064-10059442</t>
  </si>
  <si>
    <t>MS SHS One Helix IS 4923 YSt 210 Black 91.50x91.50x3.60x6000</t>
  </si>
  <si>
    <t>1139-13064-10059443</t>
  </si>
  <si>
    <t>MS SHS One Helix IS 4923 YSt 210 Black 100x100x2x6000</t>
  </si>
  <si>
    <t>1139-13064-10059444</t>
  </si>
  <si>
    <t>MS SHS One Helix IS 4923 YSt 210 Black 100x100x2.50x6000</t>
  </si>
  <si>
    <t>1139-13064-10059445</t>
  </si>
  <si>
    <t>MS SHS One Helix IS 4923 YSt 210 Black 100x100x2.90x6000</t>
  </si>
  <si>
    <t>1139-13064-10059446</t>
  </si>
  <si>
    <t>MS SHS One Helix IS 4923 YSt 210 Black 100x100x3.20x6000</t>
  </si>
  <si>
    <t>1139-13064-10059447</t>
  </si>
  <si>
    <t>MS SHS One Helix IS 4923 YSt 210 Black 100x100x4x6000</t>
  </si>
  <si>
    <t>1139-13064-10059448</t>
  </si>
  <si>
    <t>MS SHS One Helix IS 4923 YSt 210 Black 100x100x4.80x6000</t>
  </si>
  <si>
    <t>1139-13064-10059449</t>
  </si>
  <si>
    <t>MS SHS One Helix IS 4923 YSt 210 Black 100x100x6x6000</t>
  </si>
  <si>
    <t>1139-13064-10059450</t>
  </si>
  <si>
    <t>MS SHS One Helix IS 4923 YSt 210 Black 132x132x2.90x6000</t>
  </si>
  <si>
    <t>1139-13064-10059451</t>
  </si>
  <si>
    <t>MS SHS One Helix IS 4923 YSt 210 Black 132x132x3.20x6000</t>
  </si>
  <si>
    <t>1139-13064-10059452</t>
  </si>
  <si>
    <t>MS SHS One Helix IS 4923 YSt 210 Black 132x132x4x6000</t>
  </si>
  <si>
    <t>1139-13064-10059453</t>
  </si>
  <si>
    <t>MS SHS One Helix IS 4923 YSt 210 Black 150x150x2x6000</t>
  </si>
  <si>
    <t>1139-13064-10059454</t>
  </si>
  <si>
    <t>MS SHS One Helix IS 4923 YSt 210 Black 150x150x2.50x6000</t>
  </si>
  <si>
    <t>1139-13064-10059455</t>
  </si>
  <si>
    <t>MS SHS One Helix IS 4923 YSt 210 Black 150x150x2.90x6000</t>
  </si>
  <si>
    <t>1139-13064-10059456</t>
  </si>
  <si>
    <t>MS SHS One Helix IS 4923 YSt 210 Black 150x150x4x6000</t>
  </si>
  <si>
    <t>1139-13064-10059457</t>
  </si>
  <si>
    <t>MS SHS One Helix IS 4923 YSt 210 Black 150x150x4.80x6000</t>
  </si>
  <si>
    <t>1139-13064-10059458</t>
  </si>
  <si>
    <t>MS SHS One Helix IS 4923 YSt 210 Black 150x150x6x6000</t>
  </si>
  <si>
    <t>1139-13064-10059459</t>
  </si>
  <si>
    <t>MS SHS One Helix IS 4923 YSt 210 Black 180x180x4x6000</t>
  </si>
  <si>
    <t>1139-13064-10059460</t>
  </si>
  <si>
    <t>MS SHS One Helix IS 4923 YSt 210 Black 180x180x4.80x6000</t>
  </si>
  <si>
    <t>1139-13064-10071560</t>
  </si>
  <si>
    <t>MS SHS One Helix IS 4923 YSt 210 Black 25x25x2.80x6000</t>
  </si>
  <si>
    <t>1139-13064-10071617</t>
  </si>
  <si>
    <t>1139-13064-10071618</t>
  </si>
  <si>
    <t>MS SHS One Helix IS 4923 YSt 210 Black 40x40x2.80x6000</t>
  </si>
  <si>
    <t>1139-13064-10071787</t>
  </si>
  <si>
    <t>1139-13064-10071788</t>
  </si>
  <si>
    <t>MS SHS One Helix IS 4923 YSt 210 Black 72x72x2.80x6000</t>
  </si>
  <si>
    <t>1139-13064-10071844</t>
  </si>
  <si>
    <t>MS SHS One Helix IS 4923 YSt 210 Black 91.50x91.50x2.80x6000</t>
  </si>
  <si>
    <t>1139-13064-10071901</t>
  </si>
  <si>
    <t>MS SHS One Helix IS 4923 YSt 210 Black 100x100x2.80x6000</t>
  </si>
  <si>
    <t>1139-13064-10071902</t>
  </si>
  <si>
    <t>MS SHS One Helix IS 4923 YSt 210 Black 132x132x2.80x6000</t>
  </si>
  <si>
    <t>1139-13064-10071959</t>
  </si>
  <si>
    <t>MS SHS One Helix IS 4923 YSt 210 Black 150x150x2.80x6000</t>
  </si>
  <si>
    <t>RHS</t>
  </si>
  <si>
    <t>1140-13075-10057245</t>
  </si>
  <si>
    <t>MS RHS One Helix IS 4923 YSt 210 Black 40x20x1.20x6000</t>
  </si>
  <si>
    <t>1140-13075-10057861</t>
  </si>
  <si>
    <t>MS RHS One Helix IS 4923 YSt 210 Black 200x100x2.20x6000</t>
  </si>
  <si>
    <t>1140-13075-10059461</t>
  </si>
  <si>
    <t>MS RHS One Helix IS 4923 YSt 210 Black 40x20x1.60x6000</t>
  </si>
  <si>
    <t>1140-13075-10059462</t>
  </si>
  <si>
    <t>MS RHS One Helix IS 4923 YSt 210 Black 40x20x1.80x6000</t>
  </si>
  <si>
    <t>1140-13075-10059463</t>
  </si>
  <si>
    <t>MS RHS One Helix IS 4923 YSt 210 Black 40x20x2x6000</t>
  </si>
  <si>
    <t>1140-13075-10059464</t>
  </si>
  <si>
    <t>MS RHS One Helix IS 4923 YSt 210 Black 40x20x2.20x6000</t>
  </si>
  <si>
    <t>1140-13075-10059465</t>
  </si>
  <si>
    <t>MS RHS One Helix IS 4923 YSt 210 Black 40x20x2.50x6000</t>
  </si>
  <si>
    <t>1140-13075-10059466</t>
  </si>
  <si>
    <t>MS RHS One Helix IS 4923 YSt 210 Black 50x25x1.20x6000</t>
  </si>
  <si>
    <t>1140-13075-10059467</t>
  </si>
  <si>
    <t>MS RHS One Helix IS 4923 YSt 210 Black 50x25x1.60x6000</t>
  </si>
  <si>
    <t>1140-13075-10059468</t>
  </si>
  <si>
    <t>MS RHS One Helix IS 4923 YSt 210 Black 50x25x1.80x6000</t>
  </si>
  <si>
    <t>1140-13075-10059469</t>
  </si>
  <si>
    <t>MS RHS One Helix IS 4923 YSt 210 Black 50x25x2x6000</t>
  </si>
  <si>
    <t>1140-13075-10059470</t>
  </si>
  <si>
    <t>MS RHS One Helix IS 4923 YSt 210 Black 50x25x2.20x6000</t>
  </si>
  <si>
    <t>1140-13075-10059471</t>
  </si>
  <si>
    <t>MS RHS One Helix IS 4923 YSt 210 Black 50x25x2.50x6000</t>
  </si>
  <si>
    <t>1140-13075-10059472</t>
  </si>
  <si>
    <t>MS RHS One Helix IS 4923 YSt 210 Black 50x25x2.90x6000</t>
  </si>
  <si>
    <t>1140-13075-10059473</t>
  </si>
  <si>
    <t>MS RHS One Helix IS 4923 YSt 210 Black 50x25x3.60x6000</t>
  </si>
  <si>
    <t>1140-13075-10059474</t>
  </si>
  <si>
    <t>MS RHS One Helix IS 4923 YSt 210 Black 60x40x1.60x6000</t>
  </si>
  <si>
    <t>1140-13075-10059475</t>
  </si>
  <si>
    <t>MS RHS One Helix IS 4923 YSt 210 Black 60x40x1.80x6000</t>
  </si>
  <si>
    <t>1140-13075-10059476</t>
  </si>
  <si>
    <t>MS RHS One Helix IS 4923 YSt 210 Black 60x40x2x6000</t>
  </si>
  <si>
    <t>1140-13075-10059477</t>
  </si>
  <si>
    <t>MS RHS One Helix IS 4923 YSt 210 Black 60x40x2.20x6000</t>
  </si>
  <si>
    <t>1140-13075-10059478</t>
  </si>
  <si>
    <t>MS RHS One Helix IS 4923 YSt 210 Black 60x40x2.50x6000</t>
  </si>
  <si>
    <t>1140-13075-10059479</t>
  </si>
  <si>
    <t>MS RHS One Helix IS 4923 YSt 210 Black 60x40x2.90x6000</t>
  </si>
  <si>
    <t>1140-13075-10059480</t>
  </si>
  <si>
    <t>MS RHS One Helix IS 4923 YSt 210 Black 75x25x1.20x6000</t>
  </si>
  <si>
    <t>1140-13075-10059481</t>
  </si>
  <si>
    <t>MS RHS One Helix IS 4923 YSt 210 Black 75x25x1.60x6000</t>
  </si>
  <si>
    <t>1140-13075-10059482</t>
  </si>
  <si>
    <t>MS RHS One Helix IS 4923 YSt 210 Black 75x25x1.80x6000</t>
  </si>
  <si>
    <t>1140-13075-10059483</t>
  </si>
  <si>
    <t>MS RHS One Helix IS 4923 YSt 210 Black 75x25x2x6000</t>
  </si>
  <si>
    <t>1140-13075-10059484</t>
  </si>
  <si>
    <t>MS RHS One Helix IS 4923 YSt 210 Black 75x25x2.20x6000</t>
  </si>
  <si>
    <t>1140-13075-10059485</t>
  </si>
  <si>
    <t>MS RHS One Helix IS 4923 YSt 210 Black 75x25x2.50x6000</t>
  </si>
  <si>
    <t>1140-13075-10059486</t>
  </si>
  <si>
    <t>MS RHS One Helix IS 4923 YSt 210 Black 80x40x1.20x6000</t>
  </si>
  <si>
    <t>1140-13075-10059487</t>
  </si>
  <si>
    <t>MS RHS One Helix IS 4923 YSt 210 Black 80x40x1.60x6000</t>
  </si>
  <si>
    <t>1140-13075-10059488</t>
  </si>
  <si>
    <t>MS RHS One Helix IS 4923 YSt 210 Black 80x40x1.80x6000</t>
  </si>
  <si>
    <t>1140-13075-10059489</t>
  </si>
  <si>
    <t>MS RHS One Helix IS 4923 YSt 210 Black 80x40x2x6000</t>
  </si>
  <si>
    <t>1140-13075-10059490</t>
  </si>
  <si>
    <t>MS RHS One Helix IS 4923 YSt 210 Black 80x40x2.20x6000</t>
  </si>
  <si>
    <t>1140-13075-10059491</t>
  </si>
  <si>
    <t>MS RHS One Helix IS 4923 YSt 210 Black 80x40x2.50x6000</t>
  </si>
  <si>
    <t>1140-13075-10059492</t>
  </si>
  <si>
    <t>MS RHS One Helix IS 4923 YSt 210 Black 80x40x2.90x6000</t>
  </si>
  <si>
    <t>1140-13075-10059493</t>
  </si>
  <si>
    <t>MS RHS One Helix IS 4923 YSt 210 Black 80x40x3.20x6000</t>
  </si>
  <si>
    <t>1140-13075-10059494</t>
  </si>
  <si>
    <t>MS RHS One Helix IS 4923 YSt 210 Black 80x40x3.60x6000</t>
  </si>
  <si>
    <t>1140-13075-10059495</t>
  </si>
  <si>
    <t>MS RHS One Helix IS 4923 YSt 210 Black 80x40x4x6000</t>
  </si>
  <si>
    <t>1140-13075-10059496</t>
  </si>
  <si>
    <t>MS RHS One Helix IS 4923 YSt 210 Black 95x25x1.60x6000</t>
  </si>
  <si>
    <t>1140-13075-10059497</t>
  </si>
  <si>
    <t>MS RHS One Helix IS 4923 YSt 210 Black 95x25x2.20x6000</t>
  </si>
  <si>
    <t>1140-13075-10059498</t>
  </si>
  <si>
    <t>MS RHS One Helix IS 4923 YSt 210 Black 95x25x2x6000</t>
  </si>
  <si>
    <t>1140-13075-10059499</t>
  </si>
  <si>
    <t>MS RHS One Helix IS 4923 YSt 210 Black 96x48x1.60x6000</t>
  </si>
  <si>
    <t>1140-13075-10059500</t>
  </si>
  <si>
    <t>MS RHS One Helix IS 4923 YSt 210 Black 96x48x1.80x6000</t>
  </si>
  <si>
    <t>1140-13075-10059501</t>
  </si>
  <si>
    <t>MS RHS One Helix IS 4923 YSt 210 Black 96x48x2x6000</t>
  </si>
  <si>
    <t>1140-13075-10059502</t>
  </si>
  <si>
    <t>MS RHS One Helix IS 4923 YSt 210 Black 96x48x2.20x6000</t>
  </si>
  <si>
    <t>1140-13075-10059503</t>
  </si>
  <si>
    <t>MS RHS One Helix IS 4923 YSt 210 Black 96x48x2.50x6000</t>
  </si>
  <si>
    <t>1140-13075-10059504</t>
  </si>
  <si>
    <t>MS RHS One Helix IS 4923 YSt 210 Black 96x48x2.90x6000</t>
  </si>
  <si>
    <t>1140-13075-10059505</t>
  </si>
  <si>
    <t>MS RHS One Helix IS 4923 YSt 210 Black 96x48x3.20x6000</t>
  </si>
  <si>
    <t>1140-13075-10059506</t>
  </si>
  <si>
    <t>MS RHS One Helix IS 4923 YSt 210 Black 96x48x4x6000</t>
  </si>
  <si>
    <t>1140-13075-10059507</t>
  </si>
  <si>
    <t>MS RHS One Helix IS 4923 YSt 210 Black 96x48x4.80x6000</t>
  </si>
  <si>
    <t>1140-13075-10059508</t>
  </si>
  <si>
    <t>MS RHS One Helix IS 4923 YSt 210 Black 122x61x2x6000</t>
  </si>
  <si>
    <t>1140-13075-10059509</t>
  </si>
  <si>
    <t>MS RHS One Helix IS 4923 YSt 210 Black 122x61x2.50x6000</t>
  </si>
  <si>
    <t>1140-13075-10059510</t>
  </si>
  <si>
    <t>MS RHS One Helix IS 4923 YSt 210 Black 122x61x2.90x6000</t>
  </si>
  <si>
    <t>1140-13075-10059511</t>
  </si>
  <si>
    <t>MS RHS One Helix IS 4923 YSt 210 Black 122x61x3.20x6000</t>
  </si>
  <si>
    <t>1140-13075-10059512</t>
  </si>
  <si>
    <t>MS RHS One Helix IS 4923 YSt 210 Black 122x61x3.60x6000</t>
  </si>
  <si>
    <t>1140-13075-10059513</t>
  </si>
  <si>
    <t>MS RHS One Helix IS 4923 YSt 210 Black 122x61x4x6000</t>
  </si>
  <si>
    <t>1140-13075-10059514</t>
  </si>
  <si>
    <t>MS RHS One Helix IS 4923 YSt 210 Black 122x61x4.80x6000</t>
  </si>
  <si>
    <t>1140-13075-10059515</t>
  </si>
  <si>
    <t>MS RHS One Helix IS 4923 YSt 210 Black 145x82x2.50x6000</t>
  </si>
  <si>
    <t>1140-13075-10059516</t>
  </si>
  <si>
    <t>MS RHS One Helix IS 4923 YSt 210 Black 145x82x2.90x6000</t>
  </si>
  <si>
    <t>1140-13075-10059517</t>
  </si>
  <si>
    <t>MS RHS One Helix IS 4923 YSt 210 Black 145x82x4x6000</t>
  </si>
  <si>
    <t>1140-13075-10059518</t>
  </si>
  <si>
    <t>MS RHS One Helix IS 4923 YSt 210 Black 145x82x4.80x6000</t>
  </si>
  <si>
    <t>1140-13075-10059519</t>
  </si>
  <si>
    <t>MS RHS One Helix IS 4923 YSt 210 Black 172x92x2.50x6000</t>
  </si>
  <si>
    <t>1140-13075-10059520</t>
  </si>
  <si>
    <t>MS RHS One Helix IS 4923 YSt 210 Black 172x92x2.90x6000</t>
  </si>
  <si>
    <t>1140-13075-10059521</t>
  </si>
  <si>
    <t>MS RHS One Helix IS 4923 YSt 210 Black 172x92x4x6000</t>
  </si>
  <si>
    <t>1140-13075-10059522</t>
  </si>
  <si>
    <t>MS RHS One Helix IS 4923 YSt 210 Black 172x92x4.80x6000</t>
  </si>
  <si>
    <t>1140-13075-10059523</t>
  </si>
  <si>
    <t>MS RHS One Helix IS 4923 YSt 210 Black 172x92x5.40x6000</t>
  </si>
  <si>
    <t>1140-13075-10059524</t>
  </si>
  <si>
    <t>MS RHS One Helix IS 4923 YSt 210 Black 200x100x3x6000</t>
  </si>
  <si>
    <t>1140-13075-10059525</t>
  </si>
  <si>
    <t>MS RHS One Helix IS 4923 YSt 210 Black 200x100x4x6000</t>
  </si>
  <si>
    <t>1140-13075-10059526</t>
  </si>
  <si>
    <t>MS RHS One Helix IS 4923 YSt 210 Black 200x100x4.80x6000</t>
  </si>
  <si>
    <t>1140-13075-10059527</t>
  </si>
  <si>
    <t>MS RHS One Helix IS 4923 YSt 210 Black 200x100x6x6000</t>
  </si>
  <si>
    <t>1140-13075-10059528</t>
  </si>
  <si>
    <t>MS RHS One Helix IS 4923 YSt 210 Black 240x120x4x6000</t>
  </si>
  <si>
    <t>1140-13075-10059529</t>
  </si>
  <si>
    <t>MS RHS One Helix IS 4923 YSt 210 Black 100x25x1.60x6000</t>
  </si>
  <si>
    <t>1140-13075-10059530</t>
  </si>
  <si>
    <t>MS RHS One Helix IS 4923 YSt 210 Black 100x25x2x6000</t>
  </si>
  <si>
    <t>1140-13075-10059531</t>
  </si>
  <si>
    <t>MS RHS One Helix IS 4923 YSt 210 Black 100x25x2.20x6000</t>
  </si>
  <si>
    <t>1140-13075-10059532</t>
  </si>
  <si>
    <t>MS RHS One Helix IS 4923 YSt 210 Black 125x25x1.60x6000</t>
  </si>
  <si>
    <t>1140-13075-10059533</t>
  </si>
  <si>
    <t>MS RHS One Helix IS 4923 YSt 210 Black 125x25x2x6000</t>
  </si>
  <si>
    <t>1140-13075-10059534</t>
  </si>
  <si>
    <t>MS RHS One Helix IS 4923 YSt 210 Black 125x25x2.20x6000</t>
  </si>
  <si>
    <t>1140-13075-10059535</t>
  </si>
  <si>
    <t>MS RHS One Helix IS 4923 YSt 210 Black 150x25x1.60x6000</t>
  </si>
  <si>
    <t>1140-13075-10059536</t>
  </si>
  <si>
    <t>MS RHS One Helix IS 4923 YSt 210 Black 150x25x2x6000</t>
  </si>
  <si>
    <t>1140-13075-10059537</t>
  </si>
  <si>
    <t>MS RHS One Helix IS 4923 YSt 210 Black 150x25x2.20x6000</t>
  </si>
  <si>
    <t>1140-13075-10059538</t>
  </si>
  <si>
    <t>MS RHS One Helix IS 4923 YSt 210 Black 200x25x1.60x6000</t>
  </si>
  <si>
    <t>1140-13075-10059539</t>
  </si>
  <si>
    <t>MS RHS One Helix IS 4923 YSt 210 Black 200x25x2x6000</t>
  </si>
  <si>
    <t>1140-13075-10059540</t>
  </si>
  <si>
    <t>MS RHS One Helix IS 4923 YSt 210 Black 200x25x2.20x6000</t>
  </si>
  <si>
    <t>1140-13075-10059541</t>
  </si>
  <si>
    <t>MS RHS One Helix IS 4923 YSt 210 Black 275x25x1.60x6000</t>
  </si>
  <si>
    <t>1140-13075-10059542</t>
  </si>
  <si>
    <t>MS RHS One Helix IS 4923 YSt 210 Black 275x25x2x6000</t>
  </si>
  <si>
    <t>1140-13075-10059543</t>
  </si>
  <si>
    <t>MS RHS One Helix IS 4923 YSt 210 Black 275x25x2.20x6000</t>
  </si>
  <si>
    <t>1140-13075-10060203</t>
  </si>
  <si>
    <t>MS RHS One Helix IS 4923 YSt 210 Black 200x100x1.60x6000</t>
  </si>
  <si>
    <t>1140-13075-10072016</t>
  </si>
  <si>
    <t>MS RHS One Helix IS 4923 YSt 210 Black 40x20x2.80x6000</t>
  </si>
  <si>
    <t>1140-13075-10072129</t>
  </si>
  <si>
    <t>MS RHS One Helix IS 4923 YSt 210 Black 50x25x2.80x60001</t>
  </si>
  <si>
    <t>1140-13075-10072130</t>
  </si>
  <si>
    <t>MS RHS One Helix IS 4923 YSt 210 Black 50x25x2.80x6000</t>
  </si>
  <si>
    <t>1140-13075-10072187</t>
  </si>
  <si>
    <t>MS RHS One Helix IS 4923 YSt 210 Black 60x40x2.80x6000</t>
  </si>
  <si>
    <t>1140-13075-10072188</t>
  </si>
  <si>
    <t>MS RHS One Helix IS 4923 YSt 210 Black 80x40x2.80x6000</t>
  </si>
  <si>
    <t>1140-13075-10072189</t>
  </si>
  <si>
    <t>MS RHS One Helix IS 4923 YSt 210 Black 96x48x2.80x6000</t>
  </si>
  <si>
    <t>1140-13075-10072246</t>
  </si>
  <si>
    <t>MS RHS One Helix IS 4923 YSt 210 Black 122x61x2.80x6000</t>
  </si>
  <si>
    <t>1140-13075-10072247</t>
  </si>
  <si>
    <t>MS RHS One Helix IS 4923 YSt 210 Black 145x82x2.80x6000</t>
  </si>
  <si>
    <t>1140-13075-10072304</t>
  </si>
  <si>
    <t>MS RHS One Helix IS 4923 YSt 210 Black 172x92x2.80x6000</t>
  </si>
  <si>
    <t>1140-13075-10072305</t>
  </si>
  <si>
    <t>MS RHS One Helix IS 4923 YSt 210 Black 200x100x2.80x6000</t>
  </si>
  <si>
    <t>CHS</t>
  </si>
  <si>
    <t>1141-13068-10055316</t>
  </si>
  <si>
    <t>MS CHS One Helix IS 1161 YSt 210 Black 32 NBx2.20x6000</t>
  </si>
  <si>
    <t>1141-13068-10057242</t>
  </si>
  <si>
    <t>MS CHS One Helix IS 1161 YSt 210 Black 15 NBx1.60x6000</t>
  </si>
  <si>
    <t>1141-13068-10057995</t>
  </si>
  <si>
    <t>MS CHS One Helix IS 1161 YSt 210 Black 25 NBx2.20x6000</t>
  </si>
  <si>
    <t>1141-13068-10059591</t>
  </si>
  <si>
    <t>MS CHS One Helix IS 1161 YSt 210 Black 20 NBx1.60x6000</t>
  </si>
  <si>
    <t>1141-13068-10059592</t>
  </si>
  <si>
    <t>MS CHS One Helix IS 1161 YSt 210 Black 25 NBx1.60x6000</t>
  </si>
  <si>
    <t>1141-13068-10059593</t>
  </si>
  <si>
    <t>MS CHS One Helix IS 1161 YSt 210 Black 25 NBx2x6000</t>
  </si>
  <si>
    <t>1141-13068-10059594</t>
  </si>
  <si>
    <t>MS CHS One Helix IS 1161 YSt 210 Black 32 NBx1.60x6000</t>
  </si>
  <si>
    <t>1141-13068-10059595</t>
  </si>
  <si>
    <t>MS CHS One Helix IS 1161 YSt 210 Black 32 NBx2x6000</t>
  </si>
  <si>
    <t>1141-13068-10059596</t>
  </si>
  <si>
    <t>MS CHS One Helix IS 1161 YSt 210 Black 32 NBx2.60x6000</t>
  </si>
  <si>
    <t>1141-13068-10059597</t>
  </si>
  <si>
    <t>MS CHS One Helix IS 1161 YSt 210 Black 40 NBx2.60x6000</t>
  </si>
  <si>
    <t>1141-13068-10059598</t>
  </si>
  <si>
    <t>MS CHS One Helix IS 1161 YSt 210 Black 40 NBx1x6000</t>
  </si>
  <si>
    <t>1141-13068-10059599</t>
  </si>
  <si>
    <t>MS CHS One Helix IS 1161 YSt 210 Black 40 NBx1.20x6000</t>
  </si>
  <si>
    <t>1141-13068-10059600</t>
  </si>
  <si>
    <t>MS CHS One Helix IS 1161 YSt 210 Black 40 NBx1.60x6000</t>
  </si>
  <si>
    <t>1141-13068-10059601</t>
  </si>
  <si>
    <t>MS CHS One Helix IS 1161 YSt 210 Black 40 NBx1.80x6000</t>
  </si>
  <si>
    <t>1141-13068-10059602</t>
  </si>
  <si>
    <t>MS CHS One Helix IS 1161 YSt 210 Black 40 NBx2x6000</t>
  </si>
  <si>
    <t>1141-13068-10059603</t>
  </si>
  <si>
    <t>MS CHS One Helix IS 1161 YSt 210 Black 40 NBx2.90x6000</t>
  </si>
  <si>
    <t>1141-13068-10059604</t>
  </si>
  <si>
    <t>MS CHS One Helix IS 1161 YSt 210 Black 50 NBx1.60x6000</t>
  </si>
  <si>
    <t>1141-13068-10059605</t>
  </si>
  <si>
    <t>MS CHS One Helix IS 1161 YSt 210 Black 50 NBx2x6000</t>
  </si>
  <si>
    <t>1141-13068-10059606</t>
  </si>
  <si>
    <t>MS CHS One Helix IS 1161 YSt 210 Black 50 NBx2.90x6000</t>
  </si>
  <si>
    <t>1141-13068-10059607</t>
  </si>
  <si>
    <t>MS CHS One Helix IS 1161 YSt 210 Black 65 NBx2x6000</t>
  </si>
  <si>
    <t>1141-13068-10059608</t>
  </si>
  <si>
    <t>MS CHS One Helix IS 1161 YSt 210 Black 65 NBx2.20x6000</t>
  </si>
  <si>
    <t>1141-13068-10059609</t>
  </si>
  <si>
    <t>MS CHS One Helix IS 1161 YSt 210 Black 65 NBx2.90x6000</t>
  </si>
  <si>
    <t>1141-13068-10059610</t>
  </si>
  <si>
    <t>MS CHS One Helix IS 1161 YSt 210 Black 80 NBx2x6000</t>
  </si>
  <si>
    <t>1141-13068-10059611</t>
  </si>
  <si>
    <t>MS CHS One Helix IS 1161 YSt 210 Black 80 NBx2.60x6000</t>
  </si>
  <si>
    <t>1141-13068-10059612</t>
  </si>
  <si>
    <t>MS CHS One Helix IS 1161 YSt 210 Black 80 NBx2.90x6000</t>
  </si>
  <si>
    <t>1141-13068-10059613</t>
  </si>
  <si>
    <t>MS CHS One Helix IS 1161 YSt 210 Black 100 NBx2.90x6000</t>
  </si>
  <si>
    <t>1141-13068-10059614</t>
  </si>
  <si>
    <t>MS CHS One Helix IS 1161 YSt 210 Black 100 NBx2.60x6000</t>
  </si>
  <si>
    <t>1141-13068-10059615</t>
  </si>
  <si>
    <t>MS CHS One Helix IS 1161 YSt 210 Black 100 NBx2.20x6000</t>
  </si>
  <si>
    <t>1141-13068-10072461</t>
  </si>
  <si>
    <t>MS CHS One Helix IS 1161 YSt 210 Black 25 NBx2.50x60000</t>
  </si>
  <si>
    <t>1141-13068-10072462</t>
  </si>
  <si>
    <t>MS CHS One Helix IS 1161 YSt 210 Black 25 NBx2.80x6000</t>
  </si>
  <si>
    <t>1141-13068-10072463</t>
  </si>
  <si>
    <t>MS CHS One Helix IS 1161 YSt 210 Black 32 NBx2.50x6000</t>
  </si>
  <si>
    <t>1141-13068-10072464</t>
  </si>
  <si>
    <t>MS CHS One Helix IS 1161 YSt 210 Black 32 NBx2.80x6000</t>
  </si>
  <si>
    <t>1141-13068-10072465</t>
  </si>
  <si>
    <t>MS CHS One Helix IS 1161 YSt 210 Black 40 NBx2.50x6000</t>
  </si>
  <si>
    <t>1141-13068-10072466</t>
  </si>
  <si>
    <t>MS CHS One Helix IS 1161 YSt 210 Black 40 NBx2.80x6000</t>
  </si>
  <si>
    <t>1141-13068-10072467</t>
  </si>
  <si>
    <t>MS CHS One Helix IS 1161 YSt 210 Black 40 NBx2.20x6000</t>
  </si>
  <si>
    <t>1141-13068-10072468</t>
  </si>
  <si>
    <t>MS CHS One Helix IS 1161 YSt 210 Black 50 NBx2.20x60001</t>
  </si>
  <si>
    <t>1141-13068-10072469</t>
  </si>
  <si>
    <t>MS CHS One Helix IS 1161 YSt 210 Black 50 NBx2.50x6000</t>
  </si>
  <si>
    <t>1141-13068-10072470</t>
  </si>
  <si>
    <t>MS CHS One Helix IS 1161 YSt 210 Black 50 NBx2.80x6000</t>
  </si>
  <si>
    <t>1141-13068-10072471</t>
  </si>
  <si>
    <t>MS CHS One Helix IS 1161 YSt 210 Black 65 NBx2.50x6000</t>
  </si>
  <si>
    <t>1141-13068-10072472</t>
  </si>
  <si>
    <t>MS CHS One Helix IS 1161 YSt 210 Black 65 NBx2.80x6000</t>
  </si>
  <si>
    <t>1141-13068-10072473</t>
  </si>
  <si>
    <t>MS CHS One Helix IS 1161 YSt 210 Black 80 NBx2.50x6000</t>
  </si>
  <si>
    <t>1141-13068-10072474</t>
  </si>
  <si>
    <t>MS CHS One Helix IS 1161 YSt 210 Black 80 NBx2.80x6000</t>
  </si>
  <si>
    <t>1141-13068-10072475</t>
  </si>
  <si>
    <t>MS CHS One Helix IS 1161 YSt 210 Black 100 NBx2.50x6000</t>
  </si>
  <si>
    <t>1141-13068-10072476</t>
  </si>
  <si>
    <t>MS CHS One Helix IS 1161 YSt 210 Black 100 NBx2.80x6000</t>
  </si>
  <si>
    <t>Bundle ID List (Helper)</t>
  </si>
  <si>
    <t xml:space="preserve">SOP </t>
  </si>
  <si>
    <t>https://jsw-my.sharepoint.com/:w:/g/personal/debdeep_paul_jsw_in/IQB3NUGchcBGQYCYNEFVzrnwAdrb4B4_Gq8WeDlyB7VVKaY?e=P342pJ</t>
  </si>
  <si>
    <t>Constants</t>
  </si>
  <si>
    <t>Material Density (g/cm³)</t>
  </si>
  <si>
    <t>Material Density (T/mm³)</t>
  </si>
  <si>
    <t>Note: Change B7 if using a different steel grade</t>
  </si>
  <si>
    <t>Turn #</t>
  </si>
  <si>
    <t>Date</t>
  </si>
  <si>
    <t>User Request</t>
  </si>
  <si>
    <t>Action Taken</t>
  </si>
  <si>
    <t>Details</t>
  </si>
  <si>
    <t>Outcome</t>
  </si>
  <si>
    <t>User asked for design improvement suggestions across all sheets — no changes to be made.</t>
  </si>
  <si>
    <t>Reviewed all 7 sheets visually and structurally (headers, formatting, color schemes, layout, validation helpers).</t>
  </si>
  <si>
    <t>Examined: Coil Sheet at Plant, Coil to Slit, FG Conversion, FG sales, Coil PO sheet (empty), SKU Master, SOP. Noted color coding system (blue=input, green=auto-calc, yellow=validation), frozen rows, section grouping via emojis.</t>
  </si>
  <si>
    <t>Compiled list of 10+ improvement suggestions covering formatting, usability, navigation, data validation, and dashboarding. No changes made per user request.</t>
  </si>
  <si>
    <t>User asked specifically about cell style differences between input cells and calculated/formula cells — what improvements can be made.</t>
  </si>
  <si>
    <t>Reviewed all data cell styles across 4 main sheets (Coil Sheet at Plant, Coil to Slit, FG Conversion, FG sales) in detail.</t>
  </si>
  <si>
    <t>Current state: Input cells use blue font (#0000FF) on light cyan (#D6ECF0). Auto-calc cells use dark green (#375623) on light green (#E2EFDA). Validation uses dark gold (#7F6000) on cream (#FFF2CC). Problem: ALL data cells look nearly identical — same font size, same center align, same border weight. No visual 'lock' indicator on formula cells; no edit-friendly styling on input cells.</t>
  </si>
  <si>
    <t>Compiled specific suggestions for differentiating input vs calculated cell styles across font, background, borders, and protection indicators. No changes made.</t>
  </si>
  <si>
    <t>User asked to implement the cell style suggestions on one sheet as a preview.</t>
  </si>
  <si>
    <t>Applied new 3-zone cell styling to 'Coil to Slit' sheet (rows 3-1000). Added conditional formatting on validation columns.</t>
  </si>
  <si>
    <t>Input cells (A-C, G): White bg (#FFFFFF), blue font (#0000FF), blue borders (#4472C4). Same-sheet formulas (D, H): Gray bg (#F2F2F2), black font (#000000). Cross-sheet lookups (E, F, I, J): Gray bg, green italic font (#008000). Validation (K-O): Cream bg (#FFF2CC), gold dotted borders (#D4A017). Conditional formatting: green for ✔ OK, red for ⚠ flags. Number formats standardized across all columns.</t>
  </si>
  <si>
    <t>Coil to Slit sheet now visually distinguishes input, formula, cross-sheet lookup, and validation cells. Awaiting user review before rolling out to remaining sheets.</t>
  </si>
  <si>
    <t>User asked to verify if suggested and implemented styles match.</t>
  </si>
  <si>
    <t>Performed detailed audit: read back all cell styles, compared 27 properties against suggestions.</t>
  </si>
  <si>
    <t>Found 1 discrepancy: Column H (Weight) was styled as same-sheet formula (black, non-italic) but its formula contains VLOOKUP to 'Coil Sheet at Plant' — so it should be green italic like E, F, I, J. All other 26 checks passed correctly.</t>
  </si>
  <si>
    <t>Audit complete. 26/27 properties match. Column H fix pending user approval.</t>
  </si>
  <si>
    <t>User confirmed — fix Column H.</t>
  </si>
  <si>
    <t>Changed Column H (H3:H1000) font from black/non-italic to green (#008000) italic.</t>
  </si>
  <si>
    <t>Column H now matches E, F, I, J cross-sheet lookup styling. Verified via get_cell_ranges: i:true, color:#008000, fgColor:#F2F2F2. Visual screenshot confirmed.</t>
  </si>
  <si>
    <t>All 27/27 style properties now match suggestions. Coil to Slit sheet fully styled. Ready to roll out to remaining sheets if user approves.</t>
  </si>
  <si>
    <t>User asked to roll out the cell styling to all remaining sheets.</t>
  </si>
  <si>
    <t>Applied the 4-zone cell styling system to Coil Sheet at Plant, FG Conversion, and FG sales. Added conditional formatting on all validation columns.</t>
  </si>
  <si>
    <t>Coil Sheet at Plant: A-K input (white/blue), L-N performance (gray/black), O-R chemistry (white/blue), S-U validation (cream/gold + CF). FG Conversion: A-E input, F same-sheet (gray/black), G-I cross-sheet (gray/green italic), J mixed calc (gray/black), K-N validation (cream/gold + CF). FG sales: A-B input, C-D cross-sheet (gray/green italic), E same-sheet (gray/black), F-H cross-sheet (gray/green italic), I-J validation (cream/gold + CF for 4 yield levels + duplicates).</t>
  </si>
  <si>
    <t>All 4 operational sheets now have consistent cell styling. Input=white+blue, same-sheet formula=gray+black, cross-sheet lookup=gray+green italic, validation=cream+gold+dotted. Conditional formatting on all status/flag columns.</t>
  </si>
  <si>
    <t>User asked to add a dropdown in column C (Baby Coil ID) of FG Conversion sheet, for rows C3:C31.</t>
  </si>
  <si>
    <t>Added data validation dropdown to C3:C31 sourced from 'Coil to Slit'!D3:D1000.</t>
  </si>
  <si>
    <t>Dropdown pulls Baby Coil IDs dynamically from column D of 'Coil to Slit' sheet (currently 34 IDs). Includes prompt tooltip and warning-style error alert for invalid entries. Range D3:D1000 ensures new Baby Coil IDs are automatically included.</t>
  </si>
  <si>
    <t>Dropdown active on FG Conversion C3:C31. Users can now select Baby Coil IDs from a list instead of manual entry.</t>
  </si>
  <si>
    <t>User asked to create a Bundle ID Sheet to track: Bundle ID, Baby Coil IDs in each bundle, and number of tube pieces per Baby Coil ID. Sheet to be updated by Production Floor Team.</t>
  </si>
  <si>
    <t>Created new 'Bundle ID Sheet' tab positioned after FG Conversion. Built 10-column layout with 3 sections: Manual Entry (A-D), Auto-Calculated (E-G), Validation Helpers (H-J).</t>
  </si>
  <si>
    <t>Manual Entry: Bundle ID (A), Baby Coil ID with dropdown from Coil to Slit (B), No. of Tube Pieces (C), Date of Entry (D). Auto-Calc: SKU Code via INDEX/MATCH from FG Conversion (E), Weight per Piece from FG Conversion (F), Total Bundle Weight = F*C (G). Validation: Baby Coil ID existence check vs Coil to Slit (H), Duplicate Bundle+BabyCoil row check via COUNTIFS (I), Pieces count vs FG Conversion check (J). Frozen rows 1-2, conditional formatting on H/I/J columns, data validation dropdown on B3:B100.</t>
  </si>
  <si>
    <t>Bundle ID Sheet ready for Production Floor Team use. Rows 3-100 pre-formatted with formulas. All validation checks active.</t>
  </si>
  <si>
    <t>User reported that data validation labels were missing on the Bundle ID Sheet manual entry columns.</t>
  </si>
  <si>
    <t>Added data validation prompts (input messages) and rules to columns A, C, and D. Column B already had full validation from initial setup.</t>
  </si>
  <si>
    <t>Column A (Bundle ID): Input prompt with guidance on naming convention. Column C (No. of Tube Pieces): Whole number ≥ 1 validation + input prompt. Column D (Date of Entry): Date ≥ 2025-01-01 validation + input prompt. Column B (Baby Coil ID): Already had dropdown from 'Coil to Slit'!D3:D1000 + prompt + error alert — confirmed intact.</t>
  </si>
  <si>
    <t>All 4 manual entry columns (A-D) now have input message tooltips that appear when the Production Floor Team clicks into a cell, plus appropriate validation rules.</t>
  </si>
  <si>
    <t>User requested restructuring Coil Sheet at Plant: Date of Inward as first column, new HR Coil No. (simple integer), and HR Coil ID auto-generated as HYD-MMYY-CoilNo formula. Existing IDs to be converted to new format across all sheets.</t>
  </si>
  <si>
    <t>Restructured Coil Sheet at Plant: inserted 2 columns at A-B. A=Date of Inward (moved from old col K), B=HR Coil No. (integer 1-7), C=HR Coil ID formula (HYD-MMYY-CoilNo). Updated HR Coil IDs in Coil to Slit (32 rows) and Baby Coil IDs in FG Conversion (10 rows). Deleted old Date of Inward column.</t>
  </si>
  <si>
    <t>New format: HYD-0326-01 through HYD-0426-07. Formula: =IF(OR(A3="",B3=""),"","HYD-"&amp;TEXT(A3,"MMYY")&amp;"-"&amp;TEXT(B3,"00")). Old format was OH-HYD-20260327-01. Mapping: OH-HYD-20260327-01→HYD-0326-01, OH-HYD-20260327-02→HYD-0326-02, OH-HYD-20260328-03→HYD-0326-03, OH-HYD-20260329-04→HYD-0326-04. VLOOKUPs in Coil to Slit auto-adjusted column indices due to insert. All cross-sheet references verified working.</t>
  </si>
  <si>
    <t>All 7 HR Coils preserved. Cross-sheet lookups verified: Coil to Slit (Thickness=2.8✔, Weight=2.44✔, Width=1250✔, Baby Coil IDs auto-updated), FG Conversion (Baby Coil IDs updated). Note: FG Conversion E/F/G/I VLOOKUPs returning null is pre-existing (lookup Baby Coil ID against HR Coil ID column - mismatch existed before restructure). Bundle ID Sheet B column dropdown issue still pending from Turn 9.</t>
  </si>
  <si>
    <t>User requested Bundle ID Sheet setup: Bundle No. manual entry (1,2,3...), Bundle ID auto-concat as BND-1/BND-2, Baby Coil ID as dropdown from FG Conversion, and dependent SKU display.</t>
  </si>
  <si>
    <t>Added Bundle ID formula (="BND-"&amp;B3) in C3:C100. Added data validation dropdown in D3:D100 sourced from FG Conversion Baby Coil IDs via INDIRECT. SKU auto-lookup in F already existed via INDEX/MATCH.</t>
  </si>
  <si>
    <t>Bundle ID formula: =IF(B3="","","BND-"&amp;B3). Baby Coil ID dropdown: =INDIRECT("'FG Conversion'!C3:C50") — 28 unique Baby Coil IDs. SKU (col F) auto-fetches via existing INDEX/MATCH from FG Conversion col B based on Baby Coil ID match in col C. Comma-separated list exceeded 255-char limit; used INDIRECT approach instead.</t>
  </si>
  <si>
    <t>Bundle ID Sheet now functional: Col B=manual Bundle No., Col C=auto BND-X, Col D=dropdown of Baby Coil IDs, Col F=auto SKU lookup. User enters Bundle No. and selects Baby Coil ID; all other fields auto-populate.</t>
  </si>
  <si>
    <t>Create dependent dropdown in SKU Code column (E) on Bundle ID Sheet, dependent on Baby Coil ID column (D), sourcing from FG Conversion sheet</t>
  </si>
  <si>
    <t>Created dependent dropdown using FILTER formula with hidden helper sheet</t>
  </si>
  <si>
    <t>Created hidden 'Helpers' sheet with Baby Coil ID → SKU Code lookup table (28 pairs, 27 unique Baby Coil IDs, 6 unique SKU Codes). Applied List data validation on E3:E500 with formula: =IFERROR(UNIQUE(FILTER(Helpers!$B$2:$B$29, Helpers!$A$2:$A$29=D3)),""). Added input prompt and warning-style error alert.</t>
  </si>
  <si>
    <t>Dependent dropdown active on Bundle ID Sheet E3:E500. When a Baby Coil ID is entered in column D, column E dropdown shows only matching SKU Code(s) from FG Conversion data.</t>
  </si>
  <si>
    <t>Audit Bundle ID Sheet for all formulas and formatting</t>
  </si>
  <si>
    <t>Comprehensive formula &amp; formatting audit of Bundle ID Sheet</t>
  </si>
  <si>
    <t>Audited all 11 columns (A-K), rows 1-100. Checked formulas for consistency, errors, cross-sheet references, data validations, formatting, section headers, color coding, number formats, and column widths. Found 3 Critical, 2 Warning, 2 Info issues.</t>
  </si>
  <si>
    <t>Audit report delivered with 7 findings. No changes made — awaiting user decision on fixes.</t>
  </si>
  <si>
    <t>User reported SKU Code dropdown in E3 not showing values after entering Baby Coil ID in D3</t>
  </si>
  <si>
    <t>Fixed dropdown — replaced FILTER/UNIQUE dynamic formula with static named range of unique SKU codes</t>
  </si>
  <si>
    <t>Root cause: Excel data validation does not support FILTER/UNIQUE dynamic array formulas as dropdown list sources. Fix: Created list of 6 unique SKU codes in Helpers!F2:F7 and pointed E3:E500 validation to =Helpers!$F$2:$F$7. Also added helper lookup column in Helpers!D2:D500. Dropdown now shows all SKU codes; existing K column validation catches Baby Coil ID / SKU mismatches.</t>
  </si>
  <si>
    <t>SKU Code dropdown in E3:E500 now working — shows 6 unique SKU codes when clicked. User can select the matching SKU for their Baby Coil ID.</t>
  </si>
  <si>
    <t>Fix the No. of Tube Pieces column (F) which had wrong formula pulling SKU Code text</t>
  </si>
  <si>
    <t>Cleared wrong formula from F3:F100, added number validation, fixed K column formula</t>
  </si>
  <si>
    <t>Column F: Cleared INDEX/MATCH formula that was pulling SKU Code text (should be manual entry). Added whole-number validation (≥1) with stop alert. Column K: Changed formula from comparing E3 (SKU Code text) to comparing F3 (No. of Tube Pieces) against FG Conversion piece count. Formula now: =IF(OR(D3="",F3=""),"",IFERROR(IF(F3&gt;INDEX('FG Conversion'!$D:$D,MATCH(D3,'FG Conversion'!$C:$C,0)),"⚠ EXCEEDS FG...","✔ OK"),"Not in FG Conversion"))</t>
  </si>
  <si>
    <t>Column F is now a clean manual-entry field for piece count with validation. Column K correctly compares pieces entered vs FG Conversion pieces. Column H (Total Bundle Weight = G*F) will now work correctly since F will contain numbers. All 3 critical audit issues (#1, #2, #3) resolved.</t>
  </si>
  <si>
    <t>Fix data validations across all sheets. Bundle ID dropdown on Dispatch Sheet should pull from Bundle ID Sheet. Correct all validations.</t>
  </si>
  <si>
    <t>Fixed BundleIDList named range, corrected all data validations on Dispatch Sheet, Bundle ID Sheet, and Coil Sheet at Plant.</t>
  </si>
  <si>
    <t>BundleIDList: SOP!D2:D499 (broken #REF!) → 'Bundle ID Sheet'!F3:F100. Dispatch: A=Date, C=BundleIDList dropdown, D=WholeNumber≥1 (was BundleIDList!), E=Decimal&gt;0. Bundle ID Sheet: B=BabyCoilIDList dropdown (was Date!), C=MaterialInfoList dropdown (was Date!), D=WholeNumber≥1 (was Date!). Coil Sheet: standardized all inconsistent validations.</t>
  </si>
  <si>
    <t>All validations now correct. Bundle ID dropdown on Dispatch Sheet pulls from Bundle ID Sheet column F. All sheets have proper type-appropriate validations.</t>
  </si>
  <si>
    <t>Bundle ID dropdown on Dispatch Sheet shows no values / is empty.</t>
  </si>
  <si>
    <t>Changed BundleIDList named range from static range to dynamic OFFSET formula that only includes non-empty Bundle IDs.</t>
  </si>
  <si>
    <t>BundleIDList: OFFSET('Bundle ID Sheet'!$F$3,0,0,MAX(COUNTIF('Bundle ID Sheet'!$F$3:$F$100,"BND-*"),1),1). The static F3:F100 range included 98 empty-string formula cells which caused the dropdown to appear blank. COUNTIF("BND-*") counts only real Bundle IDs so the dynamic range shrinks to only populated rows.</t>
  </si>
  <si>
    <t>Bundle ID dropdown on Dispatch Sheet now shows only populated Bundle IDs (currently BND-1, BND-2). Will auto-expand as new bundles are added.</t>
  </si>
  <si>
    <t>Date validation on Dispatch Sheet A column not accepting date input.</t>
  </si>
  <si>
    <t>Set number format to dd-mm-yyyy on A3:A56 and re-applied date validation (≥01/01/2025) with warning-style error alert and input prompt.</t>
  </si>
  <si>
    <t>Root cause: cells had 'General' format so typed dates were being treated as text and rejected by date validation. Fixed by setting dd-mm-yyyy format first, then re-applying validation. Changed error alert style from Stop to Warning for flexibility.</t>
  </si>
  <si>
    <t>Date of Dispatch column A3:A56 now accepts dates in dd-mm-yyyy format with validation ≥ 01/01/2025.</t>
  </si>
  <si>
    <t>Add SKU Code dropdown from Bundle Formation sheet, dependent Bundle ID dropdown filtered by selected SKU, with exclusion of already-dispatched bundles from subsequent options.</t>
  </si>
  <si>
    <t>Created SKU dropdown in Dispatch D3:D100 from Helpers!F2:F7. Created dependent Bundle ID dropdown in E3:E100 using FILTER formula matching SKU and excluding used bundles. Built Bundle ID→SKU mapping in Helpers H2:I56.</t>
  </si>
  <si>
    <t>SKU dropdown source: Helpers!F2:F7 (6 unique SKUs). Bundle ID formula: =FILTER(Helpers!$H$2:$H$56,(Helpers!$I$2:$I$56=D3)*(COUNTIF($E$3:$E$100,Helpers!$H$2:$H$56)=0)). Cleared broken #REF! formulas in D3:D100. Built 55-bundle mapping from Bundle Formation. Also created per-SKU static lists (K-P) and dynamic filtered lists (T-Y) in Helpers. Column D widened for long SKU names.</t>
  </si>
  <si>
    <t>Dropdowns active on Dispatch Sheet. D column: 6 SKU options. E column: dynamically shows only bundles matching selected SKU that haven't been dispatched yet. Existing Bundle IDs in E column preserved.</t>
  </si>
  <si>
    <t>User asked for No. of Pieces (column F) on Dispatch Sheet to auto-populate from Bundle Formation based on the selected Bundle ID in column E.</t>
  </si>
  <si>
    <t>Added SUMIF formula in F3:F100 that looks up the Bundle ID in Bundle Formation and sums the No. of Tube Pieces for that bundle.</t>
  </si>
  <si>
    <t>Formula: =IF(E3="","",SUMIF('Bundle Formation'!$G$3:$G$58,E3,'Bundle Formation'!$E$3:$E$58)). Uses SUMIF because some bundles span multiple baby coils (e.g., BND-2 = 14+96=110). Replaced previous static values.</t>
  </si>
  <si>
    <t>F3:F100 now auto-calculates pieces from Bundle Formation. Verified: BND-1=110, BND-3=28, BND-11=45. Empty rows return blank.</t>
  </si>
  <si>
    <t>User asked for the 'No. of tube pieces left' column (D) on Bundle Formation sheet to show remaining tubes from each Baby Coil bundle after each bundle entry.</t>
  </si>
  <si>
    <t>Added formula in D3:D100 that calculates: Total pieces from Slit to Tube Conversion minus cumulative pieces used for that Baby Coil ID up to the current row.</t>
  </si>
  <si>
    <t>Formula: =IF(OR(B3="",E3=""),"",IFERROR(INDEX('Slit to Tube Conversion'!$D:$D,MATCH(B3,'Slit to Tube Conversion'!$C:$C,0))-SUMIFS($E$3:E3,$B$3:B3,B3),"")). Uses expanding SUMIFS range to accumulate pieces used per Baby Coil ID. Verified all 18 data rows: every Baby Coil ID reaches 0 after all its bundles are formed.</t>
  </si>
  <si>
    <t>Column D now auto-calculates tubes remaining. E.g., HYD-0326-01-A: 124 total, Bundle 1=110 → 14 left, Bundle 2=14 → 0 left. Formula extends to row 100 for future entries.</t>
  </si>
  <si>
    <t>User reported that already-selected Bundle IDs still appear as options in the dropdown for subsequent rows on the Dispatch Sheet.</t>
  </si>
  <si>
    <t>Updated Helpers!S2:S7 range references to point to the 'Available' filtered columns (T-Y) instead of the full static lists (K-P). The FILTER formulas in T-Y already excluded dispatched bundle IDs, but the data validation was referencing the unfiltered lists.</t>
  </si>
  <si>
    <t>Root cause: Data validation on Dispatch E column used INDIRECT(VLOOKUP(D3,Helpers!$R$2:$S$7,2,FALSE)). S2:S7 pointed to K-P (all IDs). Changed S2→$T$2:$T$20, S3→$U$2:$U$9, S4→$V$2:$V$9, S5→$W$2:$W$7, S6→$X$2:$X$11, S7→$Y$2:$Y$5. These columns use FILTER to exclude IDs already in Dispatch E$3:$E$100.</t>
  </si>
  <si>
    <t>Bundle ID dropdowns now only show un-dispatched bundle IDs. Already-selected IDs are excluded from subsequent dropdown options. Verified: T-U empty (all 38x38x2.80 and 50x50x2.80 bundles dispatched), V-Y correctly show remaining available bundles.</t>
  </si>
  <si>
    <t>User reported Weight column (H) not working on 'Slit to Tube Conversion' sheet</t>
  </si>
  <si>
    <t>Diagnosed and fixed VLOOKUP formulas in columns E, F, G, H, and I (rows 3-38)</t>
  </si>
  <si>
    <t>Root cause: Columns E/F/G/H were looking up Baby Coil IDs (e.g. HYD-0326-01-A) in 'Coil Sheet at Plant' which only has Mother Coil IDs (HYD-0326-01). Fix: E/F/G/H now VLOOKUP from 'Coil to Slit'!$D:$H where Baby Coil IDs exist. Column I uses LEFT(C3,LEN(C3)-2) to strip suffix and lookup Mother Coil Wt from 'Coil Sheet at Plant'.</t>
  </si>
  <si>
    <t>All 36 data rows (3-38) now return correct values. Weight (H) shows 2.44-4.48 T per baby coil. Validation column (K) all show '✔ OK'. No formula errors.</t>
  </si>
  <si>
    <t>User reported Bundle ID dropdowns not working on Dispatch Sheet. Asked to check the log and fix.</t>
  </si>
  <si>
    <t>Full diagnostic &amp; rebuild of Helpers sheet formulas, Dispatch Sheet validations, and auto-calc columns.</t>
  </si>
  <si>
    <t>Root causes: (1) Helpers H:I mapping was static—replaced with dynamic SORT/UNIQUE/FILTER from Bundle Formation. (2) K-P and T-Y static lists replaced with FILTER formulas from H:I. (3) S column range refs expanded. (4) F column dropdown changed from SKU-dependent INDIRECT/VLOOKUP to universal 'All Available Bundles' list in Helpers!AA. (5) E column changed from manual dropdown to auto-lookup formula: =INDEX('Bundle Formation'!$C:$C,MATCH(F,'Bundle Formation'!$G:$G,0)). (6) Fixed BND-29 SKU mismatch (was 50x50x2.80, corrected to 38x38x2.50). (7) Fixed H-M columns: H=SUMIF weight from Bundle Formation, I=Variance, J/K/L=dimensions via nested INDEX/MATCH through Bundle Formation→Slit to Tube Conversion, M=Yield Flag formula replacing #REF! formulas.</t>
  </si>
  <si>
    <t>Bundle ID dropdown now shows all 17 available un-dispatched bundles. SKU auto-populates from Bundle ID. All 38 existing dispatch rows have correct SKUs and calculated fields. No more #REF! errors. Helpers fully dynamic—auto-updates as new bundles are added.</t>
  </si>
  <si>
    <t>SKU Lookup for Bundle</t>
  </si>
  <si>
    <t>Unique SKU Codes</t>
  </si>
  <si>
    <t>Bundle SKU</t>
  </si>
  <si>
    <t>SKU for Lookup</t>
  </si>
  <si>
    <t>Range Name</t>
  </si>
  <si>
    <t>Available 38x38x2.80x6000</t>
  </si>
  <si>
    <t>Available 50x50x2.80x6000</t>
  </si>
  <si>
    <t>Available 38x38x2.50x6000</t>
  </si>
  <si>
    <t>Available 50x50x2.50x6000</t>
  </si>
  <si>
    <t>Available 38x38x2.20x6000</t>
  </si>
  <si>
    <t>Available 50x50x2.20x6000</t>
  </si>
  <si>
    <t>All Available Bundles</t>
  </si>
  <si>
    <t>Helpers!$T$2:$T$25</t>
  </si>
  <si>
    <t>Helpers!$U$2:$U$15</t>
  </si>
  <si>
    <t>Helpers!$V$2:$V$15</t>
  </si>
  <si>
    <t>Helpers!$W$2:$W$15</t>
  </si>
  <si>
    <t>Helpers!$X$2:$X$15</t>
  </si>
  <si>
    <t>Helpers!$Y$2:$Y$10</t>
  </si>
  <si>
    <t>OH-HYD-20260327-01-F</t>
  </si>
  <si>
    <t>OH-HYD-20260327-01-G</t>
  </si>
  <si>
    <t>OH-HYD-20260327-02-F</t>
  </si>
  <si>
    <t>OH-HYD-20260327-02-G</t>
  </si>
  <si>
    <t>OH-HYD-20260328-03-A</t>
  </si>
  <si>
    <t>OH-HYD-20260328-03-B</t>
  </si>
  <si>
    <t>OH-HYD-20260328-03-C</t>
  </si>
  <si>
    <t>OH-HYD-20260328-03-D</t>
  </si>
  <si>
    <t>OH-HYD-20260328-03-E</t>
  </si>
  <si>
    <t>OH-HYD-20260328-03-F</t>
  </si>
  <si>
    <t>OH-HYD-20260328-03-G</t>
  </si>
  <si>
    <t>OH-HYD-20260329-04-A</t>
  </si>
  <si>
    <t>OH-HYD-20260329-04-B</t>
  </si>
  <si>
    <t>OH-HYD-20260329-04-C</t>
  </si>
  <si>
    <t>OH-HYD-20260329-04-D</t>
  </si>
  <si>
    <t>OH-HYD-20260329-04-F</t>
  </si>
  <si>
    <t>OH-HYD-20260329-04-G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</si>
</sst>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%"/>
    <numFmt numFmtId="166" formatCode="dd\-mm\-yyyy"/>
    <numFmt numFmtId="167" formatCode="\₹#,##0.00"/>
    <numFmt numFmtId="168" formatCode="#,##0.0000"/>
  </numFmts>
  <fonts count="2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FFFFFF"/>
      <name val="Aptos Narrow"/>
    </font>
    <font>
      <sz val="11"/>
      <color rgb="FF375623"/>
      <name val="Aptos Narrow"/>
      <family val="2"/>
      <scheme val="minor"/>
    </font>
    <font>
      <sz val="10"/>
      <color rgb="FF7F6000"/>
      <name val="Aptos Narrow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9"/>
      <color rgb="FF7F6000"/>
      <name val="Aptos Narrow"/>
      <family val="2"/>
      <scheme val="minor"/>
    </font>
    <font>
      <sz val="10"/>
      <color rgb="FF0000FF"/>
      <name val="Aptos Narrow"/>
    </font>
    <font>
      <b/>
      <sz val="10"/>
      <color rgb="FF1F3864"/>
      <name val="Aptos Narrow"/>
    </font>
    <font>
      <b/>
      <sz val="11"/>
      <color rgb="FF1F3864"/>
      <name val="Aptos Narrow"/>
    </font>
    <font>
      <b/>
      <sz val="11"/>
      <color rgb="FF375623"/>
      <name val="Aptos Narrow"/>
    </font>
    <font>
      <b/>
      <sz val="10"/>
      <color rgb="FF7F6000"/>
      <name val="Aptos Narrow"/>
    </font>
    <font>
      <b/>
      <sz val="11"/>
      <color rgb="FF7F6000"/>
      <name val="Aptos Narrow"/>
    </font>
    <font>
      <sz val="11"/>
      <color rgb="FFFFFFFF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sz val="10"/>
      <color rgb="FF000000"/>
      <name val="Aptos Narrow"/>
    </font>
    <font>
      <i/>
      <sz val="10"/>
      <color rgb="FF008000"/>
      <name val="Aptos Narrow"/>
    </font>
    <font>
      <b/>
      <sz val="10"/>
      <color rgb="FF375623"/>
      <name val="Aptos Narrow"/>
    </font>
    <font>
      <b/>
      <sz val="11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DC3E6"/>
        <bgColor rgb="FF000000"/>
      </patternFill>
    </fill>
    <fill>
      <patternFill patternType="solid">
        <fgColor rgb="FFA9D1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404040"/>
      </left>
      <right/>
      <top style="medium">
        <color rgb="FF000000"/>
      </top>
      <bottom/>
      <diagonal/>
    </border>
    <border>
      <left style="medium">
        <color rgb="FF40404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40404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2E75B6"/>
      </top>
      <bottom style="thin">
        <color rgb="FFBFBFBF"/>
      </bottom>
      <diagonal/>
    </border>
    <border>
      <left style="medium">
        <color rgb="FFBF8F00"/>
      </left>
      <right style="thin">
        <color rgb="FFBFBFBF"/>
      </right>
      <top style="medium">
        <color rgb="FFBF8F00"/>
      </top>
      <bottom style="thin">
        <color rgb="FFBFBFBF"/>
      </bottom>
      <diagonal/>
    </border>
    <border>
      <left style="thin">
        <color rgb="FFBFBFBF"/>
      </left>
      <right style="medium">
        <color rgb="FFBF8F00"/>
      </right>
      <top style="medium">
        <color rgb="FFBF8F00"/>
      </top>
      <bottom style="thin">
        <color rgb="FFBFBFBF"/>
      </bottom>
      <diagonal/>
    </border>
    <border>
      <left style="medium">
        <color rgb="FFBF8F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8F00"/>
      </right>
      <top style="thin">
        <color rgb="FFBFBFBF"/>
      </top>
      <bottom style="thin">
        <color rgb="FFBFBFBF"/>
      </bottom>
      <diagonal/>
    </border>
    <border>
      <left style="medium">
        <color rgb="FFBF8F00"/>
      </left>
      <right style="thin">
        <color rgb="FFBFBFBF"/>
      </right>
      <top style="thin">
        <color rgb="FFBFBFBF"/>
      </top>
      <bottom style="medium">
        <color rgb="FFBF8F00"/>
      </bottom>
      <diagonal/>
    </border>
    <border>
      <left style="thin">
        <color rgb="FFBFBFBF"/>
      </left>
      <right style="medium">
        <color rgb="FFBF8F00"/>
      </right>
      <top style="thin">
        <color rgb="FFBFBFBF"/>
      </top>
      <bottom style="medium">
        <color rgb="FFBF8F00"/>
      </bottom>
      <diagonal/>
    </border>
    <border>
      <left style="medium">
        <color rgb="FF000000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BFBFBF"/>
      </top>
      <bottom style="thin">
        <color rgb="FF4472C4"/>
      </bottom>
      <diagonal/>
    </border>
    <border>
      <left style="thin">
        <color rgb="FF4472C4"/>
      </left>
      <right/>
      <top style="thin">
        <color rgb="FFBFBFB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000000"/>
      </bottom>
      <diagonal/>
    </border>
    <border>
      <left style="medium">
        <color rgb="FF1F3864"/>
      </left>
      <right style="thin">
        <color rgb="FF4472C4"/>
      </right>
      <top style="thin">
        <color rgb="FFBFBFBF"/>
      </top>
      <bottom style="thin">
        <color rgb="FF4472C4"/>
      </bottom>
      <diagonal/>
    </border>
    <border>
      <left style="medium">
        <color rgb="FF1F386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medium">
        <color rgb="FF1F3864"/>
      </left>
      <right style="thin">
        <color rgb="FF4472C4"/>
      </right>
      <top style="thin">
        <color rgb="FF4472C4"/>
      </top>
      <bottom style="thin">
        <color rgb="FF000000"/>
      </bottom>
      <diagonal/>
    </border>
    <border>
      <left style="thin">
        <color rgb="FF4472C4"/>
      </left>
      <right/>
      <top style="thin">
        <color rgb="FF4472C4"/>
      </top>
      <bottom style="thin">
        <color rgb="FF000000"/>
      </bottom>
      <diagonal/>
    </border>
    <border>
      <left style="medium">
        <color rgb="FF404040"/>
      </left>
      <right style="thin">
        <color rgb="FFBFBFBF"/>
      </right>
      <top style="thin">
        <color rgb="FF000000"/>
      </top>
      <bottom/>
      <diagonal/>
    </border>
    <border>
      <left style="thin">
        <color rgb="FF404040"/>
      </left>
      <right style="thin">
        <color rgb="FFA6A6A6"/>
      </right>
      <top style="thin">
        <color rgb="FFBFBFBF"/>
      </top>
      <bottom style="thin">
        <color rgb="FFA6A6A6"/>
      </bottom>
      <diagonal/>
    </border>
    <border>
      <left style="thin">
        <color rgb="FF40404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04040"/>
      </left>
      <right/>
      <top style="thin">
        <color rgb="FFBFBFBF"/>
      </top>
      <bottom style="thin">
        <color rgb="FFA6A6A6"/>
      </bottom>
      <diagonal/>
    </border>
    <border>
      <left style="thin">
        <color rgb="FF404040"/>
      </left>
      <right/>
      <top style="thin">
        <color rgb="FFA6A6A6"/>
      </top>
      <bottom style="thin">
        <color rgb="FFA6A6A6"/>
      </bottom>
      <diagonal/>
    </border>
    <border>
      <left style="thin">
        <color rgb="FF404040"/>
      </left>
      <right/>
      <top style="thin">
        <color rgb="FFA6A6A6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 style="thin">
        <color rgb="FFA6A6A6"/>
      </bottom>
      <diagonal/>
    </border>
    <border>
      <left style="thin">
        <color rgb="FFA6A6A6"/>
      </left>
      <right style="thin">
        <color rgb="FF4472C4"/>
      </right>
      <top style="thin">
        <color rgb="FFBFBFBF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4472C4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000000"/>
      </bottom>
      <diagonal/>
    </border>
    <border>
      <left style="thin">
        <color rgb="FFA6A6A6"/>
      </left>
      <right/>
      <top style="thin">
        <color rgb="FFBFBFBF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000000"/>
      </top>
      <bottom/>
      <diagonal/>
    </border>
    <border>
      <left style="thin">
        <color rgb="FF404040"/>
      </left>
      <right style="dotted">
        <color rgb="FFD4A017"/>
      </right>
      <top style="thin">
        <color rgb="FFBFBFBF"/>
      </top>
      <bottom style="dotted">
        <color rgb="FFD4A017"/>
      </bottom>
      <diagonal/>
    </border>
    <border>
      <left style="dotted">
        <color rgb="FFD4A017"/>
      </left>
      <right style="dotted">
        <color rgb="FFD4A017"/>
      </right>
      <top style="thin">
        <color rgb="FFBFBFBF"/>
      </top>
      <bottom style="dotted">
        <color rgb="FFD4A017"/>
      </bottom>
      <diagonal/>
    </border>
    <border>
      <left style="dotted">
        <color rgb="FFD4A017"/>
      </left>
      <right style="medium">
        <color rgb="FF000000"/>
      </right>
      <top style="thin">
        <color rgb="FFBFBFBF"/>
      </top>
      <bottom style="dotted">
        <color rgb="FFD4A017"/>
      </bottom>
      <diagonal/>
    </border>
    <border>
      <left style="thin">
        <color rgb="FF404040"/>
      </left>
      <right style="dotted">
        <color rgb="FFD4A017"/>
      </right>
      <top style="dotted">
        <color rgb="FFD4A017"/>
      </top>
      <bottom style="dotted">
        <color rgb="FFD4A017"/>
      </bottom>
      <diagonal/>
    </border>
    <border>
      <left style="dotted">
        <color rgb="FFD4A017"/>
      </left>
      <right style="dotted">
        <color rgb="FFD4A017"/>
      </right>
      <top style="dotted">
        <color rgb="FFD4A017"/>
      </top>
      <bottom style="dotted">
        <color rgb="FFD4A017"/>
      </bottom>
      <diagonal/>
    </border>
    <border>
      <left style="dotted">
        <color rgb="FFD4A017"/>
      </left>
      <right style="medium">
        <color rgb="FF000000"/>
      </right>
      <top style="dotted">
        <color rgb="FFD4A017"/>
      </top>
      <bottom style="dotted">
        <color rgb="FFD4A017"/>
      </bottom>
      <diagonal/>
    </border>
    <border>
      <left style="dotted">
        <color rgb="FFD4A017"/>
      </left>
      <right style="thin">
        <color rgb="FF000000"/>
      </right>
      <top style="dotted">
        <color rgb="FFD4A017"/>
      </top>
      <bottom style="dotted">
        <color rgb="FFD4A017"/>
      </bottom>
      <diagonal/>
    </border>
    <border>
      <left style="thin">
        <color rgb="FF404040"/>
      </left>
      <right style="dotted">
        <color rgb="FFD4A017"/>
      </right>
      <top style="dotted">
        <color rgb="FFD4A017"/>
      </top>
      <bottom style="thin">
        <color rgb="FF000000"/>
      </bottom>
      <diagonal/>
    </border>
    <border>
      <left style="dotted">
        <color rgb="FFD4A017"/>
      </left>
      <right style="dotted">
        <color rgb="FFD4A017"/>
      </right>
      <top style="dotted">
        <color rgb="FFD4A017"/>
      </top>
      <bottom style="thin">
        <color rgb="FF000000"/>
      </bottom>
      <diagonal/>
    </border>
    <border>
      <left style="dotted">
        <color rgb="FFD4A017"/>
      </left>
      <right style="thin">
        <color rgb="FF000000"/>
      </right>
      <top style="dotted">
        <color rgb="FFD4A017"/>
      </top>
      <bottom style="thin">
        <color rgb="FF000000"/>
      </bottom>
      <diagonal/>
    </border>
    <border>
      <left style="dotted">
        <color rgb="FFD4A017"/>
      </left>
      <right style="thin">
        <color rgb="FF000000"/>
      </right>
      <top style="thin">
        <color rgb="FFBFBFBF"/>
      </top>
      <bottom style="dotted">
        <color rgb="FFD4A017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2F5496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2F5496"/>
      </left>
      <right style="thin">
        <color rgb="FF4472C4"/>
      </right>
      <top style="thin">
        <color rgb="FF4472C4"/>
      </top>
      <bottom/>
      <diagonal/>
    </border>
    <border>
      <left style="medium">
        <color rgb="FF404040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000000"/>
      </right>
      <top/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medium">
        <color rgb="FF1F386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medium">
        <color rgb="FF1F3864"/>
      </left>
      <right/>
      <top style="thin">
        <color rgb="FF4472C4"/>
      </top>
      <bottom style="thin">
        <color rgb="FF4472C4"/>
      </bottom>
      <diagonal/>
    </border>
    <border>
      <left style="medium">
        <color rgb="FF1F3864"/>
      </left>
      <right/>
      <top style="thin">
        <color rgb="FF4472C4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medium">
        <color rgb="FF404040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medium">
        <color rgb="FF404040"/>
      </left>
      <right/>
      <top style="thin">
        <color rgb="FFA6A6A6"/>
      </top>
      <bottom/>
      <diagonal/>
    </border>
    <border>
      <left style="medium">
        <color rgb="FF2F5496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2F5496"/>
      </left>
      <right style="thin">
        <color rgb="FF4472C4"/>
      </right>
      <top/>
      <bottom style="thin">
        <color rgb="FF4472C4"/>
      </bottom>
      <diagonal/>
    </border>
    <border>
      <left style="medium">
        <color rgb="FF404040"/>
      </left>
      <right style="dotted">
        <color rgb="FFD4A017"/>
      </right>
      <top style="thin">
        <color rgb="FFBFBFBF"/>
      </top>
      <bottom style="dotted">
        <color rgb="FFD4A017"/>
      </bottom>
      <diagonal/>
    </border>
    <border>
      <left style="medium">
        <color rgb="FF404040"/>
      </left>
      <right style="dotted">
        <color rgb="FFD4A017"/>
      </right>
      <top style="dotted">
        <color rgb="FFD4A017"/>
      </top>
      <bottom style="dotted">
        <color rgb="FFD4A017"/>
      </bottom>
      <diagonal/>
    </border>
    <border>
      <left style="medium">
        <color rgb="FF000000"/>
      </left>
      <right style="thin">
        <color rgb="FFBFBFBF"/>
      </right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000000"/>
      </bottom>
      <diagonal/>
    </border>
    <border>
      <left style="medium">
        <color rgb="FF1F3864"/>
      </left>
      <right style="thin">
        <color rgb="FF4472C4"/>
      </right>
      <top style="thin">
        <color rgb="FF4472C4"/>
      </top>
      <bottom style="medium">
        <color rgb="FF000000"/>
      </bottom>
      <diagonal/>
    </border>
    <border>
      <left style="thin">
        <color rgb="FF4472C4"/>
      </left>
      <right/>
      <top style="thin">
        <color rgb="FF4472C4"/>
      </top>
      <bottom style="medium">
        <color rgb="FF000000"/>
      </bottom>
      <diagonal/>
    </border>
    <border>
      <left style="medium">
        <color rgb="FF404040"/>
      </left>
      <right style="thin">
        <color rgb="FFA6A6A6"/>
      </right>
      <top style="thin">
        <color rgb="FFBFBFBF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BFBFBF"/>
      </bottom>
      <diagonal/>
    </border>
    <border>
      <left style="thin">
        <color rgb="FFA6A6A6"/>
      </left>
      <right/>
      <top style="thin">
        <color rgb="FFA6A6A6"/>
      </top>
      <bottom style="thin">
        <color rgb="FFBFBFBF"/>
      </bottom>
      <diagonal/>
    </border>
    <border>
      <left style="medium">
        <color rgb="FF404040"/>
      </left>
      <right style="dotted">
        <color rgb="FFD4A017"/>
      </right>
      <top style="dotted">
        <color rgb="FFD4A017"/>
      </top>
      <bottom style="thin">
        <color rgb="FFBFBFBF"/>
      </bottom>
      <diagonal/>
    </border>
    <border>
      <left style="dotted">
        <color rgb="FFD4A017"/>
      </left>
      <right style="dotted">
        <color rgb="FFD4A017"/>
      </right>
      <top style="dotted">
        <color rgb="FFD4A017"/>
      </top>
      <bottom style="thin">
        <color rgb="FFBFBFBF"/>
      </bottom>
      <diagonal/>
    </border>
    <border>
      <left style="dotted">
        <color rgb="FFD4A017"/>
      </left>
      <right style="dotted">
        <color rgb="FFD4A017"/>
      </right>
      <top style="dotted">
        <color rgb="FFD4A017"/>
      </top>
      <bottom style="medium">
        <color rgb="FF000000"/>
      </bottom>
      <diagonal/>
    </border>
    <border>
      <left style="dotted">
        <color rgb="FFD4A017"/>
      </left>
      <right style="medium">
        <color rgb="FF000000"/>
      </right>
      <top style="dotted">
        <color rgb="FFD4A017"/>
      </top>
      <bottom style="medium">
        <color rgb="FF000000"/>
      </bottom>
      <diagonal/>
    </border>
    <border>
      <left style="thin">
        <color rgb="FF404040"/>
      </left>
      <right style="thin">
        <color rgb="FFA6A6A6"/>
      </right>
      <top style="thin">
        <color rgb="FFA6A6A6"/>
      </top>
      <bottom style="thin">
        <color rgb="FFBFBFBF"/>
      </bottom>
      <diagonal/>
    </border>
    <border>
      <left style="dotted">
        <color rgb="FFD4A017"/>
      </left>
      <right style="medium">
        <color rgb="FF000000"/>
      </right>
      <top style="dotted">
        <color rgb="FFD4A017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40404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40404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1F3864"/>
      </left>
      <right/>
      <top style="thin">
        <color rgb="FFBFBFBF"/>
      </top>
      <bottom style="thin">
        <color rgb="FF4472C4"/>
      </bottom>
      <diagonal/>
    </border>
    <border>
      <left style="medium">
        <color rgb="FF404040"/>
      </left>
      <right/>
      <top style="thin">
        <color rgb="FFBFBFBF"/>
      </top>
      <bottom style="dotted">
        <color rgb="FFD4A017"/>
      </bottom>
      <diagonal/>
    </border>
    <border>
      <left style="dotted">
        <color rgb="FFD4A017"/>
      </left>
      <right/>
      <top style="thin">
        <color rgb="FFBFBFBF"/>
      </top>
      <bottom style="dotted">
        <color rgb="FFD4A017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/>
      <diagonal/>
    </border>
    <border>
      <left/>
      <right/>
      <top style="thin">
        <color rgb="FF4472C4"/>
      </top>
      <bottom/>
      <diagonal/>
    </border>
    <border>
      <left style="thin">
        <color rgb="FF4472C4"/>
      </left>
      <right style="medium">
        <color rgb="FF4472C4"/>
      </right>
      <top style="thin">
        <color rgb="FF4472C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472C4"/>
      </right>
      <top style="thin">
        <color rgb="FFBFBFBF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40404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 style="medium">
        <color rgb="FF40404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4472C4"/>
      </left>
      <right/>
      <top style="thin">
        <color rgb="FFBFBFBF"/>
      </top>
      <bottom/>
      <diagonal/>
    </border>
    <border>
      <left style="thin">
        <color rgb="FF404040"/>
      </left>
      <right/>
      <top style="thin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8">
    <xf numFmtId="0" fontId="0" fillId="0" borderId="0" xfId="0"/>
    <xf numFmtId="165" fontId="0" fillId="0" borderId="0" xfId="0" applyNumberFormat="1"/>
    <xf numFmtId="2" fontId="0" fillId="0" borderId="0" xfId="0" applyNumberFormat="1"/>
    <xf numFmtId="4" fontId="0" fillId="0" borderId="0" xfId="0" applyNumberFormat="1"/>
    <xf numFmtId="0" fontId="2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14" borderId="0" xfId="0" applyFill="1"/>
    <xf numFmtId="0" fontId="6" fillId="11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8" fillId="14" borderId="14" xfId="0" applyFont="1" applyFill="1" applyBorder="1" applyAlignment="1">
      <alignment vertical="center"/>
    </xf>
    <xf numFmtId="0" fontId="10" fillId="10" borderId="16" xfId="0" applyFont="1" applyFill="1" applyBorder="1"/>
    <xf numFmtId="0" fontId="6" fillId="13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18" fillId="6" borderId="0" xfId="0" applyFont="1" applyFill="1" applyAlignment="1">
      <alignment wrapText="1"/>
    </xf>
    <xf numFmtId="0" fontId="0" fillId="14" borderId="0" xfId="0" applyFill="1" applyAlignment="1">
      <alignment wrapText="1"/>
    </xf>
    <xf numFmtId="0" fontId="1" fillId="14" borderId="0" xfId="1" applyFill="1" applyAlignment="1">
      <alignment wrapText="1"/>
    </xf>
    <xf numFmtId="0" fontId="7" fillId="12" borderId="11" xfId="1" applyFont="1" applyFill="1" applyBorder="1" applyAlignment="1">
      <alignment vertical="center" wrapText="1"/>
    </xf>
    <xf numFmtId="0" fontId="5" fillId="3" borderId="13" xfId="0" applyFont="1" applyFill="1" applyBorder="1" applyAlignment="1">
      <alignment wrapText="1"/>
    </xf>
    <xf numFmtId="2" fontId="9" fillId="8" borderId="15" xfId="0" applyNumberFormat="1" applyFont="1" applyFill="1" applyBorder="1" applyAlignment="1">
      <alignment horizontal="center" vertical="center" wrapText="1"/>
    </xf>
    <xf numFmtId="164" fontId="3" fillId="9" borderId="15" xfId="0" applyNumberFormat="1" applyFont="1" applyFill="1" applyBorder="1" applyAlignment="1">
      <alignment horizontal="center" vertical="center" wrapText="1"/>
    </xf>
    <xf numFmtId="0" fontId="0" fillId="10" borderId="17" xfId="0" applyFill="1" applyBorder="1" applyAlignment="1">
      <alignment wrapText="1"/>
    </xf>
    <xf numFmtId="0" fontId="5" fillId="13" borderId="0" xfId="0" applyFont="1" applyFill="1"/>
    <xf numFmtId="14" fontId="0" fillId="0" borderId="0" xfId="0" applyNumberFormat="1"/>
    <xf numFmtId="0" fontId="12" fillId="15" borderId="18" xfId="0" applyFont="1" applyFill="1" applyBorder="1" applyAlignment="1">
      <alignment horizontal="center" vertical="center" wrapText="1"/>
    </xf>
    <xf numFmtId="0" fontId="12" fillId="15" borderId="19" xfId="0" applyFont="1" applyFill="1" applyBorder="1" applyAlignment="1">
      <alignment horizontal="center" vertical="center" wrapText="1"/>
    </xf>
    <xf numFmtId="0" fontId="12" fillId="15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166" fontId="11" fillId="2" borderId="26" xfId="0" applyNumberFormat="1" applyFont="1" applyFill="1" applyBorder="1" applyAlignment="1">
      <alignment horizontal="center" vertical="center"/>
    </xf>
    <xf numFmtId="166" fontId="11" fillId="2" borderId="27" xfId="0" applyNumberFormat="1" applyFont="1" applyFill="1" applyBorder="1" applyAlignment="1">
      <alignment horizontal="center" vertical="center"/>
    </xf>
    <xf numFmtId="166" fontId="11" fillId="2" borderId="27" xfId="0" applyNumberFormat="1" applyFont="1" applyFill="1" applyBorder="1" applyAlignment="1">
      <alignment horizontal="center"/>
    </xf>
    <xf numFmtId="166" fontId="11" fillId="2" borderId="28" xfId="0" applyNumberFormat="1" applyFont="1" applyFill="1" applyBorder="1" applyAlignment="1">
      <alignment horizontal="center"/>
    </xf>
    <xf numFmtId="0" fontId="13" fillId="15" borderId="19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4" fillId="7" borderId="30" xfId="0" applyFont="1" applyFill="1" applyBorder="1" applyAlignment="1">
      <alignment horizontal="center" vertical="center" wrapText="1"/>
    </xf>
    <xf numFmtId="0" fontId="19" fillId="14" borderId="33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35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 vertical="center" wrapText="1"/>
    </xf>
    <xf numFmtId="4" fontId="20" fillId="14" borderId="36" xfId="0" applyNumberFormat="1" applyFont="1" applyFill="1" applyBorder="1" applyAlignment="1">
      <alignment horizontal="center" vertical="center"/>
    </xf>
    <xf numFmtId="4" fontId="20" fillId="14" borderId="37" xfId="0" applyNumberFormat="1" applyFont="1" applyFill="1" applyBorder="1" applyAlignment="1">
      <alignment horizontal="center" vertical="center"/>
    </xf>
    <xf numFmtId="4" fontId="20" fillId="14" borderId="38" xfId="0" applyNumberFormat="1" applyFont="1" applyFill="1" applyBorder="1" applyAlignment="1">
      <alignment horizontal="center" vertical="center"/>
    </xf>
    <xf numFmtId="4" fontId="20" fillId="14" borderId="39" xfId="0" applyNumberFormat="1" applyFont="1" applyFill="1" applyBorder="1" applyAlignment="1">
      <alignment horizontal="center" vertical="center"/>
    </xf>
    <xf numFmtId="4" fontId="19" fillId="14" borderId="44" xfId="0" applyNumberFormat="1" applyFont="1" applyFill="1" applyBorder="1" applyAlignment="1">
      <alignment horizontal="center" vertical="center"/>
    </xf>
    <xf numFmtId="4" fontId="19" fillId="14" borderId="45" xfId="0" applyNumberFormat="1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 wrapText="1"/>
    </xf>
    <xf numFmtId="167" fontId="20" fillId="14" borderId="36" xfId="0" applyNumberFormat="1" applyFont="1" applyFill="1" applyBorder="1" applyAlignment="1">
      <alignment horizontal="center" vertical="center"/>
    </xf>
    <xf numFmtId="167" fontId="20" fillId="14" borderId="38" xfId="0" applyNumberFormat="1" applyFont="1" applyFill="1" applyBorder="1" applyAlignment="1">
      <alignment horizontal="center" vertical="center"/>
    </xf>
    <xf numFmtId="167" fontId="20" fillId="14" borderId="38" xfId="0" applyNumberFormat="1" applyFont="1" applyFill="1" applyBorder="1" applyAlignment="1">
      <alignment horizontal="center"/>
    </xf>
    <xf numFmtId="167" fontId="20" fillId="14" borderId="40" xfId="0" applyNumberFormat="1" applyFont="1" applyFill="1" applyBorder="1" applyAlignment="1">
      <alignment horizontal="center"/>
    </xf>
    <xf numFmtId="0" fontId="15" fillId="6" borderId="30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horizontal="center" vertical="center" wrapText="1"/>
    </xf>
    <xf numFmtId="3" fontId="4" fillId="10" borderId="48" xfId="0" applyNumberFormat="1" applyFont="1" applyFill="1" applyBorder="1" applyAlignment="1">
      <alignment horizontal="center" vertical="center"/>
    </xf>
    <xf numFmtId="3" fontId="4" fillId="10" borderId="49" xfId="0" applyNumberFormat="1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4" fillId="10" borderId="50" xfId="0" applyFont="1" applyFill="1" applyBorder="1" applyAlignment="1">
      <alignment horizontal="center" vertical="center"/>
    </xf>
    <xf numFmtId="3" fontId="4" fillId="10" borderId="51" xfId="0" applyNumberFormat="1" applyFont="1" applyFill="1" applyBorder="1" applyAlignment="1">
      <alignment horizontal="center" vertical="center"/>
    </xf>
    <xf numFmtId="3" fontId="4" fillId="10" borderId="52" xfId="0" applyNumberFormat="1" applyFont="1" applyFill="1" applyBorder="1" applyAlignment="1">
      <alignment horizontal="center" vertical="center"/>
    </xf>
    <xf numFmtId="0" fontId="4" fillId="10" borderId="52" xfId="0" applyFont="1" applyFill="1" applyBorder="1" applyAlignment="1">
      <alignment horizontal="center" vertical="center"/>
    </xf>
    <xf numFmtId="0" fontId="4" fillId="10" borderId="53" xfId="0" applyFont="1" applyFill="1" applyBorder="1" applyAlignment="1">
      <alignment horizontal="center" vertical="center"/>
    </xf>
    <xf numFmtId="3" fontId="4" fillId="10" borderId="51" xfId="0" applyNumberFormat="1" applyFont="1" applyFill="1" applyBorder="1" applyAlignment="1">
      <alignment horizontal="center"/>
    </xf>
    <xf numFmtId="3" fontId="4" fillId="10" borderId="52" xfId="0" applyNumberFormat="1" applyFont="1" applyFill="1" applyBorder="1" applyAlignment="1">
      <alignment horizontal="center"/>
    </xf>
    <xf numFmtId="0" fontId="4" fillId="10" borderId="52" xfId="0" applyFont="1" applyFill="1" applyBorder="1" applyAlignment="1">
      <alignment horizontal="center"/>
    </xf>
    <xf numFmtId="0" fontId="4" fillId="10" borderId="54" xfId="0" applyFont="1" applyFill="1" applyBorder="1" applyAlignment="1">
      <alignment horizontal="center"/>
    </xf>
    <xf numFmtId="3" fontId="4" fillId="10" borderId="55" xfId="0" applyNumberFormat="1" applyFont="1" applyFill="1" applyBorder="1" applyAlignment="1">
      <alignment horizontal="center"/>
    </xf>
    <xf numFmtId="3" fontId="4" fillId="10" borderId="56" xfId="0" applyNumberFormat="1" applyFont="1" applyFill="1" applyBorder="1" applyAlignment="1">
      <alignment horizontal="center"/>
    </xf>
    <xf numFmtId="0" fontId="4" fillId="10" borderId="56" xfId="0" applyFont="1" applyFill="1" applyBorder="1" applyAlignment="1">
      <alignment horizontal="center"/>
    </xf>
    <xf numFmtId="0" fontId="4" fillId="10" borderId="57" xfId="0" applyFont="1" applyFill="1" applyBorder="1" applyAlignment="1">
      <alignment horizontal="center"/>
    </xf>
    <xf numFmtId="0" fontId="4" fillId="10" borderId="58" xfId="0" applyFont="1" applyFill="1" applyBorder="1" applyAlignment="1">
      <alignment horizontal="center" vertical="center"/>
    </xf>
    <xf numFmtId="0" fontId="4" fillId="10" borderId="54" xfId="0" applyFont="1" applyFill="1" applyBorder="1" applyAlignment="1">
      <alignment horizontal="center" vertical="center"/>
    </xf>
    <xf numFmtId="3" fontId="11" fillId="2" borderId="41" xfId="0" applyNumberFormat="1" applyFont="1" applyFill="1" applyBorder="1" applyAlignment="1">
      <alignment horizontal="center" vertical="center"/>
    </xf>
    <xf numFmtId="3" fontId="11" fillId="2" borderId="42" xfId="0" applyNumberFormat="1" applyFont="1" applyFill="1" applyBorder="1" applyAlignment="1">
      <alignment horizontal="center" vertical="center"/>
    </xf>
    <xf numFmtId="3" fontId="11" fillId="2" borderId="42" xfId="0" applyNumberFormat="1" applyFont="1" applyFill="1" applyBorder="1" applyAlignment="1">
      <alignment horizontal="center"/>
    </xf>
    <xf numFmtId="3" fontId="11" fillId="2" borderId="43" xfId="0" applyNumberFormat="1" applyFont="1" applyFill="1" applyBorder="1" applyAlignment="1">
      <alignment horizontal="center"/>
    </xf>
    <xf numFmtId="49" fontId="20" fillId="14" borderId="44" xfId="0" applyNumberFormat="1" applyFont="1" applyFill="1" applyBorder="1" applyAlignment="1">
      <alignment horizontal="center" vertical="center"/>
    </xf>
    <xf numFmtId="49" fontId="20" fillId="14" borderId="45" xfId="0" applyNumberFormat="1" applyFont="1" applyFill="1" applyBorder="1" applyAlignment="1">
      <alignment horizontal="center" vertical="center"/>
    </xf>
    <xf numFmtId="49" fontId="20" fillId="14" borderId="45" xfId="0" applyNumberFormat="1" applyFont="1" applyFill="1" applyBorder="1" applyAlignment="1">
      <alignment horizontal="center"/>
    </xf>
    <xf numFmtId="49" fontId="20" fillId="14" borderId="46" xfId="0" applyNumberFormat="1" applyFont="1" applyFill="1" applyBorder="1" applyAlignment="1">
      <alignment horizontal="center"/>
    </xf>
    <xf numFmtId="4" fontId="20" fillId="14" borderId="44" xfId="0" applyNumberFormat="1" applyFont="1" applyFill="1" applyBorder="1" applyAlignment="1">
      <alignment horizontal="center" vertical="center"/>
    </xf>
    <xf numFmtId="4" fontId="20" fillId="14" borderId="45" xfId="0" applyNumberFormat="1" applyFont="1" applyFill="1" applyBorder="1" applyAlignment="1">
      <alignment horizontal="center" vertical="center"/>
    </xf>
    <xf numFmtId="4" fontId="20" fillId="14" borderId="45" xfId="0" applyNumberFormat="1" applyFont="1" applyFill="1" applyBorder="1" applyAlignment="1">
      <alignment horizontal="center"/>
    </xf>
    <xf numFmtId="4" fontId="20" fillId="14" borderId="46" xfId="0" applyNumberFormat="1" applyFont="1" applyFill="1" applyBorder="1" applyAlignment="1">
      <alignment horizontal="center"/>
    </xf>
    <xf numFmtId="2" fontId="11" fillId="2" borderId="23" xfId="0" applyNumberFormat="1" applyFont="1" applyFill="1" applyBorder="1" applyAlignment="1">
      <alignment horizontal="center"/>
    </xf>
    <xf numFmtId="4" fontId="11" fillId="2" borderId="23" xfId="0" applyNumberFormat="1" applyFont="1" applyFill="1" applyBorder="1" applyAlignment="1">
      <alignment horizontal="center"/>
    </xf>
    <xf numFmtId="167" fontId="11" fillId="2" borderId="23" xfId="0" applyNumberFormat="1" applyFont="1" applyFill="1" applyBorder="1" applyAlignment="1">
      <alignment horizontal="center"/>
    </xf>
    <xf numFmtId="49" fontId="11" fillId="2" borderId="23" xfId="0" applyNumberFormat="1" applyFont="1" applyFill="1" applyBorder="1" applyAlignment="1">
      <alignment horizontal="center"/>
    </xf>
    <xf numFmtId="0" fontId="11" fillId="2" borderId="59" xfId="0" applyFont="1" applyFill="1" applyBorder="1" applyAlignment="1">
      <alignment horizontal="center"/>
    </xf>
    <xf numFmtId="2" fontId="11" fillId="2" borderId="59" xfId="0" applyNumberFormat="1" applyFont="1" applyFill="1" applyBorder="1" applyAlignment="1">
      <alignment horizontal="center"/>
    </xf>
    <xf numFmtId="4" fontId="11" fillId="2" borderId="59" xfId="0" applyNumberFormat="1" applyFont="1" applyFill="1" applyBorder="1" applyAlignment="1">
      <alignment horizontal="center"/>
    </xf>
    <xf numFmtId="167" fontId="11" fillId="2" borderId="59" xfId="0" applyNumberFormat="1" applyFont="1" applyFill="1" applyBorder="1" applyAlignment="1">
      <alignment horizontal="center"/>
    </xf>
    <xf numFmtId="49" fontId="11" fillId="2" borderId="59" xfId="0" applyNumberFormat="1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/>
    </xf>
    <xf numFmtId="165" fontId="19" fillId="14" borderId="45" xfId="0" applyNumberFormat="1" applyFont="1" applyFill="1" applyBorder="1" applyAlignment="1">
      <alignment horizontal="center" vertical="center"/>
    </xf>
    <xf numFmtId="0" fontId="19" fillId="14" borderId="38" xfId="0" applyFont="1" applyFill="1" applyBorder="1" applyAlignment="1">
      <alignment horizontal="center"/>
    </xf>
    <xf numFmtId="165" fontId="19" fillId="14" borderId="45" xfId="0" applyNumberFormat="1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165" fontId="19" fillId="14" borderId="62" xfId="0" applyNumberFormat="1" applyFont="1" applyFill="1" applyBorder="1" applyAlignment="1">
      <alignment horizontal="center"/>
    </xf>
    <xf numFmtId="0" fontId="13" fillId="15" borderId="30" xfId="0" applyFont="1" applyFill="1" applyBorder="1" applyAlignment="1">
      <alignment horizontal="center" vertical="center" wrapText="1"/>
    </xf>
    <xf numFmtId="0" fontId="13" fillId="15" borderId="20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/>
    </xf>
    <xf numFmtId="0" fontId="11" fillId="2" borderId="63" xfId="0" applyFont="1" applyFill="1" applyBorder="1" applyAlignment="1">
      <alignment horizontal="center"/>
    </xf>
    <xf numFmtId="0" fontId="11" fillId="2" borderId="64" xfId="0" applyFont="1" applyFill="1" applyBorder="1" applyAlignment="1">
      <alignment horizontal="center"/>
    </xf>
    <xf numFmtId="0" fontId="16" fillId="6" borderId="65" xfId="0" applyFont="1" applyFill="1" applyBorder="1" applyAlignment="1">
      <alignment horizontal="center" vertical="center" wrapText="1"/>
    </xf>
    <xf numFmtId="0" fontId="16" fillId="6" borderId="66" xfId="0" applyFont="1" applyFill="1" applyBorder="1" applyAlignment="1">
      <alignment horizontal="center" vertical="center" wrapText="1"/>
    </xf>
    <xf numFmtId="0" fontId="16" fillId="6" borderId="67" xfId="0" applyFont="1" applyFill="1" applyBorder="1" applyAlignment="1">
      <alignment horizontal="center" vertical="center" wrapText="1"/>
    </xf>
    <xf numFmtId="3" fontId="11" fillId="2" borderId="23" xfId="0" applyNumberFormat="1" applyFont="1" applyFill="1" applyBorder="1" applyAlignment="1">
      <alignment horizontal="center"/>
    </xf>
    <xf numFmtId="3" fontId="11" fillId="2" borderId="59" xfId="0" applyNumberFormat="1" applyFont="1" applyFill="1" applyBorder="1" applyAlignment="1">
      <alignment horizontal="center"/>
    </xf>
    <xf numFmtId="0" fontId="19" fillId="14" borderId="68" xfId="0" applyFont="1" applyFill="1" applyBorder="1" applyAlignment="1">
      <alignment horizontal="center"/>
    </xf>
    <xf numFmtId="0" fontId="19" fillId="14" borderId="69" xfId="0" applyFont="1" applyFill="1" applyBorder="1" applyAlignment="1">
      <alignment horizontal="center"/>
    </xf>
    <xf numFmtId="0" fontId="11" fillId="2" borderId="71" xfId="0" applyFont="1" applyFill="1" applyBorder="1" applyAlignment="1">
      <alignment horizontal="center"/>
    </xf>
    <xf numFmtId="2" fontId="11" fillId="2" borderId="71" xfId="0" applyNumberFormat="1" applyFont="1" applyFill="1" applyBorder="1" applyAlignment="1">
      <alignment horizontal="center"/>
    </xf>
    <xf numFmtId="3" fontId="11" fillId="2" borderId="71" xfId="0" applyNumberFormat="1" applyFont="1" applyFill="1" applyBorder="1" applyAlignment="1">
      <alignment horizontal="center"/>
    </xf>
    <xf numFmtId="4" fontId="11" fillId="2" borderId="71" xfId="0" applyNumberFormat="1" applyFont="1" applyFill="1" applyBorder="1" applyAlignment="1">
      <alignment horizontal="center"/>
    </xf>
    <xf numFmtId="167" fontId="11" fillId="2" borderId="71" xfId="0" applyNumberFormat="1" applyFont="1" applyFill="1" applyBorder="1" applyAlignment="1">
      <alignment horizontal="center"/>
    </xf>
    <xf numFmtId="49" fontId="11" fillId="2" borderId="71" xfId="0" applyNumberFormat="1" applyFont="1" applyFill="1" applyBorder="1" applyAlignment="1">
      <alignment horizontal="center"/>
    </xf>
    <xf numFmtId="2" fontId="11" fillId="2" borderId="24" xfId="0" applyNumberFormat="1" applyFont="1" applyFill="1" applyBorder="1" applyAlignment="1">
      <alignment horizontal="center" vertical="center"/>
    </xf>
    <xf numFmtId="3" fontId="11" fillId="2" borderId="24" xfId="0" applyNumberFormat="1" applyFont="1" applyFill="1" applyBorder="1" applyAlignment="1">
      <alignment horizontal="center" vertical="center"/>
    </xf>
    <xf numFmtId="4" fontId="11" fillId="2" borderId="24" xfId="0" applyNumberFormat="1" applyFont="1" applyFill="1" applyBorder="1" applyAlignment="1">
      <alignment horizontal="center" vertical="center"/>
    </xf>
    <xf numFmtId="167" fontId="11" fillId="2" borderId="24" xfId="0" applyNumberFormat="1" applyFont="1" applyFill="1" applyBorder="1" applyAlignment="1">
      <alignment horizontal="center" vertical="center"/>
    </xf>
    <xf numFmtId="49" fontId="11" fillId="2" borderId="24" xfId="0" applyNumberFormat="1" applyFont="1" applyFill="1" applyBorder="1" applyAlignment="1">
      <alignment horizontal="center" vertical="center"/>
    </xf>
    <xf numFmtId="0" fontId="11" fillId="2" borderId="60" xfId="0" applyFont="1" applyFill="1" applyBorder="1" applyAlignment="1">
      <alignment horizontal="center" vertical="center"/>
    </xf>
    <xf numFmtId="2" fontId="11" fillId="2" borderId="60" xfId="0" applyNumberFormat="1" applyFont="1" applyFill="1" applyBorder="1" applyAlignment="1">
      <alignment horizontal="center" vertical="center"/>
    </xf>
    <xf numFmtId="3" fontId="11" fillId="2" borderId="60" xfId="0" applyNumberFormat="1" applyFont="1" applyFill="1" applyBorder="1" applyAlignment="1">
      <alignment horizontal="center" vertical="center"/>
    </xf>
    <xf numFmtId="4" fontId="11" fillId="2" borderId="60" xfId="0" applyNumberFormat="1" applyFont="1" applyFill="1" applyBorder="1" applyAlignment="1">
      <alignment horizontal="center" vertical="center"/>
    </xf>
    <xf numFmtId="167" fontId="11" fillId="2" borderId="60" xfId="0" applyNumberFormat="1" applyFont="1" applyFill="1" applyBorder="1" applyAlignment="1">
      <alignment horizontal="center" vertical="center"/>
    </xf>
    <xf numFmtId="49" fontId="11" fillId="2" borderId="60" xfId="0" applyNumberFormat="1" applyFont="1" applyFill="1" applyBorder="1" applyAlignment="1">
      <alignment horizontal="center" vertical="center"/>
    </xf>
    <xf numFmtId="0" fontId="19" fillId="14" borderId="75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78" xfId="0" applyFont="1" applyFill="1" applyBorder="1" applyAlignment="1">
      <alignment horizontal="center" vertical="center"/>
    </xf>
    <xf numFmtId="0" fontId="19" fillId="14" borderId="62" xfId="0" applyFont="1" applyFill="1" applyBorder="1" applyAlignment="1">
      <alignment horizontal="center" vertical="center"/>
    </xf>
    <xf numFmtId="165" fontId="19" fillId="14" borderId="62" xfId="0" applyNumberFormat="1" applyFont="1" applyFill="1" applyBorder="1" applyAlignment="1">
      <alignment horizontal="center" vertical="center"/>
    </xf>
    <xf numFmtId="0" fontId="11" fillId="2" borderId="79" xfId="0" applyFont="1" applyFill="1" applyBorder="1" applyAlignment="1">
      <alignment horizontal="center" vertical="center"/>
    </xf>
    <xf numFmtId="3" fontId="4" fillId="10" borderId="82" xfId="0" applyNumberFormat="1" applyFont="1" applyFill="1" applyBorder="1" applyAlignment="1">
      <alignment horizontal="center" vertical="center"/>
    </xf>
    <xf numFmtId="3" fontId="4" fillId="10" borderId="83" xfId="0" applyNumberFormat="1" applyFont="1" applyFill="1" applyBorder="1" applyAlignment="1">
      <alignment horizontal="center" vertical="center"/>
    </xf>
    <xf numFmtId="0" fontId="12" fillId="15" borderId="66" xfId="0" applyFont="1" applyFill="1" applyBorder="1" applyAlignment="1">
      <alignment horizontal="center" vertical="center" wrapText="1"/>
    </xf>
    <xf numFmtId="0" fontId="11" fillId="2" borderId="85" xfId="0" applyFont="1" applyFill="1" applyBorder="1" applyAlignment="1">
      <alignment horizontal="center" vertical="center"/>
    </xf>
    <xf numFmtId="166" fontId="11" fillId="2" borderId="86" xfId="0" applyNumberFormat="1" applyFont="1" applyFill="1" applyBorder="1" applyAlignment="1">
      <alignment horizontal="center" vertical="center"/>
    </xf>
    <xf numFmtId="0" fontId="11" fillId="2" borderId="87" xfId="0" applyFont="1" applyFill="1" applyBorder="1" applyAlignment="1">
      <alignment horizontal="center" vertical="center"/>
    </xf>
    <xf numFmtId="0" fontId="14" fillId="7" borderId="65" xfId="0" applyFont="1" applyFill="1" applyBorder="1" applyAlignment="1">
      <alignment horizontal="center" vertical="center" wrapText="1"/>
    </xf>
    <xf numFmtId="0" fontId="14" fillId="7" borderId="66" xfId="0" applyFont="1" applyFill="1" applyBorder="1" applyAlignment="1">
      <alignment horizontal="center" vertical="center" wrapText="1"/>
    </xf>
    <xf numFmtId="4" fontId="20" fillId="14" borderId="89" xfId="0" applyNumberFormat="1" applyFont="1" applyFill="1" applyBorder="1" applyAlignment="1">
      <alignment horizontal="center" vertical="center"/>
    </xf>
    <xf numFmtId="4" fontId="20" fillId="14" borderId="90" xfId="0" applyNumberFormat="1" applyFont="1" applyFill="1" applyBorder="1" applyAlignment="1">
      <alignment horizontal="center" vertical="center"/>
    </xf>
    <xf numFmtId="4" fontId="19" fillId="14" borderId="90" xfId="0" applyNumberFormat="1" applyFont="1" applyFill="1" applyBorder="1" applyAlignment="1">
      <alignment horizontal="center" vertical="center"/>
    </xf>
    <xf numFmtId="4" fontId="4" fillId="10" borderId="49" xfId="0" applyNumberFormat="1" applyFont="1" applyFill="1" applyBorder="1" applyAlignment="1">
      <alignment horizontal="center" vertical="center"/>
    </xf>
    <xf numFmtId="4" fontId="4" fillId="10" borderId="83" xfId="0" applyNumberFormat="1" applyFont="1" applyFill="1" applyBorder="1" applyAlignment="1">
      <alignment horizontal="center" vertical="center"/>
    </xf>
    <xf numFmtId="4" fontId="4" fillId="10" borderId="52" xfId="0" applyNumberFormat="1" applyFont="1" applyFill="1" applyBorder="1" applyAlignment="1">
      <alignment horizontal="center" vertical="center"/>
    </xf>
    <xf numFmtId="4" fontId="4" fillId="10" borderId="91" xfId="0" applyNumberFormat="1" applyFont="1" applyFill="1" applyBorder="1" applyAlignment="1">
      <alignment horizontal="center" vertical="center"/>
    </xf>
    <xf numFmtId="4" fontId="4" fillId="10" borderId="92" xfId="0" applyNumberFormat="1" applyFont="1" applyFill="1" applyBorder="1" applyAlignment="1">
      <alignment horizontal="center" vertical="center"/>
    </xf>
    <xf numFmtId="0" fontId="4" fillId="10" borderId="93" xfId="0" applyFont="1" applyFill="1" applyBorder="1" applyAlignment="1">
      <alignment horizontal="center" vertical="center"/>
    </xf>
    <xf numFmtId="0" fontId="4" fillId="10" borderId="94" xfId="0" applyFont="1" applyFill="1" applyBorder="1" applyAlignment="1">
      <alignment horizontal="center" vertical="center"/>
    </xf>
    <xf numFmtId="0" fontId="11" fillId="2" borderId="86" xfId="0" applyFont="1" applyFill="1" applyBorder="1" applyAlignment="1">
      <alignment horizontal="center" vertical="center"/>
    </xf>
    <xf numFmtId="0" fontId="20" fillId="14" borderId="31" xfId="0" applyFont="1" applyFill="1" applyBorder="1" applyAlignment="1">
      <alignment horizontal="center" vertical="center"/>
    </xf>
    <xf numFmtId="0" fontId="20" fillId="14" borderId="32" xfId="0" applyFont="1" applyFill="1" applyBorder="1" applyAlignment="1">
      <alignment horizontal="center" vertical="center"/>
    </xf>
    <xf numFmtId="0" fontId="20" fillId="14" borderId="95" xfId="0" applyFont="1" applyFill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/>
    </xf>
    <xf numFmtId="4" fontId="20" fillId="14" borderId="88" xfId="0" applyNumberFormat="1" applyFont="1" applyFill="1" applyBorder="1" applyAlignment="1">
      <alignment horizontal="center" vertical="center"/>
    </xf>
    <xf numFmtId="0" fontId="4" fillId="10" borderId="82" xfId="0" applyFont="1" applyFill="1" applyBorder="1" applyAlignment="1">
      <alignment horizontal="center" vertical="center"/>
    </xf>
    <xf numFmtId="0" fontId="4" fillId="10" borderId="96" xfId="0" applyFont="1" applyFill="1" applyBorder="1" applyAlignment="1">
      <alignment horizontal="center" vertical="center"/>
    </xf>
    <xf numFmtId="166" fontId="11" fillId="2" borderId="70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13" borderId="0" xfId="0" applyFont="1" applyFill="1" applyAlignment="1">
      <alignment wrapText="1"/>
    </xf>
    <xf numFmtId="0" fontId="17" fillId="5" borderId="1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9" fillId="14" borderId="74" xfId="0" applyFont="1" applyFill="1" applyBorder="1" applyAlignment="1">
      <alignment horizontal="center" vertical="center"/>
    </xf>
    <xf numFmtId="0" fontId="19" fillId="14" borderId="76" xfId="0" applyFont="1" applyFill="1" applyBorder="1" applyAlignment="1">
      <alignment horizontal="center" vertical="center"/>
    </xf>
    <xf numFmtId="165" fontId="19" fillId="14" borderId="77" xfId="0" applyNumberFormat="1" applyFont="1" applyFill="1" applyBorder="1" applyAlignment="1">
      <alignment horizontal="center" vertical="center"/>
    </xf>
    <xf numFmtId="0" fontId="11" fillId="2" borderId="81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/>
    </xf>
    <xf numFmtId="0" fontId="11" fillId="2" borderId="80" xfId="0" applyFont="1" applyFill="1" applyBorder="1" applyAlignment="1">
      <alignment horizontal="center" vertical="center"/>
    </xf>
    <xf numFmtId="0" fontId="11" fillId="16" borderId="100" xfId="0" applyFont="1" applyFill="1" applyBorder="1" applyAlignment="1">
      <alignment horizontal="center" vertical="center"/>
    </xf>
    <xf numFmtId="0" fontId="11" fillId="16" borderId="102" xfId="0" applyFont="1" applyFill="1" applyBorder="1" applyAlignment="1">
      <alignment horizontal="center" vertical="center"/>
    </xf>
    <xf numFmtId="167" fontId="11" fillId="2" borderId="23" xfId="0" applyNumberFormat="1" applyFont="1" applyFill="1" applyBorder="1" applyAlignment="1">
      <alignment horizontal="center" vertical="center"/>
    </xf>
    <xf numFmtId="49" fontId="11" fillId="2" borderId="23" xfId="0" applyNumberFormat="1" applyFont="1" applyFill="1" applyBorder="1" applyAlignment="1">
      <alignment horizontal="center" vertical="center"/>
    </xf>
    <xf numFmtId="0" fontId="19" fillId="14" borderId="68" xfId="0" applyFont="1" applyFill="1" applyBorder="1" applyAlignment="1">
      <alignment horizontal="center" vertical="center"/>
    </xf>
    <xf numFmtId="0" fontId="19" fillId="14" borderId="38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16" borderId="101" xfId="0" applyFont="1" applyFill="1" applyBorder="1" applyAlignment="1">
      <alignment horizontal="center" vertical="center"/>
    </xf>
    <xf numFmtId="0" fontId="11" fillId="16" borderId="10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/>
    <xf numFmtId="0" fontId="2" fillId="13" borderId="5" xfId="0" applyFont="1" applyFill="1" applyBorder="1" applyAlignment="1">
      <alignment horizontal="center"/>
    </xf>
    <xf numFmtId="0" fontId="12" fillId="15" borderId="20" xfId="0" applyFont="1" applyFill="1" applyBorder="1" applyAlignment="1">
      <alignment horizontal="center"/>
    </xf>
    <xf numFmtId="0" fontId="14" fillId="7" borderId="20" xfId="0" applyFont="1" applyFill="1" applyBorder="1" applyAlignment="1">
      <alignment horizontal="center"/>
    </xf>
    <xf numFmtId="0" fontId="15" fillId="6" borderId="104" xfId="0" applyFont="1" applyFill="1" applyBorder="1" applyAlignment="1">
      <alignment horizontal="center"/>
    </xf>
    <xf numFmtId="0" fontId="15" fillId="6" borderId="20" xfId="0" applyFont="1" applyFill="1" applyBorder="1" applyAlignment="1">
      <alignment horizontal="center"/>
    </xf>
    <xf numFmtId="0" fontId="2" fillId="5" borderId="10" xfId="0" applyFont="1" applyFill="1" applyBorder="1"/>
    <xf numFmtId="0" fontId="12" fillId="15" borderId="105" xfId="0" applyFont="1" applyFill="1" applyBorder="1" applyAlignment="1">
      <alignment horizontal="center"/>
    </xf>
    <xf numFmtId="0" fontId="11" fillId="2" borderId="106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3" fontId="11" fillId="2" borderId="22" xfId="0" applyNumberFormat="1" applyFont="1" applyFill="1" applyBorder="1" applyAlignment="1">
      <alignment horizontal="center"/>
    </xf>
    <xf numFmtId="166" fontId="11" fillId="2" borderId="22" xfId="0" applyNumberFormat="1" applyFont="1" applyFill="1" applyBorder="1" applyAlignment="1">
      <alignment horizontal="center"/>
    </xf>
    <xf numFmtId="168" fontId="20" fillId="14" borderId="44" xfId="0" applyNumberFormat="1" applyFont="1" applyFill="1" applyBorder="1" applyAlignment="1">
      <alignment horizontal="center"/>
    </xf>
    <xf numFmtId="4" fontId="19" fillId="14" borderId="44" xfId="0" applyNumberFormat="1" applyFont="1" applyFill="1" applyBorder="1" applyAlignment="1">
      <alignment horizontal="center"/>
    </xf>
    <xf numFmtId="0" fontId="4" fillId="10" borderId="107" xfId="0" applyFont="1" applyFill="1" applyBorder="1" applyAlignment="1">
      <alignment horizontal="center"/>
    </xf>
    <xf numFmtId="0" fontId="4" fillId="10" borderId="108" xfId="0" applyFont="1" applyFill="1" applyBorder="1" applyAlignment="1">
      <alignment horizontal="center"/>
    </xf>
    <xf numFmtId="0" fontId="15" fillId="6" borderId="47" xfId="0" applyFont="1" applyFill="1" applyBorder="1" applyAlignment="1">
      <alignment horizontal="center"/>
    </xf>
    <xf numFmtId="0" fontId="4" fillId="10" borderId="50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166" fontId="11" fillId="2" borderId="73" xfId="0" applyNumberFormat="1" applyFont="1" applyFill="1" applyBorder="1" applyAlignment="1">
      <alignment horizontal="center"/>
    </xf>
    <xf numFmtId="166" fontId="11" fillId="2" borderId="72" xfId="0" applyNumberFormat="1" applyFont="1" applyFill="1" applyBorder="1" applyAlignment="1">
      <alignment horizontal="center"/>
    </xf>
    <xf numFmtId="49" fontId="19" fillId="14" borderId="111" xfId="0" applyNumberFormat="1" applyFont="1" applyFill="1" applyBorder="1" applyAlignment="1">
      <alignment horizontal="center" vertical="center"/>
    </xf>
    <xf numFmtId="0" fontId="12" fillId="15" borderId="19" xfId="0" applyFont="1" applyFill="1" applyBorder="1" applyAlignment="1">
      <alignment horizontal="center"/>
    </xf>
    <xf numFmtId="1" fontId="11" fillId="2" borderId="112" xfId="0" applyNumberFormat="1" applyFont="1" applyFill="1" applyBorder="1" applyAlignment="1">
      <alignment horizontal="center"/>
    </xf>
    <xf numFmtId="49" fontId="19" fillId="14" borderId="42" xfId="0" applyNumberFormat="1" applyFont="1" applyFill="1" applyBorder="1" applyAlignment="1">
      <alignment horizontal="center" vertical="center"/>
    </xf>
    <xf numFmtId="49" fontId="19" fillId="14" borderId="102" xfId="0" applyNumberFormat="1" applyFont="1" applyFill="1" applyBorder="1" applyAlignment="1">
      <alignment horizontal="center" vertical="center"/>
    </xf>
    <xf numFmtId="1" fontId="11" fillId="2" borderId="59" xfId="0" applyNumberFormat="1" applyFont="1" applyFill="1" applyBorder="1" applyAlignment="1">
      <alignment horizontal="center"/>
    </xf>
    <xf numFmtId="1" fontId="11" fillId="2" borderId="23" xfId="0" applyNumberFormat="1" applyFont="1" applyFill="1" applyBorder="1" applyAlignment="1">
      <alignment horizontal="center"/>
    </xf>
    <xf numFmtId="49" fontId="19" fillId="14" borderId="103" xfId="0" applyNumberFormat="1" applyFont="1" applyFill="1" applyBorder="1" applyAlignment="1">
      <alignment horizontal="center" vertical="center"/>
    </xf>
    <xf numFmtId="0" fontId="21" fillId="7" borderId="110" xfId="0" applyFont="1" applyFill="1" applyBorder="1" applyAlignment="1">
      <alignment horizontal="center" vertical="center" wrapText="1"/>
    </xf>
    <xf numFmtId="0" fontId="12" fillId="15" borderId="104" xfId="0" applyFont="1" applyFill="1" applyBorder="1" applyAlignment="1">
      <alignment horizontal="center"/>
    </xf>
    <xf numFmtId="3" fontId="11" fillId="2" borderId="33" xfId="0" applyNumberFormat="1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2" fillId="17" borderId="84" xfId="0" applyFont="1" applyFill="1" applyBorder="1" applyAlignment="1">
      <alignment horizontal="center" vertical="center" wrapText="1"/>
    </xf>
    <xf numFmtId="0" fontId="12" fillId="17" borderId="114" xfId="0" applyFont="1" applyFill="1" applyBorder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  <xf numFmtId="0" fontId="14" fillId="18" borderId="66" xfId="0" applyFont="1" applyFill="1" applyBorder="1" applyAlignment="1">
      <alignment horizontal="center" vertical="center" wrapText="1"/>
    </xf>
    <xf numFmtId="0" fontId="14" fillId="18" borderId="114" xfId="0" applyFont="1" applyFill="1" applyBorder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0" fontId="15" fillId="19" borderId="65" xfId="0" applyFont="1" applyFill="1" applyBorder="1" applyAlignment="1">
      <alignment horizontal="center" vertical="center" wrapText="1"/>
    </xf>
    <xf numFmtId="0" fontId="15" fillId="19" borderId="114" xfId="0" applyFont="1" applyFill="1" applyBorder="1" applyAlignment="1">
      <alignment horizontal="center" vertical="center" wrapText="1"/>
    </xf>
    <xf numFmtId="0" fontId="15" fillId="19" borderId="113" xfId="0" applyFont="1" applyFill="1" applyBorder="1" applyAlignment="1">
      <alignment horizontal="center" vertical="center" wrapText="1"/>
    </xf>
    <xf numFmtId="0" fontId="22" fillId="0" borderId="0" xfId="0" applyFon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1" fillId="16" borderId="0" xfId="0" applyFont="1" applyFill="1" applyAlignment="1">
      <alignment horizontal="center" vertical="center"/>
    </xf>
    <xf numFmtId="0" fontId="0" fillId="0" borderId="115" xfId="0" applyBorder="1"/>
    <xf numFmtId="0" fontId="11" fillId="2" borderId="116" xfId="0" applyFont="1" applyFill="1" applyBorder="1" applyAlignment="1">
      <alignment horizontal="center" vertical="center"/>
    </xf>
    <xf numFmtId="0" fontId="11" fillId="2" borderId="117" xfId="0" applyFont="1" applyFill="1" applyBorder="1" applyAlignment="1">
      <alignment horizontal="center" vertical="center"/>
    </xf>
    <xf numFmtId="166" fontId="0" fillId="0" borderId="115" xfId="0" applyNumberFormat="1" applyBorder="1"/>
    <xf numFmtId="0" fontId="0" fillId="0" borderId="120" xfId="0" applyBorder="1"/>
    <xf numFmtId="0" fontId="11" fillId="2" borderId="121" xfId="0" applyFont="1" applyFill="1" applyBorder="1" applyAlignment="1">
      <alignment horizontal="center"/>
    </xf>
    <xf numFmtId="0" fontId="2" fillId="13" borderId="118" xfId="0" applyFont="1" applyFill="1" applyBorder="1"/>
    <xf numFmtId="0" fontId="2" fillId="13" borderId="119" xfId="0" applyFont="1" applyFill="1" applyBorder="1"/>
    <xf numFmtId="0" fontId="6" fillId="1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122" xfId="0" applyFont="1" applyFill="1" applyBorder="1" applyAlignment="1">
      <alignment vertical="center"/>
    </xf>
    <xf numFmtId="0" fontId="12" fillId="15" borderId="123" xfId="0" applyFont="1" applyFill="1" applyBorder="1" applyAlignment="1">
      <alignment horizontal="center"/>
    </xf>
    <xf numFmtId="3" fontId="11" fillId="20" borderId="121" xfId="0" applyNumberFormat="1" applyFont="1" applyFill="1" applyBorder="1" applyAlignment="1">
      <alignment horizontal="center"/>
    </xf>
    <xf numFmtId="3" fontId="11" fillId="21" borderId="33" xfId="0" applyNumberFormat="1" applyFont="1" applyFill="1" applyBorder="1" applyAlignment="1">
      <alignment horizontal="center"/>
    </xf>
    <xf numFmtId="166" fontId="11" fillId="21" borderId="115" xfId="0" applyNumberFormat="1" applyFont="1" applyFill="1" applyBorder="1" applyAlignment="1">
      <alignment horizontal="center"/>
    </xf>
    <xf numFmtId="0" fontId="11" fillId="21" borderId="115" xfId="0" applyFont="1" applyFill="1" applyBorder="1" applyAlignment="1">
      <alignment horizontal="center"/>
    </xf>
    <xf numFmtId="3" fontId="11" fillId="21" borderId="115" xfId="0" applyNumberFormat="1" applyFont="1" applyFill="1" applyBorder="1" applyAlignment="1">
      <alignment horizontal="center"/>
    </xf>
    <xf numFmtId="0" fontId="11" fillId="21" borderId="115" xfId="0" applyFont="1" applyFill="1" applyBorder="1" applyAlignment="1">
      <alignment horizontal="center" vertical="center"/>
    </xf>
    <xf numFmtId="166" fontId="11" fillId="2" borderId="124" xfId="0" applyNumberFormat="1" applyFont="1" applyFill="1" applyBorder="1" applyAlignment="1">
      <alignment horizontal="center"/>
    </xf>
    <xf numFmtId="0" fontId="11" fillId="2" borderId="124" xfId="0" applyFont="1" applyFill="1" applyBorder="1" applyAlignment="1">
      <alignment horizontal="center"/>
    </xf>
    <xf numFmtId="3" fontId="11" fillId="2" borderId="124" xfId="0" applyNumberFormat="1" applyFont="1" applyFill="1" applyBorder="1" applyAlignment="1">
      <alignment horizontal="center"/>
    </xf>
    <xf numFmtId="3" fontId="11" fillId="2" borderId="125" xfId="0" applyNumberFormat="1" applyFont="1" applyFill="1" applyBorder="1" applyAlignment="1">
      <alignment horizontal="center"/>
    </xf>
    <xf numFmtId="3" fontId="11" fillId="22" borderId="121" xfId="0" applyNumberFormat="1" applyFont="1" applyFill="1" applyBorder="1" applyAlignment="1">
      <alignment horizontal="center"/>
    </xf>
    <xf numFmtId="166" fontId="11" fillId="22" borderId="22" xfId="0" applyNumberFormat="1" applyFont="1" applyFill="1" applyBorder="1" applyAlignment="1">
      <alignment horizontal="center"/>
    </xf>
    <xf numFmtId="0" fontId="11" fillId="22" borderId="22" xfId="0" applyFont="1" applyFill="1" applyBorder="1" applyAlignment="1">
      <alignment horizontal="center"/>
    </xf>
    <xf numFmtId="3" fontId="11" fillId="22" borderId="22" xfId="0" applyNumberFormat="1" applyFont="1" applyFill="1" applyBorder="1" applyAlignment="1">
      <alignment horizontal="center"/>
    </xf>
    <xf numFmtId="3" fontId="11" fillId="22" borderId="33" xfId="0" applyNumberFormat="1" applyFont="1" applyFill="1" applyBorder="1" applyAlignment="1">
      <alignment horizontal="center"/>
    </xf>
    <xf numFmtId="0" fontId="6" fillId="13" borderId="9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2" fillId="4" borderId="109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2" fillId="13" borderId="97" xfId="0" applyFont="1" applyFill="1" applyBorder="1" applyAlignment="1">
      <alignment horizontal="center" vertical="center"/>
    </xf>
    <xf numFmtId="0" fontId="2" fillId="13" borderId="98" xfId="0" applyFont="1" applyFill="1" applyBorder="1" applyAlignment="1">
      <alignment horizontal="center" vertical="center"/>
    </xf>
    <xf numFmtId="0" fontId="2" fillId="13" borderId="99" xfId="0" applyFont="1" applyFill="1" applyBorder="1" applyAlignment="1">
      <alignment horizontal="center" vertical="center"/>
    </xf>
    <xf numFmtId="0" fontId="2" fillId="13" borderId="11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67C3C-BCA9-4211-B511-8094FE5A0A88}" name="Table1" displayName="Table1" ref="A1:K233" totalsRowShown="0">
  <autoFilter ref="A1:K233" xr:uid="{16267C3C-BCA9-4211-B511-8094FE5A0A88}"/>
  <tableColumns count="11">
    <tableColumn id="1" xr3:uid="{AD469B65-FD2B-44C1-9680-681610986243}" name="Product Type"/>
    <tableColumn id="2" xr3:uid="{5F809B8E-BFFB-4F5B-A7EC-DE199A24E3EE}" name="SKU (MMID)"/>
    <tableColumn id="3" xr3:uid="{C74D8499-5500-43FD-B0AE-2E9508BDF2D2}" name="Material Info"/>
    <tableColumn id="4" xr3:uid="{CEDF6D0E-0505-4BEA-827A-016B2CE6A245}" name="Height (Depth)"/>
    <tableColumn id="5" xr3:uid="{8ACC3373-2AFA-4D18-A723-75390FA888BC}" name="Breadth (Width)"/>
    <tableColumn id="6" xr3:uid="{1EC60C6B-47AD-464E-B4AC-A58025D2C7F4}" name="Thickness"/>
    <tableColumn id="7" xr3:uid="{23BB827A-992C-4557-82E5-AF9E6DD3D07D}" name="Length"/>
    <tableColumn id="8" xr3:uid="{B32C9CA2-8E1E-443D-A923-80AA8233B293}" name="Nominal Bore"/>
    <tableColumn id="9" xr3:uid="{6A9E154F-AE6D-40B6-BFA4-0C71B6FBE0D1}" name="Outside Diameter"/>
    <tableColumn id="10" xr3:uid="{184C2B20-4741-4A36-B0DE-DB8CACFF46A0}" name="HSN"/>
    <tableColumn id="11" xr3:uid="{7F4DD3DD-FB08-48FA-BE30-1A2AC391F967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901D57-676C-4104-B703-ECBDC80D40C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497f26e-49c0-4dcc-af61-7f2a4a8fb2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jsw-my.sharepoint.com/:w:/g/personal/debdeep_paul_jsw_in/IQB3NUGchcBGQYCYNEFVzrnwAdrb4B4_Gq8WeDlyB7VVKaY?e=P342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showGridLines="0" workbookViewId="0">
      <pane ySplit="2" topLeftCell="A3" activePane="bottomLeft" state="frozen"/>
      <selection pane="bottomLeft" activeCell="C6" sqref="C6"/>
    </sheetView>
  </sheetViews>
  <sheetFormatPr defaultRowHeight="15" outlineLevelCol="1"/>
  <cols>
    <col min="1" max="1" width="19" customWidth="1"/>
    <col min="2" max="2" width="15.28515625" customWidth="1"/>
    <col min="3" max="3" width="33.28515625" customWidth="1"/>
    <col min="4" max="4" width="27.5703125" customWidth="1"/>
    <col min="5" max="6" width="16.140625" customWidth="1"/>
    <col min="7" max="7" width="17.140625" customWidth="1"/>
    <col min="8" max="8" width="15.28515625" customWidth="1"/>
    <col min="9" max="9" width="14.28515625" customWidth="1"/>
    <col min="10" max="11" width="15.28515625" customWidth="1"/>
    <col min="12" max="12" width="17.140625" customWidth="1"/>
    <col min="13" max="13" width="15.28515625" customWidth="1"/>
    <col min="14" max="14" width="16.140625" customWidth="1"/>
    <col min="15" max="15" width="21" customWidth="1"/>
    <col min="16" max="16" width="24.7109375" customWidth="1"/>
    <col min="17" max="17" width="12.42578125" customWidth="1"/>
    <col min="18" max="18" width="10.42578125" customWidth="1"/>
    <col min="19" max="19" width="12.42578125" customWidth="1"/>
    <col min="20" max="20" width="15.28515625" customWidth="1"/>
    <col min="21" max="21" width="22.85546875" customWidth="1" outlineLevel="1"/>
    <col min="22" max="22" width="26.7109375" customWidth="1" outlineLevel="1"/>
    <col min="23" max="23" width="21" customWidth="1" outlineLevel="1"/>
  </cols>
  <sheetData>
    <row r="1" spans="1:23" ht="27.75" customHeight="1">
      <c r="A1" s="191" t="s">
        <v>0</v>
      </c>
      <c r="B1" s="208"/>
      <c r="C1" s="270" t="s">
        <v>1</v>
      </c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7" t="s">
        <v>2</v>
      </c>
      <c r="O1" s="268"/>
      <c r="P1" s="269"/>
      <c r="Q1" s="264" t="s">
        <v>3</v>
      </c>
      <c r="R1" s="265"/>
      <c r="S1" s="265"/>
      <c r="T1" s="266"/>
      <c r="U1" s="4" t="s">
        <v>4</v>
      </c>
      <c r="V1" s="172"/>
      <c r="W1" s="173"/>
    </row>
    <row r="2" spans="1:23" ht="36" customHeight="1">
      <c r="A2" s="197" t="s">
        <v>5</v>
      </c>
      <c r="B2" s="212" t="s">
        <v>6</v>
      </c>
      <c r="C2" s="219" t="s">
        <v>7</v>
      </c>
      <c r="D2" s="26" t="s">
        <v>8</v>
      </c>
      <c r="E2" s="26" t="s">
        <v>9</v>
      </c>
      <c r="F2" s="26" t="s">
        <v>10</v>
      </c>
      <c r="G2" s="26" t="s">
        <v>11</v>
      </c>
      <c r="H2" s="26" t="s">
        <v>12</v>
      </c>
      <c r="I2" s="26" t="s">
        <v>13</v>
      </c>
      <c r="J2" s="26" t="s">
        <v>14</v>
      </c>
      <c r="K2" s="26" t="s">
        <v>15</v>
      </c>
      <c r="L2" s="26" t="s">
        <v>16</v>
      </c>
      <c r="M2" s="26" t="s">
        <v>17</v>
      </c>
      <c r="N2" s="41" t="s">
        <v>18</v>
      </c>
      <c r="O2" s="46" t="s">
        <v>19</v>
      </c>
      <c r="P2" s="53" t="s">
        <v>20</v>
      </c>
      <c r="Q2" s="107" t="s">
        <v>21</v>
      </c>
      <c r="R2" s="38" t="s">
        <v>22</v>
      </c>
      <c r="S2" s="38" t="s">
        <v>23</v>
      </c>
      <c r="T2" s="108" t="s">
        <v>24</v>
      </c>
      <c r="U2" s="112" t="s">
        <v>25</v>
      </c>
      <c r="V2" s="113" t="s">
        <v>26</v>
      </c>
      <c r="W2" s="114" t="s">
        <v>27</v>
      </c>
    </row>
    <row r="3" spans="1:23">
      <c r="A3" s="209">
        <v>46108</v>
      </c>
      <c r="B3" s="213">
        <v>1</v>
      </c>
      <c r="C3" s="211" t="str">
        <f>IF(OR(A3="",B3=""),"","HYD-"&amp;TEXT(A3,"MMYY")&amp;"-"&amp;TEXT(B3,"00"))</f>
        <v>HYD-0326-01</v>
      </c>
      <c r="D3" s="130" t="s">
        <v>28</v>
      </c>
      <c r="E3" s="130" t="s">
        <v>29</v>
      </c>
      <c r="F3" s="130" t="s">
        <v>30</v>
      </c>
      <c r="G3" s="131">
        <v>2.8</v>
      </c>
      <c r="H3" s="131"/>
      <c r="I3" s="132">
        <v>1250</v>
      </c>
      <c r="J3" s="133">
        <v>20.63</v>
      </c>
      <c r="K3" s="133"/>
      <c r="L3" s="134"/>
      <c r="M3" s="135"/>
      <c r="N3" s="138"/>
      <c r="O3" s="139"/>
      <c r="P3" s="140"/>
      <c r="Q3" s="141"/>
      <c r="R3" s="30"/>
      <c r="S3" s="30"/>
      <c r="T3" s="31"/>
      <c r="U3" s="142">
        <f>IF(C3="","",SUMIF('Coil to Slit'!B:B,C3,'Coil to Slit'!G:G))</f>
        <v>1243</v>
      </c>
      <c r="V3" s="63" t="str">
        <f>IF(U3="","",IF(I3="","⚠ NO PARENT WIDTH",IF(U3&gt;I3,"⚠ EXCEEDS PARENT","✔ OK")))</f>
        <v>✔ OK</v>
      </c>
      <c r="W3" s="77" t="str">
        <f>IF(C3="","",IF(COUNTIF(C$3:C3,C3)&gt;1,"⚠ DUPLICATE ID",""))</f>
        <v/>
      </c>
    </row>
    <row r="4" spans="1:23">
      <c r="A4" s="209">
        <v>46108</v>
      </c>
      <c r="B4" s="213">
        <v>2</v>
      </c>
      <c r="C4" s="211" t="str">
        <f>IF(OR(A4="",B4=""),"","HYD-"&amp;TEXT(A4,"MMYY")&amp;"-"&amp;TEXT(B4,"00"))</f>
        <v>HYD-0326-02</v>
      </c>
      <c r="D4" s="130" t="s">
        <v>31</v>
      </c>
      <c r="E4" s="130" t="s">
        <v>29</v>
      </c>
      <c r="F4" s="130" t="s">
        <v>32</v>
      </c>
      <c r="G4" s="131">
        <v>2.8</v>
      </c>
      <c r="H4" s="131"/>
      <c r="I4" s="132">
        <v>1250</v>
      </c>
      <c r="J4" s="133">
        <v>20.93</v>
      </c>
      <c r="K4" s="133"/>
      <c r="L4" s="134"/>
      <c r="M4" s="135"/>
      <c r="N4" s="138"/>
      <c r="O4" s="139"/>
      <c r="P4" s="140"/>
      <c r="Q4" s="141"/>
      <c r="R4" s="30"/>
      <c r="S4" s="30"/>
      <c r="T4" s="31"/>
      <c r="U4" s="143">
        <f>IF(C4="","",SUMIF('Coil to Slit'!B:B,C4,'Coil to Slit'!G:G))</f>
        <v>1243</v>
      </c>
      <c r="V4" s="67" t="str">
        <f>IF(U4="","",IF(I4="","⚠ NO PARENT WIDTH",IF(U4&gt;I4,"⚠ EXCEEDS PARENT","✔ OK")))</f>
        <v>✔ OK</v>
      </c>
      <c r="W4" s="78" t="str">
        <f>IF(C4="","",IF(COUNTIF(C$3:C4,C4)&gt;1,"⚠ DUPLICATE ID",""))</f>
        <v/>
      </c>
    </row>
    <row r="5" spans="1:23">
      <c r="A5" s="209">
        <v>46109</v>
      </c>
      <c r="B5" s="213">
        <v>3</v>
      </c>
      <c r="C5" s="214" t="str">
        <f>IF(OR(A5="",B5=""),"","HYD-"&amp;TEXT(A5,"MMYY")&amp;"-"&amp;TEXT(B5,"00"))</f>
        <v>HYD-0326-03</v>
      </c>
      <c r="D5" s="31" t="s">
        <v>33</v>
      </c>
      <c r="E5" s="31" t="s">
        <v>34</v>
      </c>
      <c r="F5" s="31" t="s">
        <v>35</v>
      </c>
      <c r="G5" s="125">
        <v>2.5</v>
      </c>
      <c r="H5" s="125"/>
      <c r="I5" s="126">
        <v>1500</v>
      </c>
      <c r="J5" s="127">
        <v>29.29</v>
      </c>
      <c r="K5" s="127"/>
      <c r="L5" s="128"/>
      <c r="M5" s="129"/>
      <c r="N5" s="136"/>
      <c r="O5" s="137"/>
      <c r="P5" s="102"/>
      <c r="Q5" s="141"/>
      <c r="R5" s="30"/>
      <c r="S5" s="30"/>
      <c r="T5" s="31"/>
      <c r="U5" s="143">
        <f>IF(C5="","",SUMIF('Coil to Slit'!B:B,C5,'Coil to Slit'!G:G))</f>
        <v>1504</v>
      </c>
      <c r="V5" s="67" t="str">
        <f>IF(U5="","",IF(I5="","⚠ NO PARENT WIDTH",IF(U5&gt;I5,"⚠ EXCEEDS PARENT","✔ OK")))</f>
        <v>⚠ EXCEEDS PARENT</v>
      </c>
      <c r="W5" s="78" t="str">
        <f>IF(C5="","",IF(COUNTIF(C$3:C5,C5)&gt;1,"⚠ DUPLICATE ID",""))</f>
        <v/>
      </c>
    </row>
    <row r="6" spans="1:23">
      <c r="A6" s="209">
        <v>46110</v>
      </c>
      <c r="B6" s="213">
        <v>4</v>
      </c>
      <c r="C6" s="214" t="str">
        <f>IF(OR(A6="",B6=""),"","HYD-"&amp;TEXT(A6,"MMYY")&amp;"-"&amp;TEXT(B6,"00"))</f>
        <v>HYD-0326-04</v>
      </c>
      <c r="D6" s="31">
        <v>257334077</v>
      </c>
      <c r="E6" s="31" t="s">
        <v>36</v>
      </c>
      <c r="F6" s="31" t="s">
        <v>37</v>
      </c>
      <c r="G6" s="125">
        <v>2.2000000000000002</v>
      </c>
      <c r="H6" s="125"/>
      <c r="I6" s="126">
        <v>1250</v>
      </c>
      <c r="J6" s="127">
        <v>28.46</v>
      </c>
      <c r="K6" s="127"/>
      <c r="L6" s="128"/>
      <c r="M6" s="129"/>
      <c r="N6" s="174"/>
      <c r="O6" s="175"/>
      <c r="P6" s="176"/>
      <c r="Q6" s="177"/>
      <c r="R6" s="178"/>
      <c r="S6" s="178"/>
      <c r="T6" s="179"/>
      <c r="U6" s="143">
        <f>IF(C6="","",SUMIF('Coil to Slit'!B:B,C6,'Coil to Slit'!G:G))</f>
        <v>1251</v>
      </c>
      <c r="V6" s="67" t="str">
        <f t="shared" ref="V6:V69" si="0">IF(U6="","",IF(I6="","⚠ NO PARENT WIDTH",IF(U6&gt;I6,"⚠ EXCEEDS PARENT","✔ OK")))</f>
        <v>⚠ EXCEEDS PARENT</v>
      </c>
      <c r="W6" s="78" t="str">
        <f>IF(C6="","",IF(COUNTIF(C$3:C6,C6)&gt;1,"⚠ DUPLICATE ID",""))</f>
        <v/>
      </c>
    </row>
    <row r="7" spans="1:23">
      <c r="A7" s="209">
        <v>46115</v>
      </c>
      <c r="B7" s="216">
        <v>5</v>
      </c>
      <c r="C7" s="215" t="str">
        <f>IF(OR(A7="",B7=""),"","HYD-"&amp;TEXT(A7,"MMYY")&amp;"-"&amp;TEXT(B7,"00"))</f>
        <v>HYD-0426-05</v>
      </c>
      <c r="D7" s="180">
        <v>26210917</v>
      </c>
      <c r="E7" s="180" t="s">
        <v>38</v>
      </c>
      <c r="F7" s="181" t="s">
        <v>39</v>
      </c>
      <c r="G7" s="181">
        <v>2</v>
      </c>
      <c r="H7" s="181" t="s">
        <v>40</v>
      </c>
      <c r="I7" s="181">
        <v>1260</v>
      </c>
      <c r="J7" s="181">
        <v>19.815000000000001</v>
      </c>
      <c r="K7" s="236">
        <v>19.815000000000001</v>
      </c>
      <c r="L7" s="182" t="s">
        <v>41</v>
      </c>
      <c r="M7" s="183" t="s">
        <v>42</v>
      </c>
      <c r="N7" s="184"/>
      <c r="O7" s="185"/>
      <c r="P7" s="102"/>
      <c r="Q7" s="186"/>
      <c r="R7" s="30"/>
      <c r="S7" s="30"/>
      <c r="T7" s="31"/>
      <c r="U7" s="143">
        <f>IF(C7="","",SUMIF('Coil to Slit'!B:B,C7,'Coil to Slit'!G:G))</f>
        <v>1259</v>
      </c>
      <c r="V7" s="67" t="str">
        <f t="shared" si="0"/>
        <v>✔ OK</v>
      </c>
      <c r="W7" s="78" t="str">
        <f>IF(C7="","",IF(COUNTIF(C$3:C7,C7)&gt;1,"⚠ DUPLICATE ID",""))</f>
        <v/>
      </c>
    </row>
    <row r="8" spans="1:23">
      <c r="A8" s="209">
        <v>46115</v>
      </c>
      <c r="B8" s="216">
        <v>6</v>
      </c>
      <c r="C8" s="218" t="str">
        <f>IF(OR(A8="",B8=""),"","HYD-"&amp;TEXT(A8,"MMYY")&amp;"-"&amp;TEXT(B8,"00"))</f>
        <v>HYD-0426-06</v>
      </c>
      <c r="D8" s="187">
        <v>26242114</v>
      </c>
      <c r="E8" s="187" t="s">
        <v>38</v>
      </c>
      <c r="F8" s="188" t="s">
        <v>43</v>
      </c>
      <c r="G8" s="188">
        <v>2</v>
      </c>
      <c r="H8" s="188" t="s">
        <v>40</v>
      </c>
      <c r="I8" s="188">
        <v>1264</v>
      </c>
      <c r="J8" s="188">
        <v>22.13</v>
      </c>
      <c r="K8" s="236">
        <v>22.13</v>
      </c>
      <c r="L8" s="182" t="s">
        <v>44</v>
      </c>
      <c r="M8" s="183" t="s">
        <v>42</v>
      </c>
      <c r="N8" s="184"/>
      <c r="O8" s="185"/>
      <c r="P8" s="102"/>
      <c r="Q8" s="186"/>
      <c r="R8" s="30"/>
      <c r="S8" s="30"/>
      <c r="T8" s="31"/>
      <c r="U8" s="143">
        <f>IF(C8="","",SUMIF('Coil to Slit'!B:B,C8,'Coil to Slit'!G:G))</f>
        <v>1259</v>
      </c>
      <c r="V8" s="67" t="str">
        <f t="shared" si="0"/>
        <v>✔ OK</v>
      </c>
      <c r="W8" s="78" t="str">
        <f>IF(C8="","",IF(COUNTIF(C$3:C8,C8)&gt;1,"⚠ DUPLICATE ID",""))</f>
        <v/>
      </c>
    </row>
    <row r="9" spans="1:23">
      <c r="A9" s="210">
        <v>46115</v>
      </c>
      <c r="B9" s="217">
        <v>7</v>
      </c>
      <c r="C9" s="218" t="str">
        <f>IF(OR(A9="",B9=""),"","HYD-"&amp;TEXT(A9,"MMYY")&amp;"-"&amp;TEXT(B9,"00"))</f>
        <v>HYD-0426-07</v>
      </c>
      <c r="D9" s="187">
        <v>26004175</v>
      </c>
      <c r="E9" s="187" t="s">
        <v>38</v>
      </c>
      <c r="F9" s="188" t="s">
        <v>45</v>
      </c>
      <c r="G9" s="188">
        <v>2</v>
      </c>
      <c r="H9" s="188" t="s">
        <v>40</v>
      </c>
      <c r="I9" s="188">
        <v>930</v>
      </c>
      <c r="J9" s="188">
        <v>14.08</v>
      </c>
      <c r="K9" s="236">
        <v>14.08</v>
      </c>
      <c r="L9" s="182" t="s">
        <v>46</v>
      </c>
      <c r="M9" s="183" t="s">
        <v>42</v>
      </c>
      <c r="N9" s="184"/>
      <c r="O9" s="185"/>
      <c r="P9" s="102"/>
      <c r="Q9" s="186"/>
      <c r="R9" s="30"/>
      <c r="S9" s="30"/>
      <c r="T9" s="31"/>
      <c r="U9" s="143">
        <f>IF(C9="","",SUMIF('Coil to Slit'!B:B,C9,'Coil to Slit'!G:G))</f>
        <v>922</v>
      </c>
      <c r="V9" s="67" t="str">
        <f t="shared" si="0"/>
        <v>✔ OK</v>
      </c>
      <c r="W9" s="78" t="str">
        <f>IF(C9="","",IF(COUNTIF(C$3:C9,C9)&gt;1,"⚠ DUPLICATE ID",""))</f>
        <v/>
      </c>
    </row>
    <row r="10" spans="1:23">
      <c r="C10" s="101" t="str">
        <f>IF(OR(A10="",B10=""),"","HYD-"&amp;TEXT(A10,"MMYY")&amp;"-"&amp;TEXT(B10,"00"))</f>
        <v/>
      </c>
      <c r="D10" s="32"/>
      <c r="E10" s="32"/>
      <c r="F10" s="32"/>
      <c r="G10" s="91"/>
      <c r="H10" s="91"/>
      <c r="I10" s="115"/>
      <c r="J10" s="92"/>
      <c r="K10" s="92"/>
      <c r="L10" s="93"/>
      <c r="M10" s="94"/>
      <c r="N10" s="117"/>
      <c r="O10" s="103"/>
      <c r="P10" s="104"/>
      <c r="Q10" s="110"/>
      <c r="R10" s="32"/>
      <c r="S10" s="32"/>
      <c r="T10" s="39"/>
      <c r="U10" s="143" t="str">
        <f>IF(C10="","",SUMIF('Coil to Slit'!B:B,C10,'Coil to Slit'!G:G))</f>
        <v/>
      </c>
      <c r="V10" s="67" t="str">
        <f t="shared" si="0"/>
        <v/>
      </c>
      <c r="W10" s="78" t="str">
        <f>IF(C10="","",IF(COUNTIF(C$3:C10,C10)&gt;1,"⚠ DUPLICATE ID",""))</f>
        <v/>
      </c>
    </row>
    <row r="11" spans="1:23">
      <c r="C11" s="101" t="str">
        <f t="shared" ref="C11:C74" si="1">IF(OR(A11="",B11=""),"","HYD-"&amp;TEXT(A11,"MMYY")&amp;"-"&amp;TEXT(B11,"00"))</f>
        <v/>
      </c>
      <c r="D11" s="32"/>
      <c r="E11" s="32"/>
      <c r="F11" s="32"/>
      <c r="G11" s="91"/>
      <c r="H11" s="91"/>
      <c r="I11" s="115"/>
      <c r="J11" s="92"/>
      <c r="K11" s="92"/>
      <c r="L11" s="93"/>
      <c r="M11" s="94"/>
      <c r="N11" s="117"/>
      <c r="O11" s="103"/>
      <c r="P11" s="104"/>
      <c r="Q11" s="110"/>
      <c r="R11" s="32"/>
      <c r="S11" s="32"/>
      <c r="T11" s="39"/>
      <c r="U11" s="143" t="str">
        <f>IF(C11="","",SUMIF('Coil to Slit'!B:B,C11,'Coil to Slit'!G:G))</f>
        <v/>
      </c>
      <c r="V11" s="67" t="str">
        <f t="shared" si="0"/>
        <v/>
      </c>
      <c r="W11" s="78" t="str">
        <f>IF(C11="","",IF(COUNTIF(C$3:C11,C11)&gt;1,"⚠ DUPLICATE ID",""))</f>
        <v/>
      </c>
    </row>
    <row r="12" spans="1:23">
      <c r="C12" s="101" t="str">
        <f t="shared" si="1"/>
        <v/>
      </c>
      <c r="D12" s="32"/>
      <c r="E12" s="32"/>
      <c r="F12" s="32"/>
      <c r="G12" s="91"/>
      <c r="H12" s="91"/>
      <c r="I12" s="115"/>
      <c r="J12" s="92"/>
      <c r="K12" s="92"/>
      <c r="L12" s="93"/>
      <c r="M12" s="94"/>
      <c r="N12" s="117"/>
      <c r="O12" s="103"/>
      <c r="P12" s="104"/>
      <c r="Q12" s="110"/>
      <c r="R12" s="32"/>
      <c r="S12" s="32"/>
      <c r="T12" s="39"/>
      <c r="U12" s="143" t="str">
        <f>IF(C12="","",SUMIF('Coil to Slit'!B:B,C12,'Coil to Slit'!G:G))</f>
        <v/>
      </c>
      <c r="V12" s="67" t="str">
        <f t="shared" si="0"/>
        <v/>
      </c>
      <c r="W12" s="78" t="str">
        <f>IF(C12="","",IF(COUNTIF(C$3:C12,C12)&gt;1,"⚠ DUPLICATE ID",""))</f>
        <v/>
      </c>
    </row>
    <row r="13" spans="1:23">
      <c r="C13" s="101" t="str">
        <f t="shared" si="1"/>
        <v/>
      </c>
      <c r="D13" s="32"/>
      <c r="E13" s="32"/>
      <c r="F13" s="32"/>
      <c r="G13" s="91"/>
      <c r="H13" s="91"/>
      <c r="I13" s="115"/>
      <c r="J13" s="92"/>
      <c r="K13" s="92"/>
      <c r="L13" s="93"/>
      <c r="M13" s="94"/>
      <c r="N13" s="117"/>
      <c r="O13" s="103"/>
      <c r="P13" s="104"/>
      <c r="Q13" s="110"/>
      <c r="R13" s="32"/>
      <c r="S13" s="32"/>
      <c r="T13" s="39"/>
      <c r="U13" s="143" t="str">
        <f>IF(C13="","",SUMIF('Coil to Slit'!B:B,C13,'Coil to Slit'!G:G))</f>
        <v/>
      </c>
      <c r="V13" s="67" t="str">
        <f t="shared" si="0"/>
        <v/>
      </c>
      <c r="W13" s="78" t="str">
        <f>IF(C13="","",IF(COUNTIF(C$3:C13,C13)&gt;1,"⚠ DUPLICATE ID",""))</f>
        <v/>
      </c>
    </row>
    <row r="14" spans="1:23">
      <c r="C14" s="101" t="str">
        <f t="shared" si="1"/>
        <v/>
      </c>
      <c r="D14" s="32"/>
      <c r="E14" s="32"/>
      <c r="F14" s="32"/>
      <c r="G14" s="91"/>
      <c r="H14" s="91"/>
      <c r="I14" s="115"/>
      <c r="J14" s="92"/>
      <c r="K14" s="92"/>
      <c r="L14" s="93"/>
      <c r="M14" s="94"/>
      <c r="N14" s="117"/>
      <c r="O14" s="103"/>
      <c r="P14" s="104"/>
      <c r="Q14" s="110"/>
      <c r="R14" s="32"/>
      <c r="S14" s="32"/>
      <c r="T14" s="39"/>
      <c r="U14" s="143" t="str">
        <f>IF(C14="","",SUMIF('Coil to Slit'!B:B,C14,'Coil to Slit'!G:G))</f>
        <v/>
      </c>
      <c r="V14" s="67" t="str">
        <f t="shared" si="0"/>
        <v/>
      </c>
      <c r="W14" s="78" t="str">
        <f>IF(C14="","",IF(COUNTIF(C$3:C14,C14)&gt;1,"⚠ DUPLICATE ID",""))</f>
        <v/>
      </c>
    </row>
    <row r="15" spans="1:23">
      <c r="C15" s="101" t="str">
        <f t="shared" si="1"/>
        <v/>
      </c>
      <c r="D15" s="32"/>
      <c r="E15" s="32"/>
      <c r="F15" s="32"/>
      <c r="G15" s="91"/>
      <c r="H15" s="91"/>
      <c r="I15" s="115"/>
      <c r="J15" s="92"/>
      <c r="K15" s="92"/>
      <c r="L15" s="93"/>
      <c r="M15" s="94"/>
      <c r="N15" s="117"/>
      <c r="O15" s="103"/>
      <c r="P15" s="104"/>
      <c r="Q15" s="110"/>
      <c r="R15" s="32"/>
      <c r="S15" s="32"/>
      <c r="T15" s="39"/>
      <c r="U15" s="143" t="str">
        <f>IF(C15="","",SUMIF('Coil to Slit'!B:B,C15,'Coil to Slit'!G:G))</f>
        <v/>
      </c>
      <c r="V15" s="67" t="str">
        <f t="shared" si="0"/>
        <v/>
      </c>
      <c r="W15" s="78" t="str">
        <f>IF(C15="","",IF(COUNTIF(C$3:C15,C15)&gt;1,"⚠ DUPLICATE ID",""))</f>
        <v/>
      </c>
    </row>
    <row r="16" spans="1:23">
      <c r="C16" s="101" t="str">
        <f t="shared" si="1"/>
        <v/>
      </c>
      <c r="D16" s="32"/>
      <c r="E16" s="32"/>
      <c r="F16" s="32"/>
      <c r="G16" s="91"/>
      <c r="H16" s="91"/>
      <c r="I16" s="115"/>
      <c r="J16" s="92"/>
      <c r="K16" s="92"/>
      <c r="L16" s="93"/>
      <c r="M16" s="94"/>
      <c r="N16" s="117"/>
      <c r="O16" s="103"/>
      <c r="P16" s="104"/>
      <c r="Q16" s="110"/>
      <c r="R16" s="32"/>
      <c r="S16" s="32"/>
      <c r="T16" s="39"/>
      <c r="U16" s="143" t="str">
        <f>IF(C16="","",SUMIF('Coil to Slit'!B:B,C16,'Coil to Slit'!G:G))</f>
        <v/>
      </c>
      <c r="V16" s="67" t="str">
        <f t="shared" si="0"/>
        <v/>
      </c>
      <c r="W16" s="78" t="str">
        <f>IF(C16="","",IF(COUNTIF(C$3:C16,C16)&gt;1,"⚠ DUPLICATE ID",""))</f>
        <v/>
      </c>
    </row>
    <row r="17" spans="3:23">
      <c r="C17" s="101" t="str">
        <f t="shared" si="1"/>
        <v/>
      </c>
      <c r="D17" s="32"/>
      <c r="E17" s="32"/>
      <c r="F17" s="32"/>
      <c r="G17" s="91"/>
      <c r="H17" s="91"/>
      <c r="I17" s="115"/>
      <c r="J17" s="92"/>
      <c r="K17" s="92"/>
      <c r="L17" s="93"/>
      <c r="M17" s="94"/>
      <c r="N17" s="117"/>
      <c r="O17" s="103"/>
      <c r="P17" s="104"/>
      <c r="Q17" s="110"/>
      <c r="R17" s="32"/>
      <c r="S17" s="32"/>
      <c r="T17" s="39"/>
      <c r="U17" s="143" t="str">
        <f>IF(C17="","",SUMIF('Coil to Slit'!B:B,C17,'Coil to Slit'!G:G))</f>
        <v/>
      </c>
      <c r="V17" s="67" t="str">
        <f t="shared" si="0"/>
        <v/>
      </c>
      <c r="W17" s="78" t="str">
        <f>IF(C17="","",IF(COUNTIF(C$3:C17,C17)&gt;1,"⚠ DUPLICATE ID",""))</f>
        <v/>
      </c>
    </row>
    <row r="18" spans="3:23">
      <c r="C18" s="101" t="str">
        <f t="shared" si="1"/>
        <v/>
      </c>
      <c r="D18" s="32"/>
      <c r="E18" s="32"/>
      <c r="F18" s="32"/>
      <c r="G18" s="91"/>
      <c r="H18" s="91"/>
      <c r="I18" s="115"/>
      <c r="J18" s="92"/>
      <c r="K18" s="92"/>
      <c r="L18" s="93"/>
      <c r="M18" s="94"/>
      <c r="N18" s="117"/>
      <c r="O18" s="103"/>
      <c r="P18" s="104"/>
      <c r="Q18" s="110"/>
      <c r="R18" s="32"/>
      <c r="S18" s="32"/>
      <c r="T18" s="39"/>
      <c r="U18" s="143" t="str">
        <f>IF(C18="","",SUMIF('Coil to Slit'!B:B,C18,'Coil to Slit'!G:G))</f>
        <v/>
      </c>
      <c r="V18" s="67" t="str">
        <f t="shared" si="0"/>
        <v/>
      </c>
      <c r="W18" s="78" t="str">
        <f>IF(C18="","",IF(COUNTIF(C$3:C18,C18)&gt;1,"⚠ DUPLICATE ID",""))</f>
        <v/>
      </c>
    </row>
    <row r="19" spans="3:23">
      <c r="C19" s="101" t="str">
        <f t="shared" si="1"/>
        <v/>
      </c>
      <c r="D19" s="32"/>
      <c r="E19" s="32"/>
      <c r="F19" s="32"/>
      <c r="G19" s="91"/>
      <c r="H19" s="91"/>
      <c r="I19" s="115"/>
      <c r="J19" s="92"/>
      <c r="K19" s="92"/>
      <c r="L19" s="93"/>
      <c r="M19" s="94"/>
      <c r="N19" s="117"/>
      <c r="O19" s="103"/>
      <c r="P19" s="104"/>
      <c r="Q19" s="110"/>
      <c r="R19" s="32"/>
      <c r="S19" s="32"/>
      <c r="T19" s="39"/>
      <c r="U19" s="143" t="str">
        <f>IF(C19="","",SUMIF('Coil to Slit'!B:B,C19,'Coil to Slit'!G:G))</f>
        <v/>
      </c>
      <c r="V19" s="67" t="str">
        <f t="shared" si="0"/>
        <v/>
      </c>
      <c r="W19" s="78" t="str">
        <f>IF(C19="","",IF(COUNTIF(C$3:C19,C19)&gt;1,"⚠ DUPLICATE ID",""))</f>
        <v/>
      </c>
    </row>
    <row r="20" spans="3:23">
      <c r="C20" s="101" t="str">
        <f t="shared" si="1"/>
        <v/>
      </c>
      <c r="D20" s="32"/>
      <c r="E20" s="32"/>
      <c r="F20" s="32"/>
      <c r="G20" s="91"/>
      <c r="H20" s="91"/>
      <c r="I20" s="115"/>
      <c r="J20" s="92"/>
      <c r="K20" s="92"/>
      <c r="L20" s="93"/>
      <c r="M20" s="94"/>
      <c r="N20" s="117"/>
      <c r="O20" s="103"/>
      <c r="P20" s="104"/>
      <c r="Q20" s="110"/>
      <c r="R20" s="32"/>
      <c r="S20" s="32"/>
      <c r="T20" s="39"/>
      <c r="U20" s="143" t="str">
        <f>IF(C20="","",SUMIF('Coil to Slit'!B:B,C20,'Coil to Slit'!G:G))</f>
        <v/>
      </c>
      <c r="V20" s="67" t="str">
        <f t="shared" si="0"/>
        <v/>
      </c>
      <c r="W20" s="78" t="str">
        <f>IF(C20="","",IF(COUNTIF(C$3:C20,C20)&gt;1,"⚠ DUPLICATE ID",""))</f>
        <v/>
      </c>
    </row>
    <row r="21" spans="3:23">
      <c r="C21" s="101" t="str">
        <f t="shared" si="1"/>
        <v/>
      </c>
      <c r="D21" s="119"/>
      <c r="E21" s="119"/>
      <c r="F21" s="119"/>
      <c r="G21" s="120"/>
      <c r="H21" s="120"/>
      <c r="I21" s="121"/>
      <c r="J21" s="122"/>
      <c r="K21" s="122"/>
      <c r="L21" s="123"/>
      <c r="M21" s="124"/>
      <c r="N21" s="117"/>
      <c r="O21" s="103"/>
      <c r="P21" s="104"/>
      <c r="Q21" s="110"/>
      <c r="R21" s="32"/>
      <c r="S21" s="32"/>
      <c r="T21" s="39"/>
      <c r="U21" s="143" t="str">
        <f>IF(C21="","",SUMIF('Coil to Slit'!B:B,C21,'Coil to Slit'!G:G))</f>
        <v/>
      </c>
      <c r="V21" s="67" t="str">
        <f t="shared" si="0"/>
        <v/>
      </c>
      <c r="W21" s="78" t="str">
        <f>IF(C21="","",IF(COUNTIF(C$3:C21,C21)&gt;1,"⚠ DUPLICATE ID",""))</f>
        <v/>
      </c>
    </row>
    <row r="22" spans="3:23">
      <c r="C22" s="101" t="str">
        <f t="shared" si="1"/>
        <v/>
      </c>
      <c r="D22" s="32"/>
      <c r="E22" s="32"/>
      <c r="F22" s="32"/>
      <c r="G22" s="91"/>
      <c r="H22" s="91"/>
      <c r="I22" s="115"/>
      <c r="J22" s="92"/>
      <c r="K22" s="92"/>
      <c r="L22" s="93"/>
      <c r="M22" s="94"/>
      <c r="N22" s="117"/>
      <c r="O22" s="103"/>
      <c r="P22" s="104"/>
      <c r="Q22" s="110"/>
      <c r="R22" s="32"/>
      <c r="S22" s="32"/>
      <c r="T22" s="39"/>
      <c r="U22" s="143" t="str">
        <f>IF(C22="","",SUMIF('Coil to Slit'!B:B,C22,'Coil to Slit'!G:G))</f>
        <v/>
      </c>
      <c r="V22" s="67" t="str">
        <f t="shared" si="0"/>
        <v/>
      </c>
      <c r="W22" s="78" t="str">
        <f>IF(C22="","",IF(COUNTIF(C$3:C22,C22)&gt;1,"⚠ DUPLICATE ID",""))</f>
        <v/>
      </c>
    </row>
    <row r="23" spans="3:23">
      <c r="C23" s="101" t="str">
        <f t="shared" si="1"/>
        <v/>
      </c>
      <c r="D23" s="32"/>
      <c r="E23" s="32"/>
      <c r="F23" s="32"/>
      <c r="G23" s="91"/>
      <c r="H23" s="91"/>
      <c r="I23" s="115"/>
      <c r="J23" s="92"/>
      <c r="K23" s="92"/>
      <c r="L23" s="93"/>
      <c r="M23" s="94"/>
      <c r="N23" s="117"/>
      <c r="O23" s="103"/>
      <c r="P23" s="104"/>
      <c r="Q23" s="110"/>
      <c r="R23" s="32"/>
      <c r="S23" s="32"/>
      <c r="T23" s="39"/>
      <c r="U23" s="143" t="str">
        <f>IF(C23="","",SUMIF('Coil to Slit'!B:B,C23,'Coil to Slit'!G:G))</f>
        <v/>
      </c>
      <c r="V23" s="67" t="str">
        <f t="shared" si="0"/>
        <v/>
      </c>
      <c r="W23" s="78" t="str">
        <f>IF(C23="","",IF(COUNTIF(C$3:C23,C23)&gt;1,"⚠ DUPLICATE ID",""))</f>
        <v/>
      </c>
    </row>
    <row r="24" spans="3:23">
      <c r="C24" s="101" t="str">
        <f t="shared" si="1"/>
        <v/>
      </c>
      <c r="D24" s="32"/>
      <c r="E24" s="32"/>
      <c r="F24" s="32"/>
      <c r="G24" s="91"/>
      <c r="H24" s="91"/>
      <c r="I24" s="115"/>
      <c r="J24" s="92"/>
      <c r="K24" s="92"/>
      <c r="L24" s="93"/>
      <c r="M24" s="94"/>
      <c r="N24" s="117"/>
      <c r="O24" s="103"/>
      <c r="P24" s="104"/>
      <c r="Q24" s="110"/>
      <c r="R24" s="32"/>
      <c r="S24" s="32"/>
      <c r="T24" s="39"/>
      <c r="U24" s="143" t="str">
        <f>IF(C24="","",SUMIF('Coil to Slit'!B:B,C24,'Coil to Slit'!G:G))</f>
        <v/>
      </c>
      <c r="V24" s="67" t="str">
        <f t="shared" si="0"/>
        <v/>
      </c>
      <c r="W24" s="78" t="str">
        <f>IF(C24="","",IF(COUNTIF(C$3:C24,C24)&gt;1,"⚠ DUPLICATE ID",""))</f>
        <v/>
      </c>
    </row>
    <row r="25" spans="3:23">
      <c r="C25" s="101" t="str">
        <f t="shared" si="1"/>
        <v/>
      </c>
      <c r="D25" s="32"/>
      <c r="E25" s="32"/>
      <c r="F25" s="32"/>
      <c r="G25" s="91"/>
      <c r="H25" s="91"/>
      <c r="I25" s="115"/>
      <c r="J25" s="92"/>
      <c r="K25" s="92"/>
      <c r="L25" s="93"/>
      <c r="M25" s="94"/>
      <c r="N25" s="117"/>
      <c r="O25" s="103"/>
      <c r="P25" s="104"/>
      <c r="Q25" s="110"/>
      <c r="R25" s="32"/>
      <c r="S25" s="32"/>
      <c r="T25" s="39"/>
      <c r="U25" s="143" t="str">
        <f>IF(C25="","",SUMIF('Coil to Slit'!B:B,C25,'Coil to Slit'!G:G))</f>
        <v/>
      </c>
      <c r="V25" s="67" t="str">
        <f t="shared" si="0"/>
        <v/>
      </c>
      <c r="W25" s="78" t="str">
        <f>IF(C25="","",IF(COUNTIF(C$3:C25,C25)&gt;1,"⚠ DUPLICATE ID",""))</f>
        <v/>
      </c>
    </row>
    <row r="26" spans="3:23">
      <c r="C26" s="101" t="str">
        <f t="shared" si="1"/>
        <v/>
      </c>
      <c r="D26" s="32"/>
      <c r="E26" s="32"/>
      <c r="F26" s="32"/>
      <c r="G26" s="91"/>
      <c r="H26" s="91"/>
      <c r="I26" s="115"/>
      <c r="J26" s="92"/>
      <c r="K26" s="92"/>
      <c r="L26" s="93"/>
      <c r="M26" s="94"/>
      <c r="N26" s="117"/>
      <c r="O26" s="103"/>
      <c r="P26" s="104"/>
      <c r="Q26" s="110"/>
      <c r="R26" s="32"/>
      <c r="S26" s="32"/>
      <c r="T26" s="39"/>
      <c r="U26" s="143" t="str">
        <f>IF(C26="","",SUMIF('Coil to Slit'!B:B,C26,'Coil to Slit'!G:G))</f>
        <v/>
      </c>
      <c r="V26" s="67" t="str">
        <f t="shared" si="0"/>
        <v/>
      </c>
      <c r="W26" s="78" t="str">
        <f>IF(C26="","",IF(COUNTIF(C$3:C26,C26)&gt;1,"⚠ DUPLICATE ID",""))</f>
        <v/>
      </c>
    </row>
    <row r="27" spans="3:23">
      <c r="C27" s="101" t="str">
        <f t="shared" si="1"/>
        <v/>
      </c>
      <c r="D27" s="32"/>
      <c r="E27" s="32"/>
      <c r="F27" s="32"/>
      <c r="G27" s="91"/>
      <c r="H27" s="91"/>
      <c r="I27" s="115"/>
      <c r="J27" s="92"/>
      <c r="K27" s="92"/>
      <c r="L27" s="93"/>
      <c r="M27" s="94"/>
      <c r="N27" s="117"/>
      <c r="O27" s="103"/>
      <c r="P27" s="104"/>
      <c r="Q27" s="110"/>
      <c r="R27" s="32"/>
      <c r="S27" s="32"/>
      <c r="T27" s="39"/>
      <c r="U27" s="143" t="str">
        <f>IF(C27="","",SUMIF('Coil to Slit'!B:B,C27,'Coil to Slit'!G:G))</f>
        <v/>
      </c>
      <c r="V27" s="67" t="str">
        <f t="shared" si="0"/>
        <v/>
      </c>
      <c r="W27" s="78" t="str">
        <f>IF(C27="","",IF(COUNTIF(C$3:C27,C27)&gt;1,"⚠ DUPLICATE ID",""))</f>
        <v/>
      </c>
    </row>
    <row r="28" spans="3:23">
      <c r="C28" s="101" t="str">
        <f t="shared" si="1"/>
        <v/>
      </c>
      <c r="D28" s="32"/>
      <c r="E28" s="32"/>
      <c r="F28" s="32"/>
      <c r="G28" s="91"/>
      <c r="H28" s="91"/>
      <c r="I28" s="115"/>
      <c r="J28" s="92"/>
      <c r="K28" s="92"/>
      <c r="L28" s="93"/>
      <c r="M28" s="94"/>
      <c r="N28" s="117"/>
      <c r="O28" s="103"/>
      <c r="P28" s="104"/>
      <c r="Q28" s="110"/>
      <c r="R28" s="32"/>
      <c r="S28" s="32"/>
      <c r="T28" s="39"/>
      <c r="U28" s="143" t="str">
        <f>IF(C28="","",SUMIF('Coil to Slit'!B:B,C28,'Coil to Slit'!G:G))</f>
        <v/>
      </c>
      <c r="V28" s="67" t="str">
        <f t="shared" si="0"/>
        <v/>
      </c>
      <c r="W28" s="78" t="str">
        <f>IF(C28="","",IF(COUNTIF(C$3:C28,C28)&gt;1,"⚠ DUPLICATE ID",""))</f>
        <v/>
      </c>
    </row>
    <row r="29" spans="3:23">
      <c r="C29" s="101" t="str">
        <f t="shared" si="1"/>
        <v/>
      </c>
      <c r="D29" s="32"/>
      <c r="E29" s="32"/>
      <c r="F29" s="32"/>
      <c r="G29" s="91"/>
      <c r="H29" s="91"/>
      <c r="I29" s="115"/>
      <c r="J29" s="92"/>
      <c r="K29" s="92"/>
      <c r="L29" s="93"/>
      <c r="M29" s="94"/>
      <c r="N29" s="117"/>
      <c r="O29" s="103"/>
      <c r="P29" s="104"/>
      <c r="Q29" s="110"/>
      <c r="R29" s="32"/>
      <c r="S29" s="32"/>
      <c r="T29" s="39"/>
      <c r="U29" s="143" t="str">
        <f>IF(C29="","",SUMIF('Coil to Slit'!B:B,C29,'Coil to Slit'!G:G))</f>
        <v/>
      </c>
      <c r="V29" s="67" t="str">
        <f t="shared" si="0"/>
        <v/>
      </c>
      <c r="W29" s="78" t="str">
        <f>IF(C29="","",IF(COUNTIF(C$3:C29,C29)&gt;1,"⚠ DUPLICATE ID",""))</f>
        <v/>
      </c>
    </row>
    <row r="30" spans="3:23">
      <c r="C30" s="101" t="str">
        <f t="shared" si="1"/>
        <v/>
      </c>
      <c r="D30" s="32"/>
      <c r="E30" s="32"/>
      <c r="F30" s="32"/>
      <c r="G30" s="91"/>
      <c r="H30" s="91"/>
      <c r="I30" s="115"/>
      <c r="J30" s="92"/>
      <c r="K30" s="92"/>
      <c r="L30" s="93"/>
      <c r="M30" s="94"/>
      <c r="N30" s="117"/>
      <c r="O30" s="103"/>
      <c r="P30" s="104"/>
      <c r="Q30" s="110"/>
      <c r="R30" s="32"/>
      <c r="S30" s="32"/>
      <c r="T30" s="39"/>
      <c r="U30" s="143" t="str">
        <f>IF(C30="","",SUMIF('Coil to Slit'!B:B,C30,'Coil to Slit'!G:G))</f>
        <v/>
      </c>
      <c r="V30" s="67" t="str">
        <f t="shared" si="0"/>
        <v/>
      </c>
      <c r="W30" s="78" t="str">
        <f>IF(C30="","",IF(COUNTIF(C$3:C30,C30)&gt;1,"⚠ DUPLICATE ID",""))</f>
        <v/>
      </c>
    </row>
    <row r="31" spans="3:23">
      <c r="C31" s="101" t="str">
        <f t="shared" si="1"/>
        <v/>
      </c>
      <c r="D31" s="32"/>
      <c r="E31" s="32"/>
      <c r="F31" s="32"/>
      <c r="G31" s="91"/>
      <c r="H31" s="91"/>
      <c r="I31" s="115"/>
      <c r="J31" s="92"/>
      <c r="K31" s="92"/>
      <c r="L31" s="93"/>
      <c r="M31" s="94"/>
      <c r="N31" s="117"/>
      <c r="O31" s="103"/>
      <c r="P31" s="104"/>
      <c r="Q31" s="110"/>
      <c r="R31" s="32"/>
      <c r="S31" s="32"/>
      <c r="T31" s="39"/>
      <c r="U31" s="143" t="str">
        <f>IF(C31="","",SUMIF('Coil to Slit'!B:B,C31,'Coil to Slit'!G:G))</f>
        <v/>
      </c>
      <c r="V31" s="67" t="str">
        <f t="shared" si="0"/>
        <v/>
      </c>
      <c r="W31" s="78" t="str">
        <f>IF(C31="","",IF(COUNTIF(C$3:C31,C31)&gt;1,"⚠ DUPLICATE ID",""))</f>
        <v/>
      </c>
    </row>
    <row r="32" spans="3:23">
      <c r="C32" s="101" t="str">
        <f t="shared" si="1"/>
        <v/>
      </c>
      <c r="D32" s="32"/>
      <c r="E32" s="32"/>
      <c r="F32" s="32"/>
      <c r="G32" s="91"/>
      <c r="H32" s="91"/>
      <c r="I32" s="115"/>
      <c r="J32" s="92"/>
      <c r="K32" s="92"/>
      <c r="L32" s="93"/>
      <c r="M32" s="94"/>
      <c r="N32" s="117"/>
      <c r="O32" s="103"/>
      <c r="P32" s="104"/>
      <c r="Q32" s="110"/>
      <c r="R32" s="32"/>
      <c r="S32" s="32"/>
      <c r="T32" s="39"/>
      <c r="U32" s="143" t="str">
        <f>IF(C32="","",SUMIF('Coil to Slit'!B:B,C32,'Coil to Slit'!G:G))</f>
        <v/>
      </c>
      <c r="V32" s="67" t="str">
        <f t="shared" si="0"/>
        <v/>
      </c>
      <c r="W32" s="78" t="str">
        <f>IF(C32="","",IF(COUNTIF(C$3:C32,C32)&gt;1,"⚠ DUPLICATE ID",""))</f>
        <v/>
      </c>
    </row>
    <row r="33" spans="3:23">
      <c r="C33" s="101" t="str">
        <f t="shared" si="1"/>
        <v/>
      </c>
      <c r="D33" s="32"/>
      <c r="E33" s="32"/>
      <c r="F33" s="32"/>
      <c r="G33" s="91"/>
      <c r="H33" s="91"/>
      <c r="I33" s="115"/>
      <c r="J33" s="92"/>
      <c r="K33" s="92"/>
      <c r="L33" s="93"/>
      <c r="M33" s="94"/>
      <c r="N33" s="117"/>
      <c r="O33" s="103"/>
      <c r="P33" s="104"/>
      <c r="Q33" s="110"/>
      <c r="R33" s="32"/>
      <c r="S33" s="32"/>
      <c r="T33" s="39"/>
      <c r="U33" s="143" t="str">
        <f>IF(C33="","",SUMIF('Coil to Slit'!B:B,C33,'Coil to Slit'!G:G))</f>
        <v/>
      </c>
      <c r="V33" s="67" t="str">
        <f t="shared" si="0"/>
        <v/>
      </c>
      <c r="W33" s="78" t="str">
        <f>IF(C33="","",IF(COUNTIF(C$3:C33,C33)&gt;1,"⚠ DUPLICATE ID",""))</f>
        <v/>
      </c>
    </row>
    <row r="34" spans="3:23">
      <c r="C34" s="101" t="str">
        <f t="shared" si="1"/>
        <v/>
      </c>
      <c r="D34" s="32"/>
      <c r="E34" s="32"/>
      <c r="F34" s="32"/>
      <c r="G34" s="91"/>
      <c r="H34" s="91"/>
      <c r="I34" s="115"/>
      <c r="J34" s="92"/>
      <c r="K34" s="92"/>
      <c r="L34" s="93"/>
      <c r="M34" s="94"/>
      <c r="N34" s="117"/>
      <c r="O34" s="103"/>
      <c r="P34" s="104"/>
      <c r="Q34" s="110"/>
      <c r="R34" s="32"/>
      <c r="S34" s="32"/>
      <c r="T34" s="39"/>
      <c r="U34" s="143" t="str">
        <f>IF(C34="","",SUMIF('Coil to Slit'!B:B,C34,'Coil to Slit'!G:G))</f>
        <v/>
      </c>
      <c r="V34" s="67" t="str">
        <f t="shared" si="0"/>
        <v/>
      </c>
      <c r="W34" s="78" t="str">
        <f>IF(C34="","",IF(COUNTIF(C$3:C34,C34)&gt;1,"⚠ DUPLICATE ID",""))</f>
        <v/>
      </c>
    </row>
    <row r="35" spans="3:23">
      <c r="C35" s="101" t="str">
        <f t="shared" si="1"/>
        <v/>
      </c>
      <c r="D35" s="32"/>
      <c r="E35" s="32"/>
      <c r="F35" s="32"/>
      <c r="G35" s="91"/>
      <c r="H35" s="91"/>
      <c r="I35" s="115"/>
      <c r="J35" s="92"/>
      <c r="K35" s="92"/>
      <c r="L35" s="93"/>
      <c r="M35" s="94"/>
      <c r="N35" s="117"/>
      <c r="O35" s="103"/>
      <c r="P35" s="104"/>
      <c r="Q35" s="110"/>
      <c r="R35" s="32"/>
      <c r="S35" s="32"/>
      <c r="T35" s="39"/>
      <c r="U35" s="143" t="str">
        <f>IF(C35="","",SUMIF('Coil to Slit'!B:B,C35,'Coil to Slit'!G:G))</f>
        <v/>
      </c>
      <c r="V35" s="67" t="str">
        <f t="shared" si="0"/>
        <v/>
      </c>
      <c r="W35" s="78" t="str">
        <f>IF(C35="","",IF(COUNTIF(C$3:C35,C35)&gt;1,"⚠ DUPLICATE ID",""))</f>
        <v/>
      </c>
    </row>
    <row r="36" spans="3:23">
      <c r="C36" s="101" t="str">
        <f t="shared" si="1"/>
        <v/>
      </c>
      <c r="D36" s="32"/>
      <c r="E36" s="32"/>
      <c r="F36" s="32"/>
      <c r="G36" s="91"/>
      <c r="H36" s="91"/>
      <c r="I36" s="115"/>
      <c r="J36" s="92"/>
      <c r="K36" s="92"/>
      <c r="L36" s="93"/>
      <c r="M36" s="94"/>
      <c r="N36" s="117"/>
      <c r="O36" s="103"/>
      <c r="P36" s="104"/>
      <c r="Q36" s="110"/>
      <c r="R36" s="32"/>
      <c r="S36" s="32"/>
      <c r="T36" s="39"/>
      <c r="U36" s="143" t="str">
        <f>IF(C36="","",SUMIF('Coil to Slit'!B:B,C36,'Coil to Slit'!G:G))</f>
        <v/>
      </c>
      <c r="V36" s="67" t="str">
        <f t="shared" si="0"/>
        <v/>
      </c>
      <c r="W36" s="78" t="str">
        <f>IF(C36="","",IF(COUNTIF(C$3:C36,C36)&gt;1,"⚠ DUPLICATE ID",""))</f>
        <v/>
      </c>
    </row>
    <row r="37" spans="3:23">
      <c r="C37" s="101" t="str">
        <f t="shared" si="1"/>
        <v/>
      </c>
      <c r="D37" s="32"/>
      <c r="E37" s="32"/>
      <c r="F37" s="32"/>
      <c r="G37" s="91"/>
      <c r="H37" s="91"/>
      <c r="I37" s="115"/>
      <c r="J37" s="92"/>
      <c r="K37" s="92"/>
      <c r="L37" s="93"/>
      <c r="M37" s="94"/>
      <c r="N37" s="117"/>
      <c r="O37" s="103"/>
      <c r="P37" s="104"/>
      <c r="Q37" s="110"/>
      <c r="R37" s="32"/>
      <c r="S37" s="32"/>
      <c r="T37" s="39"/>
      <c r="U37" s="143" t="str">
        <f>IF(C37="","",SUMIF('Coil to Slit'!B:B,C37,'Coil to Slit'!G:G))</f>
        <v/>
      </c>
      <c r="V37" s="67" t="str">
        <f t="shared" si="0"/>
        <v/>
      </c>
      <c r="W37" s="78" t="str">
        <f>IF(C37="","",IF(COUNTIF(C$3:C37,C37)&gt;1,"⚠ DUPLICATE ID",""))</f>
        <v/>
      </c>
    </row>
    <row r="38" spans="3:23">
      <c r="C38" s="101" t="str">
        <f t="shared" si="1"/>
        <v/>
      </c>
      <c r="D38" s="32"/>
      <c r="E38" s="32"/>
      <c r="F38" s="32"/>
      <c r="G38" s="91"/>
      <c r="H38" s="91"/>
      <c r="I38" s="115"/>
      <c r="J38" s="92"/>
      <c r="K38" s="92"/>
      <c r="L38" s="93"/>
      <c r="M38" s="94"/>
      <c r="N38" s="117"/>
      <c r="O38" s="103"/>
      <c r="P38" s="104"/>
      <c r="Q38" s="110"/>
      <c r="R38" s="32"/>
      <c r="S38" s="32"/>
      <c r="T38" s="39"/>
      <c r="U38" s="143" t="str">
        <f>IF(C38="","",SUMIF('Coil to Slit'!B:B,C38,'Coil to Slit'!G:G))</f>
        <v/>
      </c>
      <c r="V38" s="67" t="str">
        <f t="shared" si="0"/>
        <v/>
      </c>
      <c r="W38" s="78" t="str">
        <f>IF(C38="","",IF(COUNTIF(C$3:C38,C38)&gt;1,"⚠ DUPLICATE ID",""))</f>
        <v/>
      </c>
    </row>
    <row r="39" spans="3:23">
      <c r="C39" s="101" t="str">
        <f t="shared" si="1"/>
        <v/>
      </c>
      <c r="D39" s="32"/>
      <c r="E39" s="32"/>
      <c r="F39" s="32"/>
      <c r="G39" s="91"/>
      <c r="H39" s="91"/>
      <c r="I39" s="115"/>
      <c r="J39" s="92"/>
      <c r="K39" s="92"/>
      <c r="L39" s="93"/>
      <c r="M39" s="94"/>
      <c r="N39" s="117"/>
      <c r="O39" s="103"/>
      <c r="P39" s="104"/>
      <c r="Q39" s="110"/>
      <c r="R39" s="32"/>
      <c r="S39" s="32"/>
      <c r="T39" s="39"/>
      <c r="U39" s="143" t="str">
        <f>IF(C39="","",SUMIF('Coil to Slit'!B:B,C39,'Coil to Slit'!G:G))</f>
        <v/>
      </c>
      <c r="V39" s="67" t="str">
        <f t="shared" si="0"/>
        <v/>
      </c>
      <c r="W39" s="78" t="str">
        <f>IF(C39="","",IF(COUNTIF(C$3:C39,C39)&gt;1,"⚠ DUPLICATE ID",""))</f>
        <v/>
      </c>
    </row>
    <row r="40" spans="3:23">
      <c r="C40" s="101" t="str">
        <f t="shared" si="1"/>
        <v/>
      </c>
      <c r="D40" s="32"/>
      <c r="E40" s="32"/>
      <c r="F40" s="32"/>
      <c r="G40" s="91"/>
      <c r="H40" s="91"/>
      <c r="I40" s="115"/>
      <c r="J40" s="92"/>
      <c r="K40" s="92"/>
      <c r="L40" s="93"/>
      <c r="M40" s="94"/>
      <c r="N40" s="117"/>
      <c r="O40" s="103"/>
      <c r="P40" s="104"/>
      <c r="Q40" s="110"/>
      <c r="R40" s="32"/>
      <c r="S40" s="32"/>
      <c r="T40" s="39"/>
      <c r="U40" s="143" t="str">
        <f>IF(C40="","",SUMIF('Coil to Slit'!B:B,C40,'Coil to Slit'!G:G))</f>
        <v/>
      </c>
      <c r="V40" s="67" t="str">
        <f t="shared" si="0"/>
        <v/>
      </c>
      <c r="W40" s="78" t="str">
        <f>IF(C40="","",IF(COUNTIF(C$3:C40,C40)&gt;1,"⚠ DUPLICATE ID",""))</f>
        <v/>
      </c>
    </row>
    <row r="41" spans="3:23">
      <c r="C41" s="101" t="str">
        <f t="shared" si="1"/>
        <v/>
      </c>
      <c r="D41" s="32"/>
      <c r="E41" s="32"/>
      <c r="F41" s="32"/>
      <c r="G41" s="91"/>
      <c r="H41" s="91"/>
      <c r="I41" s="115"/>
      <c r="J41" s="92"/>
      <c r="K41" s="92"/>
      <c r="L41" s="93"/>
      <c r="M41" s="94"/>
      <c r="N41" s="117"/>
      <c r="O41" s="103"/>
      <c r="P41" s="104"/>
      <c r="Q41" s="110"/>
      <c r="R41" s="32"/>
      <c r="S41" s="32"/>
      <c r="T41" s="39"/>
      <c r="U41" s="143" t="str">
        <f>IF(C41="","",SUMIF('Coil to Slit'!B:B,C41,'Coil to Slit'!G:G))</f>
        <v/>
      </c>
      <c r="V41" s="67" t="str">
        <f t="shared" si="0"/>
        <v/>
      </c>
      <c r="W41" s="78" t="str">
        <f>IF(C41="","",IF(COUNTIF(C$3:C41,C41)&gt;1,"⚠ DUPLICATE ID",""))</f>
        <v/>
      </c>
    </row>
    <row r="42" spans="3:23">
      <c r="C42" s="101" t="str">
        <f t="shared" si="1"/>
        <v/>
      </c>
      <c r="D42" s="32"/>
      <c r="E42" s="32"/>
      <c r="F42" s="32"/>
      <c r="G42" s="91"/>
      <c r="H42" s="91"/>
      <c r="I42" s="115"/>
      <c r="J42" s="92"/>
      <c r="K42" s="92"/>
      <c r="L42" s="93"/>
      <c r="M42" s="94"/>
      <c r="N42" s="117"/>
      <c r="O42" s="103"/>
      <c r="P42" s="104"/>
      <c r="Q42" s="110"/>
      <c r="R42" s="32"/>
      <c r="S42" s="32"/>
      <c r="T42" s="39"/>
      <c r="U42" s="143" t="str">
        <f>IF(C42="","",SUMIF('Coil to Slit'!B:B,C42,'Coil to Slit'!G:G))</f>
        <v/>
      </c>
      <c r="V42" s="67" t="str">
        <f t="shared" si="0"/>
        <v/>
      </c>
      <c r="W42" s="78" t="str">
        <f>IF(C42="","",IF(COUNTIF(C$3:C42,C42)&gt;1,"⚠ DUPLICATE ID",""))</f>
        <v/>
      </c>
    </row>
    <row r="43" spans="3:23">
      <c r="C43" s="101" t="str">
        <f t="shared" si="1"/>
        <v/>
      </c>
      <c r="D43" s="32"/>
      <c r="E43" s="32"/>
      <c r="F43" s="32"/>
      <c r="G43" s="91"/>
      <c r="H43" s="91"/>
      <c r="I43" s="115"/>
      <c r="J43" s="92"/>
      <c r="K43" s="92"/>
      <c r="L43" s="93"/>
      <c r="M43" s="94"/>
      <c r="N43" s="117"/>
      <c r="O43" s="103"/>
      <c r="P43" s="104"/>
      <c r="Q43" s="110"/>
      <c r="R43" s="32"/>
      <c r="S43" s="32"/>
      <c r="T43" s="39"/>
      <c r="U43" s="143" t="str">
        <f>IF(C43="","",SUMIF('Coil to Slit'!B:B,C43,'Coil to Slit'!G:G))</f>
        <v/>
      </c>
      <c r="V43" s="67" t="str">
        <f t="shared" si="0"/>
        <v/>
      </c>
      <c r="W43" s="78" t="str">
        <f>IF(C43="","",IF(COUNTIF(C$3:C43,C43)&gt;1,"⚠ DUPLICATE ID",""))</f>
        <v/>
      </c>
    </row>
    <row r="44" spans="3:23">
      <c r="C44" s="101" t="str">
        <f t="shared" si="1"/>
        <v/>
      </c>
      <c r="D44" s="32"/>
      <c r="E44" s="32"/>
      <c r="F44" s="32"/>
      <c r="G44" s="91"/>
      <c r="H44" s="91"/>
      <c r="I44" s="115"/>
      <c r="J44" s="92"/>
      <c r="K44" s="92"/>
      <c r="L44" s="93"/>
      <c r="M44" s="94"/>
      <c r="N44" s="117"/>
      <c r="O44" s="103"/>
      <c r="P44" s="104"/>
      <c r="Q44" s="110"/>
      <c r="R44" s="32"/>
      <c r="S44" s="32"/>
      <c r="T44" s="39"/>
      <c r="U44" s="143" t="str">
        <f>IF(C44="","",SUMIF('Coil to Slit'!B:B,C44,'Coil to Slit'!G:G))</f>
        <v/>
      </c>
      <c r="V44" s="67" t="str">
        <f t="shared" si="0"/>
        <v/>
      </c>
      <c r="W44" s="78" t="str">
        <f>IF(C44="","",IF(COUNTIF(C$3:C44,C44)&gt;1,"⚠ DUPLICATE ID",""))</f>
        <v/>
      </c>
    </row>
    <row r="45" spans="3:23">
      <c r="C45" s="101" t="str">
        <f t="shared" si="1"/>
        <v/>
      </c>
      <c r="D45" s="32"/>
      <c r="E45" s="32"/>
      <c r="F45" s="32"/>
      <c r="G45" s="91"/>
      <c r="H45" s="91"/>
      <c r="I45" s="115"/>
      <c r="J45" s="92"/>
      <c r="K45" s="92"/>
      <c r="L45" s="93"/>
      <c r="M45" s="94"/>
      <c r="N45" s="117"/>
      <c r="O45" s="103"/>
      <c r="P45" s="104"/>
      <c r="Q45" s="110"/>
      <c r="R45" s="32"/>
      <c r="S45" s="32"/>
      <c r="T45" s="39"/>
      <c r="U45" s="143" t="str">
        <f>IF(C45="","",SUMIF('Coil to Slit'!B:B,C45,'Coil to Slit'!G:G))</f>
        <v/>
      </c>
      <c r="V45" s="67" t="str">
        <f t="shared" si="0"/>
        <v/>
      </c>
      <c r="W45" s="78" t="str">
        <f>IF(C45="","",IF(COUNTIF(C$3:C45,C45)&gt;1,"⚠ DUPLICATE ID",""))</f>
        <v/>
      </c>
    </row>
    <row r="46" spans="3:23">
      <c r="C46" s="101" t="str">
        <f t="shared" si="1"/>
        <v/>
      </c>
      <c r="D46" s="32"/>
      <c r="E46" s="32"/>
      <c r="F46" s="32"/>
      <c r="G46" s="91"/>
      <c r="H46" s="91"/>
      <c r="I46" s="115"/>
      <c r="J46" s="92"/>
      <c r="K46" s="92"/>
      <c r="L46" s="93"/>
      <c r="M46" s="94"/>
      <c r="N46" s="117"/>
      <c r="O46" s="103"/>
      <c r="P46" s="104"/>
      <c r="Q46" s="110"/>
      <c r="R46" s="32"/>
      <c r="S46" s="32"/>
      <c r="T46" s="39"/>
      <c r="U46" s="143" t="str">
        <f>IF(C46="","",SUMIF('Coil to Slit'!B:B,C46,'Coil to Slit'!G:G))</f>
        <v/>
      </c>
      <c r="V46" s="67" t="str">
        <f t="shared" si="0"/>
        <v/>
      </c>
      <c r="W46" s="78" t="str">
        <f>IF(C46="","",IF(COUNTIF(C$3:C46,C46)&gt;1,"⚠ DUPLICATE ID",""))</f>
        <v/>
      </c>
    </row>
    <row r="47" spans="3:23">
      <c r="C47" s="101" t="str">
        <f t="shared" si="1"/>
        <v/>
      </c>
      <c r="D47" s="32"/>
      <c r="E47" s="32"/>
      <c r="F47" s="32"/>
      <c r="G47" s="91"/>
      <c r="H47" s="91"/>
      <c r="I47" s="115"/>
      <c r="J47" s="92"/>
      <c r="K47" s="92"/>
      <c r="L47" s="93"/>
      <c r="M47" s="94"/>
      <c r="N47" s="117"/>
      <c r="O47" s="103"/>
      <c r="P47" s="104"/>
      <c r="Q47" s="110"/>
      <c r="R47" s="32"/>
      <c r="S47" s="32"/>
      <c r="T47" s="39"/>
      <c r="U47" s="143" t="str">
        <f>IF(C47="","",SUMIF('Coil to Slit'!B:B,C47,'Coil to Slit'!G:G))</f>
        <v/>
      </c>
      <c r="V47" s="67" t="str">
        <f t="shared" si="0"/>
        <v/>
      </c>
      <c r="W47" s="78" t="str">
        <f>IF(C47="","",IF(COUNTIF(C$3:C47,C47)&gt;1,"⚠ DUPLICATE ID",""))</f>
        <v/>
      </c>
    </row>
    <row r="48" spans="3:23">
      <c r="C48" s="101" t="str">
        <f t="shared" si="1"/>
        <v/>
      </c>
      <c r="D48" s="32"/>
      <c r="E48" s="32"/>
      <c r="F48" s="32"/>
      <c r="G48" s="91"/>
      <c r="H48" s="91"/>
      <c r="I48" s="115"/>
      <c r="J48" s="92"/>
      <c r="K48" s="92"/>
      <c r="L48" s="93"/>
      <c r="M48" s="94"/>
      <c r="N48" s="117"/>
      <c r="O48" s="103"/>
      <c r="P48" s="104"/>
      <c r="Q48" s="110"/>
      <c r="R48" s="32"/>
      <c r="S48" s="32"/>
      <c r="T48" s="39"/>
      <c r="U48" s="143" t="str">
        <f>IF(C48="","",SUMIF('Coil to Slit'!B:B,C48,'Coil to Slit'!G:G))</f>
        <v/>
      </c>
      <c r="V48" s="67" t="str">
        <f t="shared" si="0"/>
        <v/>
      </c>
      <c r="W48" s="78" t="str">
        <f>IF(C48="","",IF(COUNTIF(C$3:C48,C48)&gt;1,"⚠ DUPLICATE ID",""))</f>
        <v/>
      </c>
    </row>
    <row r="49" spans="3:23">
      <c r="C49" s="101" t="str">
        <f t="shared" si="1"/>
        <v/>
      </c>
      <c r="D49" s="32"/>
      <c r="E49" s="32"/>
      <c r="F49" s="32"/>
      <c r="G49" s="91"/>
      <c r="H49" s="91"/>
      <c r="I49" s="115"/>
      <c r="J49" s="92"/>
      <c r="K49" s="92"/>
      <c r="L49" s="93"/>
      <c r="M49" s="94"/>
      <c r="N49" s="117"/>
      <c r="O49" s="103"/>
      <c r="P49" s="104"/>
      <c r="Q49" s="110"/>
      <c r="R49" s="32"/>
      <c r="S49" s="32"/>
      <c r="T49" s="39"/>
      <c r="U49" s="143" t="str">
        <f>IF(C49="","",SUMIF('Coil to Slit'!B:B,C49,'Coil to Slit'!G:G))</f>
        <v/>
      </c>
      <c r="V49" s="67" t="str">
        <f t="shared" si="0"/>
        <v/>
      </c>
      <c r="W49" s="78" t="str">
        <f>IF(C49="","",IF(COUNTIF(C$3:C49,C49)&gt;1,"⚠ DUPLICATE ID",""))</f>
        <v/>
      </c>
    </row>
    <row r="50" spans="3:23">
      <c r="C50" s="101" t="str">
        <f t="shared" si="1"/>
        <v/>
      </c>
      <c r="D50" s="32"/>
      <c r="E50" s="32"/>
      <c r="F50" s="32"/>
      <c r="G50" s="91"/>
      <c r="H50" s="91"/>
      <c r="I50" s="115"/>
      <c r="J50" s="92"/>
      <c r="K50" s="92"/>
      <c r="L50" s="93"/>
      <c r="M50" s="94"/>
      <c r="N50" s="117"/>
      <c r="O50" s="103"/>
      <c r="P50" s="104"/>
      <c r="Q50" s="110"/>
      <c r="R50" s="32"/>
      <c r="S50" s="32"/>
      <c r="T50" s="39"/>
      <c r="U50" s="143" t="str">
        <f>IF(C50="","",SUMIF('Coil to Slit'!B:B,C50,'Coil to Slit'!G:G))</f>
        <v/>
      </c>
      <c r="V50" s="67" t="str">
        <f t="shared" si="0"/>
        <v/>
      </c>
      <c r="W50" s="78" t="str">
        <f>IF(C50="","",IF(COUNTIF(C$3:C50,C50)&gt;1,"⚠ DUPLICATE ID",""))</f>
        <v/>
      </c>
    </row>
    <row r="51" spans="3:23">
      <c r="C51" s="101" t="str">
        <f t="shared" si="1"/>
        <v/>
      </c>
      <c r="D51" s="32"/>
      <c r="E51" s="32"/>
      <c r="F51" s="32"/>
      <c r="G51" s="91"/>
      <c r="H51" s="91"/>
      <c r="I51" s="115"/>
      <c r="J51" s="92"/>
      <c r="K51" s="92"/>
      <c r="L51" s="93"/>
      <c r="M51" s="94"/>
      <c r="N51" s="117"/>
      <c r="O51" s="103"/>
      <c r="P51" s="104"/>
      <c r="Q51" s="110"/>
      <c r="R51" s="32"/>
      <c r="S51" s="32"/>
      <c r="T51" s="39"/>
      <c r="U51" s="143" t="str">
        <f>IF(C51="","",SUMIF('Coil to Slit'!B:B,C51,'Coil to Slit'!G:G))</f>
        <v/>
      </c>
      <c r="V51" s="67" t="str">
        <f t="shared" si="0"/>
        <v/>
      </c>
      <c r="W51" s="78" t="str">
        <f>IF(C51="","",IF(COUNTIF(C$3:C51,C51)&gt;1,"⚠ DUPLICATE ID",""))</f>
        <v/>
      </c>
    </row>
    <row r="52" spans="3:23">
      <c r="C52" s="101" t="str">
        <f t="shared" si="1"/>
        <v/>
      </c>
      <c r="D52" s="32"/>
      <c r="E52" s="32"/>
      <c r="F52" s="32"/>
      <c r="G52" s="91"/>
      <c r="H52" s="91"/>
      <c r="I52" s="115"/>
      <c r="J52" s="92"/>
      <c r="K52" s="92"/>
      <c r="L52" s="93"/>
      <c r="M52" s="94"/>
      <c r="N52" s="117"/>
      <c r="O52" s="103"/>
      <c r="P52" s="104"/>
      <c r="Q52" s="110"/>
      <c r="R52" s="32"/>
      <c r="S52" s="32"/>
      <c r="T52" s="39"/>
      <c r="U52" s="143" t="str">
        <f>IF(C52="","",SUMIF('Coil to Slit'!B:B,C52,'Coil to Slit'!G:G))</f>
        <v/>
      </c>
      <c r="V52" s="67" t="str">
        <f t="shared" si="0"/>
        <v/>
      </c>
      <c r="W52" s="78" t="str">
        <f>IF(C52="","",IF(COUNTIF(C$3:C52,C52)&gt;1,"⚠ DUPLICATE ID",""))</f>
        <v/>
      </c>
    </row>
    <row r="53" spans="3:23">
      <c r="C53" s="101" t="str">
        <f t="shared" si="1"/>
        <v/>
      </c>
      <c r="D53" s="32"/>
      <c r="E53" s="32"/>
      <c r="F53" s="32"/>
      <c r="G53" s="91"/>
      <c r="H53" s="91"/>
      <c r="I53" s="115"/>
      <c r="J53" s="92"/>
      <c r="K53" s="92"/>
      <c r="L53" s="93"/>
      <c r="M53" s="94"/>
      <c r="N53" s="117"/>
      <c r="O53" s="103"/>
      <c r="P53" s="104"/>
      <c r="Q53" s="110"/>
      <c r="R53" s="32"/>
      <c r="S53" s="32"/>
      <c r="T53" s="39"/>
      <c r="U53" s="143" t="str">
        <f>IF(C53="","",SUMIF('Coil to Slit'!B:B,C53,'Coil to Slit'!G:G))</f>
        <v/>
      </c>
      <c r="V53" s="67" t="str">
        <f t="shared" si="0"/>
        <v/>
      </c>
      <c r="W53" s="78" t="str">
        <f>IF(C53="","",IF(COUNTIF(C$3:C53,C53)&gt;1,"⚠ DUPLICATE ID",""))</f>
        <v/>
      </c>
    </row>
    <row r="54" spans="3:23">
      <c r="C54" s="101" t="str">
        <f t="shared" si="1"/>
        <v/>
      </c>
      <c r="D54" s="32"/>
      <c r="E54" s="32"/>
      <c r="F54" s="32"/>
      <c r="G54" s="91"/>
      <c r="H54" s="91"/>
      <c r="I54" s="115"/>
      <c r="J54" s="92"/>
      <c r="K54" s="92"/>
      <c r="L54" s="93"/>
      <c r="M54" s="94"/>
      <c r="N54" s="117"/>
      <c r="O54" s="103"/>
      <c r="P54" s="104"/>
      <c r="Q54" s="110"/>
      <c r="R54" s="32"/>
      <c r="S54" s="32"/>
      <c r="T54" s="39"/>
      <c r="U54" s="143" t="str">
        <f>IF(C54="","",SUMIF('Coil to Slit'!B:B,C54,'Coil to Slit'!G:G))</f>
        <v/>
      </c>
      <c r="V54" s="67" t="str">
        <f t="shared" si="0"/>
        <v/>
      </c>
      <c r="W54" s="78" t="str">
        <f>IF(C54="","",IF(COUNTIF(C$3:C54,C54)&gt;1,"⚠ DUPLICATE ID",""))</f>
        <v/>
      </c>
    </row>
    <row r="55" spans="3:23">
      <c r="C55" s="101" t="str">
        <f t="shared" si="1"/>
        <v/>
      </c>
      <c r="D55" s="32"/>
      <c r="E55" s="32"/>
      <c r="F55" s="32"/>
      <c r="G55" s="91"/>
      <c r="H55" s="91"/>
      <c r="I55" s="115"/>
      <c r="J55" s="92"/>
      <c r="K55" s="92"/>
      <c r="L55" s="93"/>
      <c r="M55" s="94"/>
      <c r="N55" s="117"/>
      <c r="O55" s="103"/>
      <c r="P55" s="104"/>
      <c r="Q55" s="110"/>
      <c r="R55" s="32"/>
      <c r="S55" s="32"/>
      <c r="T55" s="39"/>
      <c r="U55" s="143" t="str">
        <f>IF(C55="","",SUMIF('Coil to Slit'!B:B,C55,'Coil to Slit'!G:G))</f>
        <v/>
      </c>
      <c r="V55" s="67" t="str">
        <f t="shared" si="0"/>
        <v/>
      </c>
      <c r="W55" s="78" t="str">
        <f>IF(C55="","",IF(COUNTIF(C$3:C55,C55)&gt;1,"⚠ DUPLICATE ID",""))</f>
        <v/>
      </c>
    </row>
    <row r="56" spans="3:23">
      <c r="C56" s="101" t="str">
        <f t="shared" si="1"/>
        <v/>
      </c>
      <c r="D56" s="32"/>
      <c r="E56" s="32"/>
      <c r="F56" s="32"/>
      <c r="G56" s="91"/>
      <c r="H56" s="91"/>
      <c r="I56" s="115"/>
      <c r="J56" s="92"/>
      <c r="K56" s="92"/>
      <c r="L56" s="93"/>
      <c r="M56" s="94"/>
      <c r="N56" s="117"/>
      <c r="O56" s="103"/>
      <c r="P56" s="104"/>
      <c r="Q56" s="110"/>
      <c r="R56" s="32"/>
      <c r="S56" s="32"/>
      <c r="T56" s="39"/>
      <c r="U56" s="143" t="str">
        <f>IF(C56="","",SUMIF('Coil to Slit'!B:B,C56,'Coil to Slit'!G:G))</f>
        <v/>
      </c>
      <c r="V56" s="67" t="str">
        <f t="shared" si="0"/>
        <v/>
      </c>
      <c r="W56" s="78" t="str">
        <f>IF(C56="","",IF(COUNTIF(C$3:C56,C56)&gt;1,"⚠ DUPLICATE ID",""))</f>
        <v/>
      </c>
    </row>
    <row r="57" spans="3:23">
      <c r="C57" s="101" t="str">
        <f t="shared" si="1"/>
        <v/>
      </c>
      <c r="D57" s="32"/>
      <c r="E57" s="32"/>
      <c r="F57" s="32"/>
      <c r="G57" s="91"/>
      <c r="H57" s="91"/>
      <c r="I57" s="115"/>
      <c r="J57" s="92"/>
      <c r="K57" s="92"/>
      <c r="L57" s="93"/>
      <c r="M57" s="94"/>
      <c r="N57" s="117"/>
      <c r="O57" s="103"/>
      <c r="P57" s="104"/>
      <c r="Q57" s="110"/>
      <c r="R57" s="32"/>
      <c r="S57" s="32"/>
      <c r="T57" s="39"/>
      <c r="U57" s="143" t="str">
        <f>IF(C57="","",SUMIF('Coil to Slit'!B:B,C57,'Coil to Slit'!G:G))</f>
        <v/>
      </c>
      <c r="V57" s="67" t="str">
        <f t="shared" si="0"/>
        <v/>
      </c>
      <c r="W57" s="78" t="str">
        <f>IF(C57="","",IF(COUNTIF(C$3:C57,C57)&gt;1,"⚠ DUPLICATE ID",""))</f>
        <v/>
      </c>
    </row>
    <row r="58" spans="3:23">
      <c r="C58" s="101" t="str">
        <f t="shared" si="1"/>
        <v/>
      </c>
      <c r="D58" s="32"/>
      <c r="E58" s="32"/>
      <c r="F58" s="32"/>
      <c r="G58" s="91"/>
      <c r="H58" s="91"/>
      <c r="I58" s="115"/>
      <c r="J58" s="92"/>
      <c r="K58" s="92"/>
      <c r="L58" s="93"/>
      <c r="M58" s="94"/>
      <c r="N58" s="117"/>
      <c r="O58" s="103"/>
      <c r="P58" s="104"/>
      <c r="Q58" s="110"/>
      <c r="R58" s="32"/>
      <c r="S58" s="32"/>
      <c r="T58" s="39"/>
      <c r="U58" s="143" t="str">
        <f>IF(C58="","",SUMIF('Coil to Slit'!B:B,C58,'Coil to Slit'!G:G))</f>
        <v/>
      </c>
      <c r="V58" s="67" t="str">
        <f t="shared" si="0"/>
        <v/>
      </c>
      <c r="W58" s="78" t="str">
        <f>IF(C58="","",IF(COUNTIF(C$3:C58,C58)&gt;1,"⚠ DUPLICATE ID",""))</f>
        <v/>
      </c>
    </row>
    <row r="59" spans="3:23">
      <c r="C59" s="101" t="str">
        <f t="shared" si="1"/>
        <v/>
      </c>
      <c r="D59" s="32"/>
      <c r="E59" s="32"/>
      <c r="F59" s="32"/>
      <c r="G59" s="91"/>
      <c r="H59" s="91"/>
      <c r="I59" s="115"/>
      <c r="J59" s="92"/>
      <c r="K59" s="92"/>
      <c r="L59" s="93"/>
      <c r="M59" s="94"/>
      <c r="N59" s="117"/>
      <c r="O59" s="103"/>
      <c r="P59" s="104"/>
      <c r="Q59" s="110"/>
      <c r="R59" s="32"/>
      <c r="S59" s="32"/>
      <c r="T59" s="39"/>
      <c r="U59" s="143" t="str">
        <f>IF(C59="","",SUMIF('Coil to Slit'!B:B,C59,'Coil to Slit'!G:G))</f>
        <v/>
      </c>
      <c r="V59" s="67" t="str">
        <f t="shared" si="0"/>
        <v/>
      </c>
      <c r="W59" s="78" t="str">
        <f>IF(C59="","",IF(COUNTIF(C$3:C59,C59)&gt;1,"⚠ DUPLICATE ID",""))</f>
        <v/>
      </c>
    </row>
    <row r="60" spans="3:23">
      <c r="C60" s="101" t="str">
        <f t="shared" si="1"/>
        <v/>
      </c>
      <c r="D60" s="32"/>
      <c r="E60" s="32"/>
      <c r="F60" s="32"/>
      <c r="G60" s="91"/>
      <c r="H60" s="91"/>
      <c r="I60" s="115"/>
      <c r="J60" s="92"/>
      <c r="K60" s="92"/>
      <c r="L60" s="93"/>
      <c r="M60" s="94"/>
      <c r="N60" s="117"/>
      <c r="O60" s="103"/>
      <c r="P60" s="104"/>
      <c r="Q60" s="110"/>
      <c r="R60" s="32"/>
      <c r="S60" s="32"/>
      <c r="T60" s="39"/>
      <c r="U60" s="143" t="str">
        <f>IF(C60="","",SUMIF('Coil to Slit'!B:B,C60,'Coil to Slit'!G:G))</f>
        <v/>
      </c>
      <c r="V60" s="67" t="str">
        <f t="shared" si="0"/>
        <v/>
      </c>
      <c r="W60" s="78" t="str">
        <f>IF(C60="","",IF(COUNTIF(C$3:C60,C60)&gt;1,"⚠ DUPLICATE ID",""))</f>
        <v/>
      </c>
    </row>
    <row r="61" spans="3:23">
      <c r="C61" s="101" t="str">
        <f t="shared" si="1"/>
        <v/>
      </c>
      <c r="D61" s="32"/>
      <c r="E61" s="32"/>
      <c r="F61" s="32"/>
      <c r="G61" s="91"/>
      <c r="H61" s="91"/>
      <c r="I61" s="115"/>
      <c r="J61" s="92"/>
      <c r="K61" s="92"/>
      <c r="L61" s="93"/>
      <c r="M61" s="94"/>
      <c r="N61" s="117"/>
      <c r="O61" s="103"/>
      <c r="P61" s="104"/>
      <c r="Q61" s="110"/>
      <c r="R61" s="32"/>
      <c r="S61" s="32"/>
      <c r="T61" s="39"/>
      <c r="U61" s="143" t="str">
        <f>IF(C61="","",SUMIF('Coil to Slit'!B:B,C61,'Coil to Slit'!G:G))</f>
        <v/>
      </c>
      <c r="V61" s="67" t="str">
        <f t="shared" si="0"/>
        <v/>
      </c>
      <c r="W61" s="78" t="str">
        <f>IF(C61="","",IF(COUNTIF(C$3:C61,C61)&gt;1,"⚠ DUPLICATE ID",""))</f>
        <v/>
      </c>
    </row>
    <row r="62" spans="3:23">
      <c r="C62" s="101" t="str">
        <f t="shared" si="1"/>
        <v/>
      </c>
      <c r="D62" s="32"/>
      <c r="E62" s="32"/>
      <c r="F62" s="32"/>
      <c r="G62" s="91"/>
      <c r="H62" s="91"/>
      <c r="I62" s="115"/>
      <c r="J62" s="92"/>
      <c r="K62" s="92"/>
      <c r="L62" s="93"/>
      <c r="M62" s="94"/>
      <c r="N62" s="117"/>
      <c r="O62" s="103"/>
      <c r="P62" s="104"/>
      <c r="Q62" s="110"/>
      <c r="R62" s="32"/>
      <c r="S62" s="32"/>
      <c r="T62" s="39"/>
      <c r="U62" s="143" t="str">
        <f>IF(C62="","",SUMIF('Coil to Slit'!B:B,C62,'Coil to Slit'!G:G))</f>
        <v/>
      </c>
      <c r="V62" s="67" t="str">
        <f t="shared" si="0"/>
        <v/>
      </c>
      <c r="W62" s="78" t="str">
        <f>IF(C62="","",IF(COUNTIF(C$3:C62,C62)&gt;1,"⚠ DUPLICATE ID",""))</f>
        <v/>
      </c>
    </row>
    <row r="63" spans="3:23">
      <c r="C63" s="101" t="str">
        <f t="shared" si="1"/>
        <v/>
      </c>
      <c r="D63" s="32"/>
      <c r="E63" s="32"/>
      <c r="F63" s="32"/>
      <c r="G63" s="91"/>
      <c r="H63" s="91"/>
      <c r="I63" s="115"/>
      <c r="J63" s="92"/>
      <c r="K63" s="92"/>
      <c r="L63" s="93"/>
      <c r="M63" s="94"/>
      <c r="N63" s="117"/>
      <c r="O63" s="103"/>
      <c r="P63" s="104"/>
      <c r="Q63" s="110"/>
      <c r="R63" s="32"/>
      <c r="S63" s="32"/>
      <c r="T63" s="39"/>
      <c r="U63" s="143" t="str">
        <f>IF(C63="","",SUMIF('Coil to Slit'!B:B,C63,'Coil to Slit'!G:G))</f>
        <v/>
      </c>
      <c r="V63" s="67" t="str">
        <f t="shared" si="0"/>
        <v/>
      </c>
      <c r="W63" s="78" t="str">
        <f>IF(C63="","",IF(COUNTIF(C$3:C63,C63)&gt;1,"⚠ DUPLICATE ID",""))</f>
        <v/>
      </c>
    </row>
    <row r="64" spans="3:23">
      <c r="C64" s="101" t="str">
        <f t="shared" si="1"/>
        <v/>
      </c>
      <c r="D64" s="32"/>
      <c r="E64" s="32"/>
      <c r="F64" s="32"/>
      <c r="G64" s="91"/>
      <c r="H64" s="91"/>
      <c r="I64" s="115"/>
      <c r="J64" s="92"/>
      <c r="K64" s="92"/>
      <c r="L64" s="93"/>
      <c r="M64" s="94"/>
      <c r="N64" s="117"/>
      <c r="O64" s="103"/>
      <c r="P64" s="104"/>
      <c r="Q64" s="110"/>
      <c r="R64" s="32"/>
      <c r="S64" s="32"/>
      <c r="T64" s="39"/>
      <c r="U64" s="143" t="str">
        <f>IF(C64="","",SUMIF('Coil to Slit'!B:B,C64,'Coil to Slit'!G:G))</f>
        <v/>
      </c>
      <c r="V64" s="67" t="str">
        <f t="shared" si="0"/>
        <v/>
      </c>
      <c r="W64" s="78" t="str">
        <f>IF(C64="","",IF(COUNTIF(C$3:C64,C64)&gt;1,"⚠ DUPLICATE ID",""))</f>
        <v/>
      </c>
    </row>
    <row r="65" spans="3:23">
      <c r="C65" s="101" t="str">
        <f t="shared" si="1"/>
        <v/>
      </c>
      <c r="D65" s="32"/>
      <c r="E65" s="32"/>
      <c r="F65" s="32"/>
      <c r="G65" s="91"/>
      <c r="H65" s="91"/>
      <c r="I65" s="115"/>
      <c r="J65" s="92"/>
      <c r="K65" s="92"/>
      <c r="L65" s="93"/>
      <c r="M65" s="94"/>
      <c r="N65" s="117"/>
      <c r="O65" s="103"/>
      <c r="P65" s="104"/>
      <c r="Q65" s="110"/>
      <c r="R65" s="32"/>
      <c r="S65" s="32"/>
      <c r="T65" s="39"/>
      <c r="U65" s="143" t="str">
        <f>IF(C65="","",SUMIF('Coil to Slit'!B:B,C65,'Coil to Slit'!G:G))</f>
        <v/>
      </c>
      <c r="V65" s="67" t="str">
        <f t="shared" si="0"/>
        <v/>
      </c>
      <c r="W65" s="78" t="str">
        <f>IF(C65="","",IF(COUNTIF(C$3:C65,C65)&gt;1,"⚠ DUPLICATE ID",""))</f>
        <v/>
      </c>
    </row>
    <row r="66" spans="3:23">
      <c r="C66" s="101" t="str">
        <f t="shared" si="1"/>
        <v/>
      </c>
      <c r="D66" s="32"/>
      <c r="E66" s="32"/>
      <c r="F66" s="32"/>
      <c r="G66" s="91"/>
      <c r="H66" s="91"/>
      <c r="I66" s="115"/>
      <c r="J66" s="92"/>
      <c r="K66" s="92"/>
      <c r="L66" s="93"/>
      <c r="M66" s="94"/>
      <c r="N66" s="117"/>
      <c r="O66" s="103"/>
      <c r="P66" s="104"/>
      <c r="Q66" s="110"/>
      <c r="R66" s="32"/>
      <c r="S66" s="32"/>
      <c r="T66" s="39"/>
      <c r="U66" s="143" t="str">
        <f>IF(C66="","",SUMIF('Coil to Slit'!B:B,C66,'Coil to Slit'!G:G))</f>
        <v/>
      </c>
      <c r="V66" s="67" t="str">
        <f t="shared" si="0"/>
        <v/>
      </c>
      <c r="W66" s="78" t="str">
        <f>IF(C66="","",IF(COUNTIF(C$3:C66,C66)&gt;1,"⚠ DUPLICATE ID",""))</f>
        <v/>
      </c>
    </row>
    <row r="67" spans="3:23">
      <c r="C67" s="101" t="str">
        <f t="shared" si="1"/>
        <v/>
      </c>
      <c r="D67" s="32"/>
      <c r="E67" s="32"/>
      <c r="F67" s="32"/>
      <c r="G67" s="91"/>
      <c r="H67" s="91"/>
      <c r="I67" s="115"/>
      <c r="J67" s="92"/>
      <c r="K67" s="92"/>
      <c r="L67" s="93"/>
      <c r="M67" s="94"/>
      <c r="N67" s="117"/>
      <c r="O67" s="103"/>
      <c r="P67" s="104"/>
      <c r="Q67" s="110"/>
      <c r="R67" s="32"/>
      <c r="S67" s="32"/>
      <c r="T67" s="39"/>
      <c r="U67" s="143" t="str">
        <f>IF(C67="","",SUMIF('Coil to Slit'!B:B,C67,'Coil to Slit'!G:G))</f>
        <v/>
      </c>
      <c r="V67" s="67" t="str">
        <f t="shared" si="0"/>
        <v/>
      </c>
      <c r="W67" s="78" t="str">
        <f>IF(C67="","",IF(COUNTIF(C$3:C67,C67)&gt;1,"⚠ DUPLICATE ID",""))</f>
        <v/>
      </c>
    </row>
    <row r="68" spans="3:23">
      <c r="C68" s="101" t="str">
        <f t="shared" si="1"/>
        <v/>
      </c>
      <c r="D68" s="32"/>
      <c r="E68" s="32"/>
      <c r="F68" s="32"/>
      <c r="G68" s="91"/>
      <c r="H68" s="91"/>
      <c r="I68" s="115"/>
      <c r="J68" s="92"/>
      <c r="K68" s="92"/>
      <c r="L68" s="93"/>
      <c r="M68" s="94"/>
      <c r="N68" s="117"/>
      <c r="O68" s="103"/>
      <c r="P68" s="104"/>
      <c r="Q68" s="110"/>
      <c r="R68" s="32"/>
      <c r="S68" s="32"/>
      <c r="T68" s="39"/>
      <c r="U68" s="143" t="str">
        <f>IF(C68="","",SUMIF('Coil to Slit'!B:B,C68,'Coil to Slit'!G:G))</f>
        <v/>
      </c>
      <c r="V68" s="67" t="str">
        <f t="shared" si="0"/>
        <v/>
      </c>
      <c r="W68" s="78" t="str">
        <f>IF(C68="","",IF(COUNTIF(C$3:C68,C68)&gt;1,"⚠ DUPLICATE ID",""))</f>
        <v/>
      </c>
    </row>
    <row r="69" spans="3:23">
      <c r="C69" s="101" t="str">
        <f t="shared" si="1"/>
        <v/>
      </c>
      <c r="D69" s="32"/>
      <c r="E69" s="32"/>
      <c r="F69" s="32"/>
      <c r="G69" s="91"/>
      <c r="H69" s="91"/>
      <c r="I69" s="115"/>
      <c r="J69" s="92"/>
      <c r="K69" s="92"/>
      <c r="L69" s="93"/>
      <c r="M69" s="94"/>
      <c r="N69" s="117"/>
      <c r="O69" s="103"/>
      <c r="P69" s="104"/>
      <c r="Q69" s="110"/>
      <c r="R69" s="32"/>
      <c r="S69" s="32"/>
      <c r="T69" s="39"/>
      <c r="U69" s="143" t="str">
        <f>IF(C69="","",SUMIF('Coil to Slit'!B:B,C69,'Coil to Slit'!G:G))</f>
        <v/>
      </c>
      <c r="V69" s="67" t="str">
        <f t="shared" si="0"/>
        <v/>
      </c>
      <c r="W69" s="78" t="str">
        <f>IF(C69="","",IF(COUNTIF(C$3:C69,C69)&gt;1,"⚠ DUPLICATE ID",""))</f>
        <v/>
      </c>
    </row>
    <row r="70" spans="3:23">
      <c r="C70" s="101" t="str">
        <f t="shared" si="1"/>
        <v/>
      </c>
      <c r="D70" s="32"/>
      <c r="E70" s="32"/>
      <c r="F70" s="32"/>
      <c r="G70" s="91"/>
      <c r="H70" s="91"/>
      <c r="I70" s="115"/>
      <c r="J70" s="92"/>
      <c r="K70" s="92"/>
      <c r="L70" s="93"/>
      <c r="M70" s="94"/>
      <c r="N70" s="117"/>
      <c r="O70" s="103"/>
      <c r="P70" s="104"/>
      <c r="Q70" s="110"/>
      <c r="R70" s="32"/>
      <c r="S70" s="32"/>
      <c r="T70" s="39"/>
      <c r="U70" s="143" t="str">
        <f>IF(C70="","",SUMIF('Coil to Slit'!B:B,C70,'Coil to Slit'!G:G))</f>
        <v/>
      </c>
      <c r="V70" s="67" t="str">
        <f t="shared" ref="V70:V100" si="2">IF(U70="","",IF(I70="","⚠ NO PARENT WIDTH",IF(U70&gt;I70,"⚠ EXCEEDS PARENT","✔ OK")))</f>
        <v/>
      </c>
      <c r="W70" s="78" t="str">
        <f>IF(C70="","",IF(COUNTIF(C$3:C70,C70)&gt;1,"⚠ DUPLICATE ID",""))</f>
        <v/>
      </c>
    </row>
    <row r="71" spans="3:23">
      <c r="C71" s="101" t="str">
        <f t="shared" si="1"/>
        <v/>
      </c>
      <c r="D71" s="32"/>
      <c r="E71" s="32"/>
      <c r="F71" s="32"/>
      <c r="G71" s="91"/>
      <c r="H71" s="91"/>
      <c r="I71" s="115"/>
      <c r="J71" s="92"/>
      <c r="K71" s="92"/>
      <c r="L71" s="93"/>
      <c r="M71" s="94"/>
      <c r="N71" s="117"/>
      <c r="O71" s="103"/>
      <c r="P71" s="104"/>
      <c r="Q71" s="110"/>
      <c r="R71" s="32"/>
      <c r="S71" s="32"/>
      <c r="T71" s="39"/>
      <c r="U71" s="143" t="str">
        <f>IF(C71="","",SUMIF('Coil to Slit'!B:B,C71,'Coil to Slit'!G:G))</f>
        <v/>
      </c>
      <c r="V71" s="67" t="str">
        <f t="shared" si="2"/>
        <v/>
      </c>
      <c r="W71" s="78" t="str">
        <f>IF(C71="","",IF(COUNTIF(C$3:C71,C71)&gt;1,"⚠ DUPLICATE ID",""))</f>
        <v/>
      </c>
    </row>
    <row r="72" spans="3:23">
      <c r="C72" s="101" t="str">
        <f t="shared" si="1"/>
        <v/>
      </c>
      <c r="D72" s="32"/>
      <c r="E72" s="32"/>
      <c r="F72" s="32"/>
      <c r="G72" s="91"/>
      <c r="H72" s="91"/>
      <c r="I72" s="115"/>
      <c r="J72" s="92"/>
      <c r="K72" s="92"/>
      <c r="L72" s="93"/>
      <c r="M72" s="94"/>
      <c r="N72" s="117"/>
      <c r="O72" s="103"/>
      <c r="P72" s="104"/>
      <c r="Q72" s="110"/>
      <c r="R72" s="32"/>
      <c r="S72" s="32"/>
      <c r="T72" s="39"/>
      <c r="U72" s="143" t="str">
        <f>IF(C72="","",SUMIF('Coil to Slit'!B:B,C72,'Coil to Slit'!G:G))</f>
        <v/>
      </c>
      <c r="V72" s="67" t="str">
        <f t="shared" si="2"/>
        <v/>
      </c>
      <c r="W72" s="78" t="str">
        <f>IF(C72="","",IF(COUNTIF(C$3:C72,C72)&gt;1,"⚠ DUPLICATE ID",""))</f>
        <v/>
      </c>
    </row>
    <row r="73" spans="3:23">
      <c r="C73" s="101" t="str">
        <f t="shared" si="1"/>
        <v/>
      </c>
      <c r="D73" s="32"/>
      <c r="E73" s="32"/>
      <c r="F73" s="32"/>
      <c r="G73" s="91"/>
      <c r="H73" s="91"/>
      <c r="I73" s="115"/>
      <c r="J73" s="92"/>
      <c r="K73" s="92"/>
      <c r="L73" s="93"/>
      <c r="M73" s="94"/>
      <c r="N73" s="117"/>
      <c r="O73" s="103"/>
      <c r="P73" s="104"/>
      <c r="Q73" s="110"/>
      <c r="R73" s="32"/>
      <c r="S73" s="32"/>
      <c r="T73" s="39"/>
      <c r="U73" s="143" t="str">
        <f>IF(C73="","",SUMIF('Coil to Slit'!B:B,C73,'Coil to Slit'!G:G))</f>
        <v/>
      </c>
      <c r="V73" s="67" t="str">
        <f t="shared" si="2"/>
        <v/>
      </c>
      <c r="W73" s="78" t="str">
        <f>IF(C73="","",IF(COUNTIF(C$3:C73,C73)&gt;1,"⚠ DUPLICATE ID",""))</f>
        <v/>
      </c>
    </row>
    <row r="74" spans="3:23">
      <c r="C74" s="101" t="str">
        <f t="shared" si="1"/>
        <v/>
      </c>
      <c r="D74" s="32"/>
      <c r="E74" s="32"/>
      <c r="F74" s="32"/>
      <c r="G74" s="91"/>
      <c r="H74" s="91"/>
      <c r="I74" s="115"/>
      <c r="J74" s="92"/>
      <c r="K74" s="92"/>
      <c r="L74" s="93"/>
      <c r="M74" s="94"/>
      <c r="N74" s="117"/>
      <c r="O74" s="103"/>
      <c r="P74" s="104"/>
      <c r="Q74" s="110"/>
      <c r="R74" s="32"/>
      <c r="S74" s="32"/>
      <c r="T74" s="39"/>
      <c r="U74" s="143" t="str">
        <f>IF(C74="","",SUMIF('Coil to Slit'!B:B,C74,'Coil to Slit'!G:G))</f>
        <v/>
      </c>
      <c r="V74" s="67" t="str">
        <f t="shared" si="2"/>
        <v/>
      </c>
      <c r="W74" s="78" t="str">
        <f>IF(C74="","",IF(COUNTIF(C$3:C74,C74)&gt;1,"⚠ DUPLICATE ID",""))</f>
        <v/>
      </c>
    </row>
    <row r="75" spans="3:23">
      <c r="C75" s="101" t="str">
        <f t="shared" ref="C75:C100" si="3">IF(OR(A75="",B75=""),"","HYD-"&amp;TEXT(A75,"MMYY")&amp;"-"&amp;TEXT(B75,"00"))</f>
        <v/>
      </c>
      <c r="D75" s="32"/>
      <c r="E75" s="32"/>
      <c r="F75" s="32"/>
      <c r="G75" s="91"/>
      <c r="H75" s="91"/>
      <c r="I75" s="115"/>
      <c r="J75" s="92"/>
      <c r="K75" s="92"/>
      <c r="L75" s="93"/>
      <c r="M75" s="94"/>
      <c r="N75" s="117"/>
      <c r="O75" s="103"/>
      <c r="P75" s="104"/>
      <c r="Q75" s="110"/>
      <c r="R75" s="32"/>
      <c r="S75" s="32"/>
      <c r="T75" s="39"/>
      <c r="U75" s="143" t="str">
        <f>IF(C75="","",SUMIF('Coil to Slit'!B:B,C75,'Coil to Slit'!G:G))</f>
        <v/>
      </c>
      <c r="V75" s="67" t="str">
        <f t="shared" si="2"/>
        <v/>
      </c>
      <c r="W75" s="78" t="str">
        <f>IF(C75="","",IF(COUNTIF(C$3:C75,C75)&gt;1,"⚠ DUPLICATE ID",""))</f>
        <v/>
      </c>
    </row>
    <row r="76" spans="3:23">
      <c r="C76" s="101" t="str">
        <f t="shared" si="3"/>
        <v/>
      </c>
      <c r="D76" s="32"/>
      <c r="E76" s="32"/>
      <c r="F76" s="32"/>
      <c r="G76" s="91"/>
      <c r="H76" s="91"/>
      <c r="I76" s="115"/>
      <c r="J76" s="92"/>
      <c r="K76" s="92"/>
      <c r="L76" s="93"/>
      <c r="M76" s="94"/>
      <c r="N76" s="117"/>
      <c r="O76" s="103"/>
      <c r="P76" s="104"/>
      <c r="Q76" s="110"/>
      <c r="R76" s="32"/>
      <c r="S76" s="32"/>
      <c r="T76" s="39"/>
      <c r="U76" s="143" t="str">
        <f>IF(C76="","",SUMIF('Coil to Slit'!B:B,C76,'Coil to Slit'!G:G))</f>
        <v/>
      </c>
      <c r="V76" s="67" t="str">
        <f t="shared" si="2"/>
        <v/>
      </c>
      <c r="W76" s="78" t="str">
        <f>IF(C76="","",IF(COUNTIF(C$3:C76,C76)&gt;1,"⚠ DUPLICATE ID",""))</f>
        <v/>
      </c>
    </row>
    <row r="77" spans="3:23">
      <c r="C77" s="101" t="str">
        <f t="shared" si="3"/>
        <v/>
      </c>
      <c r="D77" s="32"/>
      <c r="E77" s="32"/>
      <c r="F77" s="32"/>
      <c r="G77" s="91"/>
      <c r="H77" s="91"/>
      <c r="I77" s="115"/>
      <c r="J77" s="92"/>
      <c r="K77" s="92"/>
      <c r="L77" s="93"/>
      <c r="M77" s="94"/>
      <c r="N77" s="117"/>
      <c r="O77" s="103"/>
      <c r="P77" s="104"/>
      <c r="Q77" s="110"/>
      <c r="R77" s="32"/>
      <c r="S77" s="32"/>
      <c r="T77" s="39"/>
      <c r="U77" s="143" t="str">
        <f>IF(C77="","",SUMIF('Coil to Slit'!B:B,C77,'Coil to Slit'!G:G))</f>
        <v/>
      </c>
      <c r="V77" s="67" t="str">
        <f t="shared" si="2"/>
        <v/>
      </c>
      <c r="W77" s="78" t="str">
        <f>IF(C77="","",IF(COUNTIF(C$3:C77,C77)&gt;1,"⚠ DUPLICATE ID",""))</f>
        <v/>
      </c>
    </row>
    <row r="78" spans="3:23">
      <c r="C78" s="101" t="str">
        <f t="shared" si="3"/>
        <v/>
      </c>
      <c r="D78" s="32"/>
      <c r="E78" s="32"/>
      <c r="F78" s="32"/>
      <c r="G78" s="91"/>
      <c r="H78" s="91"/>
      <c r="I78" s="115"/>
      <c r="J78" s="92"/>
      <c r="K78" s="92"/>
      <c r="L78" s="93"/>
      <c r="M78" s="94"/>
      <c r="N78" s="117"/>
      <c r="O78" s="103"/>
      <c r="P78" s="104"/>
      <c r="Q78" s="110"/>
      <c r="R78" s="32"/>
      <c r="S78" s="32"/>
      <c r="T78" s="39"/>
      <c r="U78" s="143" t="str">
        <f>IF(C78="","",SUMIF('Coil to Slit'!B:B,C78,'Coil to Slit'!G:G))</f>
        <v/>
      </c>
      <c r="V78" s="67" t="str">
        <f t="shared" si="2"/>
        <v/>
      </c>
      <c r="W78" s="78" t="str">
        <f>IF(C78="","",IF(COUNTIF(C$3:C78,C78)&gt;1,"⚠ DUPLICATE ID",""))</f>
        <v/>
      </c>
    </row>
    <row r="79" spans="3:23">
      <c r="C79" s="101" t="str">
        <f t="shared" si="3"/>
        <v/>
      </c>
      <c r="D79" s="32"/>
      <c r="E79" s="32"/>
      <c r="F79" s="32"/>
      <c r="G79" s="91"/>
      <c r="H79" s="91"/>
      <c r="I79" s="115"/>
      <c r="J79" s="92"/>
      <c r="K79" s="92"/>
      <c r="L79" s="93"/>
      <c r="M79" s="94"/>
      <c r="N79" s="117"/>
      <c r="O79" s="103"/>
      <c r="P79" s="104"/>
      <c r="Q79" s="110"/>
      <c r="R79" s="32"/>
      <c r="S79" s="32"/>
      <c r="T79" s="39"/>
      <c r="U79" s="143" t="str">
        <f>IF(C79="","",SUMIF('Coil to Slit'!B:B,C79,'Coil to Slit'!G:G))</f>
        <v/>
      </c>
      <c r="V79" s="67" t="str">
        <f t="shared" si="2"/>
        <v/>
      </c>
      <c r="W79" s="78" t="str">
        <f>IF(C79="","",IF(COUNTIF(C$3:C79,C79)&gt;1,"⚠ DUPLICATE ID",""))</f>
        <v/>
      </c>
    </row>
    <row r="80" spans="3:23">
      <c r="C80" s="101" t="str">
        <f t="shared" si="3"/>
        <v/>
      </c>
      <c r="D80" s="32"/>
      <c r="E80" s="32"/>
      <c r="F80" s="32"/>
      <c r="G80" s="91"/>
      <c r="H80" s="91"/>
      <c r="I80" s="115"/>
      <c r="J80" s="92"/>
      <c r="K80" s="92"/>
      <c r="L80" s="93"/>
      <c r="M80" s="94"/>
      <c r="N80" s="117"/>
      <c r="O80" s="103"/>
      <c r="P80" s="104"/>
      <c r="Q80" s="110"/>
      <c r="R80" s="32"/>
      <c r="S80" s="32"/>
      <c r="T80" s="39"/>
      <c r="U80" s="143" t="str">
        <f>IF(C80="","",SUMIF('Coil to Slit'!B:B,C80,'Coil to Slit'!G:G))</f>
        <v/>
      </c>
      <c r="V80" s="67" t="str">
        <f t="shared" si="2"/>
        <v/>
      </c>
      <c r="W80" s="78" t="str">
        <f>IF(C80="","",IF(COUNTIF(C$3:C80,C80)&gt;1,"⚠ DUPLICATE ID",""))</f>
        <v/>
      </c>
    </row>
    <row r="81" spans="3:23">
      <c r="C81" s="101" t="str">
        <f t="shared" si="3"/>
        <v/>
      </c>
      <c r="D81" s="32"/>
      <c r="E81" s="32"/>
      <c r="F81" s="32"/>
      <c r="G81" s="91"/>
      <c r="H81" s="91"/>
      <c r="I81" s="115"/>
      <c r="J81" s="92"/>
      <c r="K81" s="92"/>
      <c r="L81" s="93"/>
      <c r="M81" s="94"/>
      <c r="N81" s="117"/>
      <c r="O81" s="103"/>
      <c r="P81" s="104"/>
      <c r="Q81" s="110"/>
      <c r="R81" s="32"/>
      <c r="S81" s="32"/>
      <c r="T81" s="39"/>
      <c r="U81" s="143" t="str">
        <f>IF(C81="","",SUMIF('Coil to Slit'!B:B,C81,'Coil to Slit'!G:G))</f>
        <v/>
      </c>
      <c r="V81" s="67" t="str">
        <f t="shared" si="2"/>
        <v/>
      </c>
      <c r="W81" s="78" t="str">
        <f>IF(C81="","",IF(COUNTIF(C$3:C81,C81)&gt;1,"⚠ DUPLICATE ID",""))</f>
        <v/>
      </c>
    </row>
    <row r="82" spans="3:23">
      <c r="C82" s="101" t="str">
        <f t="shared" si="3"/>
        <v/>
      </c>
      <c r="D82" s="32"/>
      <c r="E82" s="32"/>
      <c r="F82" s="32"/>
      <c r="G82" s="91"/>
      <c r="H82" s="91"/>
      <c r="I82" s="115"/>
      <c r="J82" s="92"/>
      <c r="K82" s="92"/>
      <c r="L82" s="93"/>
      <c r="M82" s="94"/>
      <c r="N82" s="117"/>
      <c r="O82" s="103"/>
      <c r="P82" s="104"/>
      <c r="Q82" s="110"/>
      <c r="R82" s="32"/>
      <c r="S82" s="32"/>
      <c r="T82" s="39"/>
      <c r="U82" s="143" t="str">
        <f>IF(C82="","",SUMIF('Coil to Slit'!B:B,C82,'Coil to Slit'!G:G))</f>
        <v/>
      </c>
      <c r="V82" s="67" t="str">
        <f t="shared" si="2"/>
        <v/>
      </c>
      <c r="W82" s="78" t="str">
        <f>IF(C82="","",IF(COUNTIF(C$3:C82,C82)&gt;1,"⚠ DUPLICATE ID",""))</f>
        <v/>
      </c>
    </row>
    <row r="83" spans="3:23">
      <c r="C83" s="101" t="str">
        <f t="shared" si="3"/>
        <v/>
      </c>
      <c r="D83" s="32"/>
      <c r="E83" s="32"/>
      <c r="F83" s="32"/>
      <c r="G83" s="91"/>
      <c r="H83" s="91"/>
      <c r="I83" s="115"/>
      <c r="J83" s="92"/>
      <c r="K83" s="92"/>
      <c r="L83" s="93"/>
      <c r="M83" s="94"/>
      <c r="N83" s="117"/>
      <c r="O83" s="103"/>
      <c r="P83" s="104"/>
      <c r="Q83" s="110"/>
      <c r="R83" s="32"/>
      <c r="S83" s="32"/>
      <c r="T83" s="39"/>
      <c r="U83" s="143" t="str">
        <f>IF(C83="","",SUMIF('Coil to Slit'!B:B,C83,'Coil to Slit'!G:G))</f>
        <v/>
      </c>
      <c r="V83" s="67" t="str">
        <f t="shared" si="2"/>
        <v/>
      </c>
      <c r="W83" s="78" t="str">
        <f>IF(C83="","",IF(COUNTIF(C$3:C83,C83)&gt;1,"⚠ DUPLICATE ID",""))</f>
        <v/>
      </c>
    </row>
    <row r="84" spans="3:23">
      <c r="C84" s="101" t="str">
        <f t="shared" si="3"/>
        <v/>
      </c>
      <c r="D84" s="32"/>
      <c r="E84" s="32"/>
      <c r="F84" s="32"/>
      <c r="G84" s="91"/>
      <c r="H84" s="91"/>
      <c r="I84" s="115"/>
      <c r="J84" s="92"/>
      <c r="K84" s="92"/>
      <c r="L84" s="93"/>
      <c r="M84" s="94"/>
      <c r="N84" s="117"/>
      <c r="O84" s="103"/>
      <c r="P84" s="104"/>
      <c r="Q84" s="110"/>
      <c r="R84" s="32"/>
      <c r="S84" s="32"/>
      <c r="T84" s="39"/>
      <c r="U84" s="143" t="str">
        <f>IF(C84="","",SUMIF('Coil to Slit'!B:B,C84,'Coil to Slit'!G:G))</f>
        <v/>
      </c>
      <c r="V84" s="67" t="str">
        <f t="shared" si="2"/>
        <v/>
      </c>
      <c r="W84" s="78" t="str">
        <f>IF(C84="","",IF(COUNTIF(C$3:C84,C84)&gt;1,"⚠ DUPLICATE ID",""))</f>
        <v/>
      </c>
    </row>
    <row r="85" spans="3:23">
      <c r="C85" s="101" t="str">
        <f t="shared" si="3"/>
        <v/>
      </c>
      <c r="D85" s="32"/>
      <c r="E85" s="32"/>
      <c r="F85" s="32"/>
      <c r="G85" s="91"/>
      <c r="H85" s="91"/>
      <c r="I85" s="115"/>
      <c r="J85" s="92"/>
      <c r="K85" s="92"/>
      <c r="L85" s="93"/>
      <c r="M85" s="94"/>
      <c r="N85" s="117"/>
      <c r="O85" s="103"/>
      <c r="P85" s="104"/>
      <c r="Q85" s="110"/>
      <c r="R85" s="32"/>
      <c r="S85" s="32"/>
      <c r="T85" s="39"/>
      <c r="U85" s="143" t="str">
        <f>IF(C85="","",SUMIF('Coil to Slit'!B:B,C85,'Coil to Slit'!G:G))</f>
        <v/>
      </c>
      <c r="V85" s="67" t="str">
        <f t="shared" si="2"/>
        <v/>
      </c>
      <c r="W85" s="78" t="str">
        <f>IF(C85="","",IF(COUNTIF(C$3:C85,C85)&gt;1,"⚠ DUPLICATE ID",""))</f>
        <v/>
      </c>
    </row>
    <row r="86" spans="3:23">
      <c r="C86" s="101" t="str">
        <f t="shared" si="3"/>
        <v/>
      </c>
      <c r="D86" s="32"/>
      <c r="E86" s="32"/>
      <c r="F86" s="32"/>
      <c r="G86" s="91"/>
      <c r="H86" s="91"/>
      <c r="I86" s="115"/>
      <c r="J86" s="92"/>
      <c r="K86" s="92"/>
      <c r="L86" s="93"/>
      <c r="M86" s="94"/>
      <c r="N86" s="117"/>
      <c r="O86" s="103"/>
      <c r="P86" s="104"/>
      <c r="Q86" s="110"/>
      <c r="R86" s="32"/>
      <c r="S86" s="32"/>
      <c r="T86" s="39"/>
      <c r="U86" s="143" t="str">
        <f>IF(C86="","",SUMIF('Coil to Slit'!B:B,C86,'Coil to Slit'!G:G))</f>
        <v/>
      </c>
      <c r="V86" s="67" t="str">
        <f t="shared" si="2"/>
        <v/>
      </c>
      <c r="W86" s="78" t="str">
        <f>IF(C86="","",IF(COUNTIF(C$3:C86,C86)&gt;1,"⚠ DUPLICATE ID",""))</f>
        <v/>
      </c>
    </row>
    <row r="87" spans="3:23">
      <c r="C87" s="101" t="str">
        <f t="shared" si="3"/>
        <v/>
      </c>
      <c r="D87" s="32"/>
      <c r="E87" s="32"/>
      <c r="F87" s="32"/>
      <c r="G87" s="91"/>
      <c r="H87" s="91"/>
      <c r="I87" s="115"/>
      <c r="J87" s="92"/>
      <c r="K87" s="92"/>
      <c r="L87" s="93"/>
      <c r="M87" s="94"/>
      <c r="N87" s="117"/>
      <c r="O87" s="103"/>
      <c r="P87" s="104"/>
      <c r="Q87" s="110"/>
      <c r="R87" s="32"/>
      <c r="S87" s="32"/>
      <c r="T87" s="39"/>
      <c r="U87" s="143" t="str">
        <f>IF(C87="","",SUMIF('Coil to Slit'!B:B,C87,'Coil to Slit'!G:G))</f>
        <v/>
      </c>
      <c r="V87" s="67" t="str">
        <f t="shared" si="2"/>
        <v/>
      </c>
      <c r="W87" s="78" t="str">
        <f>IF(C87="","",IF(COUNTIF(C$3:C87,C87)&gt;1,"⚠ DUPLICATE ID",""))</f>
        <v/>
      </c>
    </row>
    <row r="88" spans="3:23">
      <c r="C88" s="101" t="str">
        <f t="shared" si="3"/>
        <v/>
      </c>
      <c r="D88" s="32"/>
      <c r="E88" s="32"/>
      <c r="F88" s="32"/>
      <c r="G88" s="91"/>
      <c r="H88" s="91"/>
      <c r="I88" s="115"/>
      <c r="J88" s="92"/>
      <c r="K88" s="92"/>
      <c r="L88" s="93"/>
      <c r="M88" s="94"/>
      <c r="N88" s="117"/>
      <c r="O88" s="103"/>
      <c r="P88" s="104"/>
      <c r="Q88" s="110"/>
      <c r="R88" s="32"/>
      <c r="S88" s="32"/>
      <c r="T88" s="39"/>
      <c r="U88" s="143" t="str">
        <f>IF(C88="","",SUMIF('Coil to Slit'!B:B,C88,'Coil to Slit'!G:G))</f>
        <v/>
      </c>
      <c r="V88" s="67" t="str">
        <f t="shared" si="2"/>
        <v/>
      </c>
      <c r="W88" s="78" t="str">
        <f>IF(C88="","",IF(COUNTIF(C$3:C88,C88)&gt;1,"⚠ DUPLICATE ID",""))</f>
        <v/>
      </c>
    </row>
    <row r="89" spans="3:23">
      <c r="C89" s="101" t="str">
        <f t="shared" si="3"/>
        <v/>
      </c>
      <c r="D89" s="32"/>
      <c r="E89" s="32"/>
      <c r="F89" s="32"/>
      <c r="G89" s="91"/>
      <c r="H89" s="91"/>
      <c r="I89" s="115"/>
      <c r="J89" s="92"/>
      <c r="K89" s="92"/>
      <c r="L89" s="93"/>
      <c r="M89" s="94"/>
      <c r="N89" s="117"/>
      <c r="O89" s="103"/>
      <c r="P89" s="104"/>
      <c r="Q89" s="110"/>
      <c r="R89" s="32"/>
      <c r="S89" s="32"/>
      <c r="T89" s="39"/>
      <c r="U89" s="143" t="str">
        <f>IF(C89="","",SUMIF('Coil to Slit'!B:B,C89,'Coil to Slit'!G:G))</f>
        <v/>
      </c>
      <c r="V89" s="67" t="str">
        <f t="shared" si="2"/>
        <v/>
      </c>
      <c r="W89" s="78" t="str">
        <f>IF(C89="","",IF(COUNTIF(C$3:C89,C89)&gt;1,"⚠ DUPLICATE ID",""))</f>
        <v/>
      </c>
    </row>
    <row r="90" spans="3:23">
      <c r="C90" s="101" t="str">
        <f t="shared" si="3"/>
        <v/>
      </c>
      <c r="D90" s="32"/>
      <c r="E90" s="32"/>
      <c r="F90" s="32"/>
      <c r="G90" s="91"/>
      <c r="H90" s="91"/>
      <c r="I90" s="115"/>
      <c r="J90" s="92"/>
      <c r="K90" s="92"/>
      <c r="L90" s="93"/>
      <c r="M90" s="94"/>
      <c r="N90" s="117"/>
      <c r="O90" s="103"/>
      <c r="P90" s="104"/>
      <c r="Q90" s="110"/>
      <c r="R90" s="32"/>
      <c r="S90" s="32"/>
      <c r="T90" s="39"/>
      <c r="U90" s="143" t="str">
        <f>IF(C90="","",SUMIF('Coil to Slit'!B:B,C90,'Coil to Slit'!G:G))</f>
        <v/>
      </c>
      <c r="V90" s="67" t="str">
        <f t="shared" si="2"/>
        <v/>
      </c>
      <c r="W90" s="78" t="str">
        <f>IF(C90="","",IF(COUNTIF(C$3:C90,C90)&gt;1,"⚠ DUPLICATE ID",""))</f>
        <v/>
      </c>
    </row>
    <row r="91" spans="3:23">
      <c r="C91" s="101" t="str">
        <f t="shared" si="3"/>
        <v/>
      </c>
      <c r="D91" s="32"/>
      <c r="E91" s="32"/>
      <c r="F91" s="32"/>
      <c r="G91" s="91"/>
      <c r="H91" s="91"/>
      <c r="I91" s="115"/>
      <c r="J91" s="92"/>
      <c r="K91" s="92"/>
      <c r="L91" s="93"/>
      <c r="M91" s="94"/>
      <c r="N91" s="117"/>
      <c r="O91" s="103"/>
      <c r="P91" s="104"/>
      <c r="Q91" s="110"/>
      <c r="R91" s="32"/>
      <c r="S91" s="32"/>
      <c r="T91" s="39"/>
      <c r="U91" s="143" t="str">
        <f>IF(C91="","",SUMIF('Coil to Slit'!B:B,C91,'Coil to Slit'!G:G))</f>
        <v/>
      </c>
      <c r="V91" s="67" t="str">
        <f t="shared" si="2"/>
        <v/>
      </c>
      <c r="W91" s="78" t="str">
        <f>IF(C91="","",IF(COUNTIF(C$3:C91,C91)&gt;1,"⚠ DUPLICATE ID",""))</f>
        <v/>
      </c>
    </row>
    <row r="92" spans="3:23">
      <c r="C92" s="101" t="str">
        <f t="shared" si="3"/>
        <v/>
      </c>
      <c r="D92" s="32"/>
      <c r="E92" s="32"/>
      <c r="F92" s="32"/>
      <c r="G92" s="91"/>
      <c r="H92" s="91"/>
      <c r="I92" s="115"/>
      <c r="J92" s="92"/>
      <c r="K92" s="92"/>
      <c r="L92" s="93"/>
      <c r="M92" s="94"/>
      <c r="N92" s="117"/>
      <c r="O92" s="103"/>
      <c r="P92" s="104"/>
      <c r="Q92" s="110"/>
      <c r="R92" s="32"/>
      <c r="S92" s="32"/>
      <c r="T92" s="39"/>
      <c r="U92" s="143" t="str">
        <f>IF(C92="","",SUMIF('Coil to Slit'!B:B,C92,'Coil to Slit'!G:G))</f>
        <v/>
      </c>
      <c r="V92" s="67" t="str">
        <f t="shared" si="2"/>
        <v/>
      </c>
      <c r="W92" s="78" t="str">
        <f>IF(C92="","",IF(COUNTIF(C$3:C92,C92)&gt;1,"⚠ DUPLICATE ID",""))</f>
        <v/>
      </c>
    </row>
    <row r="93" spans="3:23">
      <c r="C93" s="101" t="str">
        <f t="shared" si="3"/>
        <v/>
      </c>
      <c r="D93" s="32"/>
      <c r="E93" s="32"/>
      <c r="F93" s="32"/>
      <c r="G93" s="91"/>
      <c r="H93" s="91"/>
      <c r="I93" s="115"/>
      <c r="J93" s="92"/>
      <c r="K93" s="92"/>
      <c r="L93" s="93"/>
      <c r="M93" s="94"/>
      <c r="N93" s="117"/>
      <c r="O93" s="103"/>
      <c r="P93" s="104"/>
      <c r="Q93" s="110"/>
      <c r="R93" s="32"/>
      <c r="S93" s="32"/>
      <c r="T93" s="39"/>
      <c r="U93" s="143" t="str">
        <f>IF(C93="","",SUMIF('Coil to Slit'!B:B,C93,'Coil to Slit'!G:G))</f>
        <v/>
      </c>
      <c r="V93" s="67" t="str">
        <f t="shared" si="2"/>
        <v/>
      </c>
      <c r="W93" s="78" t="str">
        <f>IF(C93="","",IF(COUNTIF(C$3:C93,C93)&gt;1,"⚠ DUPLICATE ID",""))</f>
        <v/>
      </c>
    </row>
    <row r="94" spans="3:23">
      <c r="C94" s="101" t="str">
        <f t="shared" si="3"/>
        <v/>
      </c>
      <c r="D94" s="32"/>
      <c r="E94" s="32"/>
      <c r="F94" s="32"/>
      <c r="G94" s="91"/>
      <c r="H94" s="91"/>
      <c r="I94" s="115"/>
      <c r="J94" s="92"/>
      <c r="K94" s="92"/>
      <c r="L94" s="93"/>
      <c r="M94" s="94"/>
      <c r="N94" s="117"/>
      <c r="O94" s="103"/>
      <c r="P94" s="104"/>
      <c r="Q94" s="110"/>
      <c r="R94" s="32"/>
      <c r="S94" s="32"/>
      <c r="T94" s="39"/>
      <c r="U94" s="143" t="str">
        <f>IF(C94="","",SUMIF('Coil to Slit'!B:B,C94,'Coil to Slit'!G:G))</f>
        <v/>
      </c>
      <c r="V94" s="67" t="str">
        <f t="shared" si="2"/>
        <v/>
      </c>
      <c r="W94" s="78" t="str">
        <f>IF(C94="","",IF(COUNTIF(C$3:C94,C94)&gt;1,"⚠ DUPLICATE ID",""))</f>
        <v/>
      </c>
    </row>
    <row r="95" spans="3:23">
      <c r="C95" s="101" t="str">
        <f t="shared" si="3"/>
        <v/>
      </c>
      <c r="D95" s="32"/>
      <c r="E95" s="32"/>
      <c r="F95" s="32"/>
      <c r="G95" s="91"/>
      <c r="H95" s="91"/>
      <c r="I95" s="115"/>
      <c r="J95" s="92"/>
      <c r="K95" s="92"/>
      <c r="L95" s="93"/>
      <c r="M95" s="94"/>
      <c r="N95" s="117"/>
      <c r="O95" s="103"/>
      <c r="P95" s="104"/>
      <c r="Q95" s="110"/>
      <c r="R95" s="32"/>
      <c r="S95" s="32"/>
      <c r="T95" s="39"/>
      <c r="U95" s="143" t="str">
        <f>IF(C95="","",SUMIF('Coil to Slit'!B:B,C95,'Coil to Slit'!G:G))</f>
        <v/>
      </c>
      <c r="V95" s="67" t="str">
        <f t="shared" si="2"/>
        <v/>
      </c>
      <c r="W95" s="78" t="str">
        <f>IF(C95="","",IF(COUNTIF(C$3:C95,C95)&gt;1,"⚠ DUPLICATE ID",""))</f>
        <v/>
      </c>
    </row>
    <row r="96" spans="3:23">
      <c r="C96" s="101" t="str">
        <f t="shared" si="3"/>
        <v/>
      </c>
      <c r="D96" s="32"/>
      <c r="E96" s="32"/>
      <c r="F96" s="32"/>
      <c r="G96" s="91"/>
      <c r="H96" s="91"/>
      <c r="I96" s="115"/>
      <c r="J96" s="92"/>
      <c r="K96" s="92"/>
      <c r="L96" s="93"/>
      <c r="M96" s="94"/>
      <c r="N96" s="117"/>
      <c r="O96" s="103"/>
      <c r="P96" s="104"/>
      <c r="Q96" s="110"/>
      <c r="R96" s="32"/>
      <c r="S96" s="32"/>
      <c r="T96" s="39"/>
      <c r="U96" s="143" t="str">
        <f>IF(C96="","",SUMIF('Coil to Slit'!B:B,C96,'Coil to Slit'!G:G))</f>
        <v/>
      </c>
      <c r="V96" s="67" t="str">
        <f t="shared" si="2"/>
        <v/>
      </c>
      <c r="W96" s="78" t="str">
        <f>IF(C96="","",IF(COUNTIF(C$3:C96,C96)&gt;1,"⚠ DUPLICATE ID",""))</f>
        <v/>
      </c>
    </row>
    <row r="97" spans="3:23">
      <c r="C97" s="101" t="str">
        <f t="shared" si="3"/>
        <v/>
      </c>
      <c r="D97" s="32"/>
      <c r="E97" s="32"/>
      <c r="F97" s="32"/>
      <c r="G97" s="91"/>
      <c r="H97" s="91"/>
      <c r="I97" s="115"/>
      <c r="J97" s="92"/>
      <c r="K97" s="92"/>
      <c r="L97" s="93"/>
      <c r="M97" s="94"/>
      <c r="N97" s="117"/>
      <c r="O97" s="103"/>
      <c r="P97" s="104"/>
      <c r="Q97" s="110"/>
      <c r="R97" s="32"/>
      <c r="S97" s="32"/>
      <c r="T97" s="39"/>
      <c r="U97" s="143" t="str">
        <f>IF(C97="","",SUMIF('Coil to Slit'!B:B,C97,'Coil to Slit'!G:G))</f>
        <v/>
      </c>
      <c r="V97" s="67" t="str">
        <f t="shared" si="2"/>
        <v/>
      </c>
      <c r="W97" s="78" t="str">
        <f>IF(C97="","",IF(COUNTIF(C$3:C97,C97)&gt;1,"⚠ DUPLICATE ID",""))</f>
        <v/>
      </c>
    </row>
    <row r="98" spans="3:23">
      <c r="C98" s="101" t="str">
        <f t="shared" si="3"/>
        <v/>
      </c>
      <c r="D98" s="32"/>
      <c r="E98" s="32"/>
      <c r="F98" s="32"/>
      <c r="G98" s="91"/>
      <c r="H98" s="91"/>
      <c r="I98" s="115"/>
      <c r="J98" s="92"/>
      <c r="K98" s="92"/>
      <c r="L98" s="93"/>
      <c r="M98" s="94"/>
      <c r="N98" s="117"/>
      <c r="O98" s="103"/>
      <c r="P98" s="104"/>
      <c r="Q98" s="110"/>
      <c r="R98" s="32"/>
      <c r="S98" s="32"/>
      <c r="T98" s="39"/>
      <c r="U98" s="143" t="str">
        <f>IF(C98="","",SUMIF('Coil to Slit'!B:B,C98,'Coil to Slit'!G:G))</f>
        <v/>
      </c>
      <c r="V98" s="67" t="str">
        <f t="shared" si="2"/>
        <v/>
      </c>
      <c r="W98" s="78" t="str">
        <f>IF(C98="","",IF(COUNTIF(C$3:C98,C98)&gt;1,"⚠ DUPLICATE ID",""))</f>
        <v/>
      </c>
    </row>
    <row r="99" spans="3:23">
      <c r="C99" s="101" t="str">
        <f t="shared" si="3"/>
        <v/>
      </c>
      <c r="D99" s="32"/>
      <c r="E99" s="32"/>
      <c r="F99" s="32"/>
      <c r="G99" s="91"/>
      <c r="H99" s="91"/>
      <c r="I99" s="115"/>
      <c r="J99" s="92"/>
      <c r="K99" s="92"/>
      <c r="L99" s="93"/>
      <c r="M99" s="94"/>
      <c r="N99" s="117"/>
      <c r="O99" s="103"/>
      <c r="P99" s="104"/>
      <c r="Q99" s="110"/>
      <c r="R99" s="32"/>
      <c r="S99" s="32"/>
      <c r="T99" s="39"/>
      <c r="U99" s="143" t="str">
        <f>IF(C99="","",SUMIF('Coil to Slit'!B:B,C99,'Coil to Slit'!G:G))</f>
        <v/>
      </c>
      <c r="V99" s="67" t="str">
        <f t="shared" si="2"/>
        <v/>
      </c>
      <c r="W99" s="78" t="str">
        <f>IF(C99="","",IF(COUNTIF(C$3:C99,C99)&gt;1,"⚠ DUPLICATE ID",""))</f>
        <v/>
      </c>
    </row>
    <row r="100" spans="3:23">
      <c r="C100" s="101" t="str">
        <f t="shared" si="3"/>
        <v/>
      </c>
      <c r="D100" s="95"/>
      <c r="E100" s="95"/>
      <c r="F100" s="95"/>
      <c r="G100" s="96"/>
      <c r="H100" s="96"/>
      <c r="I100" s="116"/>
      <c r="J100" s="97"/>
      <c r="K100" s="97"/>
      <c r="L100" s="98"/>
      <c r="M100" s="99"/>
      <c r="N100" s="118"/>
      <c r="O100" s="105"/>
      <c r="P100" s="106"/>
      <c r="Q100" s="111"/>
      <c r="R100" s="95"/>
      <c r="S100" s="95"/>
      <c r="T100" s="109"/>
      <c r="U100" s="143" t="str">
        <f>IF(C100="","",SUMIF('Coil to Slit'!B:B,C100,'Coil to Slit'!G:G))</f>
        <v/>
      </c>
      <c r="V100" s="67" t="str">
        <f t="shared" si="2"/>
        <v/>
      </c>
      <c r="W100" s="78" t="str">
        <f>IF(C100="","",IF(COUNTIF(C$3:C100,C100)&gt;1,"⚠ DUPLICATE ID",""))</f>
        <v/>
      </c>
    </row>
    <row r="101" spans="3:23">
      <c r="G101" s="2"/>
      <c r="H101" s="2"/>
      <c r="I101" s="2"/>
      <c r="J101" s="3"/>
      <c r="K101" s="3"/>
      <c r="L101" s="3"/>
      <c r="P101" s="1"/>
      <c r="U101" s="3"/>
    </row>
    <row r="102" spans="3:23">
      <c r="G102" s="2"/>
      <c r="H102" s="2"/>
      <c r="I102" s="2"/>
      <c r="J102" s="3"/>
      <c r="K102" s="3"/>
      <c r="L102" s="3"/>
      <c r="P102" s="1"/>
      <c r="U102" s="3"/>
    </row>
    <row r="103" spans="3:23">
      <c r="G103" s="2"/>
      <c r="H103" s="2"/>
      <c r="I103" s="2"/>
      <c r="J103" s="3"/>
      <c r="K103" s="3"/>
      <c r="L103" s="3"/>
      <c r="P103" s="1"/>
      <c r="U103" s="3"/>
    </row>
    <row r="104" spans="3:23">
      <c r="G104" s="2"/>
      <c r="H104" s="2"/>
      <c r="I104" s="2"/>
      <c r="J104" s="3"/>
      <c r="K104" s="3"/>
      <c r="L104" s="3"/>
      <c r="P104" s="1"/>
      <c r="U104" s="3"/>
    </row>
    <row r="105" spans="3:23">
      <c r="G105" s="2"/>
      <c r="H105" s="2"/>
      <c r="I105" s="2"/>
      <c r="J105" s="3"/>
      <c r="K105" s="3"/>
      <c r="L105" s="3"/>
      <c r="P105" s="1"/>
      <c r="U105" s="3"/>
    </row>
    <row r="106" spans="3:23">
      <c r="G106" s="2"/>
      <c r="H106" s="2"/>
      <c r="I106" s="2"/>
      <c r="J106" s="3"/>
      <c r="K106" s="3"/>
      <c r="L106" s="3"/>
      <c r="P106" s="1"/>
      <c r="U106" s="3"/>
    </row>
    <row r="107" spans="3:23">
      <c r="G107" s="2"/>
      <c r="H107" s="2"/>
      <c r="I107" s="2"/>
      <c r="J107" s="3"/>
      <c r="K107" s="3"/>
      <c r="L107" s="3"/>
      <c r="P107" s="1"/>
      <c r="U107" s="3"/>
    </row>
    <row r="108" spans="3:23">
      <c r="G108" s="2"/>
      <c r="H108" s="2"/>
      <c r="I108" s="2"/>
      <c r="J108" s="3"/>
      <c r="K108" s="3"/>
      <c r="L108" s="3"/>
      <c r="P108" s="1"/>
      <c r="U108" s="3"/>
    </row>
    <row r="109" spans="3:23">
      <c r="G109" s="2"/>
      <c r="H109" s="2"/>
      <c r="I109" s="2"/>
      <c r="J109" s="3"/>
      <c r="K109" s="3"/>
      <c r="L109" s="3"/>
      <c r="P109" s="1"/>
      <c r="U109" s="3"/>
    </row>
    <row r="110" spans="3:23">
      <c r="G110" s="2"/>
      <c r="H110" s="2"/>
      <c r="I110" s="2"/>
      <c r="J110" s="3"/>
      <c r="K110" s="3"/>
      <c r="L110" s="3"/>
      <c r="P110" s="1"/>
      <c r="U110" s="3"/>
    </row>
    <row r="111" spans="3:23">
      <c r="G111" s="2"/>
      <c r="H111" s="2"/>
      <c r="I111" s="2"/>
      <c r="J111" s="3"/>
      <c r="K111" s="3"/>
      <c r="L111" s="3"/>
      <c r="P111" s="1"/>
      <c r="U111" s="3"/>
    </row>
    <row r="112" spans="3:23">
      <c r="G112" s="2"/>
      <c r="H112" s="2"/>
      <c r="I112" s="2"/>
      <c r="J112" s="3"/>
      <c r="K112" s="3"/>
      <c r="L112" s="3"/>
      <c r="P112" s="1"/>
      <c r="U112" s="3"/>
    </row>
    <row r="113" spans="7:21">
      <c r="G113" s="2"/>
      <c r="H113" s="2"/>
      <c r="I113" s="2"/>
      <c r="J113" s="3"/>
      <c r="K113" s="3"/>
      <c r="L113" s="3"/>
      <c r="P113" s="1"/>
      <c r="U113" s="3"/>
    </row>
    <row r="114" spans="7:21">
      <c r="G114" s="2"/>
      <c r="H114" s="2"/>
      <c r="I114" s="2"/>
      <c r="J114" s="3"/>
      <c r="K114" s="3"/>
      <c r="L114" s="3"/>
      <c r="P114" s="1"/>
      <c r="U114" s="3"/>
    </row>
    <row r="115" spans="7:21">
      <c r="G115" s="2"/>
      <c r="H115" s="2"/>
      <c r="I115" s="2"/>
      <c r="J115" s="3"/>
      <c r="K115" s="3"/>
      <c r="L115" s="3"/>
      <c r="P115" s="1"/>
      <c r="U115" s="3"/>
    </row>
    <row r="116" spans="7:21">
      <c r="G116" s="2"/>
      <c r="H116" s="2"/>
      <c r="I116" s="2"/>
      <c r="J116" s="3"/>
      <c r="K116" s="3"/>
      <c r="L116" s="3"/>
      <c r="P116" s="1"/>
      <c r="U116" s="3"/>
    </row>
    <row r="117" spans="7:21">
      <c r="G117" s="2"/>
      <c r="H117" s="2"/>
      <c r="I117" s="2"/>
      <c r="J117" s="3"/>
      <c r="K117" s="3"/>
      <c r="L117" s="3"/>
      <c r="P117" s="1"/>
      <c r="U117" s="3"/>
    </row>
    <row r="118" spans="7:21">
      <c r="G118" s="2"/>
      <c r="H118" s="2"/>
      <c r="I118" s="2"/>
      <c r="J118" s="3"/>
      <c r="K118" s="3"/>
      <c r="L118" s="3"/>
      <c r="P118" s="1"/>
      <c r="U118" s="3"/>
    </row>
    <row r="119" spans="7:21">
      <c r="G119" s="2"/>
      <c r="H119" s="2"/>
      <c r="I119" s="2"/>
      <c r="J119" s="3"/>
      <c r="K119" s="3"/>
      <c r="L119" s="3"/>
      <c r="P119" s="1"/>
      <c r="U119" s="3"/>
    </row>
    <row r="120" spans="7:21">
      <c r="G120" s="2"/>
      <c r="H120" s="2"/>
      <c r="I120" s="2"/>
      <c r="J120" s="3"/>
      <c r="K120" s="3"/>
      <c r="L120" s="3"/>
      <c r="P120" s="1"/>
      <c r="U120" s="3"/>
    </row>
    <row r="121" spans="7:21">
      <c r="G121" s="2"/>
      <c r="H121" s="2"/>
      <c r="I121" s="2"/>
      <c r="J121" s="3"/>
      <c r="K121" s="3"/>
      <c r="L121" s="3"/>
      <c r="P121" s="1"/>
      <c r="U121" s="3"/>
    </row>
    <row r="122" spans="7:21">
      <c r="G122" s="2"/>
      <c r="H122" s="2"/>
      <c r="I122" s="2"/>
      <c r="J122" s="3"/>
      <c r="K122" s="3"/>
      <c r="L122" s="3"/>
      <c r="P122" s="1"/>
      <c r="U122" s="3"/>
    </row>
    <row r="123" spans="7:21">
      <c r="G123" s="2"/>
      <c r="H123" s="2"/>
      <c r="I123" s="2"/>
      <c r="J123" s="3"/>
      <c r="K123" s="3"/>
      <c r="L123" s="3"/>
      <c r="P123" s="1"/>
      <c r="U123" s="3"/>
    </row>
    <row r="124" spans="7:21">
      <c r="G124" s="2"/>
      <c r="H124" s="2"/>
      <c r="I124" s="2"/>
      <c r="J124" s="3"/>
      <c r="K124" s="3"/>
      <c r="L124" s="3"/>
      <c r="P124" s="1"/>
      <c r="U124" s="3"/>
    </row>
    <row r="125" spans="7:21">
      <c r="G125" s="2"/>
      <c r="H125" s="2"/>
      <c r="I125" s="2"/>
      <c r="J125" s="3"/>
      <c r="K125" s="3"/>
      <c r="L125" s="3"/>
      <c r="P125" s="1"/>
      <c r="U125" s="3"/>
    </row>
    <row r="126" spans="7:21">
      <c r="G126" s="2"/>
      <c r="H126" s="2"/>
      <c r="I126" s="2"/>
      <c r="J126" s="3"/>
      <c r="K126" s="3"/>
      <c r="L126" s="3"/>
      <c r="P126" s="1"/>
      <c r="U126" s="3"/>
    </row>
    <row r="127" spans="7:21">
      <c r="G127" s="2"/>
      <c r="H127" s="2"/>
      <c r="I127" s="2"/>
      <c r="J127" s="3"/>
      <c r="K127" s="3"/>
      <c r="L127" s="3"/>
      <c r="P127" s="1"/>
      <c r="U127" s="3"/>
    </row>
    <row r="128" spans="7:21">
      <c r="G128" s="2"/>
      <c r="H128" s="2"/>
      <c r="I128" s="2"/>
      <c r="J128" s="3"/>
      <c r="K128" s="3"/>
      <c r="L128" s="3"/>
      <c r="P128" s="1"/>
      <c r="U128" s="3"/>
    </row>
    <row r="129" spans="7:21">
      <c r="G129" s="2"/>
      <c r="H129" s="2"/>
      <c r="I129" s="2"/>
      <c r="J129" s="3"/>
      <c r="K129" s="3"/>
      <c r="L129" s="3"/>
      <c r="P129" s="1"/>
      <c r="U129" s="3"/>
    </row>
    <row r="130" spans="7:21">
      <c r="G130" s="2"/>
      <c r="H130" s="2"/>
      <c r="I130" s="2"/>
      <c r="J130" s="3"/>
      <c r="K130" s="3"/>
      <c r="L130" s="3"/>
      <c r="P130" s="1"/>
      <c r="U130" s="3"/>
    </row>
    <row r="131" spans="7:21">
      <c r="G131" s="2"/>
      <c r="H131" s="2"/>
      <c r="I131" s="2"/>
      <c r="J131" s="3"/>
      <c r="K131" s="3"/>
      <c r="L131" s="3"/>
      <c r="P131" s="1"/>
      <c r="U131" s="3"/>
    </row>
    <row r="132" spans="7:21">
      <c r="G132" s="2"/>
      <c r="H132" s="2"/>
      <c r="I132" s="2"/>
      <c r="J132" s="3"/>
      <c r="K132" s="3"/>
      <c r="L132" s="3"/>
      <c r="P132" s="1"/>
      <c r="U132" s="3"/>
    </row>
    <row r="133" spans="7:21">
      <c r="G133" s="2"/>
      <c r="H133" s="2"/>
      <c r="I133" s="2"/>
      <c r="J133" s="3"/>
      <c r="K133" s="3"/>
      <c r="L133" s="3"/>
      <c r="P133" s="1"/>
      <c r="U133" s="3"/>
    </row>
    <row r="134" spans="7:21">
      <c r="G134" s="2"/>
      <c r="H134" s="2"/>
      <c r="I134" s="2"/>
      <c r="J134" s="3"/>
      <c r="K134" s="3"/>
      <c r="L134" s="3"/>
      <c r="P134" s="1"/>
      <c r="U134" s="3"/>
    </row>
    <row r="135" spans="7:21">
      <c r="G135" s="2"/>
      <c r="H135" s="2"/>
      <c r="I135" s="2"/>
      <c r="J135" s="3"/>
      <c r="K135" s="3"/>
      <c r="L135" s="3"/>
      <c r="P135" s="1"/>
      <c r="U135" s="3"/>
    </row>
    <row r="136" spans="7:21">
      <c r="G136" s="2"/>
      <c r="H136" s="2"/>
      <c r="I136" s="2"/>
      <c r="J136" s="3"/>
      <c r="K136" s="3"/>
      <c r="L136" s="3"/>
      <c r="P136" s="1"/>
      <c r="U136" s="3"/>
    </row>
    <row r="137" spans="7:21">
      <c r="G137" s="2"/>
      <c r="H137" s="2"/>
      <c r="I137" s="2"/>
      <c r="J137" s="3"/>
      <c r="K137" s="3"/>
      <c r="L137" s="3"/>
      <c r="P137" s="1"/>
      <c r="U137" s="3"/>
    </row>
    <row r="138" spans="7:21">
      <c r="G138" s="2"/>
      <c r="H138" s="2"/>
      <c r="I138" s="2"/>
      <c r="J138" s="3"/>
      <c r="K138" s="3"/>
      <c r="L138" s="3"/>
      <c r="P138" s="1"/>
      <c r="U138" s="3"/>
    </row>
    <row r="139" spans="7:21">
      <c r="G139" s="2"/>
      <c r="H139" s="2"/>
      <c r="I139" s="2"/>
      <c r="J139" s="3"/>
      <c r="K139" s="3"/>
      <c r="L139" s="3"/>
      <c r="P139" s="1"/>
      <c r="U139" s="3"/>
    </row>
    <row r="140" spans="7:21">
      <c r="G140" s="2"/>
      <c r="H140" s="2"/>
      <c r="I140" s="2"/>
      <c r="J140" s="3"/>
      <c r="K140" s="3"/>
      <c r="L140" s="3"/>
      <c r="P140" s="1"/>
      <c r="U140" s="3"/>
    </row>
    <row r="141" spans="7:21">
      <c r="G141" s="2"/>
      <c r="H141" s="2"/>
      <c r="I141" s="2"/>
      <c r="J141" s="3"/>
      <c r="K141" s="3"/>
      <c r="L141" s="3"/>
      <c r="P141" s="1"/>
      <c r="U141" s="3"/>
    </row>
    <row r="142" spans="7:21">
      <c r="G142" s="2"/>
      <c r="H142" s="2"/>
      <c r="I142" s="2"/>
      <c r="J142" s="3"/>
      <c r="K142" s="3"/>
      <c r="L142" s="3"/>
      <c r="P142" s="1"/>
      <c r="U142" s="3"/>
    </row>
    <row r="143" spans="7:21">
      <c r="G143" s="2"/>
      <c r="H143" s="2"/>
      <c r="I143" s="2"/>
      <c r="J143" s="3"/>
      <c r="K143" s="3"/>
      <c r="L143" s="3"/>
      <c r="P143" s="1"/>
      <c r="U143" s="3"/>
    </row>
    <row r="144" spans="7:21">
      <c r="G144" s="2"/>
      <c r="H144" s="2"/>
      <c r="I144" s="2"/>
      <c r="J144" s="3"/>
      <c r="K144" s="3"/>
      <c r="L144" s="3"/>
      <c r="P144" s="1"/>
      <c r="U144" s="3"/>
    </row>
    <row r="145" spans="7:21">
      <c r="G145" s="2"/>
      <c r="H145" s="2"/>
      <c r="I145" s="2"/>
      <c r="J145" s="3"/>
      <c r="K145" s="3"/>
      <c r="L145" s="3"/>
      <c r="P145" s="1"/>
      <c r="U145" s="3"/>
    </row>
    <row r="146" spans="7:21">
      <c r="G146" s="2"/>
      <c r="H146" s="2"/>
      <c r="I146" s="2"/>
      <c r="J146" s="3"/>
      <c r="K146" s="3"/>
      <c r="L146" s="3"/>
      <c r="P146" s="1"/>
      <c r="U146" s="3"/>
    </row>
    <row r="147" spans="7:21">
      <c r="G147" s="2"/>
      <c r="H147" s="2"/>
      <c r="I147" s="2"/>
      <c r="J147" s="3"/>
      <c r="K147" s="3"/>
      <c r="L147" s="3"/>
      <c r="P147" s="1"/>
      <c r="U147" s="3"/>
    </row>
    <row r="148" spans="7:21">
      <c r="G148" s="2"/>
      <c r="H148" s="2"/>
      <c r="I148" s="2"/>
      <c r="J148" s="3"/>
      <c r="K148" s="3"/>
      <c r="L148" s="3"/>
      <c r="P148" s="1"/>
      <c r="U148" s="3"/>
    </row>
    <row r="149" spans="7:21">
      <c r="G149" s="2"/>
      <c r="H149" s="2"/>
      <c r="I149" s="2"/>
      <c r="J149" s="3"/>
      <c r="K149" s="3"/>
      <c r="L149" s="3"/>
      <c r="P149" s="1"/>
      <c r="U149" s="3"/>
    </row>
    <row r="150" spans="7:21">
      <c r="G150" s="2"/>
      <c r="H150" s="2"/>
      <c r="I150" s="2"/>
      <c r="J150" s="3"/>
      <c r="K150" s="3"/>
      <c r="L150" s="3"/>
      <c r="P150" s="1"/>
      <c r="U150" s="3"/>
    </row>
    <row r="151" spans="7:21">
      <c r="G151" s="2"/>
      <c r="H151" s="2"/>
      <c r="I151" s="2"/>
      <c r="J151" s="3"/>
      <c r="K151" s="3"/>
      <c r="L151" s="3"/>
      <c r="P151" s="1"/>
      <c r="U151" s="3"/>
    </row>
    <row r="152" spans="7:21">
      <c r="G152" s="2"/>
      <c r="H152" s="2"/>
      <c r="I152" s="2"/>
      <c r="J152" s="3"/>
      <c r="K152" s="3"/>
      <c r="L152" s="3"/>
      <c r="P152" s="1"/>
      <c r="U152" s="3"/>
    </row>
    <row r="153" spans="7:21">
      <c r="G153" s="2"/>
      <c r="H153" s="2"/>
      <c r="I153" s="2"/>
      <c r="J153" s="3"/>
      <c r="K153" s="3"/>
      <c r="L153" s="3"/>
      <c r="P153" s="1"/>
      <c r="U153" s="3"/>
    </row>
    <row r="154" spans="7:21">
      <c r="G154" s="2"/>
      <c r="H154" s="2"/>
      <c r="I154" s="2"/>
      <c r="J154" s="3"/>
      <c r="K154" s="3"/>
      <c r="L154" s="3"/>
      <c r="P154" s="1"/>
      <c r="U154" s="3"/>
    </row>
    <row r="155" spans="7:21">
      <c r="G155" s="2"/>
      <c r="H155" s="2"/>
      <c r="I155" s="2"/>
      <c r="J155" s="3"/>
      <c r="K155" s="3"/>
      <c r="L155" s="3"/>
      <c r="P155" s="1"/>
      <c r="U155" s="3"/>
    </row>
    <row r="156" spans="7:21">
      <c r="G156" s="2"/>
      <c r="H156" s="2"/>
      <c r="I156" s="2"/>
      <c r="J156" s="3"/>
      <c r="K156" s="3"/>
      <c r="L156" s="3"/>
      <c r="P156" s="1"/>
      <c r="U156" s="3"/>
    </row>
    <row r="157" spans="7:21">
      <c r="G157" s="2"/>
      <c r="H157" s="2"/>
      <c r="I157" s="2"/>
      <c r="J157" s="3"/>
      <c r="K157" s="3"/>
      <c r="L157" s="3"/>
      <c r="P157" s="1"/>
      <c r="U157" s="3"/>
    </row>
    <row r="158" spans="7:21">
      <c r="G158" s="2"/>
      <c r="H158" s="2"/>
      <c r="I158" s="2"/>
      <c r="J158" s="3"/>
      <c r="K158" s="3"/>
      <c r="L158" s="3"/>
      <c r="P158" s="1"/>
      <c r="U158" s="3"/>
    </row>
    <row r="159" spans="7:21">
      <c r="G159" s="2"/>
      <c r="H159" s="2"/>
      <c r="I159" s="2"/>
      <c r="J159" s="3"/>
      <c r="K159" s="3"/>
      <c r="L159" s="3"/>
      <c r="P159" s="1"/>
      <c r="U159" s="3"/>
    </row>
    <row r="160" spans="7:21">
      <c r="G160" s="2"/>
      <c r="H160" s="2"/>
      <c r="I160" s="2"/>
      <c r="J160" s="3"/>
      <c r="K160" s="3"/>
      <c r="L160" s="3"/>
      <c r="P160" s="1"/>
      <c r="U160" s="3"/>
    </row>
    <row r="161" spans="7:21">
      <c r="G161" s="2"/>
      <c r="H161" s="2"/>
      <c r="I161" s="2"/>
      <c r="J161" s="3"/>
      <c r="K161" s="3"/>
      <c r="L161" s="3"/>
      <c r="P161" s="1"/>
      <c r="U161" s="3"/>
    </row>
    <row r="162" spans="7:21">
      <c r="G162" s="2"/>
      <c r="H162" s="2"/>
      <c r="I162" s="2"/>
      <c r="J162" s="3"/>
      <c r="K162" s="3"/>
      <c r="L162" s="3"/>
      <c r="P162" s="1"/>
      <c r="U162" s="3"/>
    </row>
    <row r="163" spans="7:21">
      <c r="G163" s="2"/>
      <c r="H163" s="2"/>
      <c r="I163" s="2"/>
      <c r="J163" s="3"/>
      <c r="K163" s="3"/>
      <c r="L163" s="3"/>
      <c r="P163" s="1"/>
      <c r="U163" s="3"/>
    </row>
    <row r="164" spans="7:21">
      <c r="G164" s="2"/>
      <c r="H164" s="2"/>
      <c r="I164" s="2"/>
      <c r="J164" s="3"/>
      <c r="K164" s="3"/>
      <c r="L164" s="3"/>
      <c r="P164" s="1"/>
      <c r="U164" s="3"/>
    </row>
    <row r="165" spans="7:21">
      <c r="G165" s="2"/>
      <c r="H165" s="2"/>
      <c r="I165" s="2"/>
      <c r="J165" s="3"/>
      <c r="K165" s="3"/>
      <c r="L165" s="3"/>
      <c r="P165" s="1"/>
      <c r="U165" s="3"/>
    </row>
    <row r="166" spans="7:21">
      <c r="G166" s="2"/>
      <c r="H166" s="2"/>
      <c r="I166" s="2"/>
      <c r="J166" s="3"/>
      <c r="K166" s="3"/>
      <c r="L166" s="3"/>
      <c r="P166" s="1"/>
      <c r="U166" s="3"/>
    </row>
    <row r="167" spans="7:21">
      <c r="G167" s="2"/>
      <c r="H167" s="2"/>
      <c r="I167" s="2"/>
      <c r="J167" s="3"/>
      <c r="K167" s="3"/>
      <c r="L167" s="3"/>
      <c r="P167" s="1"/>
      <c r="U167" s="3"/>
    </row>
    <row r="168" spans="7:21">
      <c r="G168" s="2"/>
      <c r="H168" s="2"/>
      <c r="I168" s="2"/>
      <c r="J168" s="3"/>
      <c r="K168" s="3"/>
      <c r="L168" s="3"/>
      <c r="P168" s="1"/>
      <c r="U168" s="3"/>
    </row>
    <row r="169" spans="7:21">
      <c r="G169" s="2"/>
      <c r="H169" s="2"/>
      <c r="I169" s="2"/>
      <c r="J169" s="3"/>
      <c r="K169" s="3"/>
      <c r="L169" s="3"/>
      <c r="P169" s="1"/>
      <c r="U169" s="3"/>
    </row>
    <row r="170" spans="7:21">
      <c r="G170" s="2"/>
      <c r="H170" s="2"/>
      <c r="I170" s="2"/>
      <c r="J170" s="3"/>
      <c r="K170" s="3"/>
      <c r="L170" s="3"/>
      <c r="P170" s="1"/>
      <c r="U170" s="3"/>
    </row>
    <row r="171" spans="7:21">
      <c r="G171" s="2"/>
      <c r="H171" s="2"/>
      <c r="I171" s="2"/>
      <c r="J171" s="3"/>
      <c r="K171" s="3"/>
      <c r="L171" s="3"/>
      <c r="P171" s="1"/>
      <c r="U171" s="3"/>
    </row>
    <row r="172" spans="7:21">
      <c r="G172" s="2"/>
      <c r="H172" s="2"/>
      <c r="I172" s="2"/>
      <c r="J172" s="3"/>
      <c r="K172" s="3"/>
      <c r="L172" s="3"/>
      <c r="P172" s="1"/>
      <c r="U172" s="3"/>
    </row>
    <row r="173" spans="7:21">
      <c r="G173" s="2"/>
      <c r="H173" s="2"/>
      <c r="I173" s="2"/>
      <c r="J173" s="3"/>
      <c r="K173" s="3"/>
      <c r="L173" s="3"/>
      <c r="P173" s="1"/>
      <c r="U173" s="3"/>
    </row>
    <row r="174" spans="7:21">
      <c r="G174" s="2"/>
      <c r="H174" s="2"/>
      <c r="I174" s="2"/>
      <c r="J174" s="3"/>
      <c r="K174" s="3"/>
      <c r="L174" s="3"/>
      <c r="P174" s="1"/>
      <c r="U174" s="3"/>
    </row>
    <row r="175" spans="7:21">
      <c r="G175" s="2"/>
      <c r="H175" s="2"/>
      <c r="I175" s="2"/>
      <c r="J175" s="3"/>
      <c r="K175" s="3"/>
      <c r="L175" s="3"/>
      <c r="P175" s="1"/>
      <c r="U175" s="3"/>
    </row>
    <row r="176" spans="7:21">
      <c r="G176" s="2"/>
      <c r="H176" s="2"/>
      <c r="I176" s="2"/>
      <c r="J176" s="3"/>
      <c r="K176" s="3"/>
      <c r="L176" s="3"/>
      <c r="P176" s="1"/>
      <c r="U176" s="3"/>
    </row>
    <row r="177" spans="7:21">
      <c r="G177" s="2"/>
      <c r="H177" s="2"/>
      <c r="I177" s="2"/>
      <c r="J177" s="3"/>
      <c r="K177" s="3"/>
      <c r="L177" s="3"/>
      <c r="P177" s="1"/>
      <c r="U177" s="3"/>
    </row>
    <row r="178" spans="7:21">
      <c r="G178" s="2"/>
      <c r="H178" s="2"/>
      <c r="I178" s="2"/>
      <c r="J178" s="3"/>
      <c r="K178" s="3"/>
      <c r="L178" s="3"/>
      <c r="P178" s="1"/>
      <c r="U178" s="3"/>
    </row>
    <row r="179" spans="7:21">
      <c r="G179" s="2"/>
      <c r="H179" s="2"/>
      <c r="I179" s="2"/>
      <c r="J179" s="3"/>
      <c r="K179" s="3"/>
      <c r="L179" s="3"/>
      <c r="P179" s="1"/>
      <c r="U179" s="3"/>
    </row>
    <row r="180" spans="7:21">
      <c r="G180" s="2"/>
      <c r="H180" s="2"/>
      <c r="I180" s="2"/>
      <c r="J180" s="3"/>
      <c r="K180" s="3"/>
      <c r="L180" s="3"/>
      <c r="P180" s="1"/>
      <c r="U180" s="3"/>
    </row>
    <row r="181" spans="7:21">
      <c r="G181" s="2"/>
      <c r="H181" s="2"/>
      <c r="I181" s="2"/>
      <c r="J181" s="3"/>
      <c r="K181" s="3"/>
      <c r="L181" s="3"/>
      <c r="P181" s="1"/>
      <c r="U181" s="3"/>
    </row>
    <row r="182" spans="7:21">
      <c r="G182" s="2"/>
      <c r="H182" s="2"/>
      <c r="I182" s="2"/>
      <c r="J182" s="3"/>
      <c r="K182" s="3"/>
      <c r="L182" s="3"/>
      <c r="P182" s="1"/>
      <c r="U182" s="3"/>
    </row>
    <row r="183" spans="7:21">
      <c r="G183" s="2"/>
      <c r="H183" s="2"/>
      <c r="I183" s="2"/>
      <c r="J183" s="3"/>
      <c r="K183" s="3"/>
      <c r="L183" s="3"/>
      <c r="P183" s="1"/>
      <c r="U183" s="3"/>
    </row>
    <row r="184" spans="7:21">
      <c r="G184" s="2"/>
      <c r="H184" s="2"/>
      <c r="I184" s="2"/>
      <c r="J184" s="3"/>
      <c r="K184" s="3"/>
      <c r="L184" s="3"/>
      <c r="P184" s="1"/>
      <c r="U184" s="3"/>
    </row>
    <row r="185" spans="7:21">
      <c r="G185" s="2"/>
      <c r="H185" s="2"/>
      <c r="I185" s="2"/>
      <c r="J185" s="3"/>
      <c r="K185" s="3"/>
      <c r="L185" s="3"/>
      <c r="P185" s="1"/>
      <c r="U185" s="3"/>
    </row>
    <row r="186" spans="7:21">
      <c r="G186" s="2"/>
      <c r="H186" s="2"/>
      <c r="I186" s="2"/>
      <c r="J186" s="3"/>
      <c r="K186" s="3"/>
      <c r="L186" s="3"/>
      <c r="P186" s="1"/>
      <c r="U186" s="3"/>
    </row>
    <row r="187" spans="7:21">
      <c r="G187" s="2"/>
      <c r="H187" s="2"/>
      <c r="I187" s="2"/>
      <c r="J187" s="3"/>
      <c r="K187" s="3"/>
      <c r="L187" s="3"/>
      <c r="P187" s="1"/>
      <c r="U187" s="3"/>
    </row>
    <row r="188" spans="7:21">
      <c r="G188" s="2"/>
      <c r="H188" s="2"/>
      <c r="I188" s="2"/>
      <c r="J188" s="3"/>
      <c r="K188" s="3"/>
      <c r="L188" s="3"/>
      <c r="P188" s="1"/>
      <c r="U188" s="3"/>
    </row>
    <row r="189" spans="7:21">
      <c r="G189" s="2"/>
      <c r="H189" s="2"/>
      <c r="I189" s="2"/>
      <c r="J189" s="3"/>
      <c r="K189" s="3"/>
      <c r="L189" s="3"/>
      <c r="P189" s="1"/>
      <c r="U189" s="3"/>
    </row>
    <row r="190" spans="7:21">
      <c r="G190" s="2"/>
      <c r="H190" s="2"/>
      <c r="I190" s="2"/>
      <c r="J190" s="3"/>
      <c r="K190" s="3"/>
      <c r="L190" s="3"/>
      <c r="P190" s="1"/>
      <c r="U190" s="3"/>
    </row>
    <row r="191" spans="7:21">
      <c r="G191" s="2"/>
      <c r="H191" s="2"/>
      <c r="I191" s="2"/>
      <c r="J191" s="3"/>
      <c r="K191" s="3"/>
      <c r="L191" s="3"/>
      <c r="P191" s="1"/>
      <c r="U191" s="3"/>
    </row>
    <row r="192" spans="7:21">
      <c r="G192" s="2"/>
      <c r="H192" s="2"/>
      <c r="I192" s="2"/>
      <c r="J192" s="3"/>
      <c r="K192" s="3"/>
      <c r="L192" s="3"/>
      <c r="P192" s="1"/>
      <c r="U192" s="3"/>
    </row>
    <row r="193" spans="7:21">
      <c r="G193" s="2"/>
      <c r="H193" s="2"/>
      <c r="I193" s="2"/>
      <c r="J193" s="3"/>
      <c r="K193" s="3"/>
      <c r="L193" s="3"/>
      <c r="P193" s="1"/>
      <c r="U193" s="3"/>
    </row>
    <row r="194" spans="7:21">
      <c r="G194" s="2"/>
      <c r="H194" s="2"/>
      <c r="I194" s="2"/>
      <c r="J194" s="3"/>
      <c r="K194" s="3"/>
      <c r="L194" s="3"/>
      <c r="P194" s="1"/>
      <c r="U194" s="3"/>
    </row>
    <row r="195" spans="7:21">
      <c r="G195" s="2"/>
      <c r="H195" s="2"/>
      <c r="I195" s="2"/>
      <c r="J195" s="3"/>
      <c r="K195" s="3"/>
      <c r="L195" s="3"/>
      <c r="P195" s="1"/>
      <c r="U195" s="3"/>
    </row>
    <row r="196" spans="7:21">
      <c r="G196" s="2"/>
      <c r="H196" s="2"/>
      <c r="I196" s="2"/>
      <c r="J196" s="3"/>
      <c r="K196" s="3"/>
      <c r="L196" s="3"/>
      <c r="P196" s="1"/>
      <c r="U196" s="3"/>
    </row>
    <row r="197" spans="7:21">
      <c r="G197" s="2"/>
      <c r="H197" s="2"/>
      <c r="I197" s="2"/>
      <c r="J197" s="3"/>
      <c r="K197" s="3"/>
      <c r="L197" s="3"/>
      <c r="P197" s="1"/>
      <c r="U197" s="3"/>
    </row>
    <row r="198" spans="7:21">
      <c r="G198" s="2"/>
      <c r="H198" s="2"/>
      <c r="I198" s="2"/>
      <c r="J198" s="3"/>
      <c r="K198" s="3"/>
      <c r="L198" s="3"/>
      <c r="P198" s="1"/>
      <c r="U198" s="3"/>
    </row>
    <row r="199" spans="7:21">
      <c r="G199" s="2"/>
      <c r="H199" s="2"/>
      <c r="I199" s="2"/>
      <c r="J199" s="3"/>
      <c r="K199" s="3"/>
      <c r="L199" s="3"/>
      <c r="P199" s="1"/>
      <c r="U199" s="3"/>
    </row>
    <row r="200" spans="7:21">
      <c r="G200" s="2"/>
      <c r="H200" s="2"/>
      <c r="I200" s="2"/>
      <c r="J200" s="3"/>
      <c r="K200" s="3"/>
      <c r="L200" s="3"/>
      <c r="P200" s="1"/>
      <c r="U200" s="3"/>
    </row>
    <row r="201" spans="7:21">
      <c r="G201" s="2"/>
      <c r="H201" s="2"/>
      <c r="I201" s="2"/>
      <c r="J201" s="3"/>
      <c r="K201" s="3"/>
      <c r="L201" s="3"/>
      <c r="P201" s="1"/>
      <c r="U201" s="3"/>
    </row>
    <row r="202" spans="7:21">
      <c r="G202" s="2"/>
      <c r="H202" s="2"/>
      <c r="I202" s="2"/>
      <c r="J202" s="3"/>
      <c r="K202" s="3"/>
      <c r="L202" s="3"/>
      <c r="P202" s="1"/>
      <c r="U202" s="3"/>
    </row>
    <row r="203" spans="7:21">
      <c r="G203" s="2"/>
      <c r="H203" s="2"/>
      <c r="I203" s="2"/>
      <c r="J203" s="3"/>
      <c r="K203" s="3"/>
      <c r="L203" s="3"/>
      <c r="P203" s="1"/>
      <c r="U203" s="3"/>
    </row>
    <row r="204" spans="7:21">
      <c r="G204" s="2"/>
      <c r="H204" s="2"/>
      <c r="I204" s="2"/>
      <c r="J204" s="3"/>
      <c r="K204" s="3"/>
      <c r="L204" s="3"/>
      <c r="P204" s="1"/>
      <c r="U204" s="3"/>
    </row>
    <row r="205" spans="7:21">
      <c r="G205" s="2"/>
      <c r="H205" s="2"/>
      <c r="I205" s="2"/>
      <c r="J205" s="3"/>
      <c r="K205" s="3"/>
      <c r="L205" s="3"/>
      <c r="P205" s="1"/>
      <c r="U205" s="3"/>
    </row>
    <row r="206" spans="7:21">
      <c r="G206" s="2"/>
      <c r="H206" s="2"/>
      <c r="I206" s="2"/>
      <c r="J206" s="3"/>
      <c r="K206" s="3"/>
      <c r="L206" s="3"/>
      <c r="P206" s="1"/>
      <c r="U206" s="3"/>
    </row>
    <row r="207" spans="7:21">
      <c r="G207" s="2"/>
      <c r="H207" s="2"/>
      <c r="I207" s="2"/>
      <c r="J207" s="3"/>
      <c r="K207" s="3"/>
      <c r="L207" s="3"/>
      <c r="P207" s="1"/>
      <c r="U207" s="3"/>
    </row>
    <row r="208" spans="7:21">
      <c r="G208" s="2"/>
      <c r="H208" s="2"/>
      <c r="I208" s="2"/>
      <c r="J208" s="3"/>
      <c r="K208" s="3"/>
      <c r="L208" s="3"/>
      <c r="P208" s="1"/>
      <c r="U208" s="3"/>
    </row>
    <row r="209" spans="7:21">
      <c r="G209" s="2"/>
      <c r="H209" s="2"/>
      <c r="I209" s="2"/>
      <c r="J209" s="3"/>
      <c r="K209" s="3"/>
      <c r="L209" s="3"/>
      <c r="P209" s="1"/>
      <c r="U209" s="3"/>
    </row>
    <row r="210" spans="7:21">
      <c r="G210" s="2"/>
      <c r="H210" s="2"/>
      <c r="I210" s="2"/>
      <c r="J210" s="3"/>
      <c r="K210" s="3"/>
      <c r="L210" s="3"/>
      <c r="P210" s="1"/>
      <c r="U210" s="3"/>
    </row>
    <row r="211" spans="7:21">
      <c r="G211" s="2"/>
      <c r="H211" s="2"/>
      <c r="I211" s="2"/>
      <c r="J211" s="3"/>
      <c r="K211" s="3"/>
      <c r="L211" s="3"/>
      <c r="P211" s="1"/>
      <c r="U211" s="3"/>
    </row>
    <row r="212" spans="7:21">
      <c r="G212" s="2"/>
      <c r="H212" s="2"/>
      <c r="I212" s="2"/>
      <c r="J212" s="3"/>
      <c r="K212" s="3"/>
      <c r="L212" s="3"/>
      <c r="P212" s="1"/>
      <c r="U212" s="3"/>
    </row>
    <row r="213" spans="7:21">
      <c r="G213" s="2"/>
      <c r="H213" s="2"/>
      <c r="I213" s="2"/>
      <c r="J213" s="3"/>
      <c r="K213" s="3"/>
      <c r="L213" s="3"/>
      <c r="P213" s="1"/>
      <c r="U213" s="3"/>
    </row>
    <row r="214" spans="7:21">
      <c r="G214" s="2"/>
      <c r="H214" s="2"/>
      <c r="I214" s="2"/>
      <c r="J214" s="3"/>
      <c r="K214" s="3"/>
      <c r="L214" s="3"/>
      <c r="P214" s="1"/>
      <c r="U214" s="3"/>
    </row>
    <row r="215" spans="7:21">
      <c r="G215" s="2"/>
      <c r="H215" s="2"/>
      <c r="I215" s="2"/>
      <c r="J215" s="3"/>
      <c r="K215" s="3"/>
      <c r="L215" s="3"/>
      <c r="P215" s="1"/>
      <c r="U215" s="3"/>
    </row>
    <row r="216" spans="7:21">
      <c r="G216" s="2"/>
      <c r="H216" s="2"/>
      <c r="I216" s="2"/>
      <c r="J216" s="3"/>
      <c r="K216" s="3"/>
      <c r="L216" s="3"/>
      <c r="P216" s="1"/>
      <c r="U216" s="3"/>
    </row>
    <row r="217" spans="7:21">
      <c r="G217" s="2"/>
      <c r="H217" s="2"/>
      <c r="I217" s="2"/>
      <c r="J217" s="3"/>
      <c r="K217" s="3"/>
      <c r="L217" s="3"/>
      <c r="P217" s="1"/>
      <c r="U217" s="3"/>
    </row>
    <row r="218" spans="7:21">
      <c r="G218" s="2"/>
      <c r="H218" s="2"/>
      <c r="I218" s="2"/>
      <c r="J218" s="3"/>
      <c r="K218" s="3"/>
      <c r="L218" s="3"/>
      <c r="P218" s="1"/>
      <c r="U218" s="3"/>
    </row>
    <row r="219" spans="7:21">
      <c r="G219" s="2"/>
      <c r="H219" s="2"/>
      <c r="I219" s="2"/>
      <c r="J219" s="3"/>
      <c r="K219" s="3"/>
      <c r="L219" s="3"/>
      <c r="P219" s="1"/>
      <c r="U219" s="3"/>
    </row>
    <row r="220" spans="7:21">
      <c r="G220" s="2"/>
      <c r="H220" s="2"/>
      <c r="I220" s="2"/>
      <c r="J220" s="3"/>
      <c r="K220" s="3"/>
      <c r="L220" s="3"/>
      <c r="P220" s="1"/>
      <c r="U220" s="3"/>
    </row>
    <row r="221" spans="7:21">
      <c r="G221" s="2"/>
      <c r="H221" s="2"/>
      <c r="I221" s="2"/>
      <c r="J221" s="3"/>
      <c r="K221" s="3"/>
      <c r="L221" s="3"/>
      <c r="P221" s="1"/>
      <c r="U221" s="3"/>
    </row>
    <row r="222" spans="7:21">
      <c r="G222" s="2"/>
      <c r="H222" s="2"/>
      <c r="I222" s="2"/>
      <c r="J222" s="3"/>
      <c r="K222" s="3"/>
      <c r="L222" s="3"/>
      <c r="P222" s="1"/>
      <c r="U222" s="3"/>
    </row>
    <row r="223" spans="7:21">
      <c r="G223" s="2"/>
      <c r="H223" s="2"/>
      <c r="I223" s="2"/>
      <c r="J223" s="3"/>
      <c r="K223" s="3"/>
      <c r="L223" s="3"/>
      <c r="P223" s="1"/>
      <c r="U223" s="3"/>
    </row>
    <row r="224" spans="7:21">
      <c r="G224" s="2"/>
      <c r="H224" s="2"/>
      <c r="I224" s="2"/>
      <c r="J224" s="3"/>
      <c r="K224" s="3"/>
      <c r="L224" s="3"/>
      <c r="P224" s="1"/>
      <c r="U224" s="3"/>
    </row>
    <row r="225" spans="7:21">
      <c r="G225" s="2"/>
      <c r="H225" s="2"/>
      <c r="I225" s="2"/>
      <c r="J225" s="3"/>
      <c r="K225" s="3"/>
      <c r="L225" s="3"/>
      <c r="P225" s="1"/>
      <c r="U225" s="3"/>
    </row>
    <row r="226" spans="7:21">
      <c r="G226" s="2"/>
      <c r="H226" s="2"/>
      <c r="I226" s="2"/>
      <c r="J226" s="3"/>
      <c r="K226" s="3"/>
      <c r="L226" s="3"/>
      <c r="P226" s="1"/>
      <c r="U226" s="3"/>
    </row>
    <row r="227" spans="7:21">
      <c r="G227" s="2"/>
      <c r="H227" s="2"/>
      <c r="I227" s="2"/>
      <c r="J227" s="3"/>
      <c r="K227" s="3"/>
      <c r="L227" s="3"/>
      <c r="P227" s="1"/>
      <c r="U227" s="3"/>
    </row>
    <row r="228" spans="7:21">
      <c r="G228" s="2"/>
      <c r="H228" s="2"/>
      <c r="I228" s="2"/>
      <c r="J228" s="3"/>
      <c r="K228" s="3"/>
      <c r="L228" s="3"/>
      <c r="P228" s="1"/>
      <c r="U228" s="3"/>
    </row>
    <row r="229" spans="7:21">
      <c r="G229" s="2"/>
      <c r="H229" s="2"/>
      <c r="I229" s="2"/>
      <c r="J229" s="3"/>
      <c r="K229" s="3"/>
      <c r="L229" s="3"/>
      <c r="P229" s="1"/>
      <c r="U229" s="3"/>
    </row>
    <row r="230" spans="7:21">
      <c r="G230" s="2"/>
      <c r="H230" s="2"/>
      <c r="I230" s="2"/>
      <c r="J230" s="3"/>
      <c r="K230" s="3"/>
      <c r="L230" s="3"/>
      <c r="P230" s="1"/>
      <c r="U230" s="3"/>
    </row>
    <row r="231" spans="7:21">
      <c r="G231" s="2"/>
      <c r="H231" s="2"/>
      <c r="I231" s="2"/>
      <c r="J231" s="3"/>
      <c r="K231" s="3"/>
      <c r="L231" s="3"/>
      <c r="P231" s="1"/>
      <c r="U231" s="3"/>
    </row>
    <row r="232" spans="7:21">
      <c r="G232" s="2"/>
      <c r="H232" s="2"/>
      <c r="I232" s="2"/>
      <c r="J232" s="3"/>
      <c r="K232" s="3"/>
      <c r="L232" s="3"/>
      <c r="P232" s="1"/>
      <c r="U232" s="3"/>
    </row>
    <row r="233" spans="7:21">
      <c r="G233" s="2"/>
      <c r="H233" s="2"/>
      <c r="I233" s="2"/>
      <c r="J233" s="3"/>
      <c r="K233" s="3"/>
      <c r="L233" s="3"/>
      <c r="P233" s="1"/>
      <c r="U233" s="3"/>
    </row>
    <row r="234" spans="7:21">
      <c r="G234" s="2"/>
      <c r="H234" s="2"/>
      <c r="I234" s="2"/>
      <c r="J234" s="3"/>
      <c r="K234" s="3"/>
      <c r="L234" s="3"/>
      <c r="P234" s="1"/>
      <c r="U234" s="3"/>
    </row>
    <row r="235" spans="7:21">
      <c r="G235" s="2"/>
      <c r="H235" s="2"/>
      <c r="I235" s="2"/>
      <c r="J235" s="3"/>
      <c r="K235" s="3"/>
      <c r="L235" s="3"/>
      <c r="P235" s="1"/>
      <c r="U235" s="3"/>
    </row>
    <row r="236" spans="7:21">
      <c r="G236" s="2"/>
      <c r="H236" s="2"/>
      <c r="I236" s="2"/>
      <c r="J236" s="3"/>
      <c r="K236" s="3"/>
      <c r="L236" s="3"/>
      <c r="P236" s="1"/>
      <c r="U236" s="3"/>
    </row>
    <row r="237" spans="7:21">
      <c r="G237" s="2"/>
      <c r="H237" s="2"/>
      <c r="I237" s="2"/>
      <c r="J237" s="3"/>
      <c r="K237" s="3"/>
      <c r="L237" s="3"/>
      <c r="P237" s="1"/>
      <c r="U237" s="3"/>
    </row>
    <row r="238" spans="7:21">
      <c r="G238" s="2"/>
      <c r="H238" s="2"/>
      <c r="I238" s="2"/>
      <c r="J238" s="3"/>
      <c r="K238" s="3"/>
      <c r="L238" s="3"/>
      <c r="P238" s="1"/>
      <c r="U238" s="3"/>
    </row>
    <row r="239" spans="7:21">
      <c r="G239" s="2"/>
      <c r="H239" s="2"/>
      <c r="I239" s="2"/>
      <c r="J239" s="3"/>
      <c r="K239" s="3"/>
      <c r="L239" s="3"/>
      <c r="P239" s="1"/>
      <c r="U239" s="3"/>
    </row>
    <row r="240" spans="7:21">
      <c r="G240" s="2"/>
      <c r="H240" s="2"/>
      <c r="I240" s="2"/>
      <c r="J240" s="3"/>
      <c r="K240" s="3"/>
      <c r="L240" s="3"/>
      <c r="P240" s="1"/>
      <c r="U240" s="3"/>
    </row>
    <row r="241" spans="7:21">
      <c r="G241" s="2"/>
      <c r="H241" s="2"/>
      <c r="I241" s="2"/>
      <c r="J241" s="3"/>
      <c r="K241" s="3"/>
      <c r="L241" s="3"/>
      <c r="P241" s="1"/>
      <c r="U241" s="3"/>
    </row>
    <row r="242" spans="7:21">
      <c r="G242" s="2"/>
      <c r="H242" s="2"/>
      <c r="I242" s="2"/>
      <c r="J242" s="3"/>
      <c r="K242" s="3"/>
      <c r="L242" s="3"/>
      <c r="P242" s="1"/>
      <c r="U242" s="3"/>
    </row>
    <row r="243" spans="7:21">
      <c r="G243" s="2"/>
      <c r="H243" s="2"/>
      <c r="I243" s="2"/>
      <c r="J243" s="3"/>
      <c r="K243" s="3"/>
      <c r="L243" s="3"/>
      <c r="P243" s="1"/>
      <c r="U243" s="3"/>
    </row>
    <row r="244" spans="7:21">
      <c r="G244" s="2"/>
      <c r="H244" s="2"/>
      <c r="I244" s="2"/>
      <c r="J244" s="3"/>
      <c r="K244" s="3"/>
      <c r="L244" s="3"/>
      <c r="P244" s="1"/>
      <c r="U244" s="3"/>
    </row>
    <row r="245" spans="7:21">
      <c r="G245" s="2"/>
      <c r="H245" s="2"/>
      <c r="I245" s="2"/>
      <c r="J245" s="3"/>
      <c r="K245" s="3"/>
      <c r="L245" s="3"/>
      <c r="P245" s="1"/>
      <c r="U245" s="3"/>
    </row>
    <row r="246" spans="7:21">
      <c r="G246" s="2"/>
      <c r="H246" s="2"/>
      <c r="I246" s="2"/>
      <c r="J246" s="3"/>
      <c r="K246" s="3"/>
      <c r="L246" s="3"/>
      <c r="P246" s="1"/>
      <c r="U246" s="3"/>
    </row>
    <row r="247" spans="7:21">
      <c r="G247" s="2"/>
      <c r="H247" s="2"/>
      <c r="I247" s="2"/>
      <c r="J247" s="3"/>
      <c r="K247" s="3"/>
      <c r="L247" s="3"/>
      <c r="P247" s="1"/>
      <c r="U247" s="3"/>
    </row>
    <row r="248" spans="7:21">
      <c r="G248" s="2"/>
      <c r="H248" s="2"/>
      <c r="I248" s="2"/>
      <c r="J248" s="3"/>
      <c r="K248" s="3"/>
      <c r="L248" s="3"/>
      <c r="P248" s="1"/>
      <c r="U248" s="3"/>
    </row>
    <row r="249" spans="7:21">
      <c r="G249" s="2"/>
      <c r="H249" s="2"/>
      <c r="I249" s="2"/>
      <c r="J249" s="3"/>
      <c r="K249" s="3"/>
      <c r="L249" s="3"/>
      <c r="P249" s="1"/>
      <c r="U249" s="3"/>
    </row>
    <row r="250" spans="7:21">
      <c r="G250" s="2"/>
      <c r="H250" s="2"/>
      <c r="I250" s="2"/>
      <c r="J250" s="3"/>
      <c r="K250" s="3"/>
      <c r="L250" s="3"/>
      <c r="P250" s="1"/>
      <c r="U250" s="3"/>
    </row>
    <row r="251" spans="7:21">
      <c r="G251" s="2"/>
      <c r="H251" s="2"/>
      <c r="I251" s="2"/>
      <c r="J251" s="3"/>
      <c r="K251" s="3"/>
      <c r="L251" s="3"/>
      <c r="P251" s="1"/>
      <c r="U251" s="3"/>
    </row>
    <row r="252" spans="7:21">
      <c r="G252" s="2"/>
      <c r="H252" s="2"/>
      <c r="I252" s="2"/>
      <c r="J252" s="3"/>
      <c r="K252" s="3"/>
      <c r="L252" s="3"/>
      <c r="P252" s="1"/>
      <c r="U252" s="3"/>
    </row>
    <row r="253" spans="7:21">
      <c r="G253" s="2"/>
      <c r="H253" s="2"/>
      <c r="I253" s="2"/>
      <c r="J253" s="3"/>
      <c r="K253" s="3"/>
      <c r="L253" s="3"/>
      <c r="P253" s="1"/>
      <c r="U253" s="3"/>
    </row>
    <row r="254" spans="7:21">
      <c r="G254" s="2"/>
      <c r="H254" s="2"/>
      <c r="I254" s="2"/>
      <c r="J254" s="3"/>
      <c r="K254" s="3"/>
      <c r="L254" s="3"/>
      <c r="P254" s="1"/>
      <c r="U254" s="3"/>
    </row>
    <row r="255" spans="7:21">
      <c r="G255" s="2"/>
      <c r="H255" s="2"/>
      <c r="I255" s="2"/>
      <c r="J255" s="3"/>
      <c r="K255" s="3"/>
      <c r="L255" s="3"/>
      <c r="P255" s="1"/>
      <c r="U255" s="3"/>
    </row>
    <row r="256" spans="7:21">
      <c r="G256" s="2"/>
      <c r="H256" s="2"/>
      <c r="I256" s="2"/>
      <c r="J256" s="3"/>
      <c r="K256" s="3"/>
      <c r="L256" s="3"/>
      <c r="P256" s="1"/>
      <c r="U256" s="3"/>
    </row>
    <row r="257" spans="7:21">
      <c r="G257" s="2"/>
      <c r="H257" s="2"/>
      <c r="I257" s="2"/>
      <c r="J257" s="3"/>
      <c r="K257" s="3"/>
      <c r="L257" s="3"/>
      <c r="P257" s="1"/>
      <c r="U257" s="3"/>
    </row>
    <row r="258" spans="7:21">
      <c r="G258" s="2"/>
      <c r="H258" s="2"/>
      <c r="I258" s="2"/>
      <c r="J258" s="3"/>
      <c r="K258" s="3"/>
      <c r="L258" s="3"/>
      <c r="P258" s="1"/>
      <c r="U258" s="3"/>
    </row>
    <row r="259" spans="7:21">
      <c r="G259" s="2"/>
      <c r="H259" s="2"/>
      <c r="I259" s="2"/>
      <c r="J259" s="3"/>
      <c r="K259" s="3"/>
      <c r="L259" s="3"/>
      <c r="P259" s="1"/>
      <c r="U259" s="3"/>
    </row>
    <row r="260" spans="7:21">
      <c r="G260" s="2"/>
      <c r="H260" s="2"/>
      <c r="I260" s="2"/>
      <c r="J260" s="3"/>
      <c r="K260" s="3"/>
      <c r="L260" s="3"/>
      <c r="P260" s="1"/>
      <c r="U260" s="3"/>
    </row>
    <row r="261" spans="7:21">
      <c r="G261" s="2"/>
      <c r="H261" s="2"/>
      <c r="I261" s="2"/>
      <c r="J261" s="3"/>
      <c r="K261" s="3"/>
      <c r="L261" s="3"/>
      <c r="P261" s="1"/>
      <c r="U261" s="3"/>
    </row>
    <row r="262" spans="7:21">
      <c r="G262" s="2"/>
      <c r="H262" s="2"/>
      <c r="I262" s="2"/>
      <c r="J262" s="3"/>
      <c r="K262" s="3"/>
      <c r="L262" s="3"/>
      <c r="P262" s="1"/>
      <c r="U262" s="3"/>
    </row>
    <row r="263" spans="7:21">
      <c r="G263" s="2"/>
      <c r="H263" s="2"/>
      <c r="I263" s="2"/>
      <c r="J263" s="3"/>
      <c r="K263" s="3"/>
      <c r="L263" s="3"/>
      <c r="P263" s="1"/>
      <c r="U263" s="3"/>
    </row>
    <row r="264" spans="7:21">
      <c r="G264" s="2"/>
      <c r="H264" s="2"/>
      <c r="I264" s="2"/>
      <c r="J264" s="3"/>
      <c r="K264" s="3"/>
      <c r="L264" s="3"/>
      <c r="P264" s="1"/>
      <c r="U264" s="3"/>
    </row>
    <row r="265" spans="7:21">
      <c r="G265" s="2"/>
      <c r="H265" s="2"/>
      <c r="I265" s="2"/>
      <c r="J265" s="3"/>
      <c r="K265" s="3"/>
      <c r="L265" s="3"/>
      <c r="P265" s="1"/>
      <c r="U265" s="3"/>
    </row>
    <row r="266" spans="7:21">
      <c r="G266" s="2"/>
      <c r="H266" s="2"/>
      <c r="I266" s="2"/>
      <c r="J266" s="3"/>
      <c r="K266" s="3"/>
      <c r="L266" s="3"/>
      <c r="P266" s="1"/>
      <c r="U266" s="3"/>
    </row>
    <row r="267" spans="7:21">
      <c r="G267" s="2"/>
      <c r="H267" s="2"/>
      <c r="I267" s="2"/>
      <c r="J267" s="3"/>
      <c r="K267" s="3"/>
      <c r="L267" s="3"/>
      <c r="P267" s="1"/>
      <c r="U267" s="3"/>
    </row>
    <row r="268" spans="7:21">
      <c r="G268" s="2"/>
      <c r="H268" s="2"/>
      <c r="I268" s="2"/>
      <c r="J268" s="3"/>
      <c r="K268" s="3"/>
      <c r="L268" s="3"/>
      <c r="P268" s="1"/>
      <c r="U268" s="3"/>
    </row>
    <row r="269" spans="7:21">
      <c r="G269" s="2"/>
      <c r="H269" s="2"/>
      <c r="I269" s="2"/>
      <c r="J269" s="3"/>
      <c r="K269" s="3"/>
      <c r="L269" s="3"/>
      <c r="P269" s="1"/>
      <c r="U269" s="3"/>
    </row>
    <row r="270" spans="7:21">
      <c r="G270" s="2"/>
      <c r="H270" s="2"/>
      <c r="I270" s="2"/>
      <c r="J270" s="3"/>
      <c r="K270" s="3"/>
      <c r="L270" s="3"/>
      <c r="P270" s="1"/>
      <c r="U270" s="3"/>
    </row>
    <row r="271" spans="7:21">
      <c r="G271" s="2"/>
      <c r="H271" s="2"/>
      <c r="I271" s="2"/>
      <c r="J271" s="3"/>
      <c r="K271" s="3"/>
      <c r="L271" s="3"/>
      <c r="P271" s="1"/>
      <c r="U271" s="3"/>
    </row>
    <row r="272" spans="7:21">
      <c r="G272" s="2"/>
      <c r="H272" s="2"/>
      <c r="I272" s="2"/>
      <c r="J272" s="3"/>
      <c r="K272" s="3"/>
      <c r="L272" s="3"/>
      <c r="P272" s="1"/>
      <c r="U272" s="3"/>
    </row>
    <row r="273" spans="7:21">
      <c r="G273" s="2"/>
      <c r="H273" s="2"/>
      <c r="I273" s="2"/>
      <c r="J273" s="3"/>
      <c r="K273" s="3"/>
      <c r="L273" s="3"/>
      <c r="P273" s="1"/>
      <c r="U273" s="3"/>
    </row>
    <row r="274" spans="7:21">
      <c r="G274" s="2"/>
      <c r="H274" s="2"/>
      <c r="I274" s="2"/>
      <c r="J274" s="3"/>
      <c r="K274" s="3"/>
      <c r="L274" s="3"/>
      <c r="P274" s="1"/>
      <c r="U274" s="3"/>
    </row>
    <row r="275" spans="7:21">
      <c r="G275" s="2"/>
      <c r="H275" s="2"/>
      <c r="I275" s="2"/>
      <c r="J275" s="3"/>
      <c r="K275" s="3"/>
      <c r="L275" s="3"/>
      <c r="P275" s="1"/>
      <c r="U275" s="3"/>
    </row>
    <row r="276" spans="7:21">
      <c r="G276" s="2"/>
      <c r="H276" s="2"/>
      <c r="I276" s="2"/>
      <c r="J276" s="3"/>
      <c r="K276" s="3"/>
      <c r="L276" s="3"/>
      <c r="P276" s="1"/>
      <c r="U276" s="3"/>
    </row>
    <row r="277" spans="7:21">
      <c r="G277" s="2"/>
      <c r="H277" s="2"/>
      <c r="I277" s="2"/>
      <c r="J277" s="3"/>
      <c r="K277" s="3"/>
      <c r="L277" s="3"/>
      <c r="P277" s="1"/>
      <c r="U277" s="3"/>
    </row>
    <row r="278" spans="7:21">
      <c r="G278" s="2"/>
      <c r="H278" s="2"/>
      <c r="I278" s="2"/>
      <c r="J278" s="3"/>
      <c r="K278" s="3"/>
      <c r="L278" s="3"/>
      <c r="P278" s="1"/>
      <c r="U278" s="3"/>
    </row>
    <row r="279" spans="7:21">
      <c r="G279" s="2"/>
      <c r="H279" s="2"/>
      <c r="I279" s="2"/>
      <c r="J279" s="3"/>
      <c r="K279" s="3"/>
      <c r="L279" s="3"/>
      <c r="P279" s="1"/>
      <c r="U279" s="3"/>
    </row>
    <row r="280" spans="7:21">
      <c r="G280" s="2"/>
      <c r="H280" s="2"/>
      <c r="I280" s="2"/>
      <c r="J280" s="3"/>
      <c r="K280" s="3"/>
      <c r="L280" s="3"/>
      <c r="P280" s="1"/>
      <c r="U280" s="3"/>
    </row>
    <row r="281" spans="7:21">
      <c r="G281" s="2"/>
      <c r="H281" s="2"/>
      <c r="I281" s="2"/>
      <c r="J281" s="3"/>
      <c r="K281" s="3"/>
      <c r="L281" s="3"/>
      <c r="P281" s="1"/>
      <c r="U281" s="3"/>
    </row>
    <row r="282" spans="7:21">
      <c r="G282" s="2"/>
      <c r="H282" s="2"/>
      <c r="I282" s="2"/>
      <c r="J282" s="3"/>
      <c r="K282" s="3"/>
      <c r="L282" s="3"/>
      <c r="P282" s="1"/>
      <c r="U282" s="3"/>
    </row>
    <row r="283" spans="7:21">
      <c r="G283" s="2"/>
      <c r="H283" s="2"/>
      <c r="I283" s="2"/>
      <c r="J283" s="3"/>
      <c r="K283" s="3"/>
      <c r="L283" s="3"/>
      <c r="P283" s="1"/>
      <c r="U283" s="3"/>
    </row>
    <row r="284" spans="7:21">
      <c r="G284" s="2"/>
      <c r="H284" s="2"/>
      <c r="I284" s="2"/>
      <c r="J284" s="3"/>
      <c r="K284" s="3"/>
      <c r="L284" s="3"/>
      <c r="P284" s="1"/>
      <c r="U284" s="3"/>
    </row>
    <row r="285" spans="7:21">
      <c r="G285" s="2"/>
      <c r="H285" s="2"/>
      <c r="I285" s="2"/>
      <c r="J285" s="3"/>
      <c r="K285" s="3"/>
      <c r="L285" s="3"/>
      <c r="P285" s="1"/>
      <c r="U285" s="3"/>
    </row>
    <row r="286" spans="7:21">
      <c r="G286" s="2"/>
      <c r="H286" s="2"/>
      <c r="I286" s="2"/>
      <c r="J286" s="3"/>
      <c r="K286" s="3"/>
      <c r="L286" s="3"/>
      <c r="P286" s="1"/>
      <c r="U286" s="3"/>
    </row>
    <row r="287" spans="7:21">
      <c r="G287" s="2"/>
      <c r="H287" s="2"/>
      <c r="I287" s="2"/>
      <c r="J287" s="3"/>
      <c r="K287" s="3"/>
      <c r="L287" s="3"/>
      <c r="P287" s="1"/>
      <c r="U287" s="3"/>
    </row>
    <row r="288" spans="7:21">
      <c r="G288" s="2"/>
      <c r="H288" s="2"/>
      <c r="I288" s="2"/>
      <c r="J288" s="3"/>
      <c r="K288" s="3"/>
      <c r="L288" s="3"/>
      <c r="P288" s="1"/>
      <c r="U288" s="3"/>
    </row>
    <row r="289" spans="7:21">
      <c r="G289" s="2"/>
      <c r="H289" s="2"/>
      <c r="I289" s="2"/>
      <c r="J289" s="3"/>
      <c r="K289" s="3"/>
      <c r="L289" s="3"/>
      <c r="P289" s="1"/>
      <c r="U289" s="3"/>
    </row>
    <row r="290" spans="7:21">
      <c r="G290" s="2"/>
      <c r="H290" s="2"/>
      <c r="I290" s="2"/>
      <c r="J290" s="3"/>
      <c r="K290" s="3"/>
      <c r="L290" s="3"/>
      <c r="P290" s="1"/>
      <c r="U290" s="3"/>
    </row>
    <row r="291" spans="7:21">
      <c r="G291" s="2"/>
      <c r="H291" s="2"/>
      <c r="I291" s="2"/>
      <c r="J291" s="3"/>
      <c r="K291" s="3"/>
      <c r="L291" s="3"/>
      <c r="P291" s="1"/>
      <c r="U291" s="3"/>
    </row>
    <row r="292" spans="7:21">
      <c r="G292" s="2"/>
      <c r="H292" s="2"/>
      <c r="I292" s="2"/>
      <c r="J292" s="3"/>
      <c r="K292" s="3"/>
      <c r="L292" s="3"/>
      <c r="P292" s="1"/>
      <c r="U292" s="3"/>
    </row>
    <row r="293" spans="7:21">
      <c r="G293" s="2"/>
      <c r="H293" s="2"/>
      <c r="I293" s="2"/>
      <c r="J293" s="3"/>
      <c r="K293" s="3"/>
      <c r="L293" s="3"/>
      <c r="P293" s="1"/>
      <c r="U293" s="3"/>
    </row>
    <row r="294" spans="7:21">
      <c r="G294" s="2"/>
      <c r="H294" s="2"/>
      <c r="I294" s="2"/>
      <c r="J294" s="3"/>
      <c r="K294" s="3"/>
      <c r="L294" s="3"/>
      <c r="P294" s="1"/>
      <c r="U294" s="3"/>
    </row>
    <row r="295" spans="7:21">
      <c r="G295" s="2"/>
      <c r="H295" s="2"/>
      <c r="I295" s="2"/>
      <c r="J295" s="3"/>
      <c r="K295" s="3"/>
      <c r="L295" s="3"/>
      <c r="P295" s="1"/>
      <c r="U295" s="3"/>
    </row>
    <row r="296" spans="7:21">
      <c r="G296" s="2"/>
      <c r="H296" s="2"/>
      <c r="I296" s="2"/>
      <c r="J296" s="3"/>
      <c r="K296" s="3"/>
      <c r="L296" s="3"/>
      <c r="P296" s="1"/>
      <c r="U296" s="3"/>
    </row>
    <row r="297" spans="7:21">
      <c r="G297" s="2"/>
      <c r="H297" s="2"/>
      <c r="I297" s="2"/>
      <c r="J297" s="3"/>
      <c r="K297" s="3"/>
      <c r="L297" s="3"/>
      <c r="P297" s="1"/>
      <c r="U297" s="3"/>
    </row>
    <row r="298" spans="7:21">
      <c r="G298" s="2"/>
      <c r="H298" s="2"/>
      <c r="I298" s="2"/>
      <c r="J298" s="3"/>
      <c r="K298" s="3"/>
      <c r="L298" s="3"/>
      <c r="P298" s="1"/>
      <c r="U298" s="3"/>
    </row>
    <row r="299" spans="7:21">
      <c r="G299" s="2"/>
      <c r="H299" s="2"/>
      <c r="I299" s="2"/>
      <c r="J299" s="3"/>
      <c r="K299" s="3"/>
      <c r="L299" s="3"/>
      <c r="P299" s="1"/>
      <c r="U299" s="3"/>
    </row>
    <row r="300" spans="7:21">
      <c r="G300" s="2"/>
      <c r="H300" s="2"/>
      <c r="I300" s="2"/>
      <c r="J300" s="3"/>
      <c r="K300" s="3"/>
      <c r="L300" s="3"/>
      <c r="P300" s="1"/>
      <c r="U300" s="3"/>
    </row>
    <row r="301" spans="7:21">
      <c r="G301" s="2"/>
      <c r="H301" s="2"/>
      <c r="I301" s="2"/>
      <c r="J301" s="3"/>
      <c r="K301" s="3"/>
      <c r="L301" s="3"/>
      <c r="P301" s="1"/>
      <c r="U301" s="3"/>
    </row>
    <row r="302" spans="7:21">
      <c r="G302" s="2"/>
      <c r="H302" s="2"/>
      <c r="I302" s="2"/>
      <c r="J302" s="3"/>
      <c r="K302" s="3"/>
      <c r="L302" s="3"/>
      <c r="P302" s="1"/>
      <c r="U302" s="3"/>
    </row>
    <row r="303" spans="7:21">
      <c r="G303" s="2"/>
      <c r="H303" s="2"/>
      <c r="I303" s="2"/>
      <c r="J303" s="3"/>
      <c r="K303" s="3"/>
      <c r="L303" s="3"/>
      <c r="P303" s="1"/>
      <c r="U303" s="3"/>
    </row>
    <row r="304" spans="7:21">
      <c r="G304" s="2"/>
      <c r="H304" s="2"/>
      <c r="I304" s="2"/>
      <c r="J304" s="3"/>
      <c r="K304" s="3"/>
      <c r="L304" s="3"/>
      <c r="P304" s="1"/>
      <c r="U304" s="3"/>
    </row>
    <row r="305" spans="7:21">
      <c r="G305" s="2"/>
      <c r="H305" s="2"/>
      <c r="I305" s="2"/>
      <c r="J305" s="3"/>
      <c r="K305" s="3"/>
      <c r="L305" s="3"/>
      <c r="P305" s="1"/>
      <c r="U305" s="3"/>
    </row>
    <row r="306" spans="7:21">
      <c r="G306" s="2"/>
      <c r="H306" s="2"/>
      <c r="I306" s="2"/>
      <c r="J306" s="3"/>
      <c r="K306" s="3"/>
      <c r="L306" s="3"/>
      <c r="P306" s="1"/>
      <c r="U306" s="3"/>
    </row>
    <row r="307" spans="7:21">
      <c r="G307" s="2"/>
      <c r="H307" s="2"/>
      <c r="I307" s="2"/>
      <c r="J307" s="3"/>
      <c r="K307" s="3"/>
      <c r="L307" s="3"/>
      <c r="P307" s="1"/>
      <c r="U307" s="3"/>
    </row>
    <row r="308" spans="7:21">
      <c r="G308" s="2"/>
      <c r="H308" s="2"/>
      <c r="I308" s="2"/>
      <c r="J308" s="3"/>
      <c r="K308" s="3"/>
      <c r="L308" s="3"/>
      <c r="P308" s="1"/>
      <c r="U308" s="3"/>
    </row>
    <row r="309" spans="7:21">
      <c r="G309" s="2"/>
      <c r="H309" s="2"/>
      <c r="I309" s="2"/>
      <c r="J309" s="3"/>
      <c r="K309" s="3"/>
      <c r="L309" s="3"/>
      <c r="P309" s="1"/>
      <c r="U309" s="3"/>
    </row>
    <row r="310" spans="7:21">
      <c r="G310" s="2"/>
      <c r="H310" s="2"/>
      <c r="I310" s="2"/>
      <c r="J310" s="3"/>
      <c r="K310" s="3"/>
      <c r="L310" s="3"/>
      <c r="P310" s="1"/>
      <c r="U310" s="3"/>
    </row>
    <row r="311" spans="7:21">
      <c r="G311" s="2"/>
      <c r="H311" s="2"/>
      <c r="I311" s="2"/>
      <c r="J311" s="3"/>
      <c r="K311" s="3"/>
      <c r="L311" s="3"/>
      <c r="P311" s="1"/>
      <c r="U311" s="3"/>
    </row>
    <row r="312" spans="7:21">
      <c r="G312" s="2"/>
      <c r="H312" s="2"/>
      <c r="I312" s="2"/>
      <c r="J312" s="3"/>
      <c r="K312" s="3"/>
      <c r="L312" s="3"/>
      <c r="P312" s="1"/>
      <c r="U312" s="3"/>
    </row>
    <row r="313" spans="7:21">
      <c r="G313" s="2"/>
      <c r="H313" s="2"/>
      <c r="I313" s="2"/>
      <c r="J313" s="3"/>
      <c r="K313" s="3"/>
      <c r="L313" s="3"/>
      <c r="P313" s="1"/>
      <c r="U313" s="3"/>
    </row>
    <row r="314" spans="7:21">
      <c r="G314" s="2"/>
      <c r="H314" s="2"/>
      <c r="I314" s="2"/>
      <c r="J314" s="3"/>
      <c r="K314" s="3"/>
      <c r="L314" s="3"/>
      <c r="P314" s="1"/>
      <c r="U314" s="3"/>
    </row>
    <row r="315" spans="7:21">
      <c r="G315" s="2"/>
      <c r="H315" s="2"/>
      <c r="I315" s="2"/>
      <c r="J315" s="3"/>
      <c r="K315" s="3"/>
      <c r="L315" s="3"/>
      <c r="P315" s="1"/>
      <c r="U315" s="3"/>
    </row>
    <row r="316" spans="7:21">
      <c r="G316" s="2"/>
      <c r="H316" s="2"/>
      <c r="I316" s="2"/>
      <c r="J316" s="3"/>
      <c r="K316" s="3"/>
      <c r="L316" s="3"/>
      <c r="P316" s="1"/>
      <c r="U316" s="3"/>
    </row>
    <row r="317" spans="7:21">
      <c r="G317" s="2"/>
      <c r="H317" s="2"/>
      <c r="I317" s="2"/>
      <c r="J317" s="3"/>
      <c r="K317" s="3"/>
      <c r="L317" s="3"/>
      <c r="P317" s="1"/>
      <c r="U317" s="3"/>
    </row>
    <row r="318" spans="7:21">
      <c r="G318" s="2"/>
      <c r="H318" s="2"/>
      <c r="I318" s="2"/>
      <c r="J318" s="3"/>
      <c r="K318" s="3"/>
      <c r="L318" s="3"/>
      <c r="P318" s="1"/>
      <c r="U318" s="3"/>
    </row>
    <row r="319" spans="7:21">
      <c r="G319" s="2"/>
      <c r="H319" s="2"/>
      <c r="I319" s="2"/>
      <c r="J319" s="3"/>
      <c r="K319" s="3"/>
      <c r="L319" s="3"/>
      <c r="P319" s="1"/>
      <c r="U319" s="3"/>
    </row>
    <row r="320" spans="7:21">
      <c r="G320" s="2"/>
      <c r="H320" s="2"/>
      <c r="I320" s="2"/>
      <c r="J320" s="3"/>
      <c r="K320" s="3"/>
      <c r="L320" s="3"/>
      <c r="P320" s="1"/>
      <c r="U320" s="3"/>
    </row>
    <row r="321" spans="7:21">
      <c r="G321" s="2"/>
      <c r="H321" s="2"/>
      <c r="I321" s="2"/>
      <c r="J321" s="3"/>
      <c r="K321" s="3"/>
      <c r="L321" s="3"/>
      <c r="P321" s="1"/>
      <c r="U321" s="3"/>
    </row>
    <row r="322" spans="7:21">
      <c r="G322" s="2"/>
      <c r="H322" s="2"/>
      <c r="I322" s="2"/>
      <c r="J322" s="3"/>
      <c r="K322" s="3"/>
      <c r="L322" s="3"/>
      <c r="P322" s="1"/>
      <c r="U322" s="3"/>
    </row>
    <row r="323" spans="7:21">
      <c r="G323" s="2"/>
      <c r="H323" s="2"/>
      <c r="I323" s="2"/>
      <c r="J323" s="3"/>
      <c r="K323" s="3"/>
      <c r="L323" s="3"/>
      <c r="P323" s="1"/>
      <c r="U323" s="3"/>
    </row>
    <row r="324" spans="7:21">
      <c r="G324" s="2"/>
      <c r="H324" s="2"/>
      <c r="I324" s="2"/>
      <c r="J324" s="3"/>
      <c r="K324" s="3"/>
      <c r="L324" s="3"/>
      <c r="P324" s="1"/>
      <c r="U324" s="3"/>
    </row>
    <row r="325" spans="7:21">
      <c r="G325" s="2"/>
      <c r="H325" s="2"/>
      <c r="I325" s="2"/>
      <c r="J325" s="3"/>
      <c r="K325" s="3"/>
      <c r="L325" s="3"/>
      <c r="P325" s="1"/>
      <c r="U325" s="3"/>
    </row>
    <row r="326" spans="7:21">
      <c r="G326" s="2"/>
      <c r="H326" s="2"/>
      <c r="I326" s="2"/>
      <c r="J326" s="3"/>
      <c r="K326" s="3"/>
      <c r="L326" s="3"/>
      <c r="P326" s="1"/>
      <c r="U326" s="3"/>
    </row>
    <row r="327" spans="7:21">
      <c r="G327" s="2"/>
      <c r="H327" s="2"/>
      <c r="I327" s="2"/>
      <c r="J327" s="3"/>
      <c r="K327" s="3"/>
      <c r="L327" s="3"/>
      <c r="P327" s="1"/>
      <c r="U327" s="3"/>
    </row>
    <row r="328" spans="7:21">
      <c r="G328" s="2"/>
      <c r="H328" s="2"/>
      <c r="I328" s="2"/>
      <c r="J328" s="3"/>
      <c r="K328" s="3"/>
      <c r="L328" s="3"/>
      <c r="P328" s="1"/>
      <c r="U328" s="3"/>
    </row>
    <row r="329" spans="7:21">
      <c r="G329" s="2"/>
      <c r="H329" s="2"/>
      <c r="I329" s="2"/>
      <c r="J329" s="3"/>
      <c r="K329" s="3"/>
      <c r="L329" s="3"/>
      <c r="P329" s="1"/>
      <c r="U329" s="3"/>
    </row>
    <row r="330" spans="7:21">
      <c r="G330" s="2"/>
      <c r="H330" s="2"/>
      <c r="I330" s="2"/>
      <c r="J330" s="3"/>
      <c r="K330" s="3"/>
      <c r="L330" s="3"/>
      <c r="P330" s="1"/>
      <c r="U330" s="3"/>
    </row>
    <row r="331" spans="7:21">
      <c r="G331" s="2"/>
      <c r="H331" s="2"/>
      <c r="I331" s="2"/>
      <c r="J331" s="3"/>
      <c r="K331" s="3"/>
      <c r="L331" s="3"/>
      <c r="P331" s="1"/>
      <c r="U331" s="3"/>
    </row>
    <row r="332" spans="7:21">
      <c r="G332" s="2"/>
      <c r="H332" s="2"/>
      <c r="I332" s="2"/>
      <c r="J332" s="3"/>
      <c r="K332" s="3"/>
      <c r="L332" s="3"/>
      <c r="P332" s="1"/>
      <c r="U332" s="3"/>
    </row>
    <row r="333" spans="7:21">
      <c r="G333" s="2"/>
      <c r="H333" s="2"/>
      <c r="I333" s="2"/>
      <c r="J333" s="3"/>
      <c r="K333" s="3"/>
      <c r="L333" s="3"/>
      <c r="P333" s="1"/>
      <c r="U333" s="3"/>
    </row>
    <row r="334" spans="7:21">
      <c r="G334" s="2"/>
      <c r="H334" s="2"/>
      <c r="I334" s="2"/>
      <c r="J334" s="3"/>
      <c r="K334" s="3"/>
      <c r="L334" s="3"/>
      <c r="P334" s="1"/>
      <c r="U334" s="3"/>
    </row>
    <row r="335" spans="7:21">
      <c r="G335" s="2"/>
      <c r="H335" s="2"/>
      <c r="I335" s="2"/>
      <c r="J335" s="3"/>
      <c r="K335" s="3"/>
      <c r="L335" s="3"/>
      <c r="P335" s="1"/>
      <c r="U335" s="3"/>
    </row>
    <row r="336" spans="7:21">
      <c r="G336" s="2"/>
      <c r="H336" s="2"/>
      <c r="I336" s="2"/>
      <c r="J336" s="3"/>
      <c r="K336" s="3"/>
      <c r="L336" s="3"/>
      <c r="P336" s="1"/>
      <c r="U336" s="3"/>
    </row>
    <row r="337" spans="7:21">
      <c r="G337" s="2"/>
      <c r="H337" s="2"/>
      <c r="I337" s="2"/>
      <c r="J337" s="3"/>
      <c r="K337" s="3"/>
      <c r="L337" s="3"/>
      <c r="P337" s="1"/>
      <c r="U337" s="3"/>
    </row>
    <row r="338" spans="7:21">
      <c r="G338" s="2"/>
      <c r="H338" s="2"/>
      <c r="I338" s="2"/>
      <c r="J338" s="3"/>
      <c r="K338" s="3"/>
      <c r="L338" s="3"/>
      <c r="P338" s="1"/>
      <c r="U338" s="3"/>
    </row>
    <row r="339" spans="7:21">
      <c r="G339" s="2"/>
      <c r="H339" s="2"/>
      <c r="I339" s="2"/>
      <c r="J339" s="3"/>
      <c r="K339" s="3"/>
      <c r="L339" s="3"/>
      <c r="P339" s="1"/>
      <c r="U339" s="3"/>
    </row>
    <row r="340" spans="7:21">
      <c r="G340" s="2"/>
      <c r="H340" s="2"/>
      <c r="I340" s="2"/>
      <c r="J340" s="3"/>
      <c r="K340" s="3"/>
      <c r="L340" s="3"/>
      <c r="P340" s="1"/>
      <c r="U340" s="3"/>
    </row>
    <row r="341" spans="7:21">
      <c r="G341" s="2"/>
      <c r="H341" s="2"/>
      <c r="I341" s="2"/>
      <c r="J341" s="3"/>
      <c r="K341" s="3"/>
      <c r="L341" s="3"/>
      <c r="P341" s="1"/>
      <c r="U341" s="3"/>
    </row>
    <row r="342" spans="7:21">
      <c r="G342" s="2"/>
      <c r="H342" s="2"/>
      <c r="I342" s="2"/>
      <c r="J342" s="3"/>
      <c r="K342" s="3"/>
      <c r="L342" s="3"/>
      <c r="P342" s="1"/>
      <c r="U342" s="3"/>
    </row>
    <row r="343" spans="7:21">
      <c r="G343" s="2"/>
      <c r="H343" s="2"/>
      <c r="I343" s="2"/>
      <c r="J343" s="3"/>
      <c r="K343" s="3"/>
      <c r="L343" s="3"/>
      <c r="P343" s="1"/>
      <c r="U343" s="3"/>
    </row>
    <row r="344" spans="7:21">
      <c r="G344" s="2"/>
      <c r="H344" s="2"/>
      <c r="I344" s="2"/>
      <c r="J344" s="3"/>
      <c r="K344" s="3"/>
      <c r="L344" s="3"/>
      <c r="P344" s="1"/>
      <c r="U344" s="3"/>
    </row>
    <row r="345" spans="7:21">
      <c r="G345" s="2"/>
      <c r="H345" s="2"/>
      <c r="I345" s="2"/>
      <c r="J345" s="3"/>
      <c r="K345" s="3"/>
      <c r="L345" s="3"/>
      <c r="P345" s="1"/>
      <c r="U345" s="3"/>
    </row>
    <row r="346" spans="7:21">
      <c r="G346" s="2"/>
      <c r="H346" s="2"/>
      <c r="I346" s="2"/>
      <c r="J346" s="3"/>
      <c r="K346" s="3"/>
      <c r="L346" s="3"/>
      <c r="P346" s="1"/>
      <c r="U346" s="3"/>
    </row>
    <row r="347" spans="7:21">
      <c r="G347" s="2"/>
      <c r="H347" s="2"/>
      <c r="I347" s="2"/>
      <c r="J347" s="3"/>
      <c r="K347" s="3"/>
      <c r="L347" s="3"/>
      <c r="P347" s="1"/>
      <c r="U347" s="3"/>
    </row>
    <row r="348" spans="7:21">
      <c r="G348" s="2"/>
      <c r="H348" s="2"/>
      <c r="I348" s="2"/>
      <c r="J348" s="3"/>
      <c r="K348" s="3"/>
      <c r="L348" s="3"/>
      <c r="P348" s="1"/>
      <c r="U348" s="3"/>
    </row>
    <row r="349" spans="7:21">
      <c r="G349" s="2"/>
      <c r="H349" s="2"/>
      <c r="I349" s="2"/>
      <c r="J349" s="3"/>
      <c r="K349" s="3"/>
      <c r="L349" s="3"/>
      <c r="P349" s="1"/>
      <c r="U349" s="3"/>
    </row>
    <row r="350" spans="7:21">
      <c r="G350" s="2"/>
      <c r="H350" s="2"/>
      <c r="I350" s="2"/>
      <c r="J350" s="3"/>
      <c r="K350" s="3"/>
      <c r="L350" s="3"/>
      <c r="P350" s="1"/>
      <c r="U350" s="3"/>
    </row>
    <row r="351" spans="7:21">
      <c r="G351" s="2"/>
      <c r="H351" s="2"/>
      <c r="I351" s="2"/>
      <c r="J351" s="3"/>
      <c r="K351" s="3"/>
      <c r="L351" s="3"/>
      <c r="P351" s="1"/>
      <c r="U351" s="3"/>
    </row>
    <row r="352" spans="7:21">
      <c r="G352" s="2"/>
      <c r="H352" s="2"/>
      <c r="I352" s="2"/>
      <c r="J352" s="3"/>
      <c r="K352" s="3"/>
      <c r="L352" s="3"/>
      <c r="P352" s="1"/>
      <c r="U352" s="3"/>
    </row>
    <row r="353" spans="7:21">
      <c r="G353" s="2"/>
      <c r="H353" s="2"/>
      <c r="I353" s="2"/>
      <c r="J353" s="3"/>
      <c r="K353" s="3"/>
      <c r="L353" s="3"/>
      <c r="P353" s="1"/>
      <c r="U353" s="3"/>
    </row>
    <row r="354" spans="7:21">
      <c r="G354" s="2"/>
      <c r="H354" s="2"/>
      <c r="I354" s="2"/>
      <c r="J354" s="3"/>
      <c r="K354" s="3"/>
      <c r="L354" s="3"/>
      <c r="P354" s="1"/>
      <c r="U354" s="3"/>
    </row>
    <row r="355" spans="7:21">
      <c r="G355" s="2"/>
      <c r="H355" s="2"/>
      <c r="I355" s="2"/>
      <c r="J355" s="3"/>
      <c r="K355" s="3"/>
      <c r="L355" s="3"/>
      <c r="P355" s="1"/>
      <c r="U355" s="3"/>
    </row>
    <row r="356" spans="7:21">
      <c r="G356" s="2"/>
      <c r="H356" s="2"/>
      <c r="I356" s="2"/>
      <c r="J356" s="3"/>
      <c r="K356" s="3"/>
      <c r="L356" s="3"/>
      <c r="P356" s="1"/>
      <c r="U356" s="3"/>
    </row>
    <row r="357" spans="7:21">
      <c r="G357" s="2"/>
      <c r="H357" s="2"/>
      <c r="I357" s="2"/>
      <c r="J357" s="3"/>
      <c r="K357" s="3"/>
      <c r="L357" s="3"/>
      <c r="P357" s="1"/>
      <c r="U357" s="3"/>
    </row>
    <row r="358" spans="7:21">
      <c r="G358" s="2"/>
      <c r="H358" s="2"/>
      <c r="I358" s="2"/>
      <c r="J358" s="3"/>
      <c r="K358" s="3"/>
      <c r="L358" s="3"/>
      <c r="P358" s="1"/>
      <c r="U358" s="3"/>
    </row>
    <row r="359" spans="7:21">
      <c r="G359" s="2"/>
      <c r="H359" s="2"/>
      <c r="I359" s="2"/>
      <c r="J359" s="3"/>
      <c r="K359" s="3"/>
      <c r="L359" s="3"/>
      <c r="P359" s="1"/>
      <c r="U359" s="3"/>
    </row>
    <row r="360" spans="7:21">
      <c r="G360" s="2"/>
      <c r="H360" s="2"/>
      <c r="I360" s="2"/>
      <c r="J360" s="3"/>
      <c r="K360" s="3"/>
      <c r="L360" s="3"/>
      <c r="P360" s="1"/>
      <c r="U360" s="3"/>
    </row>
    <row r="361" spans="7:21">
      <c r="G361" s="2"/>
      <c r="H361" s="2"/>
      <c r="I361" s="2"/>
      <c r="J361" s="3"/>
      <c r="K361" s="3"/>
      <c r="L361" s="3"/>
      <c r="P361" s="1"/>
      <c r="U361" s="3"/>
    </row>
    <row r="362" spans="7:21">
      <c r="G362" s="2"/>
      <c r="H362" s="2"/>
      <c r="I362" s="2"/>
      <c r="J362" s="3"/>
      <c r="K362" s="3"/>
      <c r="L362" s="3"/>
      <c r="P362" s="1"/>
      <c r="U362" s="3"/>
    </row>
    <row r="363" spans="7:21">
      <c r="G363" s="2"/>
      <c r="H363" s="2"/>
      <c r="I363" s="2"/>
      <c r="J363" s="3"/>
      <c r="K363" s="3"/>
      <c r="L363" s="3"/>
      <c r="P363" s="1"/>
      <c r="U363" s="3"/>
    </row>
    <row r="364" spans="7:21">
      <c r="G364" s="2"/>
      <c r="H364" s="2"/>
      <c r="I364" s="2"/>
      <c r="J364" s="3"/>
      <c r="K364" s="3"/>
      <c r="L364" s="3"/>
      <c r="P364" s="1"/>
      <c r="U364" s="3"/>
    </row>
    <row r="365" spans="7:21">
      <c r="G365" s="2"/>
      <c r="H365" s="2"/>
      <c r="I365" s="2"/>
      <c r="J365" s="3"/>
      <c r="K365" s="3"/>
      <c r="L365" s="3"/>
      <c r="P365" s="1"/>
      <c r="U365" s="3"/>
    </row>
    <row r="366" spans="7:21">
      <c r="G366" s="2"/>
      <c r="H366" s="2"/>
      <c r="I366" s="2"/>
      <c r="J366" s="3"/>
      <c r="K366" s="3"/>
      <c r="L366" s="3"/>
      <c r="P366" s="1"/>
      <c r="U366" s="3"/>
    </row>
    <row r="367" spans="7:21">
      <c r="G367" s="2"/>
      <c r="H367" s="2"/>
      <c r="I367" s="2"/>
      <c r="J367" s="3"/>
      <c r="K367" s="3"/>
      <c r="L367" s="3"/>
      <c r="P367" s="1"/>
      <c r="U367" s="3"/>
    </row>
    <row r="368" spans="7:21">
      <c r="G368" s="2"/>
      <c r="H368" s="2"/>
      <c r="I368" s="2"/>
      <c r="J368" s="3"/>
      <c r="K368" s="3"/>
      <c r="L368" s="3"/>
      <c r="P368" s="1"/>
      <c r="U368" s="3"/>
    </row>
    <row r="369" spans="7:21">
      <c r="G369" s="2"/>
      <c r="H369" s="2"/>
      <c r="I369" s="2"/>
      <c r="J369" s="3"/>
      <c r="K369" s="3"/>
      <c r="L369" s="3"/>
      <c r="P369" s="1"/>
      <c r="U369" s="3"/>
    </row>
    <row r="370" spans="7:21">
      <c r="G370" s="2"/>
      <c r="H370" s="2"/>
      <c r="I370" s="2"/>
      <c r="J370" s="3"/>
      <c r="K370" s="3"/>
      <c r="L370" s="3"/>
      <c r="P370" s="1"/>
      <c r="U370" s="3"/>
    </row>
    <row r="371" spans="7:21">
      <c r="G371" s="2"/>
      <c r="H371" s="2"/>
      <c r="I371" s="2"/>
      <c r="J371" s="3"/>
      <c r="K371" s="3"/>
      <c r="L371" s="3"/>
      <c r="P371" s="1"/>
      <c r="U371" s="3"/>
    </row>
    <row r="372" spans="7:21">
      <c r="G372" s="2"/>
      <c r="H372" s="2"/>
      <c r="I372" s="2"/>
      <c r="J372" s="3"/>
      <c r="K372" s="3"/>
      <c r="L372" s="3"/>
      <c r="P372" s="1"/>
      <c r="U372" s="3"/>
    </row>
    <row r="373" spans="7:21">
      <c r="G373" s="2"/>
      <c r="H373" s="2"/>
      <c r="I373" s="2"/>
      <c r="J373" s="3"/>
      <c r="K373" s="3"/>
      <c r="L373" s="3"/>
      <c r="P373" s="1"/>
      <c r="U373" s="3"/>
    </row>
    <row r="374" spans="7:21">
      <c r="G374" s="2"/>
      <c r="H374" s="2"/>
      <c r="I374" s="2"/>
      <c r="J374" s="3"/>
      <c r="K374" s="3"/>
      <c r="L374" s="3"/>
      <c r="P374" s="1"/>
      <c r="U374" s="3"/>
    </row>
    <row r="375" spans="7:21">
      <c r="G375" s="2"/>
      <c r="H375" s="2"/>
      <c r="I375" s="2"/>
      <c r="J375" s="3"/>
      <c r="K375" s="3"/>
      <c r="L375" s="3"/>
      <c r="P375" s="1"/>
      <c r="U375" s="3"/>
    </row>
    <row r="376" spans="7:21">
      <c r="G376" s="2"/>
      <c r="H376" s="2"/>
      <c r="I376" s="2"/>
      <c r="J376" s="3"/>
      <c r="K376" s="3"/>
      <c r="L376" s="3"/>
      <c r="P376" s="1"/>
      <c r="U376" s="3"/>
    </row>
    <row r="377" spans="7:21">
      <c r="G377" s="2"/>
      <c r="H377" s="2"/>
      <c r="I377" s="2"/>
      <c r="J377" s="3"/>
      <c r="K377" s="3"/>
      <c r="L377" s="3"/>
      <c r="P377" s="1"/>
      <c r="U377" s="3"/>
    </row>
    <row r="378" spans="7:21">
      <c r="G378" s="2"/>
      <c r="H378" s="2"/>
      <c r="I378" s="2"/>
      <c r="J378" s="3"/>
      <c r="K378" s="3"/>
      <c r="L378" s="3"/>
      <c r="P378" s="1"/>
      <c r="U378" s="3"/>
    </row>
    <row r="379" spans="7:21">
      <c r="G379" s="2"/>
      <c r="H379" s="2"/>
      <c r="I379" s="2"/>
      <c r="J379" s="3"/>
      <c r="K379" s="3"/>
      <c r="L379" s="3"/>
      <c r="P379" s="1"/>
      <c r="U379" s="3"/>
    </row>
    <row r="380" spans="7:21">
      <c r="G380" s="2"/>
      <c r="H380" s="2"/>
      <c r="I380" s="2"/>
      <c r="J380" s="3"/>
      <c r="K380" s="3"/>
      <c r="L380" s="3"/>
      <c r="P380" s="1"/>
      <c r="U380" s="3"/>
    </row>
    <row r="381" spans="7:21">
      <c r="G381" s="2"/>
      <c r="H381" s="2"/>
      <c r="I381" s="2"/>
      <c r="J381" s="3"/>
      <c r="K381" s="3"/>
      <c r="L381" s="3"/>
      <c r="P381" s="1"/>
      <c r="U381" s="3"/>
    </row>
    <row r="382" spans="7:21">
      <c r="G382" s="2"/>
      <c r="H382" s="2"/>
      <c r="I382" s="2"/>
      <c r="J382" s="3"/>
      <c r="K382" s="3"/>
      <c r="L382" s="3"/>
      <c r="P382" s="1"/>
      <c r="U382" s="3"/>
    </row>
    <row r="383" spans="7:21">
      <c r="G383" s="2"/>
      <c r="H383" s="2"/>
      <c r="I383" s="2"/>
      <c r="J383" s="3"/>
      <c r="K383" s="3"/>
      <c r="L383" s="3"/>
      <c r="P383" s="1"/>
      <c r="U383" s="3"/>
    </row>
    <row r="384" spans="7:21">
      <c r="G384" s="2"/>
      <c r="H384" s="2"/>
      <c r="I384" s="2"/>
      <c r="J384" s="3"/>
      <c r="K384" s="3"/>
      <c r="L384" s="3"/>
      <c r="P384" s="1"/>
      <c r="U384" s="3"/>
    </row>
    <row r="385" spans="7:21">
      <c r="G385" s="2"/>
      <c r="H385" s="2"/>
      <c r="I385" s="2"/>
      <c r="J385" s="3"/>
      <c r="K385" s="3"/>
      <c r="L385" s="3"/>
      <c r="P385" s="1"/>
      <c r="U385" s="3"/>
    </row>
    <row r="386" spans="7:21">
      <c r="G386" s="2"/>
      <c r="H386" s="2"/>
      <c r="I386" s="2"/>
      <c r="J386" s="3"/>
      <c r="K386" s="3"/>
      <c r="L386" s="3"/>
      <c r="P386" s="1"/>
      <c r="U386" s="3"/>
    </row>
    <row r="387" spans="7:21">
      <c r="G387" s="2"/>
      <c r="H387" s="2"/>
      <c r="I387" s="2"/>
      <c r="J387" s="3"/>
      <c r="K387" s="3"/>
      <c r="L387" s="3"/>
      <c r="P387" s="1"/>
      <c r="U387" s="3"/>
    </row>
    <row r="388" spans="7:21">
      <c r="G388" s="2"/>
      <c r="H388" s="2"/>
      <c r="I388" s="2"/>
      <c r="J388" s="3"/>
      <c r="K388" s="3"/>
      <c r="L388" s="3"/>
      <c r="P388" s="1"/>
      <c r="U388" s="3"/>
    </row>
    <row r="389" spans="7:21">
      <c r="G389" s="2"/>
      <c r="H389" s="2"/>
      <c r="I389" s="2"/>
      <c r="J389" s="3"/>
      <c r="K389" s="3"/>
      <c r="L389" s="3"/>
      <c r="P389" s="1"/>
      <c r="U389" s="3"/>
    </row>
    <row r="390" spans="7:21">
      <c r="G390" s="2"/>
      <c r="H390" s="2"/>
      <c r="I390" s="2"/>
      <c r="J390" s="3"/>
      <c r="K390" s="3"/>
      <c r="L390" s="3"/>
      <c r="P390" s="1"/>
      <c r="U390" s="3"/>
    </row>
    <row r="391" spans="7:21">
      <c r="G391" s="2"/>
      <c r="H391" s="2"/>
      <c r="I391" s="2"/>
      <c r="J391" s="3"/>
      <c r="K391" s="3"/>
      <c r="L391" s="3"/>
      <c r="P391" s="1"/>
      <c r="U391" s="3"/>
    </row>
    <row r="392" spans="7:21">
      <c r="G392" s="2"/>
      <c r="H392" s="2"/>
      <c r="I392" s="2"/>
      <c r="J392" s="3"/>
      <c r="K392" s="3"/>
      <c r="L392" s="3"/>
      <c r="P392" s="1"/>
      <c r="U392" s="3"/>
    </row>
    <row r="393" spans="7:21">
      <c r="G393" s="2"/>
      <c r="H393" s="2"/>
      <c r="I393" s="2"/>
      <c r="J393" s="3"/>
      <c r="K393" s="3"/>
      <c r="L393" s="3"/>
      <c r="P393" s="1"/>
      <c r="U393" s="3"/>
    </row>
    <row r="394" spans="7:21">
      <c r="G394" s="2"/>
      <c r="H394" s="2"/>
      <c r="I394" s="2"/>
      <c r="J394" s="3"/>
      <c r="K394" s="3"/>
      <c r="L394" s="3"/>
      <c r="P394" s="1"/>
      <c r="U394" s="3"/>
    </row>
    <row r="395" spans="7:21">
      <c r="G395" s="2"/>
      <c r="H395" s="2"/>
      <c r="I395" s="2"/>
      <c r="J395" s="3"/>
      <c r="K395" s="3"/>
      <c r="L395" s="3"/>
      <c r="P395" s="1"/>
      <c r="U395" s="3"/>
    </row>
    <row r="396" spans="7:21">
      <c r="G396" s="2"/>
      <c r="H396" s="2"/>
      <c r="I396" s="2"/>
      <c r="J396" s="3"/>
      <c r="K396" s="3"/>
      <c r="L396" s="3"/>
      <c r="P396" s="1"/>
      <c r="U396" s="3"/>
    </row>
    <row r="397" spans="7:21">
      <c r="G397" s="2"/>
      <c r="H397" s="2"/>
      <c r="I397" s="2"/>
      <c r="J397" s="3"/>
      <c r="K397" s="3"/>
      <c r="L397" s="3"/>
      <c r="P397" s="1"/>
      <c r="U397" s="3"/>
    </row>
    <row r="398" spans="7:21">
      <c r="G398" s="2"/>
      <c r="H398" s="2"/>
      <c r="I398" s="2"/>
      <c r="J398" s="3"/>
      <c r="K398" s="3"/>
      <c r="L398" s="3"/>
      <c r="P398" s="1"/>
      <c r="U398" s="3"/>
    </row>
    <row r="399" spans="7:21">
      <c r="G399" s="2"/>
      <c r="H399" s="2"/>
      <c r="I399" s="2"/>
      <c r="J399" s="3"/>
      <c r="K399" s="3"/>
      <c r="L399" s="3"/>
      <c r="P399" s="1"/>
      <c r="U399" s="3"/>
    </row>
    <row r="400" spans="7:21">
      <c r="G400" s="2"/>
      <c r="H400" s="2"/>
      <c r="I400" s="2"/>
      <c r="J400" s="3"/>
      <c r="K400" s="3"/>
      <c r="L400" s="3"/>
      <c r="P400" s="1"/>
      <c r="U400" s="3"/>
    </row>
    <row r="401" spans="7:21">
      <c r="G401" s="2"/>
      <c r="H401" s="2"/>
      <c r="I401" s="2"/>
      <c r="J401" s="3"/>
      <c r="K401" s="3"/>
      <c r="L401" s="3"/>
      <c r="P401" s="1"/>
      <c r="U401" s="3"/>
    </row>
    <row r="402" spans="7:21">
      <c r="G402" s="2"/>
      <c r="H402" s="2"/>
      <c r="I402" s="2"/>
      <c r="J402" s="3"/>
      <c r="K402" s="3"/>
      <c r="L402" s="3"/>
      <c r="P402" s="1"/>
      <c r="U402" s="3"/>
    </row>
    <row r="403" spans="7:21">
      <c r="G403" s="2"/>
      <c r="H403" s="2"/>
      <c r="I403" s="2"/>
      <c r="J403" s="3"/>
      <c r="K403" s="3"/>
      <c r="L403" s="3"/>
      <c r="P403" s="1"/>
      <c r="U403" s="3"/>
    </row>
    <row r="404" spans="7:21">
      <c r="G404" s="2"/>
      <c r="H404" s="2"/>
      <c r="I404" s="2"/>
      <c r="J404" s="3"/>
      <c r="K404" s="3"/>
      <c r="L404" s="3"/>
      <c r="P404" s="1"/>
      <c r="U404" s="3"/>
    </row>
    <row r="405" spans="7:21">
      <c r="G405" s="2"/>
      <c r="H405" s="2"/>
      <c r="I405" s="2"/>
      <c r="J405" s="3"/>
      <c r="K405" s="3"/>
      <c r="L405" s="3"/>
      <c r="P405" s="1"/>
      <c r="U405" s="3"/>
    </row>
    <row r="406" spans="7:21">
      <c r="G406" s="2"/>
      <c r="H406" s="2"/>
      <c r="I406" s="2"/>
      <c r="J406" s="3"/>
      <c r="K406" s="3"/>
      <c r="L406" s="3"/>
      <c r="P406" s="1"/>
      <c r="U406" s="3"/>
    </row>
    <row r="407" spans="7:21">
      <c r="G407" s="2"/>
      <c r="H407" s="2"/>
      <c r="I407" s="2"/>
      <c r="J407" s="3"/>
      <c r="K407" s="3"/>
      <c r="L407" s="3"/>
      <c r="P407" s="1"/>
      <c r="U407" s="3"/>
    </row>
    <row r="408" spans="7:21">
      <c r="G408" s="2"/>
      <c r="H408" s="2"/>
      <c r="I408" s="2"/>
      <c r="J408" s="3"/>
      <c r="K408" s="3"/>
      <c r="L408" s="3"/>
      <c r="P408" s="1"/>
      <c r="U408" s="3"/>
    </row>
    <row r="409" spans="7:21">
      <c r="G409" s="2"/>
      <c r="H409" s="2"/>
      <c r="I409" s="2"/>
      <c r="J409" s="3"/>
      <c r="K409" s="3"/>
      <c r="L409" s="3"/>
      <c r="P409" s="1"/>
      <c r="U409" s="3"/>
    </row>
    <row r="410" spans="7:21">
      <c r="G410" s="2"/>
      <c r="H410" s="2"/>
      <c r="I410" s="2"/>
      <c r="J410" s="3"/>
      <c r="K410" s="3"/>
      <c r="L410" s="3"/>
      <c r="P410" s="1"/>
      <c r="U410" s="3"/>
    </row>
    <row r="411" spans="7:21">
      <c r="G411" s="2"/>
      <c r="H411" s="2"/>
      <c r="I411" s="2"/>
      <c r="J411" s="3"/>
      <c r="K411" s="3"/>
      <c r="L411" s="3"/>
      <c r="P411" s="1"/>
      <c r="U411" s="3"/>
    </row>
    <row r="412" spans="7:21">
      <c r="G412" s="2"/>
      <c r="H412" s="2"/>
      <c r="I412" s="2"/>
      <c r="J412" s="3"/>
      <c r="K412" s="3"/>
      <c r="L412" s="3"/>
      <c r="P412" s="1"/>
      <c r="U412" s="3"/>
    </row>
    <row r="413" spans="7:21">
      <c r="G413" s="2"/>
      <c r="H413" s="2"/>
      <c r="I413" s="2"/>
      <c r="J413" s="3"/>
      <c r="K413" s="3"/>
      <c r="L413" s="3"/>
      <c r="P413" s="1"/>
      <c r="U413" s="3"/>
    </row>
    <row r="414" spans="7:21">
      <c r="G414" s="2"/>
      <c r="H414" s="2"/>
      <c r="I414" s="2"/>
      <c r="J414" s="3"/>
      <c r="K414" s="3"/>
      <c r="L414" s="3"/>
      <c r="P414" s="1"/>
      <c r="U414" s="3"/>
    </row>
    <row r="415" spans="7:21">
      <c r="G415" s="2"/>
      <c r="H415" s="2"/>
      <c r="I415" s="2"/>
      <c r="J415" s="3"/>
      <c r="K415" s="3"/>
      <c r="L415" s="3"/>
      <c r="P415" s="1"/>
      <c r="U415" s="3"/>
    </row>
    <row r="416" spans="7:21">
      <c r="G416" s="2"/>
      <c r="H416" s="2"/>
      <c r="I416" s="2"/>
      <c r="J416" s="3"/>
      <c r="K416" s="3"/>
      <c r="L416" s="3"/>
      <c r="P416" s="1"/>
      <c r="U416" s="3"/>
    </row>
    <row r="417" spans="7:21">
      <c r="G417" s="2"/>
      <c r="H417" s="2"/>
      <c r="I417" s="2"/>
      <c r="J417" s="3"/>
      <c r="K417" s="3"/>
      <c r="L417" s="3"/>
      <c r="P417" s="1"/>
      <c r="U417" s="3"/>
    </row>
    <row r="418" spans="7:21">
      <c r="G418" s="2"/>
      <c r="H418" s="2"/>
      <c r="I418" s="2"/>
      <c r="J418" s="3"/>
      <c r="K418" s="3"/>
      <c r="L418" s="3"/>
      <c r="P418" s="1"/>
      <c r="U418" s="3"/>
    </row>
    <row r="419" spans="7:21">
      <c r="G419" s="2"/>
      <c r="H419" s="2"/>
      <c r="I419" s="2"/>
      <c r="J419" s="3"/>
      <c r="K419" s="3"/>
      <c r="L419" s="3"/>
      <c r="P419" s="1"/>
      <c r="U419" s="3"/>
    </row>
    <row r="420" spans="7:21">
      <c r="G420" s="2"/>
      <c r="H420" s="2"/>
      <c r="I420" s="2"/>
      <c r="J420" s="3"/>
      <c r="K420" s="3"/>
      <c r="L420" s="3"/>
      <c r="P420" s="1"/>
      <c r="U420" s="3"/>
    </row>
    <row r="421" spans="7:21">
      <c r="G421" s="2"/>
      <c r="H421" s="2"/>
      <c r="I421" s="2"/>
      <c r="J421" s="3"/>
      <c r="K421" s="3"/>
      <c r="L421" s="3"/>
      <c r="P421" s="1"/>
      <c r="U421" s="3"/>
    </row>
    <row r="422" spans="7:21">
      <c r="G422" s="2"/>
      <c r="H422" s="2"/>
      <c r="I422" s="2"/>
      <c r="J422" s="3"/>
      <c r="K422" s="3"/>
      <c r="L422" s="3"/>
      <c r="P422" s="1"/>
      <c r="U422" s="3"/>
    </row>
    <row r="423" spans="7:21">
      <c r="G423" s="2"/>
      <c r="H423" s="2"/>
      <c r="I423" s="2"/>
      <c r="J423" s="3"/>
      <c r="K423" s="3"/>
      <c r="L423" s="3"/>
      <c r="P423" s="1"/>
      <c r="U423" s="3"/>
    </row>
    <row r="424" spans="7:21">
      <c r="G424" s="2"/>
      <c r="H424" s="2"/>
      <c r="I424" s="2"/>
      <c r="J424" s="3"/>
      <c r="K424" s="3"/>
      <c r="L424" s="3"/>
      <c r="P424" s="1"/>
      <c r="U424" s="3"/>
    </row>
    <row r="425" spans="7:21">
      <c r="G425" s="2"/>
      <c r="H425" s="2"/>
      <c r="I425" s="2"/>
      <c r="J425" s="3"/>
      <c r="K425" s="3"/>
      <c r="L425" s="3"/>
      <c r="P425" s="1"/>
      <c r="U425" s="3"/>
    </row>
    <row r="426" spans="7:21">
      <c r="G426" s="2"/>
      <c r="H426" s="2"/>
      <c r="I426" s="2"/>
      <c r="J426" s="3"/>
      <c r="K426" s="3"/>
      <c r="L426" s="3"/>
      <c r="P426" s="1"/>
      <c r="U426" s="3"/>
    </row>
    <row r="427" spans="7:21">
      <c r="G427" s="2"/>
      <c r="H427" s="2"/>
      <c r="I427" s="2"/>
      <c r="J427" s="3"/>
      <c r="K427" s="3"/>
      <c r="L427" s="3"/>
      <c r="P427" s="1"/>
      <c r="U427" s="3"/>
    </row>
    <row r="428" spans="7:21">
      <c r="G428" s="2"/>
      <c r="H428" s="2"/>
      <c r="I428" s="2"/>
      <c r="J428" s="3"/>
      <c r="K428" s="3"/>
      <c r="L428" s="3"/>
      <c r="P428" s="1"/>
      <c r="U428" s="3"/>
    </row>
    <row r="429" spans="7:21">
      <c r="G429" s="2"/>
      <c r="H429" s="2"/>
      <c r="I429" s="2"/>
      <c r="J429" s="3"/>
      <c r="K429" s="3"/>
      <c r="L429" s="3"/>
      <c r="P429" s="1"/>
      <c r="U429" s="3"/>
    </row>
    <row r="430" spans="7:21">
      <c r="G430" s="2"/>
      <c r="H430" s="2"/>
      <c r="I430" s="2"/>
      <c r="J430" s="3"/>
      <c r="K430" s="3"/>
      <c r="L430" s="3"/>
      <c r="P430" s="1"/>
      <c r="U430" s="3"/>
    </row>
    <row r="431" spans="7:21">
      <c r="G431" s="2"/>
      <c r="H431" s="2"/>
      <c r="I431" s="2"/>
      <c r="J431" s="3"/>
      <c r="K431" s="3"/>
      <c r="L431" s="3"/>
      <c r="P431" s="1"/>
      <c r="U431" s="3"/>
    </row>
    <row r="432" spans="7:21">
      <c r="G432" s="2"/>
      <c r="H432" s="2"/>
      <c r="I432" s="2"/>
      <c r="J432" s="3"/>
      <c r="K432" s="3"/>
      <c r="L432" s="3"/>
      <c r="P432" s="1"/>
      <c r="U432" s="3"/>
    </row>
    <row r="433" spans="7:21">
      <c r="G433" s="2"/>
      <c r="H433" s="2"/>
      <c r="I433" s="2"/>
      <c r="J433" s="3"/>
      <c r="K433" s="3"/>
      <c r="L433" s="3"/>
      <c r="P433" s="1"/>
      <c r="U433" s="3"/>
    </row>
    <row r="434" spans="7:21">
      <c r="G434" s="2"/>
      <c r="H434" s="2"/>
      <c r="I434" s="2"/>
      <c r="J434" s="3"/>
      <c r="K434" s="3"/>
      <c r="L434" s="3"/>
      <c r="P434" s="1"/>
      <c r="U434" s="3"/>
    </row>
    <row r="435" spans="7:21">
      <c r="G435" s="2"/>
      <c r="H435" s="2"/>
      <c r="I435" s="2"/>
      <c r="J435" s="3"/>
      <c r="K435" s="3"/>
      <c r="L435" s="3"/>
      <c r="P435" s="1"/>
      <c r="U435" s="3"/>
    </row>
    <row r="436" spans="7:21">
      <c r="G436" s="2"/>
      <c r="H436" s="2"/>
      <c r="I436" s="2"/>
      <c r="J436" s="3"/>
      <c r="K436" s="3"/>
      <c r="L436" s="3"/>
      <c r="P436" s="1"/>
      <c r="U436" s="3"/>
    </row>
    <row r="437" spans="7:21">
      <c r="G437" s="2"/>
      <c r="H437" s="2"/>
      <c r="I437" s="2"/>
      <c r="J437" s="3"/>
      <c r="K437" s="3"/>
      <c r="L437" s="3"/>
      <c r="P437" s="1"/>
      <c r="U437" s="3"/>
    </row>
    <row r="438" spans="7:21">
      <c r="G438" s="2"/>
      <c r="H438" s="2"/>
      <c r="I438" s="2"/>
      <c r="J438" s="3"/>
      <c r="K438" s="3"/>
      <c r="L438" s="3"/>
      <c r="P438" s="1"/>
      <c r="U438" s="3"/>
    </row>
    <row r="439" spans="7:21">
      <c r="G439" s="2"/>
      <c r="H439" s="2"/>
      <c r="I439" s="2"/>
      <c r="J439" s="3"/>
      <c r="K439" s="3"/>
      <c r="L439" s="3"/>
      <c r="P439" s="1"/>
      <c r="U439" s="3"/>
    </row>
    <row r="440" spans="7:21">
      <c r="G440" s="2"/>
      <c r="H440" s="2"/>
      <c r="I440" s="2"/>
      <c r="J440" s="3"/>
      <c r="K440" s="3"/>
      <c r="L440" s="3"/>
      <c r="P440" s="1"/>
      <c r="U440" s="3"/>
    </row>
    <row r="441" spans="7:21">
      <c r="G441" s="2"/>
      <c r="H441" s="2"/>
      <c r="I441" s="2"/>
      <c r="J441" s="3"/>
      <c r="K441" s="3"/>
      <c r="L441" s="3"/>
      <c r="P441" s="1"/>
      <c r="U441" s="3"/>
    </row>
    <row r="442" spans="7:21">
      <c r="G442" s="2"/>
      <c r="H442" s="2"/>
      <c r="I442" s="2"/>
      <c r="J442" s="3"/>
      <c r="K442" s="3"/>
      <c r="L442" s="3"/>
      <c r="P442" s="1"/>
      <c r="U442" s="3"/>
    </row>
    <row r="443" spans="7:21">
      <c r="G443" s="2"/>
      <c r="H443" s="2"/>
      <c r="I443" s="2"/>
      <c r="J443" s="3"/>
      <c r="K443" s="3"/>
      <c r="L443" s="3"/>
      <c r="P443" s="1"/>
      <c r="U443" s="3"/>
    </row>
    <row r="444" spans="7:21">
      <c r="G444" s="2"/>
      <c r="H444" s="2"/>
      <c r="I444" s="2"/>
      <c r="J444" s="3"/>
      <c r="K444" s="3"/>
      <c r="L444" s="3"/>
      <c r="P444" s="1"/>
      <c r="U444" s="3"/>
    </row>
    <row r="445" spans="7:21">
      <c r="G445" s="2"/>
      <c r="H445" s="2"/>
      <c r="I445" s="2"/>
      <c r="J445" s="3"/>
      <c r="K445" s="3"/>
      <c r="L445" s="3"/>
      <c r="P445" s="1"/>
      <c r="U445" s="3"/>
    </row>
    <row r="446" spans="7:21">
      <c r="G446" s="2"/>
      <c r="H446" s="2"/>
      <c r="I446" s="2"/>
      <c r="J446" s="3"/>
      <c r="K446" s="3"/>
      <c r="L446" s="3"/>
      <c r="P446" s="1"/>
      <c r="U446" s="3"/>
    </row>
    <row r="447" spans="7:21">
      <c r="G447" s="2"/>
      <c r="H447" s="2"/>
      <c r="I447" s="2"/>
      <c r="J447" s="3"/>
      <c r="K447" s="3"/>
      <c r="L447" s="3"/>
      <c r="P447" s="1"/>
      <c r="U447" s="3"/>
    </row>
    <row r="448" spans="7:21">
      <c r="G448" s="2"/>
      <c r="H448" s="2"/>
      <c r="I448" s="2"/>
      <c r="J448" s="3"/>
      <c r="K448" s="3"/>
      <c r="L448" s="3"/>
      <c r="P448" s="1"/>
      <c r="U448" s="3"/>
    </row>
    <row r="449" spans="7:21">
      <c r="G449" s="2"/>
      <c r="H449" s="2"/>
      <c r="I449" s="2"/>
      <c r="J449" s="3"/>
      <c r="K449" s="3"/>
      <c r="L449" s="3"/>
      <c r="P449" s="1"/>
      <c r="U449" s="3"/>
    </row>
    <row r="450" spans="7:21">
      <c r="G450" s="2"/>
      <c r="H450" s="2"/>
      <c r="I450" s="2"/>
      <c r="J450" s="3"/>
      <c r="K450" s="3"/>
      <c r="L450" s="3"/>
      <c r="P450" s="1"/>
      <c r="U450" s="3"/>
    </row>
    <row r="451" spans="7:21">
      <c r="G451" s="2"/>
      <c r="H451" s="2"/>
      <c r="I451" s="2"/>
      <c r="J451" s="3"/>
      <c r="K451" s="3"/>
      <c r="L451" s="3"/>
      <c r="P451" s="1"/>
      <c r="U451" s="3"/>
    </row>
    <row r="452" spans="7:21">
      <c r="G452" s="2"/>
      <c r="H452" s="2"/>
      <c r="I452" s="2"/>
      <c r="J452" s="3"/>
      <c r="K452" s="3"/>
      <c r="L452" s="3"/>
      <c r="P452" s="1"/>
      <c r="U452" s="3"/>
    </row>
    <row r="453" spans="7:21">
      <c r="G453" s="2"/>
      <c r="H453" s="2"/>
      <c r="I453" s="2"/>
      <c r="J453" s="3"/>
      <c r="K453" s="3"/>
      <c r="L453" s="3"/>
      <c r="P453" s="1"/>
      <c r="U453" s="3"/>
    </row>
    <row r="454" spans="7:21">
      <c r="G454" s="2"/>
      <c r="H454" s="2"/>
      <c r="I454" s="2"/>
      <c r="J454" s="3"/>
      <c r="K454" s="3"/>
      <c r="L454" s="3"/>
      <c r="P454" s="1"/>
      <c r="U454" s="3"/>
    </row>
    <row r="455" spans="7:21">
      <c r="G455" s="2"/>
      <c r="H455" s="2"/>
      <c r="I455" s="2"/>
      <c r="J455" s="3"/>
      <c r="K455" s="3"/>
      <c r="L455" s="3"/>
      <c r="P455" s="1"/>
      <c r="U455" s="3"/>
    </row>
    <row r="456" spans="7:21">
      <c r="G456" s="2"/>
      <c r="H456" s="2"/>
      <c r="I456" s="2"/>
      <c r="J456" s="3"/>
      <c r="K456" s="3"/>
      <c r="L456" s="3"/>
      <c r="P456" s="1"/>
      <c r="U456" s="3"/>
    </row>
    <row r="457" spans="7:21">
      <c r="G457" s="2"/>
      <c r="H457" s="2"/>
      <c r="I457" s="2"/>
      <c r="J457" s="3"/>
      <c r="K457" s="3"/>
      <c r="L457" s="3"/>
      <c r="P457" s="1"/>
      <c r="U457" s="3"/>
    </row>
    <row r="458" spans="7:21">
      <c r="G458" s="2"/>
      <c r="H458" s="2"/>
      <c r="I458" s="2"/>
      <c r="J458" s="3"/>
      <c r="K458" s="3"/>
      <c r="L458" s="3"/>
      <c r="P458" s="1"/>
      <c r="U458" s="3"/>
    </row>
    <row r="459" spans="7:21">
      <c r="G459" s="2"/>
      <c r="H459" s="2"/>
      <c r="I459" s="2"/>
      <c r="J459" s="3"/>
      <c r="K459" s="3"/>
      <c r="L459" s="3"/>
      <c r="P459" s="1"/>
      <c r="U459" s="3"/>
    </row>
    <row r="460" spans="7:21">
      <c r="G460" s="2"/>
      <c r="H460" s="2"/>
      <c r="I460" s="2"/>
      <c r="J460" s="3"/>
      <c r="K460" s="3"/>
      <c r="L460" s="3"/>
      <c r="P460" s="1"/>
      <c r="U460" s="3"/>
    </row>
    <row r="461" spans="7:21">
      <c r="G461" s="2"/>
      <c r="H461" s="2"/>
      <c r="I461" s="2"/>
      <c r="J461" s="3"/>
      <c r="K461" s="3"/>
      <c r="L461" s="3"/>
      <c r="P461" s="1"/>
      <c r="U461" s="3"/>
    </row>
    <row r="462" spans="7:21">
      <c r="G462" s="2"/>
      <c r="H462" s="2"/>
      <c r="I462" s="2"/>
      <c r="J462" s="3"/>
      <c r="K462" s="3"/>
      <c r="L462" s="3"/>
      <c r="P462" s="1"/>
      <c r="U462" s="3"/>
    </row>
    <row r="463" spans="7:21">
      <c r="G463" s="2"/>
      <c r="H463" s="2"/>
      <c r="I463" s="2"/>
      <c r="J463" s="3"/>
      <c r="K463" s="3"/>
      <c r="L463" s="3"/>
      <c r="P463" s="1"/>
      <c r="U463" s="3"/>
    </row>
    <row r="464" spans="7:21">
      <c r="G464" s="2"/>
      <c r="H464" s="2"/>
      <c r="I464" s="2"/>
      <c r="J464" s="3"/>
      <c r="K464" s="3"/>
      <c r="L464" s="3"/>
      <c r="P464" s="1"/>
      <c r="U464" s="3"/>
    </row>
    <row r="465" spans="7:21">
      <c r="G465" s="2"/>
      <c r="H465" s="2"/>
      <c r="I465" s="2"/>
      <c r="J465" s="3"/>
      <c r="K465" s="3"/>
      <c r="L465" s="3"/>
      <c r="P465" s="1"/>
      <c r="U465" s="3"/>
    </row>
    <row r="466" spans="7:21">
      <c r="G466" s="2"/>
      <c r="H466" s="2"/>
      <c r="I466" s="2"/>
      <c r="J466" s="3"/>
      <c r="K466" s="3"/>
      <c r="L466" s="3"/>
      <c r="P466" s="1"/>
      <c r="U466" s="3"/>
    </row>
    <row r="467" spans="7:21">
      <c r="G467" s="2"/>
      <c r="H467" s="2"/>
      <c r="I467" s="2"/>
      <c r="J467" s="3"/>
      <c r="K467" s="3"/>
      <c r="L467" s="3"/>
      <c r="P467" s="1"/>
      <c r="U467" s="3"/>
    </row>
    <row r="468" spans="7:21">
      <c r="G468" s="2"/>
      <c r="H468" s="2"/>
      <c r="I468" s="2"/>
      <c r="J468" s="3"/>
      <c r="K468" s="3"/>
      <c r="L468" s="3"/>
      <c r="P468" s="1"/>
      <c r="U468" s="3"/>
    </row>
    <row r="469" spans="7:21">
      <c r="G469" s="2"/>
      <c r="H469" s="2"/>
      <c r="I469" s="2"/>
      <c r="J469" s="3"/>
      <c r="K469" s="3"/>
      <c r="L469" s="3"/>
      <c r="P469" s="1"/>
      <c r="U469" s="3"/>
    </row>
    <row r="470" spans="7:21">
      <c r="G470" s="2"/>
      <c r="H470" s="2"/>
      <c r="I470" s="2"/>
      <c r="J470" s="3"/>
      <c r="K470" s="3"/>
      <c r="L470" s="3"/>
      <c r="P470" s="1"/>
      <c r="U470" s="3"/>
    </row>
    <row r="471" spans="7:21">
      <c r="G471" s="2"/>
      <c r="H471" s="2"/>
      <c r="I471" s="2"/>
      <c r="J471" s="3"/>
      <c r="K471" s="3"/>
      <c r="L471" s="3"/>
      <c r="P471" s="1"/>
      <c r="U471" s="3"/>
    </row>
    <row r="472" spans="7:21">
      <c r="G472" s="2"/>
      <c r="H472" s="2"/>
      <c r="I472" s="2"/>
      <c r="J472" s="3"/>
      <c r="K472" s="3"/>
      <c r="L472" s="3"/>
      <c r="P472" s="1"/>
      <c r="U472" s="3"/>
    </row>
    <row r="473" spans="7:21">
      <c r="G473" s="2"/>
      <c r="H473" s="2"/>
      <c r="I473" s="2"/>
      <c r="J473" s="3"/>
      <c r="K473" s="3"/>
      <c r="L473" s="3"/>
      <c r="P473" s="1"/>
      <c r="U473" s="3"/>
    </row>
    <row r="474" spans="7:21">
      <c r="G474" s="2"/>
      <c r="H474" s="2"/>
      <c r="I474" s="2"/>
      <c r="J474" s="3"/>
      <c r="K474" s="3"/>
      <c r="L474" s="3"/>
      <c r="P474" s="1"/>
      <c r="U474" s="3"/>
    </row>
    <row r="475" spans="7:21">
      <c r="G475" s="2"/>
      <c r="H475" s="2"/>
      <c r="I475" s="2"/>
      <c r="J475" s="3"/>
      <c r="K475" s="3"/>
      <c r="L475" s="3"/>
      <c r="P475" s="1"/>
      <c r="U475" s="3"/>
    </row>
    <row r="476" spans="7:21">
      <c r="G476" s="2"/>
      <c r="H476" s="2"/>
      <c r="I476" s="2"/>
      <c r="J476" s="3"/>
      <c r="K476" s="3"/>
      <c r="L476" s="3"/>
      <c r="P476" s="1"/>
      <c r="U476" s="3"/>
    </row>
    <row r="477" spans="7:21">
      <c r="G477" s="2"/>
      <c r="H477" s="2"/>
      <c r="I477" s="2"/>
      <c r="J477" s="3"/>
      <c r="K477" s="3"/>
      <c r="L477" s="3"/>
      <c r="P477" s="1"/>
      <c r="U477" s="3"/>
    </row>
    <row r="478" spans="7:21">
      <c r="G478" s="2"/>
      <c r="H478" s="2"/>
      <c r="I478" s="2"/>
      <c r="J478" s="3"/>
      <c r="K478" s="3"/>
      <c r="L478" s="3"/>
      <c r="P478" s="1"/>
      <c r="U478" s="3"/>
    </row>
    <row r="479" spans="7:21">
      <c r="G479" s="2"/>
      <c r="H479" s="2"/>
      <c r="I479" s="2"/>
      <c r="J479" s="3"/>
      <c r="K479" s="3"/>
      <c r="L479" s="3"/>
      <c r="P479" s="1"/>
      <c r="U479" s="3"/>
    </row>
    <row r="480" spans="7:21">
      <c r="G480" s="2"/>
      <c r="H480" s="2"/>
      <c r="I480" s="2"/>
      <c r="J480" s="3"/>
      <c r="K480" s="3"/>
      <c r="L480" s="3"/>
      <c r="P480" s="1"/>
      <c r="U480" s="3"/>
    </row>
    <row r="481" spans="7:21">
      <c r="G481" s="2"/>
      <c r="H481" s="2"/>
      <c r="I481" s="2"/>
      <c r="J481" s="3"/>
      <c r="K481" s="3"/>
      <c r="L481" s="3"/>
      <c r="P481" s="1"/>
      <c r="U481" s="3"/>
    </row>
    <row r="482" spans="7:21">
      <c r="G482" s="2"/>
      <c r="H482" s="2"/>
      <c r="I482" s="2"/>
      <c r="J482" s="3"/>
      <c r="K482" s="3"/>
      <c r="L482" s="3"/>
      <c r="P482" s="1"/>
      <c r="U482" s="3"/>
    </row>
    <row r="483" spans="7:21">
      <c r="G483" s="2"/>
      <c r="H483" s="2"/>
      <c r="I483" s="2"/>
      <c r="J483" s="3"/>
      <c r="K483" s="3"/>
      <c r="L483" s="3"/>
      <c r="P483" s="1"/>
      <c r="U483" s="3"/>
    </row>
    <row r="484" spans="7:21">
      <c r="G484" s="2"/>
      <c r="H484" s="2"/>
      <c r="I484" s="2"/>
      <c r="J484" s="3"/>
      <c r="K484" s="3"/>
      <c r="L484" s="3"/>
      <c r="P484" s="1"/>
      <c r="U484" s="3"/>
    </row>
    <row r="485" spans="7:21">
      <c r="G485" s="2"/>
      <c r="H485" s="2"/>
      <c r="I485" s="2"/>
      <c r="J485" s="3"/>
      <c r="K485" s="3"/>
      <c r="L485" s="3"/>
      <c r="P485" s="1"/>
      <c r="U485" s="3"/>
    </row>
    <row r="486" spans="7:21">
      <c r="G486" s="2"/>
      <c r="H486" s="2"/>
      <c r="I486" s="2"/>
      <c r="J486" s="3"/>
      <c r="K486" s="3"/>
      <c r="L486" s="3"/>
      <c r="P486" s="1"/>
      <c r="U486" s="3"/>
    </row>
    <row r="487" spans="7:21">
      <c r="G487" s="2"/>
      <c r="H487" s="2"/>
      <c r="I487" s="2"/>
      <c r="J487" s="3"/>
      <c r="K487" s="3"/>
      <c r="L487" s="3"/>
      <c r="P487" s="1"/>
      <c r="U487" s="3"/>
    </row>
    <row r="488" spans="7:21">
      <c r="G488" s="2"/>
      <c r="H488" s="2"/>
      <c r="I488" s="2"/>
      <c r="J488" s="3"/>
      <c r="K488" s="3"/>
      <c r="L488" s="3"/>
      <c r="P488" s="1"/>
      <c r="U488" s="3"/>
    </row>
    <row r="489" spans="7:21">
      <c r="G489" s="2"/>
      <c r="H489" s="2"/>
      <c r="I489" s="2"/>
      <c r="J489" s="3"/>
      <c r="K489" s="3"/>
      <c r="L489" s="3"/>
      <c r="P489" s="1"/>
      <c r="U489" s="3"/>
    </row>
    <row r="490" spans="7:21">
      <c r="G490" s="2"/>
      <c r="H490" s="2"/>
      <c r="I490" s="2"/>
      <c r="J490" s="3"/>
      <c r="K490" s="3"/>
      <c r="L490" s="3"/>
      <c r="P490" s="1"/>
      <c r="U490" s="3"/>
    </row>
    <row r="491" spans="7:21">
      <c r="G491" s="2"/>
      <c r="H491" s="2"/>
      <c r="I491" s="2"/>
      <c r="J491" s="3"/>
      <c r="K491" s="3"/>
      <c r="L491" s="3"/>
      <c r="P491" s="1"/>
      <c r="U491" s="3"/>
    </row>
    <row r="492" spans="7:21">
      <c r="G492" s="2"/>
      <c r="H492" s="2"/>
      <c r="I492" s="2"/>
      <c r="J492" s="3"/>
      <c r="K492" s="3"/>
      <c r="L492" s="3"/>
      <c r="P492" s="1"/>
      <c r="U492" s="3"/>
    </row>
    <row r="493" spans="7:21">
      <c r="G493" s="2"/>
      <c r="H493" s="2"/>
      <c r="I493" s="2"/>
      <c r="J493" s="3"/>
      <c r="K493" s="3"/>
      <c r="L493" s="3"/>
      <c r="P493" s="1"/>
      <c r="U493" s="3"/>
    </row>
    <row r="494" spans="7:21">
      <c r="G494" s="2"/>
      <c r="H494" s="2"/>
      <c r="I494" s="2"/>
      <c r="J494" s="3"/>
      <c r="K494" s="3"/>
      <c r="L494" s="3"/>
      <c r="P494" s="1"/>
      <c r="U494" s="3"/>
    </row>
    <row r="495" spans="7:21">
      <c r="G495" s="2"/>
      <c r="H495" s="2"/>
      <c r="I495" s="2"/>
      <c r="J495" s="3"/>
      <c r="K495" s="3"/>
      <c r="L495" s="3"/>
      <c r="P495" s="1"/>
      <c r="U495" s="3"/>
    </row>
    <row r="496" spans="7:21">
      <c r="G496" s="2"/>
      <c r="H496" s="2"/>
      <c r="I496" s="2"/>
      <c r="J496" s="3"/>
      <c r="K496" s="3"/>
      <c r="L496" s="3"/>
      <c r="P496" s="1"/>
      <c r="U496" s="3"/>
    </row>
    <row r="497" spans="7:21">
      <c r="G497" s="2"/>
      <c r="H497" s="2"/>
      <c r="I497" s="2"/>
      <c r="J497" s="3"/>
      <c r="K497" s="3"/>
      <c r="L497" s="3"/>
      <c r="P497" s="1"/>
      <c r="U497" s="3"/>
    </row>
    <row r="498" spans="7:21">
      <c r="G498" s="2"/>
      <c r="H498" s="2"/>
      <c r="I498" s="2"/>
      <c r="J498" s="3"/>
      <c r="K498" s="3"/>
      <c r="L498" s="3"/>
      <c r="P498" s="1"/>
      <c r="U498" s="3"/>
    </row>
    <row r="499" spans="7:21">
      <c r="G499" s="2"/>
      <c r="H499" s="2"/>
      <c r="I499" s="2"/>
      <c r="J499" s="3"/>
      <c r="K499" s="3"/>
      <c r="L499" s="3"/>
      <c r="P499" s="1"/>
      <c r="U499" s="3"/>
    </row>
    <row r="500" spans="7:21">
      <c r="G500" s="2"/>
      <c r="H500" s="2"/>
      <c r="I500" s="2"/>
      <c r="J500" s="3"/>
      <c r="K500" s="3"/>
      <c r="L500" s="3"/>
      <c r="P500" s="1"/>
      <c r="U500" s="3"/>
    </row>
    <row r="501" spans="7:21">
      <c r="G501" s="2"/>
      <c r="H501" s="2"/>
      <c r="I501" s="2"/>
      <c r="J501" s="3"/>
      <c r="K501" s="3"/>
      <c r="L501" s="3"/>
      <c r="P501" s="1"/>
      <c r="U501" s="3"/>
    </row>
    <row r="502" spans="7:21">
      <c r="G502" s="2"/>
      <c r="H502" s="2"/>
      <c r="I502" s="2"/>
      <c r="J502" s="3"/>
      <c r="K502" s="3"/>
      <c r="L502" s="3"/>
      <c r="P502" s="1"/>
      <c r="U502" s="3"/>
    </row>
    <row r="503" spans="7:21">
      <c r="G503" s="2"/>
      <c r="H503" s="2"/>
      <c r="I503" s="2"/>
      <c r="J503" s="3"/>
      <c r="K503" s="3"/>
      <c r="L503" s="3"/>
      <c r="P503" s="1"/>
      <c r="U503" s="3"/>
    </row>
    <row r="504" spans="7:21">
      <c r="G504" s="2"/>
      <c r="H504" s="2"/>
      <c r="I504" s="2"/>
      <c r="J504" s="3"/>
      <c r="K504" s="3"/>
      <c r="L504" s="3"/>
      <c r="P504" s="1"/>
      <c r="U504" s="3"/>
    </row>
    <row r="505" spans="7:21">
      <c r="G505" s="2"/>
      <c r="H505" s="2"/>
      <c r="I505" s="2"/>
      <c r="J505" s="3"/>
      <c r="K505" s="3"/>
      <c r="L505" s="3"/>
      <c r="P505" s="1"/>
      <c r="U505" s="3"/>
    </row>
    <row r="506" spans="7:21">
      <c r="G506" s="2"/>
      <c r="H506" s="2"/>
      <c r="I506" s="2"/>
      <c r="J506" s="3"/>
      <c r="K506" s="3"/>
      <c r="L506" s="3"/>
      <c r="P506" s="1"/>
      <c r="U506" s="3"/>
    </row>
    <row r="507" spans="7:21">
      <c r="G507" s="2"/>
      <c r="H507" s="2"/>
      <c r="I507" s="2"/>
      <c r="J507" s="3"/>
      <c r="K507" s="3"/>
      <c r="L507" s="3"/>
      <c r="P507" s="1"/>
      <c r="U507" s="3"/>
    </row>
    <row r="508" spans="7:21">
      <c r="G508" s="2"/>
      <c r="H508" s="2"/>
      <c r="I508" s="2"/>
      <c r="J508" s="3"/>
      <c r="K508" s="3"/>
      <c r="L508" s="3"/>
      <c r="P508" s="1"/>
      <c r="U508" s="3"/>
    </row>
    <row r="509" spans="7:21">
      <c r="G509" s="2"/>
      <c r="H509" s="2"/>
      <c r="I509" s="2"/>
      <c r="J509" s="3"/>
      <c r="K509" s="3"/>
      <c r="L509" s="3"/>
      <c r="P509" s="1"/>
      <c r="U509" s="3"/>
    </row>
    <row r="510" spans="7:21">
      <c r="G510" s="2"/>
      <c r="H510" s="2"/>
      <c r="I510" s="2"/>
      <c r="J510" s="3"/>
      <c r="K510" s="3"/>
      <c r="L510" s="3"/>
      <c r="P510" s="1"/>
      <c r="U510" s="3"/>
    </row>
    <row r="511" spans="7:21">
      <c r="G511" s="2"/>
      <c r="H511" s="2"/>
      <c r="I511" s="2"/>
      <c r="J511" s="3"/>
      <c r="K511" s="3"/>
      <c r="L511" s="3"/>
      <c r="P511" s="1"/>
      <c r="U511" s="3"/>
    </row>
    <row r="512" spans="7:21">
      <c r="G512" s="2"/>
      <c r="H512" s="2"/>
      <c r="I512" s="2"/>
      <c r="J512" s="3"/>
      <c r="K512" s="3"/>
      <c r="L512" s="3"/>
      <c r="P512" s="1"/>
      <c r="U512" s="3"/>
    </row>
    <row r="513" spans="7:21">
      <c r="G513" s="2"/>
      <c r="H513" s="2"/>
      <c r="I513" s="2"/>
      <c r="J513" s="3"/>
      <c r="K513" s="3"/>
      <c r="L513" s="3"/>
      <c r="P513" s="1"/>
      <c r="U513" s="3"/>
    </row>
    <row r="514" spans="7:21">
      <c r="G514" s="2"/>
      <c r="H514" s="2"/>
      <c r="I514" s="2"/>
      <c r="J514" s="3"/>
      <c r="K514" s="3"/>
      <c r="L514" s="3"/>
      <c r="P514" s="1"/>
      <c r="U514" s="3"/>
    </row>
    <row r="515" spans="7:21">
      <c r="G515" s="2"/>
      <c r="H515" s="2"/>
      <c r="I515" s="2"/>
      <c r="J515" s="3"/>
      <c r="K515" s="3"/>
      <c r="L515" s="3"/>
      <c r="P515" s="1"/>
      <c r="U515" s="3"/>
    </row>
    <row r="516" spans="7:21">
      <c r="G516" s="2"/>
      <c r="H516" s="2"/>
      <c r="I516" s="2"/>
      <c r="J516" s="3"/>
      <c r="K516" s="3"/>
      <c r="L516" s="3"/>
      <c r="P516" s="1"/>
      <c r="U516" s="3"/>
    </row>
    <row r="517" spans="7:21">
      <c r="G517" s="2"/>
      <c r="H517" s="2"/>
      <c r="I517" s="2"/>
      <c r="J517" s="3"/>
      <c r="K517" s="3"/>
      <c r="L517" s="3"/>
      <c r="P517" s="1"/>
      <c r="U517" s="3"/>
    </row>
    <row r="518" spans="7:21">
      <c r="G518" s="2"/>
      <c r="H518" s="2"/>
      <c r="I518" s="2"/>
      <c r="J518" s="3"/>
      <c r="K518" s="3"/>
      <c r="L518" s="3"/>
      <c r="P518" s="1"/>
      <c r="U518" s="3"/>
    </row>
    <row r="519" spans="7:21">
      <c r="G519" s="2"/>
      <c r="H519" s="2"/>
      <c r="I519" s="2"/>
      <c r="J519" s="3"/>
      <c r="K519" s="3"/>
      <c r="L519" s="3"/>
      <c r="P519" s="1"/>
      <c r="U519" s="3"/>
    </row>
    <row r="520" spans="7:21">
      <c r="G520" s="2"/>
      <c r="H520" s="2"/>
      <c r="I520" s="2"/>
      <c r="J520" s="3"/>
      <c r="K520" s="3"/>
      <c r="L520" s="3"/>
      <c r="P520" s="1"/>
      <c r="U520" s="3"/>
    </row>
    <row r="521" spans="7:21">
      <c r="G521" s="2"/>
      <c r="H521" s="2"/>
      <c r="I521" s="2"/>
      <c r="J521" s="3"/>
      <c r="K521" s="3"/>
      <c r="L521" s="3"/>
      <c r="P521" s="1"/>
      <c r="U521" s="3"/>
    </row>
    <row r="522" spans="7:21">
      <c r="G522" s="2"/>
      <c r="H522" s="2"/>
      <c r="I522" s="2"/>
      <c r="J522" s="3"/>
      <c r="K522" s="3"/>
      <c r="L522" s="3"/>
      <c r="P522" s="1"/>
      <c r="U522" s="3"/>
    </row>
    <row r="523" spans="7:21">
      <c r="G523" s="2"/>
      <c r="H523" s="2"/>
      <c r="I523" s="2"/>
      <c r="J523" s="3"/>
      <c r="K523" s="3"/>
      <c r="L523" s="3"/>
      <c r="P523" s="1"/>
      <c r="U523" s="3"/>
    </row>
    <row r="524" spans="7:21">
      <c r="G524" s="2"/>
      <c r="H524" s="2"/>
      <c r="I524" s="2"/>
      <c r="J524" s="3"/>
      <c r="K524" s="3"/>
      <c r="L524" s="3"/>
      <c r="P524" s="1"/>
      <c r="U524" s="3"/>
    </row>
    <row r="525" spans="7:21">
      <c r="G525" s="2"/>
      <c r="H525" s="2"/>
      <c r="I525" s="2"/>
      <c r="J525" s="3"/>
      <c r="K525" s="3"/>
      <c r="L525" s="3"/>
      <c r="P525" s="1"/>
      <c r="U525" s="3"/>
    </row>
    <row r="526" spans="7:21">
      <c r="G526" s="2"/>
      <c r="H526" s="2"/>
      <c r="I526" s="2"/>
      <c r="J526" s="3"/>
      <c r="K526" s="3"/>
      <c r="L526" s="3"/>
      <c r="P526" s="1"/>
      <c r="U526" s="3"/>
    </row>
    <row r="527" spans="7:21">
      <c r="G527" s="2"/>
      <c r="H527" s="2"/>
      <c r="I527" s="2"/>
      <c r="J527" s="3"/>
      <c r="K527" s="3"/>
      <c r="L527" s="3"/>
      <c r="P527" s="1"/>
      <c r="U527" s="3"/>
    </row>
    <row r="528" spans="7:21">
      <c r="G528" s="2"/>
      <c r="H528" s="2"/>
      <c r="I528" s="2"/>
      <c r="J528" s="3"/>
      <c r="K528" s="3"/>
      <c r="L528" s="3"/>
      <c r="P528" s="1"/>
      <c r="U528" s="3"/>
    </row>
    <row r="529" spans="7:21">
      <c r="G529" s="2"/>
      <c r="H529" s="2"/>
      <c r="I529" s="2"/>
      <c r="J529" s="3"/>
      <c r="K529" s="3"/>
      <c r="L529" s="3"/>
      <c r="P529" s="1"/>
      <c r="U529" s="3"/>
    </row>
    <row r="530" spans="7:21">
      <c r="G530" s="2"/>
      <c r="H530" s="2"/>
      <c r="I530" s="2"/>
      <c r="J530" s="3"/>
      <c r="K530" s="3"/>
      <c r="L530" s="3"/>
      <c r="P530" s="1"/>
      <c r="U530" s="3"/>
    </row>
    <row r="531" spans="7:21">
      <c r="G531" s="2"/>
      <c r="H531" s="2"/>
      <c r="I531" s="2"/>
      <c r="J531" s="3"/>
      <c r="K531" s="3"/>
      <c r="L531" s="3"/>
      <c r="P531" s="1"/>
      <c r="U531" s="3"/>
    </row>
    <row r="532" spans="7:21">
      <c r="G532" s="2"/>
      <c r="H532" s="2"/>
      <c r="I532" s="2"/>
      <c r="J532" s="3"/>
      <c r="K532" s="3"/>
      <c r="L532" s="3"/>
      <c r="P532" s="1"/>
      <c r="U532" s="3"/>
    </row>
    <row r="533" spans="7:21">
      <c r="G533" s="2"/>
      <c r="H533" s="2"/>
      <c r="I533" s="2"/>
      <c r="J533" s="3"/>
      <c r="K533" s="3"/>
      <c r="L533" s="3"/>
      <c r="P533" s="1"/>
      <c r="U533" s="3"/>
    </row>
    <row r="534" spans="7:21">
      <c r="G534" s="2"/>
      <c r="H534" s="2"/>
      <c r="I534" s="2"/>
      <c r="J534" s="3"/>
      <c r="K534" s="3"/>
      <c r="L534" s="3"/>
      <c r="P534" s="1"/>
      <c r="U534" s="3"/>
    </row>
    <row r="535" spans="7:21">
      <c r="G535" s="2"/>
      <c r="H535" s="2"/>
      <c r="I535" s="2"/>
      <c r="J535" s="3"/>
      <c r="K535" s="3"/>
      <c r="L535" s="3"/>
      <c r="P535" s="1"/>
      <c r="U535" s="3"/>
    </row>
    <row r="536" spans="7:21">
      <c r="G536" s="2"/>
      <c r="H536" s="2"/>
      <c r="I536" s="2"/>
      <c r="J536" s="3"/>
      <c r="K536" s="3"/>
      <c r="L536" s="3"/>
      <c r="P536" s="1"/>
      <c r="U536" s="3"/>
    </row>
    <row r="537" spans="7:21">
      <c r="G537" s="2"/>
      <c r="H537" s="2"/>
      <c r="I537" s="2"/>
      <c r="J537" s="3"/>
      <c r="K537" s="3"/>
      <c r="L537" s="3"/>
      <c r="P537" s="1"/>
      <c r="U537" s="3"/>
    </row>
    <row r="538" spans="7:21">
      <c r="G538" s="2"/>
      <c r="H538" s="2"/>
      <c r="I538" s="2"/>
      <c r="J538" s="3"/>
      <c r="K538" s="3"/>
      <c r="L538" s="3"/>
      <c r="P538" s="1"/>
      <c r="U538" s="3"/>
    </row>
    <row r="539" spans="7:21">
      <c r="G539" s="2"/>
      <c r="H539" s="2"/>
      <c r="I539" s="2"/>
      <c r="J539" s="3"/>
      <c r="K539" s="3"/>
      <c r="L539" s="3"/>
      <c r="P539" s="1"/>
      <c r="U539" s="3"/>
    </row>
    <row r="540" spans="7:21">
      <c r="G540" s="2"/>
      <c r="H540" s="2"/>
      <c r="I540" s="2"/>
      <c r="J540" s="3"/>
      <c r="K540" s="3"/>
      <c r="L540" s="3"/>
      <c r="P540" s="1"/>
      <c r="U540" s="3"/>
    </row>
    <row r="541" spans="7:21">
      <c r="G541" s="2"/>
      <c r="H541" s="2"/>
      <c r="I541" s="2"/>
      <c r="J541" s="3"/>
      <c r="K541" s="3"/>
      <c r="L541" s="3"/>
      <c r="P541" s="1"/>
      <c r="U541" s="3"/>
    </row>
    <row r="542" spans="7:21">
      <c r="G542" s="2"/>
      <c r="H542" s="2"/>
      <c r="I542" s="2"/>
      <c r="J542" s="3"/>
      <c r="K542" s="3"/>
      <c r="L542" s="3"/>
      <c r="P542" s="1"/>
      <c r="U542" s="3"/>
    </row>
    <row r="543" spans="7:21">
      <c r="G543" s="2"/>
      <c r="H543" s="2"/>
      <c r="I543" s="2"/>
      <c r="J543" s="3"/>
      <c r="K543" s="3"/>
      <c r="L543" s="3"/>
      <c r="P543" s="1"/>
      <c r="U543" s="3"/>
    </row>
    <row r="544" spans="7:21">
      <c r="G544" s="2"/>
      <c r="H544" s="2"/>
      <c r="I544" s="2"/>
      <c r="J544" s="3"/>
      <c r="K544" s="3"/>
      <c r="L544" s="3"/>
      <c r="P544" s="1"/>
      <c r="U544" s="3"/>
    </row>
    <row r="545" spans="7:21">
      <c r="G545" s="2"/>
      <c r="H545" s="2"/>
      <c r="I545" s="2"/>
      <c r="J545" s="3"/>
      <c r="K545" s="3"/>
      <c r="L545" s="3"/>
      <c r="P545" s="1"/>
      <c r="U545" s="3"/>
    </row>
    <row r="546" spans="7:21">
      <c r="G546" s="2"/>
      <c r="H546" s="2"/>
      <c r="I546" s="2"/>
      <c r="J546" s="3"/>
      <c r="K546" s="3"/>
      <c r="L546" s="3"/>
      <c r="P546" s="1"/>
      <c r="U546" s="3"/>
    </row>
    <row r="547" spans="7:21">
      <c r="G547" s="2"/>
      <c r="H547" s="2"/>
      <c r="I547" s="2"/>
      <c r="J547" s="3"/>
      <c r="K547" s="3"/>
      <c r="L547" s="3"/>
      <c r="P547" s="1"/>
      <c r="U547" s="3"/>
    </row>
    <row r="548" spans="7:21">
      <c r="G548" s="2"/>
      <c r="H548" s="2"/>
      <c r="I548" s="2"/>
      <c r="J548" s="3"/>
      <c r="K548" s="3"/>
      <c r="L548" s="3"/>
      <c r="P548" s="1"/>
      <c r="U548" s="3"/>
    </row>
    <row r="549" spans="7:21">
      <c r="G549" s="2"/>
      <c r="H549" s="2"/>
      <c r="I549" s="2"/>
      <c r="J549" s="3"/>
      <c r="K549" s="3"/>
      <c r="L549" s="3"/>
      <c r="P549" s="1"/>
      <c r="U549" s="3"/>
    </row>
    <row r="550" spans="7:21">
      <c r="G550" s="2"/>
      <c r="H550" s="2"/>
      <c r="I550" s="2"/>
      <c r="J550" s="3"/>
      <c r="K550" s="3"/>
      <c r="L550" s="3"/>
      <c r="P550" s="1"/>
      <c r="U550" s="3"/>
    </row>
    <row r="551" spans="7:21">
      <c r="G551" s="2"/>
      <c r="H551" s="2"/>
      <c r="I551" s="2"/>
      <c r="J551" s="3"/>
      <c r="K551" s="3"/>
      <c r="L551" s="3"/>
      <c r="P551" s="1"/>
      <c r="U551" s="3"/>
    </row>
    <row r="552" spans="7:21">
      <c r="G552" s="2"/>
      <c r="H552" s="2"/>
      <c r="I552" s="2"/>
      <c r="J552" s="3"/>
      <c r="K552" s="3"/>
      <c r="L552" s="3"/>
      <c r="P552" s="1"/>
      <c r="U552" s="3"/>
    </row>
    <row r="553" spans="7:21">
      <c r="G553" s="2"/>
      <c r="H553" s="2"/>
      <c r="I553" s="2"/>
      <c r="J553" s="3"/>
      <c r="K553" s="3"/>
      <c r="L553" s="3"/>
      <c r="P553" s="1"/>
      <c r="U553" s="3"/>
    </row>
    <row r="554" spans="7:21">
      <c r="G554" s="2"/>
      <c r="H554" s="2"/>
      <c r="I554" s="2"/>
      <c r="J554" s="3"/>
      <c r="K554" s="3"/>
      <c r="L554" s="3"/>
      <c r="P554" s="1"/>
      <c r="U554" s="3"/>
    </row>
    <row r="555" spans="7:21">
      <c r="G555" s="2"/>
      <c r="H555" s="2"/>
      <c r="I555" s="2"/>
      <c r="J555" s="3"/>
      <c r="K555" s="3"/>
      <c r="L555" s="3"/>
      <c r="P555" s="1"/>
      <c r="U555" s="3"/>
    </row>
    <row r="556" spans="7:21">
      <c r="G556" s="2"/>
      <c r="H556" s="2"/>
      <c r="I556" s="2"/>
      <c r="J556" s="3"/>
      <c r="K556" s="3"/>
      <c r="L556" s="3"/>
      <c r="P556" s="1"/>
      <c r="U556" s="3"/>
    </row>
    <row r="557" spans="7:21">
      <c r="G557" s="2"/>
      <c r="H557" s="2"/>
      <c r="I557" s="2"/>
      <c r="J557" s="3"/>
      <c r="K557" s="3"/>
      <c r="L557" s="3"/>
      <c r="P557" s="1"/>
      <c r="U557" s="3"/>
    </row>
    <row r="558" spans="7:21">
      <c r="G558" s="2"/>
      <c r="H558" s="2"/>
      <c r="I558" s="2"/>
      <c r="J558" s="3"/>
      <c r="K558" s="3"/>
      <c r="L558" s="3"/>
      <c r="P558" s="1"/>
      <c r="U558" s="3"/>
    </row>
    <row r="559" spans="7:21">
      <c r="G559" s="2"/>
      <c r="H559" s="2"/>
      <c r="I559" s="2"/>
      <c r="J559" s="3"/>
      <c r="K559" s="3"/>
      <c r="L559" s="3"/>
      <c r="P559" s="1"/>
      <c r="U559" s="3"/>
    </row>
    <row r="560" spans="7:21">
      <c r="G560" s="2"/>
      <c r="H560" s="2"/>
      <c r="I560" s="2"/>
      <c r="J560" s="3"/>
      <c r="K560" s="3"/>
      <c r="L560" s="3"/>
      <c r="P560" s="1"/>
      <c r="U560" s="3"/>
    </row>
    <row r="561" spans="7:21">
      <c r="G561" s="2"/>
      <c r="H561" s="2"/>
      <c r="I561" s="2"/>
      <c r="J561" s="3"/>
      <c r="K561" s="3"/>
      <c r="L561" s="3"/>
      <c r="P561" s="1"/>
      <c r="U561" s="3"/>
    </row>
    <row r="562" spans="7:21">
      <c r="G562" s="2"/>
      <c r="H562" s="2"/>
      <c r="I562" s="2"/>
      <c r="J562" s="3"/>
      <c r="K562" s="3"/>
      <c r="L562" s="3"/>
      <c r="P562" s="1"/>
      <c r="U562" s="3"/>
    </row>
    <row r="563" spans="7:21">
      <c r="G563" s="2"/>
      <c r="H563" s="2"/>
      <c r="I563" s="2"/>
      <c r="J563" s="3"/>
      <c r="K563" s="3"/>
      <c r="L563" s="3"/>
      <c r="P563" s="1"/>
      <c r="U563" s="3"/>
    </row>
    <row r="564" spans="7:21">
      <c r="G564" s="2"/>
      <c r="H564" s="2"/>
      <c r="I564" s="2"/>
      <c r="J564" s="3"/>
      <c r="K564" s="3"/>
      <c r="L564" s="3"/>
      <c r="P564" s="1"/>
      <c r="U564" s="3"/>
    </row>
    <row r="565" spans="7:21">
      <c r="G565" s="2"/>
      <c r="H565" s="2"/>
      <c r="I565" s="2"/>
      <c r="J565" s="3"/>
      <c r="K565" s="3"/>
      <c r="L565" s="3"/>
      <c r="P565" s="1"/>
      <c r="U565" s="3"/>
    </row>
    <row r="566" spans="7:21">
      <c r="G566" s="2"/>
      <c r="H566" s="2"/>
      <c r="I566" s="2"/>
      <c r="J566" s="3"/>
      <c r="K566" s="3"/>
      <c r="L566" s="3"/>
      <c r="P566" s="1"/>
      <c r="U566" s="3"/>
    </row>
    <row r="567" spans="7:21">
      <c r="G567" s="2"/>
      <c r="H567" s="2"/>
      <c r="I567" s="2"/>
      <c r="J567" s="3"/>
      <c r="K567" s="3"/>
      <c r="L567" s="3"/>
      <c r="P567" s="1"/>
      <c r="U567" s="3"/>
    </row>
    <row r="568" spans="7:21">
      <c r="G568" s="2"/>
      <c r="H568" s="2"/>
      <c r="I568" s="2"/>
      <c r="J568" s="3"/>
      <c r="K568" s="3"/>
      <c r="L568" s="3"/>
      <c r="P568" s="1"/>
      <c r="U568" s="3"/>
    </row>
    <row r="569" spans="7:21">
      <c r="G569" s="2"/>
      <c r="H569" s="2"/>
      <c r="I569" s="2"/>
      <c r="J569" s="3"/>
      <c r="K569" s="3"/>
      <c r="L569" s="3"/>
      <c r="P569" s="1"/>
      <c r="U569" s="3"/>
    </row>
    <row r="570" spans="7:21">
      <c r="G570" s="2"/>
      <c r="H570" s="2"/>
      <c r="I570" s="2"/>
      <c r="J570" s="3"/>
      <c r="K570" s="3"/>
      <c r="L570" s="3"/>
      <c r="P570" s="1"/>
      <c r="U570" s="3"/>
    </row>
    <row r="571" spans="7:21">
      <c r="G571" s="2"/>
      <c r="H571" s="2"/>
      <c r="I571" s="2"/>
      <c r="J571" s="3"/>
      <c r="K571" s="3"/>
      <c r="L571" s="3"/>
      <c r="P571" s="1"/>
      <c r="U571" s="3"/>
    </row>
    <row r="572" spans="7:21">
      <c r="G572" s="2"/>
      <c r="H572" s="2"/>
      <c r="I572" s="2"/>
      <c r="J572" s="3"/>
      <c r="K572" s="3"/>
      <c r="L572" s="3"/>
      <c r="P572" s="1"/>
      <c r="U572" s="3"/>
    </row>
    <row r="573" spans="7:21">
      <c r="G573" s="2"/>
      <c r="H573" s="2"/>
      <c r="I573" s="2"/>
      <c r="J573" s="3"/>
      <c r="K573" s="3"/>
      <c r="L573" s="3"/>
      <c r="P573" s="1"/>
      <c r="U573" s="3"/>
    </row>
    <row r="574" spans="7:21">
      <c r="G574" s="2"/>
      <c r="H574" s="2"/>
      <c r="I574" s="2"/>
      <c r="J574" s="3"/>
      <c r="K574" s="3"/>
      <c r="L574" s="3"/>
      <c r="P574" s="1"/>
      <c r="U574" s="3"/>
    </row>
    <row r="575" spans="7:21">
      <c r="G575" s="2"/>
      <c r="H575" s="2"/>
      <c r="I575" s="2"/>
      <c r="J575" s="3"/>
      <c r="K575" s="3"/>
      <c r="L575" s="3"/>
      <c r="P575" s="1"/>
      <c r="U575" s="3"/>
    </row>
    <row r="576" spans="7:21">
      <c r="G576" s="2"/>
      <c r="H576" s="2"/>
      <c r="I576" s="2"/>
      <c r="J576" s="3"/>
      <c r="K576" s="3"/>
      <c r="L576" s="3"/>
      <c r="P576" s="1"/>
      <c r="U576" s="3"/>
    </row>
    <row r="577" spans="7:21">
      <c r="G577" s="2"/>
      <c r="H577" s="2"/>
      <c r="I577" s="2"/>
      <c r="J577" s="3"/>
      <c r="K577" s="3"/>
      <c r="L577" s="3"/>
      <c r="P577" s="1"/>
      <c r="U577" s="3"/>
    </row>
    <row r="578" spans="7:21">
      <c r="G578" s="2"/>
      <c r="H578" s="2"/>
      <c r="I578" s="2"/>
      <c r="J578" s="3"/>
      <c r="K578" s="3"/>
      <c r="L578" s="3"/>
      <c r="P578" s="1"/>
      <c r="U578" s="3"/>
    </row>
    <row r="579" spans="7:21">
      <c r="G579" s="2"/>
      <c r="H579" s="2"/>
      <c r="I579" s="2"/>
      <c r="J579" s="3"/>
      <c r="K579" s="3"/>
      <c r="L579" s="3"/>
      <c r="P579" s="1"/>
      <c r="U579" s="3"/>
    </row>
    <row r="580" spans="7:21">
      <c r="G580" s="2"/>
      <c r="H580" s="2"/>
      <c r="I580" s="2"/>
      <c r="J580" s="3"/>
      <c r="K580" s="3"/>
      <c r="L580" s="3"/>
      <c r="P580" s="1"/>
      <c r="U580" s="3"/>
    </row>
    <row r="581" spans="7:21">
      <c r="G581" s="2"/>
      <c r="H581" s="2"/>
      <c r="I581" s="2"/>
      <c r="J581" s="3"/>
      <c r="K581" s="3"/>
      <c r="L581" s="3"/>
      <c r="P581" s="1"/>
      <c r="U581" s="3"/>
    </row>
    <row r="582" spans="7:21">
      <c r="G582" s="2"/>
      <c r="H582" s="2"/>
      <c r="I582" s="2"/>
      <c r="J582" s="3"/>
      <c r="K582" s="3"/>
      <c r="L582" s="3"/>
      <c r="P582" s="1"/>
      <c r="U582" s="3"/>
    </row>
    <row r="583" spans="7:21">
      <c r="G583" s="2"/>
      <c r="H583" s="2"/>
      <c r="I583" s="2"/>
      <c r="J583" s="3"/>
      <c r="K583" s="3"/>
      <c r="L583" s="3"/>
      <c r="P583" s="1"/>
      <c r="U583" s="3"/>
    </row>
    <row r="584" spans="7:21">
      <c r="G584" s="2"/>
      <c r="H584" s="2"/>
      <c r="I584" s="2"/>
      <c r="J584" s="3"/>
      <c r="K584" s="3"/>
      <c r="L584" s="3"/>
      <c r="P584" s="1"/>
      <c r="U584" s="3"/>
    </row>
    <row r="585" spans="7:21">
      <c r="G585" s="2"/>
      <c r="H585" s="2"/>
      <c r="I585" s="2"/>
      <c r="J585" s="3"/>
      <c r="K585" s="3"/>
      <c r="L585" s="3"/>
      <c r="P585" s="1"/>
      <c r="U585" s="3"/>
    </row>
    <row r="586" spans="7:21">
      <c r="G586" s="2"/>
      <c r="H586" s="2"/>
      <c r="I586" s="2"/>
      <c r="J586" s="3"/>
      <c r="K586" s="3"/>
      <c r="L586" s="3"/>
      <c r="P586" s="1"/>
      <c r="U586" s="3"/>
    </row>
    <row r="587" spans="7:21">
      <c r="G587" s="2"/>
      <c r="H587" s="2"/>
      <c r="I587" s="2"/>
      <c r="J587" s="3"/>
      <c r="K587" s="3"/>
      <c r="L587" s="3"/>
      <c r="P587" s="1"/>
      <c r="U587" s="3"/>
    </row>
    <row r="588" spans="7:21">
      <c r="G588" s="2"/>
      <c r="H588" s="2"/>
      <c r="I588" s="2"/>
      <c r="J588" s="3"/>
      <c r="K588" s="3"/>
      <c r="L588" s="3"/>
      <c r="P588" s="1"/>
      <c r="U588" s="3"/>
    </row>
    <row r="589" spans="7:21">
      <c r="G589" s="2"/>
      <c r="H589" s="2"/>
      <c r="I589" s="2"/>
      <c r="J589" s="3"/>
      <c r="K589" s="3"/>
      <c r="L589" s="3"/>
      <c r="P589" s="1"/>
      <c r="U589" s="3"/>
    </row>
    <row r="590" spans="7:21">
      <c r="G590" s="2"/>
      <c r="H590" s="2"/>
      <c r="I590" s="2"/>
      <c r="J590" s="3"/>
      <c r="K590" s="3"/>
      <c r="L590" s="3"/>
      <c r="P590" s="1"/>
      <c r="U590" s="3"/>
    </row>
    <row r="591" spans="7:21">
      <c r="G591" s="2"/>
      <c r="H591" s="2"/>
      <c r="I591" s="2"/>
      <c r="J591" s="3"/>
      <c r="K591" s="3"/>
      <c r="L591" s="3"/>
      <c r="P591" s="1"/>
      <c r="U591" s="3"/>
    </row>
    <row r="592" spans="7:21">
      <c r="G592" s="2"/>
      <c r="H592" s="2"/>
      <c r="I592" s="2"/>
      <c r="J592" s="3"/>
      <c r="K592" s="3"/>
      <c r="L592" s="3"/>
      <c r="P592" s="1"/>
      <c r="U592" s="3"/>
    </row>
    <row r="593" spans="7:21">
      <c r="G593" s="2"/>
      <c r="H593" s="2"/>
      <c r="I593" s="2"/>
      <c r="J593" s="3"/>
      <c r="K593" s="3"/>
      <c r="L593" s="3"/>
      <c r="P593" s="1"/>
      <c r="U593" s="3"/>
    </row>
    <row r="594" spans="7:21">
      <c r="G594" s="2"/>
      <c r="H594" s="2"/>
      <c r="I594" s="2"/>
      <c r="J594" s="3"/>
      <c r="K594" s="3"/>
      <c r="L594" s="3"/>
      <c r="P594" s="1"/>
      <c r="U594" s="3"/>
    </row>
    <row r="595" spans="7:21">
      <c r="G595" s="2"/>
      <c r="H595" s="2"/>
      <c r="I595" s="2"/>
      <c r="J595" s="3"/>
      <c r="K595" s="3"/>
      <c r="L595" s="3"/>
      <c r="P595" s="1"/>
      <c r="U595" s="3"/>
    </row>
    <row r="596" spans="7:21">
      <c r="G596" s="2"/>
      <c r="H596" s="2"/>
      <c r="I596" s="2"/>
      <c r="J596" s="3"/>
      <c r="K596" s="3"/>
      <c r="L596" s="3"/>
      <c r="P596" s="1"/>
      <c r="U596" s="3"/>
    </row>
    <row r="597" spans="7:21">
      <c r="G597" s="2"/>
      <c r="H597" s="2"/>
      <c r="I597" s="2"/>
      <c r="J597" s="3"/>
      <c r="K597" s="3"/>
      <c r="L597" s="3"/>
      <c r="P597" s="1"/>
      <c r="U597" s="3"/>
    </row>
    <row r="598" spans="7:21">
      <c r="G598" s="2"/>
      <c r="H598" s="2"/>
      <c r="I598" s="2"/>
      <c r="J598" s="3"/>
      <c r="K598" s="3"/>
      <c r="L598" s="3"/>
      <c r="P598" s="1"/>
      <c r="U598" s="3"/>
    </row>
    <row r="599" spans="7:21">
      <c r="G599" s="2"/>
      <c r="H599" s="2"/>
      <c r="I599" s="2"/>
      <c r="J599" s="3"/>
      <c r="K599" s="3"/>
      <c r="L599" s="3"/>
      <c r="P599" s="1"/>
      <c r="U599" s="3"/>
    </row>
    <row r="600" spans="7:21">
      <c r="G600" s="2"/>
      <c r="H600" s="2"/>
      <c r="I600" s="2"/>
      <c r="J600" s="3"/>
      <c r="K600" s="3"/>
      <c r="L600" s="3"/>
      <c r="P600" s="1"/>
      <c r="U600" s="3"/>
    </row>
    <row r="601" spans="7:21">
      <c r="G601" s="2"/>
      <c r="H601" s="2"/>
      <c r="I601" s="2"/>
      <c r="J601" s="3"/>
      <c r="K601" s="3"/>
      <c r="L601" s="3"/>
      <c r="P601" s="1"/>
      <c r="U601" s="3"/>
    </row>
    <row r="602" spans="7:21">
      <c r="G602" s="2"/>
      <c r="H602" s="2"/>
      <c r="I602" s="2"/>
      <c r="J602" s="3"/>
      <c r="K602" s="3"/>
      <c r="L602" s="3"/>
      <c r="P602" s="1"/>
      <c r="U602" s="3"/>
    </row>
    <row r="603" spans="7:21">
      <c r="G603" s="2"/>
      <c r="H603" s="2"/>
      <c r="I603" s="2"/>
      <c r="J603" s="3"/>
      <c r="K603" s="3"/>
      <c r="L603" s="3"/>
      <c r="P603" s="1"/>
      <c r="U603" s="3"/>
    </row>
    <row r="604" spans="7:21">
      <c r="G604" s="2"/>
      <c r="H604" s="2"/>
      <c r="I604" s="2"/>
      <c r="J604" s="3"/>
      <c r="K604" s="3"/>
      <c r="L604" s="3"/>
      <c r="P604" s="1"/>
      <c r="U604" s="3"/>
    </row>
    <row r="605" spans="7:21">
      <c r="G605" s="2"/>
      <c r="H605" s="2"/>
      <c r="I605" s="2"/>
      <c r="J605" s="3"/>
      <c r="K605" s="3"/>
      <c r="L605" s="3"/>
      <c r="P605" s="1"/>
      <c r="U605" s="3"/>
    </row>
    <row r="606" spans="7:21">
      <c r="G606" s="2"/>
      <c r="H606" s="2"/>
      <c r="I606" s="2"/>
      <c r="J606" s="3"/>
      <c r="K606" s="3"/>
      <c r="L606" s="3"/>
      <c r="P606" s="1"/>
      <c r="U606" s="3"/>
    </row>
    <row r="607" spans="7:21">
      <c r="G607" s="2"/>
      <c r="H607" s="2"/>
      <c r="I607" s="2"/>
      <c r="J607" s="3"/>
      <c r="K607" s="3"/>
      <c r="L607" s="3"/>
      <c r="P607" s="1"/>
      <c r="U607" s="3"/>
    </row>
    <row r="608" spans="7:21">
      <c r="G608" s="2"/>
      <c r="H608" s="2"/>
      <c r="I608" s="2"/>
      <c r="J608" s="3"/>
      <c r="K608" s="3"/>
      <c r="L608" s="3"/>
      <c r="P608" s="1"/>
      <c r="U608" s="3"/>
    </row>
    <row r="609" spans="7:21">
      <c r="G609" s="2"/>
      <c r="H609" s="2"/>
      <c r="I609" s="2"/>
      <c r="J609" s="3"/>
      <c r="K609" s="3"/>
      <c r="L609" s="3"/>
      <c r="P609" s="1"/>
      <c r="U609" s="3"/>
    </row>
    <row r="610" spans="7:21">
      <c r="G610" s="2"/>
      <c r="H610" s="2"/>
      <c r="I610" s="2"/>
      <c r="J610" s="3"/>
      <c r="K610" s="3"/>
      <c r="L610" s="3"/>
      <c r="P610" s="1"/>
      <c r="U610" s="3"/>
    </row>
    <row r="611" spans="7:21">
      <c r="G611" s="2"/>
      <c r="H611" s="2"/>
      <c r="I611" s="2"/>
      <c r="J611" s="3"/>
      <c r="K611" s="3"/>
      <c r="L611" s="3"/>
      <c r="P611" s="1"/>
      <c r="U611" s="3"/>
    </row>
    <row r="612" spans="7:21">
      <c r="G612" s="2"/>
      <c r="H612" s="2"/>
      <c r="I612" s="2"/>
      <c r="J612" s="3"/>
      <c r="K612" s="3"/>
      <c r="L612" s="3"/>
      <c r="P612" s="1"/>
      <c r="U612" s="3"/>
    </row>
    <row r="613" spans="7:21">
      <c r="G613" s="2"/>
      <c r="H613" s="2"/>
      <c r="I613" s="2"/>
      <c r="J613" s="3"/>
      <c r="K613" s="3"/>
      <c r="L613" s="3"/>
      <c r="P613" s="1"/>
      <c r="U613" s="3"/>
    </row>
    <row r="614" spans="7:21">
      <c r="G614" s="2"/>
      <c r="H614" s="2"/>
      <c r="I614" s="2"/>
      <c r="J614" s="3"/>
      <c r="K614" s="3"/>
      <c r="L614" s="3"/>
      <c r="P614" s="1"/>
      <c r="U614" s="3"/>
    </row>
    <row r="615" spans="7:21">
      <c r="G615" s="2"/>
      <c r="H615" s="2"/>
      <c r="I615" s="2"/>
      <c r="J615" s="3"/>
      <c r="K615" s="3"/>
      <c r="L615" s="3"/>
      <c r="P615" s="1"/>
      <c r="U615" s="3"/>
    </row>
    <row r="616" spans="7:21">
      <c r="G616" s="2"/>
      <c r="H616" s="2"/>
      <c r="I616" s="2"/>
      <c r="J616" s="3"/>
      <c r="K616" s="3"/>
      <c r="L616" s="3"/>
      <c r="P616" s="1"/>
      <c r="U616" s="3"/>
    </row>
    <row r="617" spans="7:21">
      <c r="G617" s="2"/>
      <c r="H617" s="2"/>
      <c r="I617" s="2"/>
      <c r="J617" s="3"/>
      <c r="K617" s="3"/>
      <c r="L617" s="3"/>
      <c r="P617" s="1"/>
      <c r="U617" s="3"/>
    </row>
    <row r="618" spans="7:21">
      <c r="G618" s="2"/>
      <c r="H618" s="2"/>
      <c r="I618" s="2"/>
      <c r="J618" s="3"/>
      <c r="K618" s="3"/>
      <c r="L618" s="3"/>
      <c r="P618" s="1"/>
      <c r="U618" s="3"/>
    </row>
    <row r="619" spans="7:21">
      <c r="G619" s="2"/>
      <c r="H619" s="2"/>
      <c r="I619" s="2"/>
      <c r="J619" s="3"/>
      <c r="K619" s="3"/>
      <c r="L619" s="3"/>
      <c r="P619" s="1"/>
      <c r="U619" s="3"/>
    </row>
    <row r="620" spans="7:21">
      <c r="G620" s="2"/>
      <c r="H620" s="2"/>
      <c r="I620" s="2"/>
      <c r="J620" s="3"/>
      <c r="K620" s="3"/>
      <c r="L620" s="3"/>
      <c r="P620" s="1"/>
      <c r="U620" s="3"/>
    </row>
    <row r="621" spans="7:21">
      <c r="G621" s="2"/>
      <c r="H621" s="2"/>
      <c r="I621" s="2"/>
      <c r="J621" s="3"/>
      <c r="K621" s="3"/>
      <c r="L621" s="3"/>
      <c r="P621" s="1"/>
      <c r="U621" s="3"/>
    </row>
    <row r="622" spans="7:21">
      <c r="G622" s="2"/>
      <c r="H622" s="2"/>
      <c r="I622" s="2"/>
      <c r="J622" s="3"/>
      <c r="K622" s="3"/>
      <c r="L622" s="3"/>
      <c r="P622" s="1"/>
      <c r="U622" s="3"/>
    </row>
    <row r="623" spans="7:21">
      <c r="G623" s="2"/>
      <c r="H623" s="2"/>
      <c r="I623" s="2"/>
      <c r="J623" s="3"/>
      <c r="K623" s="3"/>
      <c r="L623" s="3"/>
      <c r="P623" s="1"/>
      <c r="U623" s="3"/>
    </row>
    <row r="624" spans="7:21">
      <c r="G624" s="2"/>
      <c r="H624" s="2"/>
      <c r="I624" s="2"/>
      <c r="J624" s="3"/>
      <c r="K624" s="3"/>
      <c r="L624" s="3"/>
      <c r="P624" s="1"/>
      <c r="U624" s="3"/>
    </row>
    <row r="625" spans="7:21">
      <c r="G625" s="2"/>
      <c r="H625" s="2"/>
      <c r="I625" s="2"/>
      <c r="J625" s="3"/>
      <c r="K625" s="3"/>
      <c r="L625" s="3"/>
      <c r="P625" s="1"/>
      <c r="U625" s="3"/>
    </row>
    <row r="626" spans="7:21">
      <c r="G626" s="2"/>
      <c r="H626" s="2"/>
      <c r="I626" s="2"/>
      <c r="J626" s="3"/>
      <c r="K626" s="3"/>
      <c r="L626" s="3"/>
      <c r="P626" s="1"/>
      <c r="U626" s="3"/>
    </row>
    <row r="627" spans="7:21">
      <c r="G627" s="2"/>
      <c r="H627" s="2"/>
      <c r="I627" s="2"/>
      <c r="J627" s="3"/>
      <c r="K627" s="3"/>
      <c r="L627" s="3"/>
      <c r="P627" s="1"/>
      <c r="U627" s="3"/>
    </row>
    <row r="628" spans="7:21">
      <c r="G628" s="2"/>
      <c r="H628" s="2"/>
      <c r="I628" s="2"/>
      <c r="J628" s="3"/>
      <c r="K628" s="3"/>
      <c r="L628" s="3"/>
      <c r="P628" s="1"/>
      <c r="U628" s="3"/>
    </row>
    <row r="629" spans="7:21">
      <c r="G629" s="2"/>
      <c r="H629" s="2"/>
      <c r="I629" s="2"/>
      <c r="J629" s="3"/>
      <c r="K629" s="3"/>
      <c r="L629" s="3"/>
      <c r="P629" s="1"/>
      <c r="U629" s="3"/>
    </row>
    <row r="630" spans="7:21">
      <c r="G630" s="2"/>
      <c r="H630" s="2"/>
      <c r="I630" s="2"/>
      <c r="J630" s="3"/>
      <c r="K630" s="3"/>
      <c r="L630" s="3"/>
      <c r="P630" s="1"/>
      <c r="U630" s="3"/>
    </row>
    <row r="631" spans="7:21">
      <c r="G631" s="2"/>
      <c r="H631" s="2"/>
      <c r="I631" s="2"/>
      <c r="J631" s="3"/>
      <c r="K631" s="3"/>
      <c r="L631" s="3"/>
      <c r="P631" s="1"/>
      <c r="U631" s="3"/>
    </row>
    <row r="632" spans="7:21">
      <c r="G632" s="2"/>
      <c r="H632" s="2"/>
      <c r="I632" s="2"/>
      <c r="J632" s="3"/>
      <c r="K632" s="3"/>
      <c r="L632" s="3"/>
      <c r="P632" s="1"/>
      <c r="U632" s="3"/>
    </row>
    <row r="633" spans="7:21">
      <c r="G633" s="2"/>
      <c r="H633" s="2"/>
      <c r="I633" s="2"/>
      <c r="J633" s="3"/>
      <c r="K633" s="3"/>
      <c r="L633" s="3"/>
      <c r="P633" s="1"/>
      <c r="U633" s="3"/>
    </row>
    <row r="634" spans="7:21">
      <c r="G634" s="2"/>
      <c r="H634" s="2"/>
      <c r="I634" s="2"/>
      <c r="J634" s="3"/>
      <c r="K634" s="3"/>
      <c r="L634" s="3"/>
      <c r="P634" s="1"/>
      <c r="U634" s="3"/>
    </row>
    <row r="635" spans="7:21">
      <c r="G635" s="2"/>
      <c r="H635" s="2"/>
      <c r="I635" s="2"/>
      <c r="J635" s="3"/>
      <c r="K635" s="3"/>
      <c r="L635" s="3"/>
      <c r="P635" s="1"/>
      <c r="U635" s="3"/>
    </row>
    <row r="636" spans="7:21">
      <c r="G636" s="2"/>
      <c r="H636" s="2"/>
      <c r="I636" s="2"/>
      <c r="J636" s="3"/>
      <c r="K636" s="3"/>
      <c r="L636" s="3"/>
      <c r="P636" s="1"/>
      <c r="U636" s="3"/>
    </row>
    <row r="637" spans="7:21">
      <c r="G637" s="2"/>
      <c r="H637" s="2"/>
      <c r="I637" s="2"/>
      <c r="J637" s="3"/>
      <c r="K637" s="3"/>
      <c r="L637" s="3"/>
      <c r="P637" s="1"/>
      <c r="U637" s="3"/>
    </row>
    <row r="638" spans="7:21">
      <c r="G638" s="2"/>
      <c r="H638" s="2"/>
      <c r="I638" s="2"/>
      <c r="J638" s="3"/>
      <c r="K638" s="3"/>
      <c r="L638" s="3"/>
      <c r="P638" s="1"/>
      <c r="U638" s="3"/>
    </row>
    <row r="639" spans="7:21">
      <c r="G639" s="2"/>
      <c r="H639" s="2"/>
      <c r="I639" s="2"/>
      <c r="J639" s="3"/>
      <c r="K639" s="3"/>
      <c r="L639" s="3"/>
      <c r="P639" s="1"/>
      <c r="U639" s="3"/>
    </row>
    <row r="640" spans="7:21">
      <c r="G640" s="2"/>
      <c r="H640" s="2"/>
      <c r="I640" s="2"/>
      <c r="J640" s="3"/>
      <c r="K640" s="3"/>
      <c r="L640" s="3"/>
      <c r="P640" s="1"/>
      <c r="U640" s="3"/>
    </row>
    <row r="641" spans="7:21">
      <c r="G641" s="2"/>
      <c r="H641" s="2"/>
      <c r="I641" s="2"/>
      <c r="J641" s="3"/>
      <c r="K641" s="3"/>
      <c r="L641" s="3"/>
      <c r="P641" s="1"/>
      <c r="U641" s="3"/>
    </row>
    <row r="642" spans="7:21">
      <c r="G642" s="2"/>
      <c r="H642" s="2"/>
      <c r="I642" s="2"/>
      <c r="J642" s="3"/>
      <c r="K642" s="3"/>
      <c r="L642" s="3"/>
      <c r="P642" s="1"/>
      <c r="U642" s="3"/>
    </row>
    <row r="643" spans="7:21">
      <c r="G643" s="2"/>
      <c r="H643" s="2"/>
      <c r="I643" s="2"/>
      <c r="J643" s="3"/>
      <c r="K643" s="3"/>
      <c r="L643" s="3"/>
      <c r="P643" s="1"/>
      <c r="U643" s="3"/>
    </row>
    <row r="644" spans="7:21">
      <c r="G644" s="2"/>
      <c r="H644" s="2"/>
      <c r="I644" s="2"/>
      <c r="J644" s="3"/>
      <c r="K644" s="3"/>
      <c r="L644" s="3"/>
      <c r="P644" s="1"/>
      <c r="U644" s="3"/>
    </row>
    <row r="645" spans="7:21">
      <c r="G645" s="2"/>
      <c r="H645" s="2"/>
      <c r="I645" s="2"/>
      <c r="J645" s="3"/>
      <c r="K645" s="3"/>
      <c r="L645" s="3"/>
      <c r="P645" s="1"/>
      <c r="U645" s="3"/>
    </row>
    <row r="646" spans="7:21">
      <c r="G646" s="2"/>
      <c r="H646" s="2"/>
      <c r="I646" s="2"/>
      <c r="J646" s="3"/>
      <c r="K646" s="3"/>
      <c r="L646" s="3"/>
      <c r="P646" s="1"/>
      <c r="U646" s="3"/>
    </row>
    <row r="647" spans="7:21">
      <c r="G647" s="2"/>
      <c r="H647" s="2"/>
      <c r="I647" s="2"/>
      <c r="J647" s="3"/>
      <c r="K647" s="3"/>
      <c r="L647" s="3"/>
      <c r="P647" s="1"/>
      <c r="U647" s="3"/>
    </row>
    <row r="648" spans="7:21">
      <c r="G648" s="2"/>
      <c r="H648" s="2"/>
      <c r="I648" s="2"/>
      <c r="J648" s="3"/>
      <c r="K648" s="3"/>
      <c r="L648" s="3"/>
      <c r="P648" s="1"/>
      <c r="U648" s="3"/>
    </row>
    <row r="649" spans="7:21">
      <c r="G649" s="2"/>
      <c r="H649" s="2"/>
      <c r="I649" s="2"/>
      <c r="J649" s="3"/>
      <c r="K649" s="3"/>
      <c r="L649" s="3"/>
      <c r="P649" s="1"/>
      <c r="U649" s="3"/>
    </row>
    <row r="650" spans="7:21">
      <c r="G650" s="2"/>
      <c r="H650" s="2"/>
      <c r="I650" s="2"/>
      <c r="J650" s="3"/>
      <c r="K650" s="3"/>
      <c r="L650" s="3"/>
      <c r="P650" s="1"/>
      <c r="U650" s="3"/>
    </row>
    <row r="651" spans="7:21">
      <c r="G651" s="2"/>
      <c r="H651" s="2"/>
      <c r="I651" s="2"/>
      <c r="J651" s="3"/>
      <c r="K651" s="3"/>
      <c r="L651" s="3"/>
      <c r="P651" s="1"/>
      <c r="U651" s="3"/>
    </row>
    <row r="652" spans="7:21">
      <c r="G652" s="2"/>
      <c r="H652" s="2"/>
      <c r="I652" s="2"/>
      <c r="J652" s="3"/>
      <c r="K652" s="3"/>
      <c r="L652" s="3"/>
      <c r="P652" s="1"/>
      <c r="U652" s="3"/>
    </row>
    <row r="653" spans="7:21">
      <c r="G653" s="2"/>
      <c r="H653" s="2"/>
      <c r="I653" s="2"/>
      <c r="J653" s="3"/>
      <c r="K653" s="3"/>
      <c r="L653" s="3"/>
      <c r="P653" s="1"/>
      <c r="U653" s="3"/>
    </row>
    <row r="654" spans="7:21">
      <c r="G654" s="2"/>
      <c r="H654" s="2"/>
      <c r="I654" s="2"/>
      <c r="J654" s="3"/>
      <c r="K654" s="3"/>
      <c r="L654" s="3"/>
      <c r="P654" s="1"/>
      <c r="U654" s="3"/>
    </row>
    <row r="655" spans="7:21">
      <c r="G655" s="2"/>
      <c r="H655" s="2"/>
      <c r="I655" s="2"/>
      <c r="J655" s="3"/>
      <c r="K655" s="3"/>
      <c r="L655" s="3"/>
      <c r="P655" s="1"/>
      <c r="U655" s="3"/>
    </row>
    <row r="656" spans="7:21">
      <c r="G656" s="2"/>
      <c r="H656" s="2"/>
      <c r="I656" s="2"/>
      <c r="J656" s="3"/>
      <c r="K656" s="3"/>
      <c r="L656" s="3"/>
      <c r="P656" s="1"/>
      <c r="U656" s="3"/>
    </row>
    <row r="657" spans="7:21">
      <c r="G657" s="2"/>
      <c r="H657" s="2"/>
      <c r="I657" s="2"/>
      <c r="J657" s="3"/>
      <c r="K657" s="3"/>
      <c r="L657" s="3"/>
      <c r="P657" s="1"/>
      <c r="U657" s="3"/>
    </row>
    <row r="658" spans="7:21">
      <c r="G658" s="2"/>
      <c r="H658" s="2"/>
      <c r="I658" s="2"/>
      <c r="J658" s="3"/>
      <c r="K658" s="3"/>
      <c r="L658" s="3"/>
      <c r="P658" s="1"/>
      <c r="U658" s="3"/>
    </row>
    <row r="659" spans="7:21">
      <c r="G659" s="2"/>
      <c r="H659" s="2"/>
      <c r="I659" s="2"/>
      <c r="J659" s="3"/>
      <c r="K659" s="3"/>
      <c r="L659" s="3"/>
      <c r="P659" s="1"/>
      <c r="U659" s="3"/>
    </row>
    <row r="660" spans="7:21">
      <c r="G660" s="2"/>
      <c r="H660" s="2"/>
      <c r="I660" s="2"/>
      <c r="J660" s="3"/>
      <c r="K660" s="3"/>
      <c r="L660" s="3"/>
      <c r="P660" s="1"/>
      <c r="U660" s="3"/>
    </row>
    <row r="661" spans="7:21">
      <c r="G661" s="2"/>
      <c r="H661" s="2"/>
      <c r="I661" s="2"/>
      <c r="J661" s="3"/>
      <c r="K661" s="3"/>
      <c r="L661" s="3"/>
      <c r="P661" s="1"/>
      <c r="U661" s="3"/>
    </row>
    <row r="662" spans="7:21">
      <c r="G662" s="2"/>
      <c r="H662" s="2"/>
      <c r="I662" s="2"/>
      <c r="J662" s="3"/>
      <c r="K662" s="3"/>
      <c r="L662" s="3"/>
      <c r="P662" s="1"/>
      <c r="U662" s="3"/>
    </row>
    <row r="663" spans="7:21">
      <c r="G663" s="2"/>
      <c r="H663" s="2"/>
      <c r="I663" s="2"/>
      <c r="J663" s="3"/>
      <c r="K663" s="3"/>
      <c r="L663" s="3"/>
      <c r="P663" s="1"/>
      <c r="U663" s="3"/>
    </row>
    <row r="664" spans="7:21">
      <c r="G664" s="2"/>
      <c r="H664" s="2"/>
      <c r="I664" s="2"/>
      <c r="J664" s="3"/>
      <c r="K664" s="3"/>
      <c r="L664" s="3"/>
      <c r="P664" s="1"/>
      <c r="U664" s="3"/>
    </row>
    <row r="665" spans="7:21">
      <c r="G665" s="2"/>
      <c r="H665" s="2"/>
      <c r="I665" s="2"/>
      <c r="J665" s="3"/>
      <c r="K665" s="3"/>
      <c r="L665" s="3"/>
      <c r="P665" s="1"/>
      <c r="U665" s="3"/>
    </row>
    <row r="666" spans="7:21">
      <c r="G666" s="2"/>
      <c r="H666" s="2"/>
      <c r="I666" s="2"/>
      <c r="J666" s="3"/>
      <c r="K666" s="3"/>
      <c r="L666" s="3"/>
      <c r="P666" s="1"/>
      <c r="U666" s="3"/>
    </row>
    <row r="667" spans="7:21">
      <c r="G667" s="2"/>
      <c r="H667" s="2"/>
      <c r="I667" s="2"/>
      <c r="J667" s="3"/>
      <c r="K667" s="3"/>
      <c r="L667" s="3"/>
      <c r="P667" s="1"/>
      <c r="U667" s="3"/>
    </row>
    <row r="668" spans="7:21">
      <c r="G668" s="2"/>
      <c r="H668" s="2"/>
      <c r="I668" s="2"/>
      <c r="J668" s="3"/>
      <c r="K668" s="3"/>
      <c r="L668" s="3"/>
      <c r="P668" s="1"/>
      <c r="U668" s="3"/>
    </row>
    <row r="669" spans="7:21">
      <c r="G669" s="2"/>
      <c r="H669" s="2"/>
      <c r="I669" s="2"/>
      <c r="J669" s="3"/>
      <c r="K669" s="3"/>
      <c r="L669" s="3"/>
      <c r="P669" s="1"/>
      <c r="U669" s="3"/>
    </row>
    <row r="670" spans="7:21">
      <c r="G670" s="2"/>
      <c r="H670" s="2"/>
      <c r="I670" s="2"/>
      <c r="J670" s="3"/>
      <c r="K670" s="3"/>
      <c r="L670" s="3"/>
      <c r="P670" s="1"/>
      <c r="U670" s="3"/>
    </row>
    <row r="671" spans="7:21">
      <c r="G671" s="2"/>
      <c r="H671" s="2"/>
      <c r="I671" s="2"/>
      <c r="J671" s="3"/>
      <c r="K671" s="3"/>
      <c r="L671" s="3"/>
      <c r="P671" s="1"/>
      <c r="U671" s="3"/>
    </row>
    <row r="672" spans="7:21">
      <c r="G672" s="2"/>
      <c r="H672" s="2"/>
      <c r="I672" s="2"/>
      <c r="J672" s="3"/>
      <c r="K672" s="3"/>
      <c r="L672" s="3"/>
      <c r="P672" s="1"/>
      <c r="U672" s="3"/>
    </row>
    <row r="673" spans="7:21">
      <c r="G673" s="2"/>
      <c r="H673" s="2"/>
      <c r="I673" s="2"/>
      <c r="J673" s="3"/>
      <c r="K673" s="3"/>
      <c r="L673" s="3"/>
      <c r="P673" s="1"/>
      <c r="U673" s="3"/>
    </row>
    <row r="674" spans="7:21">
      <c r="G674" s="2"/>
      <c r="H674" s="2"/>
      <c r="I674" s="2"/>
      <c r="J674" s="3"/>
      <c r="K674" s="3"/>
      <c r="L674" s="3"/>
      <c r="P674" s="1"/>
      <c r="U674" s="3"/>
    </row>
    <row r="675" spans="7:21">
      <c r="G675" s="2"/>
      <c r="H675" s="2"/>
      <c r="I675" s="2"/>
      <c r="J675" s="3"/>
      <c r="K675" s="3"/>
      <c r="L675" s="3"/>
      <c r="P675" s="1"/>
      <c r="U675" s="3"/>
    </row>
    <row r="676" spans="7:21">
      <c r="G676" s="2"/>
      <c r="H676" s="2"/>
      <c r="I676" s="2"/>
      <c r="J676" s="3"/>
      <c r="K676" s="3"/>
      <c r="L676" s="3"/>
      <c r="P676" s="1"/>
      <c r="U676" s="3"/>
    </row>
    <row r="677" spans="7:21">
      <c r="G677" s="2"/>
      <c r="H677" s="2"/>
      <c r="I677" s="2"/>
      <c r="J677" s="3"/>
      <c r="K677" s="3"/>
      <c r="L677" s="3"/>
      <c r="P677" s="1"/>
      <c r="U677" s="3"/>
    </row>
    <row r="678" spans="7:21">
      <c r="G678" s="2"/>
      <c r="H678" s="2"/>
      <c r="I678" s="2"/>
      <c r="J678" s="3"/>
      <c r="K678" s="3"/>
      <c r="L678" s="3"/>
      <c r="P678" s="1"/>
      <c r="U678" s="3"/>
    </row>
    <row r="679" spans="7:21">
      <c r="G679" s="2"/>
      <c r="H679" s="2"/>
      <c r="I679" s="2"/>
      <c r="J679" s="3"/>
      <c r="K679" s="3"/>
      <c r="L679" s="3"/>
      <c r="P679" s="1"/>
      <c r="U679" s="3"/>
    </row>
    <row r="680" spans="7:21">
      <c r="G680" s="2"/>
      <c r="H680" s="2"/>
      <c r="I680" s="2"/>
      <c r="J680" s="3"/>
      <c r="K680" s="3"/>
      <c r="L680" s="3"/>
      <c r="P680" s="1"/>
      <c r="U680" s="3"/>
    </row>
    <row r="681" spans="7:21">
      <c r="G681" s="2"/>
      <c r="H681" s="2"/>
      <c r="I681" s="2"/>
      <c r="J681" s="3"/>
      <c r="K681" s="3"/>
      <c r="L681" s="3"/>
      <c r="P681" s="1"/>
      <c r="U681" s="3"/>
    </row>
    <row r="682" spans="7:21">
      <c r="G682" s="2"/>
      <c r="H682" s="2"/>
      <c r="I682" s="2"/>
      <c r="J682" s="3"/>
      <c r="K682" s="3"/>
      <c r="L682" s="3"/>
      <c r="P682" s="1"/>
      <c r="U682" s="3"/>
    </row>
    <row r="683" spans="7:21">
      <c r="G683" s="2"/>
      <c r="H683" s="2"/>
      <c r="I683" s="2"/>
      <c r="J683" s="3"/>
      <c r="K683" s="3"/>
      <c r="L683" s="3"/>
      <c r="P683" s="1"/>
      <c r="U683" s="3"/>
    </row>
    <row r="684" spans="7:21">
      <c r="G684" s="2"/>
      <c r="H684" s="2"/>
      <c r="I684" s="2"/>
      <c r="J684" s="3"/>
      <c r="K684" s="3"/>
      <c r="L684" s="3"/>
      <c r="P684" s="1"/>
      <c r="U684" s="3"/>
    </row>
    <row r="685" spans="7:21">
      <c r="G685" s="2"/>
      <c r="H685" s="2"/>
      <c r="I685" s="2"/>
      <c r="J685" s="3"/>
      <c r="K685" s="3"/>
      <c r="L685" s="3"/>
      <c r="P685" s="1"/>
      <c r="U685" s="3"/>
    </row>
    <row r="686" spans="7:21">
      <c r="G686" s="2"/>
      <c r="H686" s="2"/>
      <c r="I686" s="2"/>
      <c r="J686" s="3"/>
      <c r="K686" s="3"/>
      <c r="L686" s="3"/>
      <c r="P686" s="1"/>
      <c r="U686" s="3"/>
    </row>
    <row r="687" spans="7:21">
      <c r="G687" s="2"/>
      <c r="H687" s="2"/>
      <c r="I687" s="2"/>
      <c r="J687" s="3"/>
      <c r="K687" s="3"/>
      <c r="L687" s="3"/>
      <c r="P687" s="1"/>
      <c r="U687" s="3"/>
    </row>
    <row r="688" spans="7:21">
      <c r="G688" s="2"/>
      <c r="H688" s="2"/>
      <c r="I688" s="2"/>
      <c r="J688" s="3"/>
      <c r="K688" s="3"/>
      <c r="L688" s="3"/>
      <c r="P688" s="1"/>
      <c r="U688" s="3"/>
    </row>
    <row r="689" spans="7:21">
      <c r="G689" s="2"/>
      <c r="H689" s="2"/>
      <c r="I689" s="2"/>
      <c r="J689" s="3"/>
      <c r="K689" s="3"/>
      <c r="L689" s="3"/>
      <c r="P689" s="1"/>
      <c r="U689" s="3"/>
    </row>
    <row r="690" spans="7:21">
      <c r="G690" s="2"/>
      <c r="H690" s="2"/>
      <c r="I690" s="2"/>
      <c r="J690" s="3"/>
      <c r="K690" s="3"/>
      <c r="L690" s="3"/>
      <c r="P690" s="1"/>
      <c r="U690" s="3"/>
    </row>
    <row r="691" spans="7:21">
      <c r="G691" s="2"/>
      <c r="H691" s="2"/>
      <c r="I691" s="2"/>
      <c r="J691" s="3"/>
      <c r="K691" s="3"/>
      <c r="L691" s="3"/>
      <c r="P691" s="1"/>
      <c r="U691" s="3"/>
    </row>
    <row r="692" spans="7:21">
      <c r="G692" s="2"/>
      <c r="H692" s="2"/>
      <c r="I692" s="2"/>
      <c r="J692" s="3"/>
      <c r="K692" s="3"/>
      <c r="L692" s="3"/>
      <c r="P692" s="1"/>
      <c r="U692" s="3"/>
    </row>
    <row r="693" spans="7:21">
      <c r="G693" s="2"/>
      <c r="H693" s="2"/>
      <c r="I693" s="2"/>
      <c r="J693" s="3"/>
      <c r="K693" s="3"/>
      <c r="L693" s="3"/>
      <c r="P693" s="1"/>
      <c r="U693" s="3"/>
    </row>
    <row r="694" spans="7:21">
      <c r="G694" s="2"/>
      <c r="H694" s="2"/>
      <c r="I694" s="2"/>
      <c r="J694" s="3"/>
      <c r="K694" s="3"/>
      <c r="L694" s="3"/>
      <c r="P694" s="1"/>
      <c r="U694" s="3"/>
    </row>
    <row r="695" spans="7:21">
      <c r="G695" s="2"/>
      <c r="H695" s="2"/>
      <c r="I695" s="2"/>
      <c r="J695" s="3"/>
      <c r="K695" s="3"/>
      <c r="L695" s="3"/>
      <c r="P695" s="1"/>
      <c r="U695" s="3"/>
    </row>
    <row r="696" spans="7:21">
      <c r="G696" s="2"/>
      <c r="H696" s="2"/>
      <c r="I696" s="2"/>
      <c r="J696" s="3"/>
      <c r="K696" s="3"/>
      <c r="L696" s="3"/>
      <c r="P696" s="1"/>
      <c r="U696" s="3"/>
    </row>
    <row r="697" spans="7:21">
      <c r="G697" s="2"/>
      <c r="H697" s="2"/>
      <c r="I697" s="2"/>
      <c r="J697" s="3"/>
      <c r="K697" s="3"/>
      <c r="L697" s="3"/>
      <c r="P697" s="1"/>
      <c r="U697" s="3"/>
    </row>
    <row r="698" spans="7:21">
      <c r="G698" s="2"/>
      <c r="H698" s="2"/>
      <c r="I698" s="2"/>
      <c r="J698" s="3"/>
      <c r="K698" s="3"/>
      <c r="L698" s="3"/>
      <c r="P698" s="1"/>
      <c r="U698" s="3"/>
    </row>
    <row r="699" spans="7:21">
      <c r="G699" s="2"/>
      <c r="H699" s="2"/>
      <c r="I699" s="2"/>
      <c r="J699" s="3"/>
      <c r="K699" s="3"/>
      <c r="L699" s="3"/>
      <c r="P699" s="1"/>
      <c r="U699" s="3"/>
    </row>
    <row r="700" spans="7:21">
      <c r="G700" s="2"/>
      <c r="H700" s="2"/>
      <c r="I700" s="2"/>
      <c r="J700" s="3"/>
      <c r="K700" s="3"/>
      <c r="L700" s="3"/>
      <c r="P700" s="1"/>
      <c r="U700" s="3"/>
    </row>
    <row r="701" spans="7:21">
      <c r="G701" s="2"/>
      <c r="H701" s="2"/>
      <c r="I701" s="2"/>
      <c r="J701" s="3"/>
      <c r="K701" s="3"/>
      <c r="L701" s="3"/>
      <c r="P701" s="1"/>
      <c r="U701" s="3"/>
    </row>
    <row r="702" spans="7:21">
      <c r="G702" s="2"/>
      <c r="H702" s="2"/>
      <c r="I702" s="2"/>
      <c r="J702" s="3"/>
      <c r="K702" s="3"/>
      <c r="L702" s="3"/>
      <c r="P702" s="1"/>
      <c r="U702" s="3"/>
    </row>
    <row r="703" spans="7:21">
      <c r="G703" s="2"/>
      <c r="H703" s="2"/>
      <c r="I703" s="2"/>
      <c r="J703" s="3"/>
      <c r="K703" s="3"/>
      <c r="L703" s="3"/>
      <c r="P703" s="1"/>
      <c r="U703" s="3"/>
    </row>
    <row r="704" spans="7:21">
      <c r="G704" s="2"/>
      <c r="H704" s="2"/>
      <c r="I704" s="2"/>
      <c r="J704" s="3"/>
      <c r="K704" s="3"/>
      <c r="L704" s="3"/>
      <c r="P704" s="1"/>
      <c r="U704" s="3"/>
    </row>
    <row r="705" spans="7:21">
      <c r="G705" s="2"/>
      <c r="H705" s="2"/>
      <c r="I705" s="2"/>
      <c r="J705" s="3"/>
      <c r="K705" s="3"/>
      <c r="L705" s="3"/>
      <c r="P705" s="1"/>
      <c r="U705" s="3"/>
    </row>
    <row r="706" spans="7:21">
      <c r="G706" s="2"/>
      <c r="H706" s="2"/>
      <c r="I706" s="2"/>
      <c r="J706" s="3"/>
      <c r="K706" s="3"/>
      <c r="L706" s="3"/>
      <c r="P706" s="1"/>
      <c r="U706" s="3"/>
    </row>
    <row r="707" spans="7:21">
      <c r="G707" s="2"/>
      <c r="H707" s="2"/>
      <c r="I707" s="2"/>
      <c r="J707" s="3"/>
      <c r="K707" s="3"/>
      <c r="L707" s="3"/>
      <c r="P707" s="1"/>
      <c r="U707" s="3"/>
    </row>
    <row r="708" spans="7:21">
      <c r="G708" s="2"/>
      <c r="H708" s="2"/>
      <c r="I708" s="2"/>
      <c r="J708" s="3"/>
      <c r="K708" s="3"/>
      <c r="L708" s="3"/>
      <c r="P708" s="1"/>
      <c r="U708" s="3"/>
    </row>
    <row r="709" spans="7:21">
      <c r="G709" s="2"/>
      <c r="H709" s="2"/>
      <c r="I709" s="2"/>
      <c r="J709" s="3"/>
      <c r="K709" s="3"/>
      <c r="L709" s="3"/>
      <c r="P709" s="1"/>
      <c r="U709" s="3"/>
    </row>
    <row r="710" spans="7:21">
      <c r="G710" s="2"/>
      <c r="H710" s="2"/>
      <c r="I710" s="2"/>
      <c r="J710" s="3"/>
      <c r="K710" s="3"/>
      <c r="L710" s="3"/>
      <c r="P710" s="1"/>
      <c r="U710" s="3"/>
    </row>
    <row r="711" spans="7:21">
      <c r="G711" s="2"/>
      <c r="H711" s="2"/>
      <c r="I711" s="2"/>
      <c r="J711" s="3"/>
      <c r="K711" s="3"/>
      <c r="L711" s="3"/>
      <c r="P711" s="1"/>
      <c r="U711" s="3"/>
    </row>
    <row r="712" spans="7:21">
      <c r="G712" s="2"/>
      <c r="H712" s="2"/>
      <c r="I712" s="2"/>
      <c r="J712" s="3"/>
      <c r="K712" s="3"/>
      <c r="L712" s="3"/>
      <c r="P712" s="1"/>
      <c r="U712" s="3"/>
    </row>
    <row r="713" spans="7:21">
      <c r="G713" s="2"/>
      <c r="H713" s="2"/>
      <c r="I713" s="2"/>
      <c r="J713" s="3"/>
      <c r="K713" s="3"/>
      <c r="L713" s="3"/>
      <c r="P713" s="1"/>
      <c r="U713" s="3"/>
    </row>
    <row r="714" spans="7:21">
      <c r="G714" s="2"/>
      <c r="H714" s="2"/>
      <c r="I714" s="2"/>
      <c r="J714" s="3"/>
      <c r="K714" s="3"/>
      <c r="L714" s="3"/>
      <c r="P714" s="1"/>
      <c r="U714" s="3"/>
    </row>
    <row r="715" spans="7:21">
      <c r="G715" s="2"/>
      <c r="H715" s="2"/>
      <c r="I715" s="2"/>
      <c r="J715" s="3"/>
      <c r="K715" s="3"/>
      <c r="L715" s="3"/>
      <c r="P715" s="1"/>
      <c r="U715" s="3"/>
    </row>
    <row r="716" spans="7:21">
      <c r="G716" s="2"/>
      <c r="H716" s="2"/>
      <c r="I716" s="2"/>
      <c r="J716" s="3"/>
      <c r="K716" s="3"/>
      <c r="L716" s="3"/>
      <c r="P716" s="1"/>
      <c r="U716" s="3"/>
    </row>
    <row r="717" spans="7:21">
      <c r="G717" s="2"/>
      <c r="H717" s="2"/>
      <c r="I717" s="2"/>
      <c r="J717" s="3"/>
      <c r="K717" s="3"/>
      <c r="L717" s="3"/>
      <c r="P717" s="1"/>
      <c r="U717" s="3"/>
    </row>
    <row r="718" spans="7:21">
      <c r="G718" s="2"/>
      <c r="H718" s="2"/>
      <c r="I718" s="2"/>
      <c r="J718" s="3"/>
      <c r="K718" s="3"/>
      <c r="L718" s="3"/>
      <c r="P718" s="1"/>
      <c r="U718" s="3"/>
    </row>
    <row r="719" spans="7:21">
      <c r="G719" s="2"/>
      <c r="H719" s="2"/>
      <c r="I719" s="2"/>
      <c r="J719" s="3"/>
      <c r="K719" s="3"/>
      <c r="L719" s="3"/>
      <c r="P719" s="1"/>
      <c r="U719" s="3"/>
    </row>
    <row r="720" spans="7:21">
      <c r="G720" s="2"/>
      <c r="H720" s="2"/>
      <c r="I720" s="2"/>
      <c r="J720" s="3"/>
      <c r="K720" s="3"/>
      <c r="L720" s="3"/>
      <c r="P720" s="1"/>
      <c r="U720" s="3"/>
    </row>
    <row r="721" spans="7:21">
      <c r="G721" s="2"/>
      <c r="H721" s="2"/>
      <c r="I721" s="2"/>
      <c r="J721" s="3"/>
      <c r="K721" s="3"/>
      <c r="L721" s="3"/>
      <c r="P721" s="1"/>
      <c r="U721" s="3"/>
    </row>
    <row r="722" spans="7:21">
      <c r="G722" s="2"/>
      <c r="H722" s="2"/>
      <c r="I722" s="2"/>
      <c r="J722" s="3"/>
      <c r="K722" s="3"/>
      <c r="L722" s="3"/>
      <c r="P722" s="1"/>
      <c r="U722" s="3"/>
    </row>
    <row r="723" spans="7:21">
      <c r="G723" s="2"/>
      <c r="H723" s="2"/>
      <c r="I723" s="2"/>
      <c r="J723" s="3"/>
      <c r="K723" s="3"/>
      <c r="L723" s="3"/>
      <c r="P723" s="1"/>
      <c r="U723" s="3"/>
    </row>
    <row r="724" spans="7:21">
      <c r="G724" s="2"/>
      <c r="H724" s="2"/>
      <c r="I724" s="2"/>
      <c r="J724" s="3"/>
      <c r="K724" s="3"/>
      <c r="L724" s="3"/>
      <c r="P724" s="1"/>
      <c r="U724" s="3"/>
    </row>
    <row r="725" spans="7:21">
      <c r="G725" s="2"/>
      <c r="H725" s="2"/>
      <c r="I725" s="2"/>
      <c r="J725" s="3"/>
      <c r="K725" s="3"/>
      <c r="L725" s="3"/>
      <c r="P725" s="1"/>
      <c r="U725" s="3"/>
    </row>
    <row r="726" spans="7:21">
      <c r="G726" s="2"/>
      <c r="H726" s="2"/>
      <c r="I726" s="2"/>
      <c r="J726" s="3"/>
      <c r="K726" s="3"/>
      <c r="L726" s="3"/>
      <c r="P726" s="1"/>
      <c r="U726" s="3"/>
    </row>
    <row r="727" spans="7:21">
      <c r="G727" s="2"/>
      <c r="H727" s="2"/>
      <c r="I727" s="2"/>
      <c r="J727" s="3"/>
      <c r="K727" s="3"/>
      <c r="L727" s="3"/>
      <c r="P727" s="1"/>
      <c r="U727" s="3"/>
    </row>
    <row r="728" spans="7:21">
      <c r="G728" s="2"/>
      <c r="H728" s="2"/>
      <c r="I728" s="2"/>
      <c r="J728" s="3"/>
      <c r="K728" s="3"/>
      <c r="L728" s="3"/>
      <c r="P728" s="1"/>
      <c r="U728" s="3"/>
    </row>
    <row r="729" spans="7:21">
      <c r="G729" s="2"/>
      <c r="H729" s="2"/>
      <c r="I729" s="2"/>
      <c r="J729" s="3"/>
      <c r="K729" s="3"/>
      <c r="L729" s="3"/>
      <c r="P729" s="1"/>
      <c r="U729" s="3"/>
    </row>
    <row r="730" spans="7:21">
      <c r="G730" s="2"/>
      <c r="H730" s="2"/>
      <c r="I730" s="2"/>
      <c r="J730" s="3"/>
      <c r="K730" s="3"/>
      <c r="L730" s="3"/>
      <c r="P730" s="1"/>
      <c r="U730" s="3"/>
    </row>
    <row r="731" spans="7:21">
      <c r="G731" s="2"/>
      <c r="H731" s="2"/>
      <c r="I731" s="2"/>
      <c r="J731" s="3"/>
      <c r="K731" s="3"/>
      <c r="L731" s="3"/>
      <c r="P731" s="1"/>
      <c r="U731" s="3"/>
    </row>
    <row r="732" spans="7:21">
      <c r="G732" s="2"/>
      <c r="H732" s="2"/>
      <c r="I732" s="2"/>
      <c r="J732" s="3"/>
      <c r="K732" s="3"/>
      <c r="L732" s="3"/>
      <c r="P732" s="1"/>
      <c r="U732" s="3"/>
    </row>
    <row r="733" spans="7:21">
      <c r="G733" s="2"/>
      <c r="H733" s="2"/>
      <c r="I733" s="2"/>
      <c r="J733" s="3"/>
      <c r="K733" s="3"/>
      <c r="L733" s="3"/>
      <c r="P733" s="1"/>
      <c r="U733" s="3"/>
    </row>
    <row r="734" spans="7:21">
      <c r="G734" s="2"/>
      <c r="H734" s="2"/>
      <c r="I734" s="2"/>
      <c r="J734" s="3"/>
      <c r="K734" s="3"/>
      <c r="L734" s="3"/>
      <c r="P734" s="1"/>
      <c r="U734" s="3"/>
    </row>
    <row r="735" spans="7:21">
      <c r="G735" s="2"/>
      <c r="H735" s="2"/>
      <c r="I735" s="2"/>
      <c r="J735" s="3"/>
      <c r="K735" s="3"/>
      <c r="L735" s="3"/>
      <c r="P735" s="1"/>
      <c r="U735" s="3"/>
    </row>
    <row r="736" spans="7:21">
      <c r="G736" s="2"/>
      <c r="H736" s="2"/>
      <c r="I736" s="2"/>
      <c r="J736" s="3"/>
      <c r="K736" s="3"/>
      <c r="L736" s="3"/>
      <c r="P736" s="1"/>
      <c r="U736" s="3"/>
    </row>
    <row r="737" spans="7:21">
      <c r="G737" s="2"/>
      <c r="H737" s="2"/>
      <c r="I737" s="2"/>
      <c r="J737" s="3"/>
      <c r="K737" s="3"/>
      <c r="L737" s="3"/>
      <c r="P737" s="1"/>
      <c r="U737" s="3"/>
    </row>
    <row r="738" spans="7:21">
      <c r="G738" s="2"/>
      <c r="H738" s="2"/>
      <c r="I738" s="2"/>
      <c r="J738" s="3"/>
      <c r="K738" s="3"/>
      <c r="L738" s="3"/>
      <c r="P738" s="1"/>
      <c r="U738" s="3"/>
    </row>
    <row r="739" spans="7:21">
      <c r="G739" s="2"/>
      <c r="H739" s="2"/>
      <c r="I739" s="2"/>
      <c r="J739" s="3"/>
      <c r="K739" s="3"/>
      <c r="L739" s="3"/>
      <c r="P739" s="1"/>
      <c r="U739" s="3"/>
    </row>
    <row r="740" spans="7:21">
      <c r="G740" s="2"/>
      <c r="H740" s="2"/>
      <c r="I740" s="2"/>
      <c r="J740" s="3"/>
      <c r="K740" s="3"/>
      <c r="L740" s="3"/>
      <c r="P740" s="1"/>
      <c r="U740" s="3"/>
    </row>
    <row r="741" spans="7:21">
      <c r="G741" s="2"/>
      <c r="H741" s="2"/>
      <c r="I741" s="2"/>
      <c r="J741" s="3"/>
      <c r="K741" s="3"/>
      <c r="L741" s="3"/>
      <c r="P741" s="1"/>
      <c r="U741" s="3"/>
    </row>
    <row r="742" spans="7:21">
      <c r="G742" s="2"/>
      <c r="H742" s="2"/>
      <c r="I742" s="2"/>
      <c r="J742" s="3"/>
      <c r="K742" s="3"/>
      <c r="L742" s="3"/>
      <c r="P742" s="1"/>
      <c r="U742" s="3"/>
    </row>
    <row r="743" spans="7:21">
      <c r="G743" s="2"/>
      <c r="H743" s="2"/>
      <c r="I743" s="2"/>
      <c r="J743" s="3"/>
      <c r="K743" s="3"/>
      <c r="L743" s="3"/>
      <c r="P743" s="1"/>
      <c r="U743" s="3"/>
    </row>
    <row r="744" spans="7:21">
      <c r="G744" s="2"/>
      <c r="H744" s="2"/>
      <c r="I744" s="2"/>
      <c r="J744" s="3"/>
      <c r="K744" s="3"/>
      <c r="L744" s="3"/>
      <c r="P744" s="1"/>
      <c r="U744" s="3"/>
    </row>
    <row r="745" spans="7:21">
      <c r="G745" s="2"/>
      <c r="H745" s="2"/>
      <c r="I745" s="2"/>
      <c r="J745" s="3"/>
      <c r="K745" s="3"/>
      <c r="L745" s="3"/>
      <c r="P745" s="1"/>
      <c r="U745" s="3"/>
    </row>
    <row r="746" spans="7:21">
      <c r="G746" s="2"/>
      <c r="H746" s="2"/>
      <c r="I746" s="2"/>
      <c r="J746" s="3"/>
      <c r="K746" s="3"/>
      <c r="L746" s="3"/>
      <c r="P746" s="1"/>
      <c r="U746" s="3"/>
    </row>
    <row r="747" spans="7:21">
      <c r="G747" s="2"/>
      <c r="H747" s="2"/>
      <c r="I747" s="2"/>
      <c r="J747" s="3"/>
      <c r="K747" s="3"/>
      <c r="L747" s="3"/>
      <c r="P747" s="1"/>
      <c r="U747" s="3"/>
    </row>
    <row r="748" spans="7:21">
      <c r="G748" s="2"/>
      <c r="H748" s="2"/>
      <c r="I748" s="2"/>
      <c r="J748" s="3"/>
      <c r="K748" s="3"/>
      <c r="L748" s="3"/>
      <c r="P748" s="1"/>
      <c r="U748" s="3"/>
    </row>
    <row r="749" spans="7:21">
      <c r="G749" s="2"/>
      <c r="H749" s="2"/>
      <c r="I749" s="2"/>
      <c r="J749" s="3"/>
      <c r="K749" s="3"/>
      <c r="L749" s="3"/>
      <c r="P749" s="1"/>
      <c r="U749" s="3"/>
    </row>
    <row r="750" spans="7:21">
      <c r="G750" s="2"/>
      <c r="H750" s="2"/>
      <c r="I750" s="2"/>
      <c r="J750" s="3"/>
      <c r="K750" s="3"/>
      <c r="L750" s="3"/>
      <c r="P750" s="1"/>
      <c r="U750" s="3"/>
    </row>
    <row r="751" spans="7:21">
      <c r="G751" s="2"/>
      <c r="H751" s="2"/>
      <c r="I751" s="2"/>
      <c r="J751" s="3"/>
      <c r="K751" s="3"/>
      <c r="L751" s="3"/>
      <c r="P751" s="1"/>
      <c r="U751" s="3"/>
    </row>
    <row r="752" spans="7:21">
      <c r="G752" s="2"/>
      <c r="H752" s="2"/>
      <c r="I752" s="2"/>
      <c r="J752" s="3"/>
      <c r="K752" s="3"/>
      <c r="L752" s="3"/>
      <c r="P752" s="1"/>
      <c r="U752" s="3"/>
    </row>
    <row r="753" spans="7:21">
      <c r="G753" s="2"/>
      <c r="H753" s="2"/>
      <c r="I753" s="2"/>
      <c r="J753" s="3"/>
      <c r="K753" s="3"/>
      <c r="L753" s="3"/>
      <c r="P753" s="1"/>
      <c r="U753" s="3"/>
    </row>
    <row r="754" spans="7:21">
      <c r="G754" s="2"/>
      <c r="H754" s="2"/>
      <c r="I754" s="2"/>
      <c r="J754" s="3"/>
      <c r="K754" s="3"/>
      <c r="L754" s="3"/>
      <c r="P754" s="1"/>
      <c r="U754" s="3"/>
    </row>
    <row r="755" spans="7:21">
      <c r="G755" s="2"/>
      <c r="H755" s="2"/>
      <c r="I755" s="2"/>
      <c r="J755" s="3"/>
      <c r="K755" s="3"/>
      <c r="L755" s="3"/>
      <c r="P755" s="1"/>
      <c r="U755" s="3"/>
    </row>
    <row r="756" spans="7:21">
      <c r="G756" s="2"/>
      <c r="H756" s="2"/>
      <c r="I756" s="2"/>
      <c r="J756" s="3"/>
      <c r="K756" s="3"/>
      <c r="L756" s="3"/>
      <c r="P756" s="1"/>
      <c r="U756" s="3"/>
    </row>
    <row r="757" spans="7:21">
      <c r="G757" s="2"/>
      <c r="H757" s="2"/>
      <c r="I757" s="2"/>
      <c r="J757" s="3"/>
      <c r="K757" s="3"/>
      <c r="L757" s="3"/>
      <c r="P757" s="1"/>
      <c r="U757" s="3"/>
    </row>
    <row r="758" spans="7:21">
      <c r="G758" s="2"/>
      <c r="H758" s="2"/>
      <c r="I758" s="2"/>
      <c r="J758" s="3"/>
      <c r="K758" s="3"/>
      <c r="L758" s="3"/>
      <c r="P758" s="1"/>
      <c r="U758" s="3"/>
    </row>
    <row r="759" spans="7:21">
      <c r="G759" s="2"/>
      <c r="H759" s="2"/>
      <c r="I759" s="2"/>
      <c r="J759" s="3"/>
      <c r="K759" s="3"/>
      <c r="L759" s="3"/>
      <c r="P759" s="1"/>
      <c r="U759" s="3"/>
    </row>
    <row r="760" spans="7:21">
      <c r="G760" s="2"/>
      <c r="H760" s="2"/>
      <c r="I760" s="2"/>
      <c r="J760" s="3"/>
      <c r="K760" s="3"/>
      <c r="L760" s="3"/>
      <c r="P760" s="1"/>
      <c r="U760" s="3"/>
    </row>
    <row r="761" spans="7:21">
      <c r="G761" s="2"/>
      <c r="H761" s="2"/>
      <c r="I761" s="2"/>
      <c r="J761" s="3"/>
      <c r="K761" s="3"/>
      <c r="L761" s="3"/>
      <c r="P761" s="1"/>
      <c r="U761" s="3"/>
    </row>
    <row r="762" spans="7:21">
      <c r="G762" s="2"/>
      <c r="H762" s="2"/>
      <c r="I762" s="2"/>
      <c r="J762" s="3"/>
      <c r="K762" s="3"/>
      <c r="L762" s="3"/>
      <c r="P762" s="1"/>
      <c r="U762" s="3"/>
    </row>
    <row r="763" spans="7:21">
      <c r="G763" s="2"/>
      <c r="H763" s="2"/>
      <c r="I763" s="2"/>
      <c r="J763" s="3"/>
      <c r="K763" s="3"/>
      <c r="L763" s="3"/>
      <c r="P763" s="1"/>
      <c r="U763" s="3"/>
    </row>
    <row r="764" spans="7:21">
      <c r="G764" s="2"/>
      <c r="H764" s="2"/>
      <c r="I764" s="2"/>
      <c r="J764" s="3"/>
      <c r="K764" s="3"/>
      <c r="L764" s="3"/>
      <c r="P764" s="1"/>
      <c r="U764" s="3"/>
    </row>
    <row r="765" spans="7:21">
      <c r="G765" s="2"/>
      <c r="H765" s="2"/>
      <c r="I765" s="2"/>
      <c r="J765" s="3"/>
      <c r="K765" s="3"/>
      <c r="L765" s="3"/>
      <c r="P765" s="1"/>
      <c r="U765" s="3"/>
    </row>
    <row r="766" spans="7:21">
      <c r="G766" s="2"/>
      <c r="H766" s="2"/>
      <c r="I766" s="2"/>
      <c r="J766" s="3"/>
      <c r="K766" s="3"/>
      <c r="L766" s="3"/>
      <c r="P766" s="1"/>
      <c r="U766" s="3"/>
    </row>
    <row r="767" spans="7:21">
      <c r="G767" s="2"/>
      <c r="H767" s="2"/>
      <c r="I767" s="2"/>
      <c r="J767" s="3"/>
      <c r="K767" s="3"/>
      <c r="L767" s="3"/>
      <c r="P767" s="1"/>
      <c r="U767" s="3"/>
    </row>
    <row r="768" spans="7:21">
      <c r="G768" s="2"/>
      <c r="H768" s="2"/>
      <c r="I768" s="2"/>
      <c r="J768" s="3"/>
      <c r="K768" s="3"/>
      <c r="L768" s="3"/>
      <c r="P768" s="1"/>
      <c r="U768" s="3"/>
    </row>
    <row r="769" spans="7:21">
      <c r="G769" s="2"/>
      <c r="H769" s="2"/>
      <c r="I769" s="2"/>
      <c r="J769" s="3"/>
      <c r="K769" s="3"/>
      <c r="L769" s="3"/>
      <c r="P769" s="1"/>
      <c r="U769" s="3"/>
    </row>
    <row r="770" spans="7:21">
      <c r="G770" s="2"/>
      <c r="H770" s="2"/>
      <c r="I770" s="2"/>
      <c r="J770" s="3"/>
      <c r="K770" s="3"/>
      <c r="L770" s="3"/>
      <c r="P770" s="1"/>
      <c r="U770" s="3"/>
    </row>
    <row r="771" spans="7:21">
      <c r="G771" s="2"/>
      <c r="H771" s="2"/>
      <c r="I771" s="2"/>
      <c r="J771" s="3"/>
      <c r="K771" s="3"/>
      <c r="L771" s="3"/>
      <c r="P771" s="1"/>
      <c r="U771" s="3"/>
    </row>
    <row r="772" spans="7:21">
      <c r="G772" s="2"/>
      <c r="H772" s="2"/>
      <c r="I772" s="2"/>
      <c r="J772" s="3"/>
      <c r="K772" s="3"/>
      <c r="L772" s="3"/>
      <c r="P772" s="1"/>
      <c r="U772" s="3"/>
    </row>
    <row r="773" spans="7:21">
      <c r="G773" s="2"/>
      <c r="H773" s="2"/>
      <c r="I773" s="2"/>
      <c r="J773" s="3"/>
      <c r="K773" s="3"/>
      <c r="L773" s="3"/>
      <c r="P773" s="1"/>
      <c r="U773" s="3"/>
    </row>
    <row r="774" spans="7:21">
      <c r="G774" s="2"/>
      <c r="H774" s="2"/>
      <c r="I774" s="2"/>
      <c r="J774" s="3"/>
      <c r="K774" s="3"/>
      <c r="L774" s="3"/>
      <c r="P774" s="1"/>
      <c r="U774" s="3"/>
    </row>
    <row r="775" spans="7:21">
      <c r="G775" s="2"/>
      <c r="H775" s="2"/>
      <c r="I775" s="2"/>
      <c r="J775" s="3"/>
      <c r="K775" s="3"/>
      <c r="L775" s="3"/>
      <c r="P775" s="1"/>
      <c r="U775" s="3"/>
    </row>
    <row r="776" spans="7:21">
      <c r="G776" s="2"/>
      <c r="H776" s="2"/>
      <c r="I776" s="2"/>
      <c r="J776" s="3"/>
      <c r="K776" s="3"/>
      <c r="L776" s="3"/>
      <c r="P776" s="1"/>
      <c r="U776" s="3"/>
    </row>
    <row r="777" spans="7:21">
      <c r="G777" s="2"/>
      <c r="H777" s="2"/>
      <c r="I777" s="2"/>
      <c r="J777" s="3"/>
      <c r="K777" s="3"/>
      <c r="L777" s="3"/>
      <c r="P777" s="1"/>
      <c r="U777" s="3"/>
    </row>
    <row r="778" spans="7:21">
      <c r="G778" s="2"/>
      <c r="H778" s="2"/>
      <c r="I778" s="2"/>
      <c r="J778" s="3"/>
      <c r="K778" s="3"/>
      <c r="L778" s="3"/>
      <c r="P778" s="1"/>
      <c r="U778" s="3"/>
    </row>
    <row r="779" spans="7:21">
      <c r="G779" s="2"/>
      <c r="H779" s="2"/>
      <c r="I779" s="2"/>
      <c r="J779" s="3"/>
      <c r="K779" s="3"/>
      <c r="L779" s="3"/>
      <c r="P779" s="1"/>
      <c r="U779" s="3"/>
    </row>
    <row r="780" spans="7:21">
      <c r="G780" s="2"/>
      <c r="H780" s="2"/>
      <c r="I780" s="2"/>
      <c r="J780" s="3"/>
      <c r="K780" s="3"/>
      <c r="L780" s="3"/>
      <c r="P780" s="1"/>
      <c r="U780" s="3"/>
    </row>
    <row r="781" spans="7:21">
      <c r="G781" s="2"/>
      <c r="H781" s="2"/>
      <c r="I781" s="2"/>
      <c r="J781" s="3"/>
      <c r="K781" s="3"/>
      <c r="L781" s="3"/>
      <c r="P781" s="1"/>
      <c r="U781" s="3"/>
    </row>
    <row r="782" spans="7:21">
      <c r="G782" s="2"/>
      <c r="H782" s="2"/>
      <c r="I782" s="2"/>
      <c r="J782" s="3"/>
      <c r="K782" s="3"/>
      <c r="L782" s="3"/>
      <c r="P782" s="1"/>
      <c r="U782" s="3"/>
    </row>
    <row r="783" spans="7:21">
      <c r="G783" s="2"/>
      <c r="H783" s="2"/>
      <c r="I783" s="2"/>
      <c r="J783" s="3"/>
      <c r="K783" s="3"/>
      <c r="L783" s="3"/>
      <c r="P783" s="1"/>
      <c r="U783" s="3"/>
    </row>
    <row r="784" spans="7:21">
      <c r="G784" s="2"/>
      <c r="H784" s="2"/>
      <c r="I784" s="2"/>
      <c r="J784" s="3"/>
      <c r="K784" s="3"/>
      <c r="L784" s="3"/>
      <c r="P784" s="1"/>
      <c r="U784" s="3"/>
    </row>
    <row r="785" spans="7:21">
      <c r="G785" s="2"/>
      <c r="H785" s="2"/>
      <c r="I785" s="2"/>
      <c r="J785" s="3"/>
      <c r="K785" s="3"/>
      <c r="L785" s="3"/>
      <c r="P785" s="1"/>
      <c r="U785" s="3"/>
    </row>
    <row r="786" spans="7:21">
      <c r="G786" s="2"/>
      <c r="H786" s="2"/>
      <c r="I786" s="2"/>
      <c r="J786" s="3"/>
      <c r="K786" s="3"/>
      <c r="L786" s="3"/>
      <c r="P786" s="1"/>
      <c r="U786" s="3"/>
    </row>
    <row r="787" spans="7:21">
      <c r="G787" s="2"/>
      <c r="H787" s="2"/>
      <c r="I787" s="2"/>
      <c r="J787" s="3"/>
      <c r="K787" s="3"/>
      <c r="L787" s="3"/>
      <c r="P787" s="1"/>
      <c r="U787" s="3"/>
    </row>
    <row r="788" spans="7:21">
      <c r="G788" s="2"/>
      <c r="H788" s="2"/>
      <c r="I788" s="2"/>
      <c r="J788" s="3"/>
      <c r="K788" s="3"/>
      <c r="L788" s="3"/>
      <c r="P788" s="1"/>
      <c r="U788" s="3"/>
    </row>
    <row r="789" spans="7:21">
      <c r="G789" s="2"/>
      <c r="H789" s="2"/>
      <c r="I789" s="2"/>
      <c r="J789" s="3"/>
      <c r="K789" s="3"/>
      <c r="L789" s="3"/>
      <c r="P789" s="1"/>
      <c r="U789" s="3"/>
    </row>
    <row r="790" spans="7:21">
      <c r="G790" s="2"/>
      <c r="H790" s="2"/>
      <c r="I790" s="2"/>
      <c r="J790" s="3"/>
      <c r="K790" s="3"/>
      <c r="L790" s="3"/>
      <c r="P790" s="1"/>
      <c r="U790" s="3"/>
    </row>
    <row r="791" spans="7:21">
      <c r="G791" s="2"/>
      <c r="H791" s="2"/>
      <c r="I791" s="2"/>
      <c r="J791" s="3"/>
      <c r="K791" s="3"/>
      <c r="L791" s="3"/>
      <c r="P791" s="1"/>
      <c r="U791" s="3"/>
    </row>
    <row r="792" spans="7:21">
      <c r="G792" s="2"/>
      <c r="H792" s="2"/>
      <c r="I792" s="2"/>
      <c r="J792" s="3"/>
      <c r="K792" s="3"/>
      <c r="L792" s="3"/>
      <c r="P792" s="1"/>
      <c r="U792" s="3"/>
    </row>
    <row r="793" spans="7:21">
      <c r="G793" s="2"/>
      <c r="H793" s="2"/>
      <c r="I793" s="2"/>
      <c r="J793" s="3"/>
      <c r="K793" s="3"/>
      <c r="L793" s="3"/>
      <c r="P793" s="1"/>
      <c r="U793" s="3"/>
    </row>
    <row r="794" spans="7:21">
      <c r="G794" s="2"/>
      <c r="H794" s="2"/>
      <c r="I794" s="2"/>
      <c r="J794" s="3"/>
      <c r="K794" s="3"/>
      <c r="L794" s="3"/>
      <c r="P794" s="1"/>
      <c r="U794" s="3"/>
    </row>
    <row r="795" spans="7:21">
      <c r="G795" s="2"/>
      <c r="H795" s="2"/>
      <c r="I795" s="2"/>
      <c r="J795" s="3"/>
      <c r="K795" s="3"/>
      <c r="L795" s="3"/>
      <c r="P795" s="1"/>
      <c r="U795" s="3"/>
    </row>
    <row r="796" spans="7:21">
      <c r="G796" s="2"/>
      <c r="H796" s="2"/>
      <c r="I796" s="2"/>
      <c r="J796" s="3"/>
      <c r="K796" s="3"/>
      <c r="L796" s="3"/>
      <c r="P796" s="1"/>
      <c r="U796" s="3"/>
    </row>
    <row r="797" spans="7:21">
      <c r="G797" s="2"/>
      <c r="H797" s="2"/>
      <c r="I797" s="2"/>
      <c r="J797" s="3"/>
      <c r="K797" s="3"/>
      <c r="L797" s="3"/>
      <c r="P797" s="1"/>
      <c r="U797" s="3"/>
    </row>
    <row r="798" spans="7:21">
      <c r="G798" s="2"/>
      <c r="H798" s="2"/>
      <c r="I798" s="2"/>
      <c r="J798" s="3"/>
      <c r="K798" s="3"/>
      <c r="L798" s="3"/>
      <c r="P798" s="1"/>
      <c r="U798" s="3"/>
    </row>
    <row r="799" spans="7:21">
      <c r="G799" s="2"/>
      <c r="H799" s="2"/>
      <c r="I799" s="2"/>
      <c r="J799" s="3"/>
      <c r="K799" s="3"/>
      <c r="L799" s="3"/>
      <c r="P799" s="1"/>
      <c r="U799" s="3"/>
    </row>
    <row r="800" spans="7:21">
      <c r="G800" s="2"/>
      <c r="H800" s="2"/>
      <c r="I800" s="2"/>
      <c r="J800" s="3"/>
      <c r="K800" s="3"/>
      <c r="L800" s="3"/>
      <c r="P800" s="1"/>
      <c r="U800" s="3"/>
    </row>
    <row r="801" spans="7:21">
      <c r="G801" s="2"/>
      <c r="H801" s="2"/>
      <c r="I801" s="2"/>
      <c r="J801" s="3"/>
      <c r="K801" s="3"/>
      <c r="L801" s="3"/>
      <c r="P801" s="1"/>
      <c r="U801" s="3"/>
    </row>
    <row r="802" spans="7:21">
      <c r="G802" s="2"/>
      <c r="H802" s="2"/>
      <c r="I802" s="2"/>
      <c r="J802" s="3"/>
      <c r="K802" s="3"/>
      <c r="L802" s="3"/>
      <c r="P802" s="1"/>
      <c r="U802" s="3"/>
    </row>
    <row r="803" spans="7:21">
      <c r="G803" s="2"/>
      <c r="H803" s="2"/>
      <c r="I803" s="2"/>
      <c r="J803" s="3"/>
      <c r="K803" s="3"/>
      <c r="L803" s="3"/>
      <c r="P803" s="1"/>
      <c r="U803" s="3"/>
    </row>
    <row r="804" spans="7:21">
      <c r="G804" s="2"/>
      <c r="H804" s="2"/>
      <c r="I804" s="2"/>
      <c r="J804" s="3"/>
      <c r="K804" s="3"/>
      <c r="L804" s="3"/>
      <c r="P804" s="1"/>
      <c r="U804" s="3"/>
    </row>
    <row r="805" spans="7:21">
      <c r="G805" s="2"/>
      <c r="H805" s="2"/>
      <c r="I805" s="2"/>
      <c r="J805" s="3"/>
      <c r="K805" s="3"/>
      <c r="L805" s="3"/>
      <c r="P805" s="1"/>
      <c r="U805" s="3"/>
    </row>
    <row r="806" spans="7:21">
      <c r="G806" s="2"/>
      <c r="H806" s="2"/>
      <c r="I806" s="2"/>
      <c r="J806" s="3"/>
      <c r="K806" s="3"/>
      <c r="L806" s="3"/>
      <c r="P806" s="1"/>
      <c r="U806" s="3"/>
    </row>
    <row r="807" spans="7:21">
      <c r="G807" s="2"/>
      <c r="H807" s="2"/>
      <c r="I807" s="2"/>
      <c r="J807" s="3"/>
      <c r="K807" s="3"/>
      <c r="L807" s="3"/>
      <c r="P807" s="1"/>
      <c r="U807" s="3"/>
    </row>
    <row r="808" spans="7:21">
      <c r="G808" s="2"/>
      <c r="H808" s="2"/>
      <c r="I808" s="2"/>
      <c r="J808" s="3"/>
      <c r="K808" s="3"/>
      <c r="L808" s="3"/>
      <c r="P808" s="1"/>
      <c r="U808" s="3"/>
    </row>
    <row r="809" spans="7:21">
      <c r="G809" s="2"/>
      <c r="H809" s="2"/>
      <c r="I809" s="2"/>
      <c r="J809" s="3"/>
      <c r="K809" s="3"/>
      <c r="L809" s="3"/>
      <c r="P809" s="1"/>
      <c r="U809" s="3"/>
    </row>
    <row r="810" spans="7:21">
      <c r="G810" s="2"/>
      <c r="H810" s="2"/>
      <c r="I810" s="2"/>
      <c r="J810" s="3"/>
      <c r="K810" s="3"/>
      <c r="L810" s="3"/>
      <c r="P810" s="1"/>
      <c r="U810" s="3"/>
    </row>
    <row r="811" spans="7:21">
      <c r="G811" s="2"/>
      <c r="H811" s="2"/>
      <c r="I811" s="2"/>
      <c r="J811" s="3"/>
      <c r="K811" s="3"/>
      <c r="L811" s="3"/>
      <c r="P811" s="1"/>
      <c r="U811" s="3"/>
    </row>
    <row r="812" spans="7:21">
      <c r="G812" s="2"/>
      <c r="H812" s="2"/>
      <c r="I812" s="2"/>
      <c r="J812" s="3"/>
      <c r="K812" s="3"/>
      <c r="L812" s="3"/>
      <c r="P812" s="1"/>
      <c r="U812" s="3"/>
    </row>
    <row r="813" spans="7:21">
      <c r="G813" s="2"/>
      <c r="H813" s="2"/>
      <c r="I813" s="2"/>
      <c r="J813" s="3"/>
      <c r="K813" s="3"/>
      <c r="L813" s="3"/>
      <c r="P813" s="1"/>
      <c r="U813" s="3"/>
    </row>
    <row r="814" spans="7:21">
      <c r="G814" s="2"/>
      <c r="H814" s="2"/>
      <c r="I814" s="2"/>
      <c r="J814" s="3"/>
      <c r="K814" s="3"/>
      <c r="L814" s="3"/>
      <c r="P814" s="1"/>
      <c r="U814" s="3"/>
    </row>
    <row r="815" spans="7:21">
      <c r="G815" s="2"/>
      <c r="H815" s="2"/>
      <c r="I815" s="2"/>
      <c r="J815" s="3"/>
      <c r="K815" s="3"/>
      <c r="L815" s="3"/>
      <c r="P815" s="1"/>
      <c r="U815" s="3"/>
    </row>
    <row r="816" spans="7:21">
      <c r="G816" s="2"/>
      <c r="H816" s="2"/>
      <c r="I816" s="2"/>
      <c r="J816" s="3"/>
      <c r="K816" s="3"/>
      <c r="L816" s="3"/>
      <c r="P816" s="1"/>
      <c r="U816" s="3"/>
    </row>
    <row r="817" spans="7:21">
      <c r="G817" s="2"/>
      <c r="H817" s="2"/>
      <c r="I817" s="2"/>
      <c r="J817" s="3"/>
      <c r="K817" s="3"/>
      <c r="L817" s="3"/>
      <c r="P817" s="1"/>
      <c r="U817" s="3"/>
    </row>
    <row r="818" spans="7:21">
      <c r="G818" s="2"/>
      <c r="H818" s="2"/>
      <c r="I818" s="2"/>
      <c r="J818" s="3"/>
      <c r="K818" s="3"/>
      <c r="L818" s="3"/>
      <c r="P818" s="1"/>
      <c r="U818" s="3"/>
    </row>
    <row r="819" spans="7:21">
      <c r="G819" s="2"/>
      <c r="H819" s="2"/>
      <c r="I819" s="2"/>
      <c r="J819" s="3"/>
      <c r="K819" s="3"/>
      <c r="L819" s="3"/>
      <c r="P819" s="1"/>
      <c r="U819" s="3"/>
    </row>
    <row r="820" spans="7:21">
      <c r="G820" s="2"/>
      <c r="H820" s="2"/>
      <c r="I820" s="2"/>
      <c r="J820" s="3"/>
      <c r="K820" s="3"/>
      <c r="L820" s="3"/>
      <c r="P820" s="1"/>
      <c r="U820" s="3"/>
    </row>
    <row r="821" spans="7:21">
      <c r="G821" s="2"/>
      <c r="H821" s="2"/>
      <c r="I821" s="2"/>
      <c r="J821" s="3"/>
      <c r="K821" s="3"/>
      <c r="L821" s="3"/>
      <c r="P821" s="1"/>
      <c r="U821" s="3"/>
    </row>
    <row r="822" spans="7:21">
      <c r="G822" s="2"/>
      <c r="H822" s="2"/>
      <c r="I822" s="2"/>
      <c r="J822" s="3"/>
      <c r="K822" s="3"/>
      <c r="L822" s="3"/>
      <c r="P822" s="1"/>
      <c r="U822" s="3"/>
    </row>
    <row r="823" spans="7:21">
      <c r="G823" s="2"/>
      <c r="H823" s="2"/>
      <c r="I823" s="2"/>
      <c r="J823" s="3"/>
      <c r="K823" s="3"/>
      <c r="L823" s="3"/>
      <c r="P823" s="1"/>
      <c r="U823" s="3"/>
    </row>
    <row r="824" spans="7:21">
      <c r="G824" s="2"/>
      <c r="H824" s="2"/>
      <c r="I824" s="2"/>
      <c r="J824" s="3"/>
      <c r="K824" s="3"/>
      <c r="L824" s="3"/>
      <c r="P824" s="1"/>
      <c r="U824" s="3"/>
    </row>
    <row r="825" spans="7:21">
      <c r="G825" s="2"/>
      <c r="H825" s="2"/>
      <c r="I825" s="2"/>
      <c r="J825" s="3"/>
      <c r="K825" s="3"/>
      <c r="L825" s="3"/>
      <c r="P825" s="1"/>
      <c r="U825" s="3"/>
    </row>
    <row r="826" spans="7:21">
      <c r="G826" s="2"/>
      <c r="H826" s="2"/>
      <c r="I826" s="2"/>
      <c r="J826" s="3"/>
      <c r="K826" s="3"/>
      <c r="L826" s="3"/>
      <c r="P826" s="1"/>
      <c r="U826" s="3"/>
    </row>
    <row r="827" spans="7:21">
      <c r="G827" s="2"/>
      <c r="H827" s="2"/>
      <c r="I827" s="2"/>
      <c r="J827" s="3"/>
      <c r="K827" s="3"/>
      <c r="L827" s="3"/>
      <c r="P827" s="1"/>
      <c r="U827" s="3"/>
    </row>
    <row r="828" spans="7:21">
      <c r="G828" s="2"/>
      <c r="H828" s="2"/>
      <c r="I828" s="2"/>
      <c r="J828" s="3"/>
      <c r="K828" s="3"/>
      <c r="L828" s="3"/>
      <c r="P828" s="1"/>
      <c r="U828" s="3"/>
    </row>
    <row r="829" spans="7:21">
      <c r="G829" s="2"/>
      <c r="H829" s="2"/>
      <c r="I829" s="2"/>
      <c r="J829" s="3"/>
      <c r="K829" s="3"/>
      <c r="L829" s="3"/>
      <c r="P829" s="1"/>
      <c r="U829" s="3"/>
    </row>
    <row r="830" spans="7:21">
      <c r="G830" s="2"/>
      <c r="H830" s="2"/>
      <c r="I830" s="2"/>
      <c r="J830" s="3"/>
      <c r="K830" s="3"/>
      <c r="L830" s="3"/>
      <c r="P830" s="1"/>
      <c r="U830" s="3"/>
    </row>
    <row r="831" spans="7:21">
      <c r="G831" s="2"/>
      <c r="H831" s="2"/>
      <c r="I831" s="2"/>
      <c r="J831" s="3"/>
      <c r="K831" s="3"/>
      <c r="L831" s="3"/>
      <c r="P831" s="1"/>
      <c r="U831" s="3"/>
    </row>
    <row r="832" spans="7:21">
      <c r="G832" s="2"/>
      <c r="H832" s="2"/>
      <c r="I832" s="2"/>
      <c r="J832" s="3"/>
      <c r="K832" s="3"/>
      <c r="L832" s="3"/>
      <c r="P832" s="1"/>
      <c r="U832" s="3"/>
    </row>
    <row r="833" spans="7:21">
      <c r="G833" s="2"/>
      <c r="H833" s="2"/>
      <c r="I833" s="2"/>
      <c r="J833" s="3"/>
      <c r="K833" s="3"/>
      <c r="L833" s="3"/>
      <c r="P833" s="1"/>
      <c r="U833" s="3"/>
    </row>
    <row r="834" spans="7:21">
      <c r="G834" s="2"/>
      <c r="H834" s="2"/>
      <c r="I834" s="2"/>
      <c r="J834" s="3"/>
      <c r="K834" s="3"/>
      <c r="L834" s="3"/>
      <c r="P834" s="1"/>
      <c r="U834" s="3"/>
    </row>
    <row r="835" spans="7:21">
      <c r="G835" s="2"/>
      <c r="H835" s="2"/>
      <c r="I835" s="2"/>
      <c r="J835" s="3"/>
      <c r="K835" s="3"/>
      <c r="L835" s="3"/>
      <c r="P835" s="1"/>
      <c r="U835" s="3"/>
    </row>
    <row r="836" spans="7:21">
      <c r="G836" s="2"/>
      <c r="H836" s="2"/>
      <c r="I836" s="2"/>
      <c r="J836" s="3"/>
      <c r="K836" s="3"/>
      <c r="L836" s="3"/>
      <c r="P836" s="1"/>
      <c r="U836" s="3"/>
    </row>
    <row r="837" spans="7:21">
      <c r="G837" s="2"/>
      <c r="H837" s="2"/>
      <c r="I837" s="2"/>
      <c r="J837" s="3"/>
      <c r="K837" s="3"/>
      <c r="L837" s="3"/>
      <c r="P837" s="1"/>
      <c r="U837" s="3"/>
    </row>
    <row r="838" spans="7:21">
      <c r="G838" s="2"/>
      <c r="H838" s="2"/>
      <c r="I838" s="2"/>
      <c r="J838" s="3"/>
      <c r="K838" s="3"/>
      <c r="L838" s="3"/>
      <c r="P838" s="1"/>
      <c r="U838" s="3"/>
    </row>
    <row r="839" spans="7:21">
      <c r="G839" s="2"/>
      <c r="H839" s="2"/>
      <c r="I839" s="2"/>
      <c r="J839" s="3"/>
      <c r="K839" s="3"/>
      <c r="L839" s="3"/>
      <c r="P839" s="1"/>
      <c r="U839" s="3"/>
    </row>
    <row r="840" spans="7:21">
      <c r="G840" s="2"/>
      <c r="H840" s="2"/>
      <c r="I840" s="2"/>
      <c r="J840" s="3"/>
      <c r="K840" s="3"/>
      <c r="L840" s="3"/>
      <c r="P840" s="1"/>
      <c r="U840" s="3"/>
    </row>
    <row r="841" spans="7:21">
      <c r="G841" s="2"/>
      <c r="H841" s="2"/>
      <c r="I841" s="2"/>
      <c r="J841" s="3"/>
      <c r="K841" s="3"/>
      <c r="L841" s="3"/>
      <c r="P841" s="1"/>
      <c r="U841" s="3"/>
    </row>
    <row r="842" spans="7:21">
      <c r="G842" s="2"/>
      <c r="H842" s="2"/>
      <c r="I842" s="2"/>
      <c r="J842" s="3"/>
      <c r="K842" s="3"/>
      <c r="L842" s="3"/>
      <c r="P842" s="1"/>
      <c r="U842" s="3"/>
    </row>
    <row r="843" spans="7:21">
      <c r="G843" s="2"/>
      <c r="H843" s="2"/>
      <c r="I843" s="2"/>
      <c r="J843" s="3"/>
      <c r="K843" s="3"/>
      <c r="L843" s="3"/>
      <c r="P843" s="1"/>
      <c r="U843" s="3"/>
    </row>
    <row r="844" spans="7:21">
      <c r="G844" s="2"/>
      <c r="H844" s="2"/>
      <c r="I844" s="2"/>
      <c r="J844" s="3"/>
      <c r="K844" s="3"/>
      <c r="L844" s="3"/>
      <c r="P844" s="1"/>
      <c r="U844" s="3"/>
    </row>
    <row r="845" spans="7:21">
      <c r="G845" s="2"/>
      <c r="H845" s="2"/>
      <c r="I845" s="2"/>
      <c r="J845" s="3"/>
      <c r="K845" s="3"/>
      <c r="L845" s="3"/>
      <c r="P845" s="1"/>
      <c r="U845" s="3"/>
    </row>
    <row r="846" spans="7:21">
      <c r="G846" s="2"/>
      <c r="H846" s="2"/>
      <c r="I846" s="2"/>
      <c r="J846" s="3"/>
      <c r="K846" s="3"/>
      <c r="L846" s="3"/>
      <c r="P846" s="1"/>
      <c r="U846" s="3"/>
    </row>
    <row r="847" spans="7:21">
      <c r="G847" s="2"/>
      <c r="H847" s="2"/>
      <c r="I847" s="2"/>
      <c r="J847" s="3"/>
      <c r="K847" s="3"/>
      <c r="L847" s="3"/>
      <c r="P847" s="1"/>
      <c r="U847" s="3"/>
    </row>
    <row r="848" spans="7:21">
      <c r="G848" s="2"/>
      <c r="H848" s="2"/>
      <c r="I848" s="2"/>
      <c r="J848" s="3"/>
      <c r="K848" s="3"/>
      <c r="L848" s="3"/>
      <c r="P848" s="1"/>
      <c r="U848" s="3"/>
    </row>
    <row r="849" spans="7:21">
      <c r="G849" s="2"/>
      <c r="H849" s="2"/>
      <c r="I849" s="2"/>
      <c r="J849" s="3"/>
      <c r="K849" s="3"/>
      <c r="L849" s="3"/>
      <c r="P849" s="1"/>
      <c r="U849" s="3"/>
    </row>
    <row r="850" spans="7:21">
      <c r="G850" s="2"/>
      <c r="H850" s="2"/>
      <c r="I850" s="2"/>
      <c r="J850" s="3"/>
      <c r="K850" s="3"/>
      <c r="L850" s="3"/>
      <c r="P850" s="1"/>
      <c r="U850" s="3"/>
    </row>
    <row r="851" spans="7:21">
      <c r="G851" s="2"/>
      <c r="H851" s="2"/>
      <c r="I851" s="2"/>
      <c r="J851" s="3"/>
      <c r="K851" s="3"/>
      <c r="L851" s="3"/>
      <c r="P851" s="1"/>
      <c r="U851" s="3"/>
    </row>
    <row r="852" spans="7:21">
      <c r="G852" s="2"/>
      <c r="H852" s="2"/>
      <c r="I852" s="2"/>
      <c r="J852" s="3"/>
      <c r="K852" s="3"/>
      <c r="L852" s="3"/>
      <c r="P852" s="1"/>
      <c r="U852" s="3"/>
    </row>
    <row r="853" spans="7:21">
      <c r="G853" s="2"/>
      <c r="H853" s="2"/>
      <c r="I853" s="2"/>
      <c r="J853" s="3"/>
      <c r="K853" s="3"/>
      <c r="L853" s="3"/>
      <c r="P853" s="1"/>
      <c r="U853" s="3"/>
    </row>
    <row r="854" spans="7:21">
      <c r="G854" s="2"/>
      <c r="H854" s="2"/>
      <c r="I854" s="2"/>
      <c r="J854" s="3"/>
      <c r="K854" s="3"/>
      <c r="L854" s="3"/>
      <c r="P854" s="1"/>
      <c r="U854" s="3"/>
    </row>
    <row r="855" spans="7:21">
      <c r="G855" s="2"/>
      <c r="H855" s="2"/>
      <c r="I855" s="2"/>
      <c r="J855" s="3"/>
      <c r="K855" s="3"/>
      <c r="L855" s="3"/>
      <c r="P855" s="1"/>
      <c r="U855" s="3"/>
    </row>
    <row r="856" spans="7:21">
      <c r="G856" s="2"/>
      <c r="H856" s="2"/>
      <c r="I856" s="2"/>
      <c r="J856" s="3"/>
      <c r="K856" s="3"/>
      <c r="L856" s="3"/>
      <c r="P856" s="1"/>
      <c r="U856" s="3"/>
    </row>
    <row r="857" spans="7:21">
      <c r="G857" s="2"/>
      <c r="H857" s="2"/>
      <c r="I857" s="2"/>
      <c r="J857" s="3"/>
      <c r="K857" s="3"/>
      <c r="L857" s="3"/>
      <c r="P857" s="1"/>
      <c r="U857" s="3"/>
    </row>
    <row r="858" spans="7:21">
      <c r="G858" s="2"/>
      <c r="H858" s="2"/>
      <c r="I858" s="2"/>
      <c r="J858" s="3"/>
      <c r="K858" s="3"/>
      <c r="L858" s="3"/>
      <c r="P858" s="1"/>
      <c r="U858" s="3"/>
    </row>
    <row r="859" spans="7:21">
      <c r="G859" s="2"/>
      <c r="H859" s="2"/>
      <c r="I859" s="2"/>
      <c r="J859" s="3"/>
      <c r="K859" s="3"/>
      <c r="L859" s="3"/>
      <c r="P859" s="1"/>
      <c r="U859" s="3"/>
    </row>
    <row r="860" spans="7:21">
      <c r="G860" s="2"/>
      <c r="H860" s="2"/>
      <c r="I860" s="2"/>
      <c r="J860" s="3"/>
      <c r="K860" s="3"/>
      <c r="L860" s="3"/>
      <c r="P860" s="1"/>
      <c r="U860" s="3"/>
    </row>
    <row r="861" spans="7:21">
      <c r="G861" s="2"/>
      <c r="H861" s="2"/>
      <c r="I861" s="2"/>
      <c r="J861" s="3"/>
      <c r="K861" s="3"/>
      <c r="L861" s="3"/>
      <c r="P861" s="1"/>
      <c r="U861" s="3"/>
    </row>
    <row r="862" spans="7:21">
      <c r="G862" s="2"/>
      <c r="H862" s="2"/>
      <c r="I862" s="2"/>
      <c r="J862" s="3"/>
      <c r="K862" s="3"/>
      <c r="L862" s="3"/>
      <c r="P862" s="1"/>
      <c r="U862" s="3"/>
    </row>
    <row r="863" spans="7:21">
      <c r="G863" s="2"/>
      <c r="H863" s="2"/>
      <c r="I863" s="2"/>
      <c r="J863" s="3"/>
      <c r="K863" s="3"/>
      <c r="L863" s="3"/>
      <c r="P863" s="1"/>
      <c r="U863" s="3"/>
    </row>
    <row r="864" spans="7:21">
      <c r="G864" s="2"/>
      <c r="H864" s="2"/>
      <c r="I864" s="2"/>
      <c r="J864" s="3"/>
      <c r="K864" s="3"/>
      <c r="L864" s="3"/>
      <c r="P864" s="1"/>
      <c r="U864" s="3"/>
    </row>
    <row r="865" spans="7:21">
      <c r="G865" s="2"/>
      <c r="H865" s="2"/>
      <c r="I865" s="2"/>
      <c r="J865" s="3"/>
      <c r="K865" s="3"/>
      <c r="L865" s="3"/>
      <c r="P865" s="1"/>
      <c r="U865" s="3"/>
    </row>
    <row r="866" spans="7:21">
      <c r="G866" s="2"/>
      <c r="H866" s="2"/>
      <c r="I866" s="2"/>
      <c r="J866" s="3"/>
      <c r="K866" s="3"/>
      <c r="L866" s="3"/>
      <c r="P866" s="1"/>
      <c r="U866" s="3"/>
    </row>
    <row r="867" spans="7:21">
      <c r="G867" s="2"/>
      <c r="H867" s="2"/>
      <c r="I867" s="2"/>
      <c r="J867" s="3"/>
      <c r="K867" s="3"/>
      <c r="L867" s="3"/>
      <c r="P867" s="1"/>
      <c r="U867" s="3"/>
    </row>
    <row r="868" spans="7:21">
      <c r="G868" s="2"/>
      <c r="H868" s="2"/>
      <c r="I868" s="2"/>
      <c r="J868" s="3"/>
      <c r="K868" s="3"/>
      <c r="L868" s="3"/>
      <c r="P868" s="1"/>
      <c r="U868" s="3"/>
    </row>
    <row r="869" spans="7:21">
      <c r="G869" s="2"/>
      <c r="H869" s="2"/>
      <c r="I869" s="2"/>
      <c r="J869" s="3"/>
      <c r="K869" s="3"/>
      <c r="L869" s="3"/>
      <c r="P869" s="1"/>
      <c r="U869" s="3"/>
    </row>
    <row r="870" spans="7:21">
      <c r="G870" s="2"/>
      <c r="H870" s="2"/>
      <c r="I870" s="2"/>
      <c r="J870" s="3"/>
      <c r="K870" s="3"/>
      <c r="L870" s="3"/>
      <c r="P870" s="1"/>
      <c r="U870" s="3"/>
    </row>
    <row r="871" spans="7:21">
      <c r="G871" s="2"/>
      <c r="H871" s="2"/>
      <c r="I871" s="2"/>
      <c r="J871" s="3"/>
      <c r="K871" s="3"/>
      <c r="L871" s="3"/>
      <c r="P871" s="1"/>
      <c r="U871" s="3"/>
    </row>
    <row r="872" spans="7:21">
      <c r="G872" s="2"/>
      <c r="H872" s="2"/>
      <c r="I872" s="2"/>
      <c r="J872" s="3"/>
      <c r="K872" s="3"/>
      <c r="L872" s="3"/>
      <c r="P872" s="1"/>
      <c r="U872" s="3"/>
    </row>
    <row r="873" spans="7:21">
      <c r="G873" s="2"/>
      <c r="H873" s="2"/>
      <c r="I873" s="2"/>
      <c r="J873" s="3"/>
      <c r="K873" s="3"/>
      <c r="L873" s="3"/>
      <c r="P873" s="1"/>
      <c r="U873" s="3"/>
    </row>
    <row r="874" spans="7:21">
      <c r="G874" s="2"/>
      <c r="H874" s="2"/>
      <c r="I874" s="2"/>
      <c r="J874" s="3"/>
      <c r="K874" s="3"/>
      <c r="L874" s="3"/>
      <c r="P874" s="1"/>
      <c r="U874" s="3"/>
    </row>
    <row r="875" spans="7:21">
      <c r="G875" s="2"/>
      <c r="H875" s="2"/>
      <c r="I875" s="2"/>
      <c r="J875" s="3"/>
      <c r="K875" s="3"/>
      <c r="L875" s="3"/>
      <c r="P875" s="1"/>
      <c r="U875" s="3"/>
    </row>
    <row r="876" spans="7:21">
      <c r="G876" s="2"/>
      <c r="H876" s="2"/>
      <c r="I876" s="2"/>
      <c r="J876" s="3"/>
      <c r="K876" s="3"/>
      <c r="L876" s="3"/>
      <c r="P876" s="1"/>
      <c r="U876" s="3"/>
    </row>
    <row r="877" spans="7:21">
      <c r="G877" s="2"/>
      <c r="H877" s="2"/>
      <c r="I877" s="2"/>
      <c r="J877" s="3"/>
      <c r="K877" s="3"/>
      <c r="L877" s="3"/>
      <c r="P877" s="1"/>
      <c r="U877" s="3"/>
    </row>
    <row r="878" spans="7:21">
      <c r="G878" s="2"/>
      <c r="H878" s="2"/>
      <c r="I878" s="2"/>
      <c r="J878" s="3"/>
      <c r="K878" s="3"/>
      <c r="L878" s="3"/>
      <c r="P878" s="1"/>
      <c r="U878" s="3"/>
    </row>
    <row r="879" spans="7:21">
      <c r="G879" s="2"/>
      <c r="H879" s="2"/>
      <c r="I879" s="2"/>
      <c r="J879" s="3"/>
      <c r="K879" s="3"/>
      <c r="L879" s="3"/>
      <c r="P879" s="1"/>
      <c r="U879" s="3"/>
    </row>
    <row r="880" spans="7:21">
      <c r="G880" s="2"/>
      <c r="H880" s="2"/>
      <c r="I880" s="2"/>
      <c r="J880" s="3"/>
      <c r="K880" s="3"/>
      <c r="L880" s="3"/>
      <c r="P880" s="1"/>
      <c r="U880" s="3"/>
    </row>
    <row r="881" spans="7:21">
      <c r="G881" s="2"/>
      <c r="H881" s="2"/>
      <c r="I881" s="2"/>
      <c r="J881" s="3"/>
      <c r="K881" s="3"/>
      <c r="L881" s="3"/>
      <c r="P881" s="1"/>
      <c r="U881" s="3"/>
    </row>
    <row r="882" spans="7:21">
      <c r="G882" s="2"/>
      <c r="H882" s="2"/>
      <c r="I882" s="2"/>
      <c r="J882" s="3"/>
      <c r="K882" s="3"/>
      <c r="L882" s="3"/>
      <c r="P882" s="1"/>
      <c r="U882" s="3"/>
    </row>
    <row r="883" spans="7:21">
      <c r="G883" s="2"/>
      <c r="H883" s="2"/>
      <c r="I883" s="2"/>
      <c r="J883" s="3"/>
      <c r="K883" s="3"/>
      <c r="L883" s="3"/>
      <c r="P883" s="1"/>
      <c r="U883" s="3"/>
    </row>
    <row r="884" spans="7:21">
      <c r="G884" s="2"/>
      <c r="H884" s="2"/>
      <c r="I884" s="2"/>
      <c r="J884" s="3"/>
      <c r="K884" s="3"/>
      <c r="L884" s="3"/>
      <c r="P884" s="1"/>
      <c r="U884" s="3"/>
    </row>
    <row r="885" spans="7:21">
      <c r="G885" s="2"/>
      <c r="H885" s="2"/>
      <c r="I885" s="2"/>
      <c r="J885" s="3"/>
      <c r="K885" s="3"/>
      <c r="L885" s="3"/>
      <c r="P885" s="1"/>
      <c r="U885" s="3"/>
    </row>
    <row r="886" spans="7:21">
      <c r="G886" s="2"/>
      <c r="H886" s="2"/>
      <c r="I886" s="2"/>
      <c r="J886" s="3"/>
      <c r="K886" s="3"/>
      <c r="L886" s="3"/>
      <c r="P886" s="1"/>
      <c r="U886" s="3"/>
    </row>
    <row r="887" spans="7:21">
      <c r="G887" s="2"/>
      <c r="H887" s="2"/>
      <c r="I887" s="2"/>
      <c r="J887" s="3"/>
      <c r="K887" s="3"/>
      <c r="L887" s="3"/>
      <c r="P887" s="1"/>
      <c r="U887" s="3"/>
    </row>
    <row r="888" spans="7:21">
      <c r="G888" s="2"/>
      <c r="H888" s="2"/>
      <c r="I888" s="2"/>
      <c r="J888" s="3"/>
      <c r="K888" s="3"/>
      <c r="L888" s="3"/>
      <c r="P888" s="1"/>
      <c r="U888" s="3"/>
    </row>
    <row r="889" spans="7:21">
      <c r="G889" s="2"/>
      <c r="H889" s="2"/>
      <c r="I889" s="2"/>
      <c r="J889" s="3"/>
      <c r="K889" s="3"/>
      <c r="L889" s="3"/>
      <c r="P889" s="1"/>
      <c r="U889" s="3"/>
    </row>
    <row r="890" spans="7:21">
      <c r="G890" s="2"/>
      <c r="H890" s="2"/>
      <c r="I890" s="2"/>
      <c r="J890" s="3"/>
      <c r="K890" s="3"/>
      <c r="L890" s="3"/>
      <c r="P890" s="1"/>
      <c r="U890" s="3"/>
    </row>
    <row r="891" spans="7:21">
      <c r="G891" s="2"/>
      <c r="H891" s="2"/>
      <c r="I891" s="2"/>
      <c r="J891" s="3"/>
      <c r="K891" s="3"/>
      <c r="L891" s="3"/>
      <c r="P891" s="1"/>
      <c r="U891" s="3"/>
    </row>
    <row r="892" spans="7:21">
      <c r="G892" s="2"/>
      <c r="H892" s="2"/>
      <c r="I892" s="2"/>
      <c r="J892" s="3"/>
      <c r="K892" s="3"/>
      <c r="L892" s="3"/>
      <c r="P892" s="1"/>
      <c r="U892" s="3"/>
    </row>
    <row r="893" spans="7:21">
      <c r="G893" s="2"/>
      <c r="H893" s="2"/>
      <c r="I893" s="2"/>
      <c r="J893" s="3"/>
      <c r="K893" s="3"/>
      <c r="L893" s="3"/>
      <c r="P893" s="1"/>
      <c r="U893" s="3"/>
    </row>
    <row r="894" spans="7:21">
      <c r="G894" s="2"/>
      <c r="H894" s="2"/>
      <c r="I894" s="2"/>
      <c r="J894" s="3"/>
      <c r="K894" s="3"/>
      <c r="L894" s="3"/>
      <c r="P894" s="1"/>
      <c r="U894" s="3"/>
    </row>
    <row r="895" spans="7:21">
      <c r="G895" s="2"/>
      <c r="H895" s="2"/>
      <c r="I895" s="2"/>
      <c r="J895" s="3"/>
      <c r="K895" s="3"/>
      <c r="L895" s="3"/>
      <c r="P895" s="1"/>
      <c r="U895" s="3"/>
    </row>
    <row r="896" spans="7:21">
      <c r="G896" s="2"/>
      <c r="H896" s="2"/>
      <c r="I896" s="2"/>
      <c r="J896" s="3"/>
      <c r="K896" s="3"/>
      <c r="L896" s="3"/>
      <c r="P896" s="1"/>
      <c r="U896" s="3"/>
    </row>
    <row r="897" spans="7:21">
      <c r="G897" s="2"/>
      <c r="H897" s="2"/>
      <c r="I897" s="2"/>
      <c r="J897" s="3"/>
      <c r="K897" s="3"/>
      <c r="L897" s="3"/>
      <c r="P897" s="1"/>
      <c r="U897" s="3"/>
    </row>
    <row r="898" spans="7:21">
      <c r="G898" s="2"/>
      <c r="H898" s="2"/>
      <c r="I898" s="2"/>
      <c r="J898" s="3"/>
      <c r="K898" s="3"/>
      <c r="L898" s="3"/>
      <c r="P898" s="1"/>
      <c r="U898" s="3"/>
    </row>
    <row r="899" spans="7:21">
      <c r="G899" s="2"/>
      <c r="H899" s="2"/>
      <c r="I899" s="2"/>
      <c r="J899" s="3"/>
      <c r="K899" s="3"/>
      <c r="L899" s="3"/>
      <c r="P899" s="1"/>
      <c r="U899" s="3"/>
    </row>
    <row r="900" spans="7:21">
      <c r="G900" s="2"/>
      <c r="H900" s="2"/>
      <c r="I900" s="2"/>
      <c r="J900" s="3"/>
      <c r="K900" s="3"/>
      <c r="L900" s="3"/>
      <c r="P900" s="1"/>
      <c r="U900" s="3"/>
    </row>
    <row r="901" spans="7:21">
      <c r="G901" s="2"/>
      <c r="H901" s="2"/>
      <c r="I901" s="2"/>
      <c r="J901" s="3"/>
      <c r="K901" s="3"/>
      <c r="L901" s="3"/>
      <c r="P901" s="1"/>
      <c r="U901" s="3"/>
    </row>
    <row r="902" spans="7:21">
      <c r="G902" s="2"/>
      <c r="H902" s="2"/>
      <c r="I902" s="2"/>
      <c r="J902" s="3"/>
      <c r="K902" s="3"/>
      <c r="L902" s="3"/>
      <c r="P902" s="1"/>
      <c r="U902" s="3"/>
    </row>
    <row r="903" spans="7:21">
      <c r="G903" s="2"/>
      <c r="H903" s="2"/>
      <c r="I903" s="2"/>
      <c r="J903" s="3"/>
      <c r="K903" s="3"/>
      <c r="L903" s="3"/>
      <c r="P903" s="1"/>
      <c r="U903" s="3"/>
    </row>
    <row r="904" spans="7:21">
      <c r="G904" s="2"/>
      <c r="H904" s="2"/>
      <c r="I904" s="2"/>
      <c r="J904" s="3"/>
      <c r="K904" s="3"/>
      <c r="L904" s="3"/>
      <c r="P904" s="1"/>
      <c r="U904" s="3"/>
    </row>
    <row r="905" spans="7:21">
      <c r="G905" s="2"/>
      <c r="H905" s="2"/>
      <c r="I905" s="2"/>
      <c r="J905" s="3"/>
      <c r="K905" s="3"/>
      <c r="L905" s="3"/>
      <c r="P905" s="1"/>
      <c r="U905" s="3"/>
    </row>
    <row r="906" spans="7:21">
      <c r="G906" s="2"/>
      <c r="H906" s="2"/>
      <c r="I906" s="2"/>
      <c r="J906" s="3"/>
      <c r="K906" s="3"/>
      <c r="L906" s="3"/>
      <c r="P906" s="1"/>
      <c r="U906" s="3"/>
    </row>
    <row r="907" spans="7:21">
      <c r="G907" s="2"/>
      <c r="H907" s="2"/>
      <c r="I907" s="2"/>
      <c r="J907" s="3"/>
      <c r="K907" s="3"/>
      <c r="L907" s="3"/>
      <c r="P907" s="1"/>
      <c r="U907" s="3"/>
    </row>
    <row r="908" spans="7:21">
      <c r="G908" s="2"/>
      <c r="H908" s="2"/>
      <c r="I908" s="2"/>
      <c r="J908" s="3"/>
      <c r="K908" s="3"/>
      <c r="L908" s="3"/>
      <c r="P908" s="1"/>
      <c r="U908" s="3"/>
    </row>
    <row r="909" spans="7:21">
      <c r="G909" s="2"/>
      <c r="H909" s="2"/>
      <c r="I909" s="2"/>
      <c r="J909" s="3"/>
      <c r="K909" s="3"/>
      <c r="L909" s="3"/>
      <c r="P909" s="1"/>
      <c r="U909" s="3"/>
    </row>
    <row r="910" spans="7:21">
      <c r="G910" s="2"/>
      <c r="H910" s="2"/>
      <c r="I910" s="2"/>
      <c r="J910" s="3"/>
      <c r="K910" s="3"/>
      <c r="L910" s="3"/>
      <c r="P910" s="1"/>
      <c r="U910" s="3"/>
    </row>
    <row r="911" spans="7:21">
      <c r="G911" s="2"/>
      <c r="H911" s="2"/>
      <c r="I911" s="2"/>
      <c r="J911" s="3"/>
      <c r="K911" s="3"/>
      <c r="L911" s="3"/>
      <c r="P911" s="1"/>
      <c r="U911" s="3"/>
    </row>
    <row r="912" spans="7:21">
      <c r="G912" s="2"/>
      <c r="H912" s="2"/>
      <c r="I912" s="2"/>
      <c r="J912" s="3"/>
      <c r="K912" s="3"/>
      <c r="L912" s="3"/>
      <c r="P912" s="1"/>
      <c r="U912" s="3"/>
    </row>
    <row r="913" spans="7:21">
      <c r="G913" s="2"/>
      <c r="H913" s="2"/>
      <c r="I913" s="2"/>
      <c r="J913" s="3"/>
      <c r="K913" s="3"/>
      <c r="L913" s="3"/>
      <c r="P913" s="1"/>
      <c r="U913" s="3"/>
    </row>
    <row r="914" spans="7:21">
      <c r="G914" s="2"/>
      <c r="H914" s="2"/>
      <c r="I914" s="2"/>
      <c r="J914" s="3"/>
      <c r="K914" s="3"/>
      <c r="L914" s="3"/>
      <c r="P914" s="1"/>
      <c r="U914" s="3"/>
    </row>
    <row r="915" spans="7:21">
      <c r="G915" s="2"/>
      <c r="H915" s="2"/>
      <c r="I915" s="2"/>
      <c r="J915" s="3"/>
      <c r="K915" s="3"/>
      <c r="L915" s="3"/>
      <c r="P915" s="1"/>
      <c r="U915" s="3"/>
    </row>
    <row r="916" spans="7:21">
      <c r="G916" s="2"/>
      <c r="H916" s="2"/>
      <c r="I916" s="2"/>
      <c r="J916" s="3"/>
      <c r="K916" s="3"/>
      <c r="L916" s="3"/>
      <c r="P916" s="1"/>
      <c r="U916" s="3"/>
    </row>
    <row r="917" spans="7:21">
      <c r="G917" s="2"/>
      <c r="H917" s="2"/>
      <c r="I917" s="2"/>
      <c r="J917" s="3"/>
      <c r="K917" s="3"/>
      <c r="L917" s="3"/>
      <c r="P917" s="1"/>
      <c r="U917" s="3"/>
    </row>
    <row r="918" spans="7:21">
      <c r="G918" s="2"/>
      <c r="H918" s="2"/>
      <c r="I918" s="2"/>
      <c r="J918" s="3"/>
      <c r="K918" s="3"/>
      <c r="L918" s="3"/>
      <c r="P918" s="1"/>
      <c r="U918" s="3"/>
    </row>
    <row r="919" spans="7:21">
      <c r="G919" s="2"/>
      <c r="H919" s="2"/>
      <c r="I919" s="2"/>
      <c r="J919" s="3"/>
      <c r="K919" s="3"/>
      <c r="L919" s="3"/>
      <c r="P919" s="1"/>
      <c r="U919" s="3"/>
    </row>
    <row r="920" spans="7:21">
      <c r="G920" s="2"/>
      <c r="H920" s="2"/>
      <c r="I920" s="2"/>
      <c r="J920" s="3"/>
      <c r="K920" s="3"/>
      <c r="L920" s="3"/>
      <c r="P920" s="1"/>
      <c r="U920" s="3"/>
    </row>
    <row r="921" spans="7:21">
      <c r="G921" s="2"/>
      <c r="H921" s="2"/>
      <c r="I921" s="2"/>
      <c r="J921" s="3"/>
      <c r="K921" s="3"/>
      <c r="L921" s="3"/>
      <c r="P921" s="1"/>
      <c r="U921" s="3"/>
    </row>
    <row r="922" spans="7:21">
      <c r="G922" s="2"/>
      <c r="H922" s="2"/>
      <c r="I922" s="2"/>
      <c r="J922" s="3"/>
      <c r="K922" s="3"/>
      <c r="L922" s="3"/>
      <c r="P922" s="1"/>
      <c r="U922" s="3"/>
    </row>
    <row r="923" spans="7:21">
      <c r="G923" s="2"/>
      <c r="H923" s="2"/>
      <c r="I923" s="2"/>
      <c r="J923" s="3"/>
      <c r="K923" s="3"/>
      <c r="L923" s="3"/>
      <c r="P923" s="1"/>
      <c r="U923" s="3"/>
    </row>
    <row r="924" spans="7:21">
      <c r="G924" s="2"/>
      <c r="H924" s="2"/>
      <c r="I924" s="2"/>
      <c r="J924" s="3"/>
      <c r="K924" s="3"/>
      <c r="L924" s="3"/>
      <c r="P924" s="1"/>
      <c r="U924" s="3"/>
    </row>
    <row r="925" spans="7:21">
      <c r="G925" s="2"/>
      <c r="H925" s="2"/>
      <c r="I925" s="2"/>
      <c r="J925" s="3"/>
      <c r="K925" s="3"/>
      <c r="L925" s="3"/>
      <c r="P925" s="1"/>
      <c r="U925" s="3"/>
    </row>
    <row r="926" spans="7:21">
      <c r="G926" s="2"/>
      <c r="H926" s="2"/>
      <c r="I926" s="2"/>
      <c r="J926" s="3"/>
      <c r="K926" s="3"/>
      <c r="L926" s="3"/>
      <c r="P926" s="1"/>
      <c r="U926" s="3"/>
    </row>
    <row r="927" spans="7:21">
      <c r="G927" s="2"/>
      <c r="H927" s="2"/>
      <c r="I927" s="2"/>
      <c r="J927" s="3"/>
      <c r="K927" s="3"/>
      <c r="L927" s="3"/>
      <c r="P927" s="1"/>
      <c r="U927" s="3"/>
    </row>
    <row r="928" spans="7:21">
      <c r="G928" s="2"/>
      <c r="H928" s="2"/>
      <c r="I928" s="2"/>
      <c r="J928" s="3"/>
      <c r="K928" s="3"/>
      <c r="L928" s="3"/>
      <c r="P928" s="1"/>
      <c r="U928" s="3"/>
    </row>
    <row r="929" spans="7:21">
      <c r="G929" s="2"/>
      <c r="H929" s="2"/>
      <c r="I929" s="2"/>
      <c r="J929" s="3"/>
      <c r="K929" s="3"/>
      <c r="L929" s="3"/>
      <c r="P929" s="1"/>
      <c r="U929" s="3"/>
    </row>
    <row r="930" spans="7:21">
      <c r="G930" s="2"/>
      <c r="H930" s="2"/>
      <c r="I930" s="2"/>
      <c r="J930" s="3"/>
      <c r="K930" s="3"/>
      <c r="L930" s="3"/>
      <c r="P930" s="1"/>
      <c r="U930" s="3"/>
    </row>
    <row r="931" spans="7:21">
      <c r="G931" s="2"/>
      <c r="H931" s="2"/>
      <c r="I931" s="2"/>
      <c r="J931" s="3"/>
      <c r="K931" s="3"/>
      <c r="L931" s="3"/>
      <c r="P931" s="1"/>
      <c r="U931" s="3"/>
    </row>
    <row r="932" spans="7:21">
      <c r="G932" s="2"/>
      <c r="H932" s="2"/>
      <c r="I932" s="2"/>
      <c r="J932" s="3"/>
      <c r="K932" s="3"/>
      <c r="L932" s="3"/>
      <c r="P932" s="1"/>
      <c r="U932" s="3"/>
    </row>
    <row r="933" spans="7:21">
      <c r="G933" s="2"/>
      <c r="H933" s="2"/>
      <c r="I933" s="2"/>
      <c r="J933" s="3"/>
      <c r="K933" s="3"/>
      <c r="L933" s="3"/>
      <c r="P933" s="1"/>
      <c r="U933" s="3"/>
    </row>
    <row r="934" spans="7:21">
      <c r="G934" s="2"/>
      <c r="H934" s="2"/>
      <c r="I934" s="2"/>
      <c r="J934" s="3"/>
      <c r="K934" s="3"/>
      <c r="L934" s="3"/>
      <c r="P934" s="1"/>
      <c r="U934" s="3"/>
    </row>
    <row r="935" spans="7:21">
      <c r="G935" s="2"/>
      <c r="H935" s="2"/>
      <c r="I935" s="2"/>
      <c r="J935" s="3"/>
      <c r="K935" s="3"/>
      <c r="L935" s="3"/>
      <c r="P935" s="1"/>
      <c r="U935" s="3"/>
    </row>
    <row r="936" spans="7:21">
      <c r="G936" s="2"/>
      <c r="H936" s="2"/>
      <c r="I936" s="2"/>
      <c r="J936" s="3"/>
      <c r="K936" s="3"/>
      <c r="L936" s="3"/>
      <c r="P936" s="1"/>
      <c r="U936" s="3"/>
    </row>
    <row r="937" spans="7:21">
      <c r="G937" s="2"/>
      <c r="H937" s="2"/>
      <c r="I937" s="2"/>
      <c r="J937" s="3"/>
      <c r="K937" s="3"/>
      <c r="L937" s="3"/>
      <c r="P937" s="1"/>
      <c r="U937" s="3"/>
    </row>
    <row r="938" spans="7:21">
      <c r="G938" s="2"/>
      <c r="H938" s="2"/>
      <c r="I938" s="2"/>
      <c r="J938" s="3"/>
      <c r="K938" s="3"/>
      <c r="L938" s="3"/>
      <c r="P938" s="1"/>
      <c r="U938" s="3"/>
    </row>
    <row r="939" spans="7:21">
      <c r="G939" s="2"/>
      <c r="H939" s="2"/>
      <c r="I939" s="2"/>
      <c r="J939" s="3"/>
      <c r="K939" s="3"/>
      <c r="L939" s="3"/>
      <c r="P939" s="1"/>
      <c r="U939" s="3"/>
    </row>
    <row r="940" spans="7:21">
      <c r="G940" s="2"/>
      <c r="H940" s="2"/>
      <c r="I940" s="2"/>
      <c r="J940" s="3"/>
      <c r="K940" s="3"/>
      <c r="L940" s="3"/>
      <c r="P940" s="1"/>
      <c r="U940" s="3"/>
    </row>
    <row r="941" spans="7:21">
      <c r="G941" s="2"/>
      <c r="H941" s="2"/>
      <c r="I941" s="2"/>
      <c r="J941" s="3"/>
      <c r="K941" s="3"/>
      <c r="L941" s="3"/>
      <c r="P941" s="1"/>
      <c r="U941" s="3"/>
    </row>
    <row r="942" spans="7:21">
      <c r="G942" s="2"/>
      <c r="H942" s="2"/>
      <c r="I942" s="2"/>
      <c r="J942" s="3"/>
      <c r="K942" s="3"/>
      <c r="L942" s="3"/>
      <c r="P942" s="1"/>
      <c r="U942" s="3"/>
    </row>
    <row r="943" spans="7:21">
      <c r="G943" s="2"/>
      <c r="H943" s="2"/>
      <c r="I943" s="2"/>
      <c r="J943" s="3"/>
      <c r="K943" s="3"/>
      <c r="L943" s="3"/>
      <c r="P943" s="1"/>
      <c r="U943" s="3"/>
    </row>
    <row r="944" spans="7:21">
      <c r="G944" s="2"/>
      <c r="H944" s="2"/>
      <c r="I944" s="2"/>
      <c r="J944" s="3"/>
      <c r="K944" s="3"/>
      <c r="L944" s="3"/>
      <c r="P944" s="1"/>
      <c r="U944" s="3"/>
    </row>
    <row r="945" spans="7:21">
      <c r="G945" s="2"/>
      <c r="H945" s="2"/>
      <c r="I945" s="2"/>
      <c r="J945" s="3"/>
      <c r="K945" s="3"/>
      <c r="L945" s="3"/>
      <c r="P945" s="1"/>
      <c r="U945" s="3"/>
    </row>
    <row r="946" spans="7:21">
      <c r="G946" s="2"/>
      <c r="H946" s="2"/>
      <c r="I946" s="2"/>
      <c r="J946" s="3"/>
      <c r="K946" s="3"/>
      <c r="L946" s="3"/>
      <c r="P946" s="1"/>
      <c r="U946" s="3"/>
    </row>
    <row r="947" spans="7:21">
      <c r="G947" s="2"/>
      <c r="H947" s="2"/>
      <c r="I947" s="2"/>
      <c r="J947" s="3"/>
      <c r="K947" s="3"/>
      <c r="L947" s="3"/>
      <c r="P947" s="1"/>
      <c r="U947" s="3"/>
    </row>
    <row r="948" spans="7:21">
      <c r="G948" s="2"/>
      <c r="H948" s="2"/>
      <c r="I948" s="2"/>
      <c r="J948" s="3"/>
      <c r="K948" s="3"/>
      <c r="L948" s="3"/>
      <c r="P948" s="1"/>
      <c r="U948" s="3"/>
    </row>
    <row r="949" spans="7:21">
      <c r="G949" s="2"/>
      <c r="H949" s="2"/>
      <c r="I949" s="2"/>
      <c r="J949" s="3"/>
      <c r="K949" s="3"/>
      <c r="L949" s="3"/>
      <c r="P949" s="1"/>
      <c r="U949" s="3"/>
    </row>
    <row r="950" spans="7:21">
      <c r="G950" s="2"/>
      <c r="H950" s="2"/>
      <c r="I950" s="2"/>
      <c r="J950" s="3"/>
      <c r="K950" s="3"/>
      <c r="L950" s="3"/>
      <c r="P950" s="1"/>
      <c r="U950" s="3"/>
    </row>
    <row r="951" spans="7:21">
      <c r="G951" s="2"/>
      <c r="H951" s="2"/>
      <c r="I951" s="2"/>
      <c r="J951" s="3"/>
      <c r="K951" s="3"/>
      <c r="L951" s="3"/>
      <c r="P951" s="1"/>
      <c r="U951" s="3"/>
    </row>
    <row r="952" spans="7:21">
      <c r="G952" s="2"/>
      <c r="H952" s="2"/>
      <c r="I952" s="2"/>
      <c r="J952" s="3"/>
      <c r="K952" s="3"/>
      <c r="L952" s="3"/>
      <c r="P952" s="1"/>
      <c r="U952" s="3"/>
    </row>
    <row r="953" spans="7:21">
      <c r="G953" s="2"/>
      <c r="H953" s="2"/>
      <c r="I953" s="2"/>
      <c r="J953" s="3"/>
      <c r="K953" s="3"/>
      <c r="L953" s="3"/>
      <c r="P953" s="1"/>
      <c r="U953" s="3"/>
    </row>
    <row r="954" spans="7:21">
      <c r="G954" s="2"/>
      <c r="H954" s="2"/>
      <c r="I954" s="2"/>
      <c r="J954" s="3"/>
      <c r="K954" s="3"/>
      <c r="L954" s="3"/>
      <c r="P954" s="1"/>
      <c r="U954" s="3"/>
    </row>
    <row r="955" spans="7:21">
      <c r="G955" s="2"/>
      <c r="H955" s="2"/>
      <c r="I955" s="2"/>
      <c r="J955" s="3"/>
      <c r="K955" s="3"/>
      <c r="L955" s="3"/>
      <c r="P955" s="1"/>
      <c r="U955" s="3"/>
    </row>
    <row r="956" spans="7:21">
      <c r="G956" s="2"/>
      <c r="H956" s="2"/>
      <c r="I956" s="2"/>
      <c r="J956" s="3"/>
      <c r="K956" s="3"/>
      <c r="L956" s="3"/>
      <c r="P956" s="1"/>
      <c r="U956" s="3"/>
    </row>
    <row r="957" spans="7:21">
      <c r="G957" s="2"/>
      <c r="H957" s="2"/>
      <c r="I957" s="2"/>
      <c r="J957" s="3"/>
      <c r="K957" s="3"/>
      <c r="L957" s="3"/>
      <c r="P957" s="1"/>
      <c r="U957" s="3"/>
    </row>
    <row r="958" spans="7:21">
      <c r="G958" s="2"/>
      <c r="H958" s="2"/>
      <c r="I958" s="2"/>
      <c r="J958" s="3"/>
      <c r="K958" s="3"/>
      <c r="L958" s="3"/>
      <c r="P958" s="1"/>
      <c r="U958" s="3"/>
    </row>
    <row r="959" spans="7:21">
      <c r="G959" s="2"/>
      <c r="H959" s="2"/>
      <c r="I959" s="2"/>
      <c r="J959" s="3"/>
      <c r="K959" s="3"/>
      <c r="L959" s="3"/>
      <c r="P959" s="1"/>
      <c r="U959" s="3"/>
    </row>
    <row r="960" spans="7:21">
      <c r="G960" s="2"/>
      <c r="H960" s="2"/>
      <c r="I960" s="2"/>
      <c r="J960" s="3"/>
      <c r="K960" s="3"/>
      <c r="L960" s="3"/>
      <c r="P960" s="1"/>
      <c r="U960" s="3"/>
    </row>
    <row r="961" spans="7:21">
      <c r="G961" s="2"/>
      <c r="H961" s="2"/>
      <c r="I961" s="2"/>
      <c r="J961" s="3"/>
      <c r="K961" s="3"/>
      <c r="L961" s="3"/>
      <c r="P961" s="1"/>
      <c r="U961" s="3"/>
    </row>
    <row r="962" spans="7:21">
      <c r="G962" s="2"/>
      <c r="H962" s="2"/>
      <c r="I962" s="2"/>
      <c r="J962" s="3"/>
      <c r="K962" s="3"/>
      <c r="L962" s="3"/>
      <c r="P962" s="1"/>
      <c r="U962" s="3"/>
    </row>
    <row r="963" spans="7:21">
      <c r="G963" s="2"/>
      <c r="H963" s="2"/>
      <c r="I963" s="2"/>
      <c r="J963" s="3"/>
      <c r="K963" s="3"/>
      <c r="L963" s="3"/>
      <c r="P963" s="1"/>
      <c r="U963" s="3"/>
    </row>
    <row r="964" spans="7:21">
      <c r="G964" s="2"/>
      <c r="H964" s="2"/>
      <c r="I964" s="2"/>
      <c r="J964" s="3"/>
      <c r="K964" s="3"/>
      <c r="L964" s="3"/>
      <c r="P964" s="1"/>
      <c r="U964" s="3"/>
    </row>
    <row r="965" spans="7:21">
      <c r="G965" s="2"/>
      <c r="H965" s="2"/>
      <c r="I965" s="2"/>
      <c r="J965" s="3"/>
      <c r="K965" s="3"/>
      <c r="L965" s="3"/>
      <c r="P965" s="1"/>
      <c r="U965" s="3"/>
    </row>
    <row r="966" spans="7:21">
      <c r="G966" s="2"/>
      <c r="H966" s="2"/>
      <c r="I966" s="2"/>
      <c r="J966" s="3"/>
      <c r="K966" s="3"/>
      <c r="L966" s="3"/>
      <c r="P966" s="1"/>
      <c r="U966" s="3"/>
    </row>
    <row r="967" spans="7:21">
      <c r="G967" s="2"/>
      <c r="H967" s="2"/>
      <c r="I967" s="2"/>
      <c r="J967" s="3"/>
      <c r="K967" s="3"/>
      <c r="L967" s="3"/>
      <c r="P967" s="1"/>
      <c r="U967" s="3"/>
    </row>
    <row r="968" spans="7:21">
      <c r="G968" s="2"/>
      <c r="H968" s="2"/>
      <c r="I968" s="2"/>
      <c r="J968" s="3"/>
      <c r="K968" s="3"/>
      <c r="L968" s="3"/>
      <c r="P968" s="1"/>
      <c r="U968" s="3"/>
    </row>
    <row r="969" spans="7:21">
      <c r="G969" s="2"/>
      <c r="H969" s="2"/>
      <c r="I969" s="2"/>
      <c r="J969" s="3"/>
      <c r="K969" s="3"/>
      <c r="L969" s="3"/>
      <c r="P969" s="1"/>
      <c r="U969" s="3"/>
    </row>
    <row r="970" spans="7:21">
      <c r="G970" s="2"/>
      <c r="H970" s="2"/>
      <c r="I970" s="2"/>
      <c r="J970" s="3"/>
      <c r="K970" s="3"/>
      <c r="L970" s="3"/>
      <c r="P970" s="1"/>
      <c r="U970" s="3"/>
    </row>
    <row r="971" spans="7:21">
      <c r="G971" s="2"/>
      <c r="H971" s="2"/>
      <c r="I971" s="2"/>
      <c r="J971" s="3"/>
      <c r="K971" s="3"/>
      <c r="L971" s="3"/>
      <c r="P971" s="1"/>
      <c r="U971" s="3"/>
    </row>
    <row r="972" spans="7:21">
      <c r="G972" s="2"/>
      <c r="H972" s="2"/>
      <c r="I972" s="2"/>
      <c r="J972" s="3"/>
      <c r="K972" s="3"/>
      <c r="L972" s="3"/>
      <c r="P972" s="1"/>
      <c r="U972" s="3"/>
    </row>
    <row r="973" spans="7:21">
      <c r="G973" s="2"/>
      <c r="H973" s="2"/>
      <c r="I973" s="2"/>
      <c r="J973" s="3"/>
      <c r="K973" s="3"/>
      <c r="L973" s="3"/>
      <c r="P973" s="1"/>
      <c r="U973" s="3"/>
    </row>
    <row r="974" spans="7:21">
      <c r="G974" s="2"/>
      <c r="H974" s="2"/>
      <c r="I974" s="2"/>
      <c r="J974" s="3"/>
      <c r="K974" s="3"/>
      <c r="L974" s="3"/>
      <c r="P974" s="1"/>
      <c r="U974" s="3"/>
    </row>
    <row r="975" spans="7:21">
      <c r="G975" s="2"/>
      <c r="H975" s="2"/>
      <c r="I975" s="2"/>
      <c r="J975" s="3"/>
      <c r="K975" s="3"/>
      <c r="L975" s="3"/>
      <c r="P975" s="1"/>
      <c r="U975" s="3"/>
    </row>
    <row r="976" spans="7:21">
      <c r="G976" s="2"/>
      <c r="H976" s="2"/>
      <c r="I976" s="2"/>
      <c r="J976" s="3"/>
      <c r="K976" s="3"/>
      <c r="L976" s="3"/>
      <c r="P976" s="1"/>
      <c r="U976" s="3"/>
    </row>
    <row r="977" spans="7:21">
      <c r="G977" s="2"/>
      <c r="H977" s="2"/>
      <c r="I977" s="2"/>
      <c r="J977" s="3"/>
      <c r="K977" s="3"/>
      <c r="L977" s="3"/>
      <c r="P977" s="1"/>
      <c r="U977" s="3"/>
    </row>
    <row r="978" spans="7:21">
      <c r="G978" s="2"/>
      <c r="H978" s="2"/>
      <c r="I978" s="2"/>
      <c r="J978" s="3"/>
      <c r="K978" s="3"/>
      <c r="L978" s="3"/>
      <c r="P978" s="1"/>
      <c r="U978" s="3"/>
    </row>
    <row r="979" spans="7:21">
      <c r="G979" s="2"/>
      <c r="H979" s="2"/>
      <c r="I979" s="2"/>
      <c r="J979" s="3"/>
      <c r="K979" s="3"/>
      <c r="L979" s="3"/>
      <c r="P979" s="1"/>
      <c r="U979" s="3"/>
    </row>
    <row r="980" spans="7:21">
      <c r="G980" s="2"/>
      <c r="H980" s="2"/>
      <c r="I980" s="2"/>
      <c r="J980" s="3"/>
      <c r="K980" s="3"/>
      <c r="L980" s="3"/>
      <c r="P980" s="1"/>
      <c r="U980" s="3"/>
    </row>
    <row r="981" spans="7:21">
      <c r="G981" s="2"/>
      <c r="H981" s="2"/>
      <c r="I981" s="2"/>
      <c r="J981" s="3"/>
      <c r="K981" s="3"/>
      <c r="L981" s="3"/>
      <c r="P981" s="1"/>
      <c r="U981" s="3"/>
    </row>
    <row r="982" spans="7:21">
      <c r="G982" s="2"/>
      <c r="H982" s="2"/>
      <c r="I982" s="2"/>
      <c r="J982" s="3"/>
      <c r="K982" s="3"/>
      <c r="L982" s="3"/>
      <c r="P982" s="1"/>
      <c r="U982" s="3"/>
    </row>
    <row r="983" spans="7:21">
      <c r="G983" s="2"/>
      <c r="H983" s="2"/>
      <c r="I983" s="2"/>
      <c r="J983" s="3"/>
      <c r="K983" s="3"/>
      <c r="L983" s="3"/>
      <c r="P983" s="1"/>
      <c r="U983" s="3"/>
    </row>
    <row r="984" spans="7:21">
      <c r="G984" s="2"/>
      <c r="H984" s="2"/>
      <c r="I984" s="2"/>
      <c r="J984" s="3"/>
      <c r="K984" s="3"/>
      <c r="L984" s="3"/>
      <c r="P984" s="1"/>
      <c r="U984" s="3"/>
    </row>
    <row r="985" spans="7:21">
      <c r="G985" s="2"/>
      <c r="H985" s="2"/>
      <c r="I985" s="2"/>
      <c r="J985" s="3"/>
      <c r="K985" s="3"/>
      <c r="L985" s="3"/>
      <c r="P985" s="1"/>
      <c r="U985" s="3"/>
    </row>
    <row r="986" spans="7:21">
      <c r="G986" s="2"/>
      <c r="H986" s="2"/>
      <c r="I986" s="2"/>
      <c r="J986" s="3"/>
      <c r="K986" s="3"/>
      <c r="L986" s="3"/>
      <c r="P986" s="1"/>
      <c r="U986" s="3"/>
    </row>
    <row r="987" spans="7:21">
      <c r="G987" s="2"/>
      <c r="H987" s="2"/>
      <c r="I987" s="2"/>
      <c r="J987" s="3"/>
      <c r="K987" s="3"/>
      <c r="L987" s="3"/>
      <c r="P987" s="1"/>
      <c r="U987" s="3"/>
    </row>
    <row r="988" spans="7:21">
      <c r="G988" s="2"/>
      <c r="H988" s="2"/>
      <c r="I988" s="2"/>
      <c r="J988" s="3"/>
      <c r="K988" s="3"/>
      <c r="L988" s="3"/>
      <c r="P988" s="1"/>
      <c r="U988" s="3"/>
    </row>
    <row r="989" spans="7:21">
      <c r="G989" s="2"/>
      <c r="H989" s="2"/>
      <c r="I989" s="2"/>
      <c r="J989" s="3"/>
      <c r="K989" s="3"/>
      <c r="L989" s="3"/>
      <c r="P989" s="1"/>
      <c r="U989" s="3"/>
    </row>
    <row r="990" spans="7:21">
      <c r="G990" s="2"/>
      <c r="H990" s="2"/>
      <c r="I990" s="2"/>
      <c r="J990" s="3"/>
      <c r="K990" s="3"/>
      <c r="L990" s="3"/>
      <c r="P990" s="1"/>
      <c r="U990" s="3"/>
    </row>
    <row r="991" spans="7:21">
      <c r="G991" s="2"/>
      <c r="H991" s="2"/>
      <c r="I991" s="2"/>
      <c r="J991" s="3"/>
      <c r="K991" s="3"/>
      <c r="L991" s="3"/>
      <c r="P991" s="1"/>
      <c r="U991" s="3"/>
    </row>
    <row r="992" spans="7:21">
      <c r="G992" s="2"/>
      <c r="H992" s="2"/>
      <c r="I992" s="2"/>
      <c r="J992" s="3"/>
      <c r="K992" s="3"/>
      <c r="L992" s="3"/>
      <c r="P992" s="1"/>
      <c r="U992" s="3"/>
    </row>
    <row r="993" spans="7:21">
      <c r="G993" s="2"/>
      <c r="H993" s="2"/>
      <c r="I993" s="2"/>
      <c r="J993" s="3"/>
      <c r="K993" s="3"/>
      <c r="L993" s="3"/>
      <c r="P993" s="1"/>
      <c r="U993" s="3"/>
    </row>
    <row r="994" spans="7:21">
      <c r="G994" s="2"/>
      <c r="H994" s="2"/>
      <c r="I994" s="2"/>
      <c r="J994" s="3"/>
      <c r="K994" s="3"/>
      <c r="L994" s="3"/>
      <c r="P994" s="1"/>
      <c r="U994" s="3"/>
    </row>
    <row r="995" spans="7:21">
      <c r="G995" s="2"/>
      <c r="H995" s="2"/>
      <c r="I995" s="2"/>
      <c r="J995" s="3"/>
      <c r="K995" s="3"/>
      <c r="L995" s="3"/>
      <c r="P995" s="1"/>
      <c r="U995" s="3"/>
    </row>
    <row r="996" spans="7:21">
      <c r="G996" s="2"/>
      <c r="H996" s="2"/>
      <c r="I996" s="2"/>
      <c r="J996" s="3"/>
      <c r="K996" s="3"/>
      <c r="L996" s="3"/>
      <c r="P996" s="1"/>
      <c r="U996" s="3"/>
    </row>
    <row r="997" spans="7:21">
      <c r="G997" s="2"/>
      <c r="H997" s="2"/>
      <c r="I997" s="2"/>
      <c r="J997" s="3"/>
      <c r="K997" s="3"/>
      <c r="L997" s="3"/>
      <c r="P997" s="1"/>
      <c r="U997" s="3"/>
    </row>
    <row r="998" spans="7:21">
      <c r="G998" s="2"/>
      <c r="H998" s="2"/>
      <c r="I998" s="2"/>
      <c r="J998" s="3"/>
      <c r="K998" s="3"/>
      <c r="L998" s="3"/>
      <c r="P998" s="1"/>
      <c r="U998" s="3"/>
    </row>
    <row r="999" spans="7:21">
      <c r="G999" s="2"/>
      <c r="H999" s="2"/>
      <c r="I999" s="2"/>
      <c r="J999" s="3"/>
      <c r="K999" s="3"/>
      <c r="L999" s="3"/>
      <c r="P999" s="1"/>
      <c r="U999" s="3"/>
    </row>
    <row r="1000" spans="7:21">
      <c r="G1000" s="2"/>
      <c r="H1000" s="2"/>
      <c r="I1000" s="2"/>
      <c r="J1000" s="3"/>
      <c r="K1000" s="3"/>
      <c r="L1000" s="3"/>
      <c r="P1000" s="1"/>
      <c r="U1000" s="3"/>
    </row>
  </sheetData>
  <mergeCells count="3">
    <mergeCell ref="Q1:T1"/>
    <mergeCell ref="N1:P1"/>
    <mergeCell ref="C1:M1"/>
  </mergeCells>
  <conditionalFormatting sqref="V3:V100">
    <cfRule type="containsText" dxfId="18" priority="15" operator="containsText" text="OK">
      <formula>NOT(ISERROR(SEARCH("OK",V3)))</formula>
    </cfRule>
  </conditionalFormatting>
  <conditionalFormatting sqref="V3:V100">
    <cfRule type="containsText" dxfId="17" priority="16" operator="containsText" text="⚠">
      <formula>NOT(ISERROR(SEARCH("⚠",V3)))</formula>
    </cfRule>
  </conditionalFormatting>
  <conditionalFormatting sqref="W3:W100">
    <cfRule type="containsText" dxfId="16" priority="17" operator="containsText" text="DUPLICATE">
      <formula>NOT(ISERROR(SEARCH("DUPLICATE",W3)))</formula>
    </cfRule>
  </conditionalFormatting>
  <dataValidations count="23">
    <dataValidation type="custom" allowBlank="1" showInputMessage="1" showErrorMessage="1" errorTitle="Invalid Entry" error="Please enter a positive number greater than 0." promptTitle="Numeric Entry" prompt="Enter a positive number." sqref="G101:L1000" xr:uid="{75C2B0B1-426B-4102-A3DF-1CAE86027649}">
      <formula1>AND(ISNUMBER(G101),G101&gt;0)</formula1>
    </dataValidation>
    <dataValidation type="custom" errorStyle="warning" allowBlank="1" showInputMessage="1" showErrorMessage="1" errorTitle="Duplicate Coil ID" error="This HR Coil ID already exists. Each Coil ID must be unique." sqref="C101:C1000" xr:uid="{80DCCDB3-2161-4796-BF00-44DAEEC79DAD}">
      <formula1>OR(C101="",COUNTIF(C:C,C101)&lt;=1)</formula1>
    </dataValidation>
    <dataValidation type="custom" allowBlank="1" showInputMessage="1" showErrorMessage="1" errorTitle="Invalid Entry" error="Please enter a numeric value." sqref="Q101:T1000" xr:uid="{F03EC147-54D2-4AEB-8D97-645354E1416A}">
      <formula1>OR(Q101="",ISNUMBER(Q101))</formula1>
    </dataValidation>
    <dataValidation type="custom" allowBlank="1" showInputMessage="1" showErrorMessage="1" errorTitle="Invalid" error="Must be a positive number." promptTitle="Length (mm)" prompt="Enter length in mm. Must be &gt; 0." sqref="H3:H6 H10:H100" xr:uid="{B76B6C20-4294-4037-BA33-A73CDC1C4B50}">
      <formula1>AND(ISNUMBER(H3),H3&gt;0)</formula1>
    </dataValidation>
    <dataValidation type="custom" allowBlank="1" showInputMessage="1" promptTitle="HR Coil ID" prompt="Enter unique coil ID. Format: OH-{Location}-{Date}-{Seq}" sqref="C3:C6 C10:C100" xr:uid="{78F7693E-AF9B-4E84-9221-5CAB321E1F8D}">
      <formula1>TRUE</formula1>
    </dataValidation>
    <dataValidation type="custom" allowBlank="1" showInputMessage="1" promptTitle="Input Coil Number (Batch ID)" prompt="Enter supplier's coil/batch number from delivery challan." sqref="D3:D5 D10:D100" xr:uid="{CF15514D-F004-4BEA-B141-F68B71C9AE2F}">
      <formula1>TRUE</formula1>
    </dataValidation>
    <dataValidation type="custom" allowBlank="1" showInputMessage="1" promptTitle="Coil Grade" prompt="Enter steel grade as per mill certificate (e.g., E250-BR)." sqref="E3:E5 E10:E100" xr:uid="{A4EE7375-E825-4237-9004-6A38A2917829}">
      <formula1>TRUE</formula1>
    </dataValidation>
    <dataValidation type="custom" allowBlank="1" showInputMessage="1" promptTitle="Heat Number" prompt="Enter heat number from mill test certificate." sqref="F3:F5 F10:F100" xr:uid="{E218FEA9-0573-4B4D-B9CE-80EDA6A84F8A}">
      <formula1>TRUE</formula1>
    </dataValidation>
    <dataValidation type="custom" allowBlank="1" showInputMessage="1" promptTitle="PO Number" prompt="Enter purchase order number for this coil." sqref="M3:M100" xr:uid="{A1F9E4F6-4AC2-41DE-A373-16222954C8F4}">
      <formula1>TRUE</formula1>
    </dataValidation>
    <dataValidation type="custom" allowBlank="1" showInputMessage="1" promptTitle="FG Readiness" prompt="Auto/Manual: Track whether FG production is complete for this coil." sqref="N3:N100" xr:uid="{96771153-618F-4711-B2C9-6E43E509F904}">
      <formula1>TRUE</formula1>
    </dataValidation>
    <dataValidation type="custom" allowBlank="1" showInputMessage="1" promptTitle="Dispatched Weight (kg)" prompt="Auto/Manual: Total weight dispatched from this coil." sqref="O3:O100" xr:uid="{D4F33F32-B019-44EC-812C-2E7249747BC2}">
      <formula1>TRUE</formula1>
    </dataValidation>
    <dataValidation type="custom" allowBlank="1" showInputMessage="1" promptTitle="Yield %" prompt="Auto: Dispatched Weight ÷ Total Coil Weight. Measures material utilization." sqref="P3:P100" xr:uid="{14E26833-5414-4A1B-A08C-33FAADA151B2}">
      <formula1>TRUE</formula1>
    </dataValidation>
    <dataValidation type="custom" allowBlank="1" showInputMessage="1" promptTitle="Carbon (%)" prompt="Enter carbon % from mill test certificate." sqref="Q3:Q100" xr:uid="{E7C0243E-285D-4BA6-9279-5969AF18B9DE}">
      <formula1>TRUE</formula1>
    </dataValidation>
    <dataValidation type="custom" allowBlank="1" showInputMessage="1" promptTitle="Mn - Manganese (%)" prompt="Enter manganese % from mill test certificate." sqref="R3:R100" xr:uid="{8CB2D73A-0075-4C50-9C6B-008FA8E3B41D}">
      <formula1>TRUE</formula1>
    </dataValidation>
    <dataValidation type="custom" allowBlank="1" showInputMessage="1" promptTitle="YS (MPa)" prompt="Enter yield strength in MPa from mill test certificate." sqref="S3:S100" xr:uid="{8AD3D38A-E5DD-419B-9963-4C2D089DEE61}">
      <formula1>TRUE</formula1>
    </dataValidation>
    <dataValidation type="custom" allowBlank="1" showInputMessage="1" promptTitle="Elongation (%)" prompt="Enter elongation % from mill test certificate." sqref="T3:T100" xr:uid="{FDA3A0D7-FE9B-4764-9B6F-33EF9FB3098A}">
      <formula1>TRUE</formula1>
    </dataValidation>
    <dataValidation type="custom" allowBlank="1" showInputMessage="1" promptTitle="Total Baby Coil Width (mm)" prompt="Auto: Sum of all baby coil widths cut from this HR coil (from 'Coil to Slit' sheet)." sqref="U3:U100" xr:uid="{438AF30B-128E-4A69-9690-C309B7EC0CA2}">
      <formula1>TRUE</formula1>
    </dataValidation>
    <dataValidation type="custom" allowBlank="1" showInputMessage="1" promptTitle="Width Check" prompt="Auto: ✔ OK if total baby widths ≤ parent width. ⚠ EXCEEDS if baby widths are too large." sqref="V3:V100" xr:uid="{34590A1B-0CAE-44B1-B299-E747DC3E8DEE}">
      <formula1>TRUE</formula1>
    </dataValidation>
    <dataValidation type="custom" allowBlank="1" showInputMessage="1" promptTitle="Duplicate ID Check" prompt="Auto: Flags ⚠ DUPLICATE ID if this HR Coil ID appears more than once." sqref="W3:W100" xr:uid="{C55CF8E6-D21C-409A-8A9F-CC0E7C5F7E63}">
      <formula1>TRUE</formula1>
    </dataValidation>
    <dataValidation type="date" operator="greaterThanOrEqual" allowBlank="1" showInputMessage="1" showErrorMessage="1" sqref="A3:A100" xr:uid="{15A7080B-7B08-447D-B8EE-F101E247249A}">
      <formula1>45658</formula1>
    </dataValidation>
    <dataValidation type="whole" operator="greaterThanOrEqual" allowBlank="1" showInputMessage="1" showErrorMessage="1" sqref="B3:B100 I3:I100" xr:uid="{2F653D64-85C0-46C1-AE0D-7A169BFAF7FE}">
      <formula1>1</formula1>
    </dataValidation>
    <dataValidation type="decimal" operator="greaterThan" allowBlank="1" showInputMessage="1" showErrorMessage="1" sqref="G3:G100 J3:K100" xr:uid="{93533917-E240-41AE-B560-CCDB036033BD}">
      <formula1>0</formula1>
    </dataValidation>
    <dataValidation type="decimal" operator="greaterThanOrEqual" allowBlank="1" showInputMessage="1" showErrorMessage="1" sqref="L3:L100" xr:uid="{7D7E8CE8-3C40-4A2B-B75A-F759C485367B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441A-A8D8-41A2-AF4F-CEDDEF437528}">
  <dimension ref="A1:O1000"/>
  <sheetViews>
    <sheetView showGridLines="0" workbookViewId="0">
      <pane ySplit="2" topLeftCell="A3" activePane="bottomLeft" state="frozen"/>
      <selection pane="bottomLeft" activeCell="D34" sqref="D34"/>
    </sheetView>
  </sheetViews>
  <sheetFormatPr defaultRowHeight="15" outlineLevelCol="1"/>
  <cols>
    <col min="1" max="1" width="18.140625" customWidth="1"/>
    <col min="2" max="2" width="33.28515625" customWidth="1"/>
    <col min="3" max="3" width="13" customWidth="1"/>
    <col min="4" max="4" width="37.140625" customWidth="1"/>
    <col min="5" max="5" width="16.140625" customWidth="1"/>
    <col min="6" max="6" width="15.28515625" customWidth="1"/>
    <col min="7" max="7" width="14.28515625" customWidth="1"/>
    <col min="8" max="8" width="15.28515625" customWidth="1"/>
    <col min="9" max="9" width="17.140625" customWidth="1"/>
    <col min="10" max="10" width="15.28515625" customWidth="1"/>
    <col min="11" max="11" width="21" customWidth="1" outlineLevel="1"/>
    <col min="12" max="12" width="19" customWidth="1" outlineLevel="1"/>
    <col min="13" max="13" width="16.140625" customWidth="1" outlineLevel="1"/>
    <col min="14" max="14" width="21" customWidth="1" outlineLevel="1"/>
    <col min="15" max="15" width="22.85546875" customWidth="1" outlineLevel="1"/>
  </cols>
  <sheetData>
    <row r="1" spans="1:15" ht="27.75" customHeight="1">
      <c r="A1" s="274" t="s">
        <v>47</v>
      </c>
      <c r="B1" s="275"/>
      <c r="C1" s="276"/>
      <c r="D1" s="169"/>
      <c r="E1" s="170"/>
      <c r="F1" s="170"/>
      <c r="G1" s="170"/>
      <c r="H1" s="170"/>
      <c r="I1" s="170"/>
      <c r="J1" s="170"/>
      <c r="K1" s="271" t="s">
        <v>48</v>
      </c>
      <c r="L1" s="272"/>
      <c r="M1" s="272"/>
      <c r="N1" s="272"/>
      <c r="O1" s="273"/>
    </row>
    <row r="2" spans="1:15" ht="28.5" customHeight="1">
      <c r="A2" s="25" t="s">
        <v>49</v>
      </c>
      <c r="B2" s="26" t="s">
        <v>7</v>
      </c>
      <c r="C2" s="27" t="s">
        <v>50</v>
      </c>
      <c r="D2" s="41" t="s">
        <v>51</v>
      </c>
      <c r="E2" s="46" t="s">
        <v>11</v>
      </c>
      <c r="F2" s="46" t="s">
        <v>12</v>
      </c>
      <c r="G2" s="38" t="s">
        <v>13</v>
      </c>
      <c r="H2" s="46" t="s">
        <v>52</v>
      </c>
      <c r="I2" s="46" t="s">
        <v>16</v>
      </c>
      <c r="J2" s="53" t="s">
        <v>17</v>
      </c>
      <c r="K2" s="58" t="s">
        <v>53</v>
      </c>
      <c r="L2" s="59" t="s">
        <v>54</v>
      </c>
      <c r="M2" s="59" t="s">
        <v>55</v>
      </c>
      <c r="N2" s="59" t="s">
        <v>56</v>
      </c>
      <c r="O2" s="60" t="s">
        <v>57</v>
      </c>
    </row>
    <row r="3" spans="1:15">
      <c r="A3" s="34">
        <v>46108</v>
      </c>
      <c r="B3" s="28" t="s">
        <v>58</v>
      </c>
      <c r="C3" s="29" t="s">
        <v>59</v>
      </c>
      <c r="D3" s="42" t="str">
        <f>IF(OR(B3="",C3=""),"",CONCATENATE(B3,"-",C3))</f>
        <v>HYD-0326-01-A</v>
      </c>
      <c r="E3" s="47">
        <f>IF(B3="","",IFERROR(VLOOKUP(B3,'Coil Sheet at Plant'!$C:$G,5,FALSE),"ID Not Found"))</f>
        <v>2.8</v>
      </c>
      <c r="F3" s="48">
        <f>IF(B3="","",IFERROR(VLOOKUP(B3,'Coil Sheet at Plant'!$C:$H,6,FALSE),"ID Not Found"))</f>
        <v>0</v>
      </c>
      <c r="G3" s="79">
        <v>147</v>
      </c>
      <c r="H3" s="87">
        <f>IF(OR(B3="",G3=""),"",IFERROR(VLOOKUP(B3,'Coil Sheet at Plant'!$C:$J,8,FALSE),0)*G3/SUMIF(B:B,B3,G:G))</f>
        <v>2.4397506033789216</v>
      </c>
      <c r="I3" s="54">
        <f>IF(B3="","",IFERROR(VLOOKUP(B3,'Coil Sheet at Plant'!$C:$L,9,FALSE),""))</f>
        <v>0</v>
      </c>
      <c r="J3" s="83">
        <f>IF(B3="","",IFERROR(VLOOKUP(B3,'Coil Sheet at Plant'!$C:$M,10,FALSE),""))</f>
        <v>0</v>
      </c>
      <c r="K3" s="61">
        <f>IF(B3="","",SUMIF(B:B,B3,G:G))</f>
        <v>1243</v>
      </c>
      <c r="L3" s="62">
        <f>IF(B3="","",IFERROR(VLOOKUP(B3,'Coil Sheet at Plant'!$C:$I,7,FALSE),""))</f>
        <v>1250</v>
      </c>
      <c r="M3" s="63" t="str">
        <f>IF(OR(K3="",L3=""),"",IF(L3=0,"⚠ NO PARENT WIDTH",IF(K3&gt;L3,"⚠ BABY &gt; PARENT","✔ OK")))</f>
        <v>✔ OK</v>
      </c>
      <c r="N3" s="63" t="str">
        <f>IF(D3="","",IF(COUNTIF(D$3:D3,D3)&gt;1,"⚠ DUPLICATE",""))</f>
        <v/>
      </c>
      <c r="O3" s="77" t="str">
        <f>IF(B3="","",SUMIF(B:B,B3,G:G)&amp;" / "&amp;IFERROR(VLOOKUP(B3,'Coil Sheet at Plant'!$C:$I,7,FALSE),"?")&amp;" mm")</f>
        <v>1243 / 1250 mm</v>
      </c>
    </row>
    <row r="4" spans="1:15">
      <c r="A4" s="35">
        <v>46108</v>
      </c>
      <c r="B4" s="30" t="s">
        <v>58</v>
      </c>
      <c r="C4" s="31" t="s">
        <v>60</v>
      </c>
      <c r="D4" s="43" t="str">
        <f>IF(OR(B4="",C4=""),"",CONCATENATE(B4,"-",C4))</f>
        <v>HYD-0326-01-B</v>
      </c>
      <c r="E4" s="49">
        <f>IF(B4="","",IFERROR(VLOOKUP(B4,'Coil Sheet at Plant'!$C:$G,5,FALSE),"ID Not Found"))</f>
        <v>2.8</v>
      </c>
      <c r="F4" s="50">
        <f>IF(B4="","",IFERROR(VLOOKUP(B4,'Coil Sheet at Plant'!$C:$H,6,FALSE),"ID Not Found"))</f>
        <v>0</v>
      </c>
      <c r="G4" s="80">
        <v>147</v>
      </c>
      <c r="H4" s="88">
        <f>IF(OR(B4="",G4=""),"",IFERROR(VLOOKUP(B4,'Coil Sheet at Plant'!$C:$J,8,FALSE),0)*G4/SUMIF(B:B,B4,G:G))</f>
        <v>2.4397506033789216</v>
      </c>
      <c r="I4" s="55">
        <f>IF(B4="","",IFERROR(VLOOKUP(B4,'Coil Sheet at Plant'!$C:$L,9,FALSE),""))</f>
        <v>0</v>
      </c>
      <c r="J4" s="84">
        <f>IF(B4="","",IFERROR(VLOOKUP(B4,'Coil Sheet at Plant'!$C:$M,10,FALSE),""))</f>
        <v>0</v>
      </c>
      <c r="K4" s="65">
        <f>IF(B4="","",SUMIF(B:B,B4,G:G))</f>
        <v>1243</v>
      </c>
      <c r="L4" s="66">
        <f>IF(B4="","",IFERROR(VLOOKUP(B4,'Coil Sheet at Plant'!$C:$I,7,FALSE),""))</f>
        <v>1250</v>
      </c>
      <c r="M4" s="67" t="str">
        <f>IF(OR(K4="",L4=""),"",IF(L4=0,"⚠ NO PARENT WIDTH",IF(K4&gt;L4,"⚠ BABY &gt; PARENT","✔ OK")))</f>
        <v>✔ OK</v>
      </c>
      <c r="N4" s="67" t="str">
        <f>IF(D4="","",IF(COUNTIF(D$3:D4,D4)&gt;1,"⚠ DUPLICATE",""))</f>
        <v/>
      </c>
      <c r="O4" s="78" t="str">
        <f>IF(B4="","",SUMIF(B:B,B4,G:G)&amp;" / "&amp;IFERROR(VLOOKUP(B4,'Coil Sheet at Plant'!$C:$I,7,FALSE),"?")&amp;" mm")</f>
        <v>1243 / 1250 mm</v>
      </c>
    </row>
    <row r="5" spans="1:15">
      <c r="A5" s="35">
        <v>46108</v>
      </c>
      <c r="B5" s="30" t="s">
        <v>58</v>
      </c>
      <c r="C5" s="31" t="s">
        <v>61</v>
      </c>
      <c r="D5" s="43" t="str">
        <f>IF(OR(B5="",C5=""),"",CONCATENATE(B5,"-",C5))</f>
        <v>HYD-0326-01-C</v>
      </c>
      <c r="E5" s="49">
        <f>IF(B5="","",IFERROR(VLOOKUP(B5,'Coil Sheet at Plant'!$C:$G,5,FALSE),"ID Not Found"))</f>
        <v>2.8</v>
      </c>
      <c r="F5" s="50">
        <f>IF(B5="","",IFERROR(VLOOKUP(B5,'Coil Sheet at Plant'!$C:$H,6,FALSE),"ID Not Found"))</f>
        <v>0</v>
      </c>
      <c r="G5" s="80">
        <v>147</v>
      </c>
      <c r="H5" s="88">
        <f>IF(OR(B5="",G5=""),"",IFERROR(VLOOKUP(B5,'Coil Sheet at Plant'!$C:$J,8,FALSE),0)*G5/SUMIF(B:B,B5,G:G))</f>
        <v>2.4397506033789216</v>
      </c>
      <c r="I5" s="55">
        <f>IF(B5="","",IFERROR(VLOOKUP(B5,'Coil Sheet at Plant'!$C:$L,9,FALSE),""))</f>
        <v>0</v>
      </c>
      <c r="J5" s="84">
        <f>IF(B5="","",IFERROR(VLOOKUP(B5,'Coil Sheet at Plant'!$C:$M,10,FALSE),""))</f>
        <v>0</v>
      </c>
      <c r="K5" s="65">
        <f>IF(B5="","",SUMIF(B:B,B5,G:G))</f>
        <v>1243</v>
      </c>
      <c r="L5" s="66">
        <f>IF(B5="","",IFERROR(VLOOKUP(B5,'Coil Sheet at Plant'!$C:$I,7,FALSE),""))</f>
        <v>1250</v>
      </c>
      <c r="M5" s="67" t="str">
        <f>IF(OR(K5="",L5=""),"",IF(L5=0,"⚠ NO PARENT WIDTH",IF(K5&gt;L5,"⚠ BABY &gt; PARENT","✔ OK")))</f>
        <v>✔ OK</v>
      </c>
      <c r="N5" s="67" t="str">
        <f>IF(D5="","",IF(COUNTIF(D$3:D5,D5)&gt;1,"⚠ DUPLICATE",""))</f>
        <v/>
      </c>
      <c r="O5" s="78" t="str">
        <f>IF(B5="","",SUMIF(B:B,B5,G:G)&amp;" / "&amp;IFERROR(VLOOKUP(B5,'Coil Sheet at Plant'!$C:$I,7,FALSE),"?")&amp;" mm")</f>
        <v>1243 / 1250 mm</v>
      </c>
    </row>
    <row r="6" spans="1:15">
      <c r="A6" s="35">
        <v>46108</v>
      </c>
      <c r="B6" s="30" t="s">
        <v>58</v>
      </c>
      <c r="C6" s="31" t="s">
        <v>62</v>
      </c>
      <c r="D6" s="43" t="str">
        <f>IF(OR(B6="",C6=""),"",CONCATENATE(B6,"-",C6))</f>
        <v>HYD-0326-01-D</v>
      </c>
      <c r="E6" s="49">
        <f>IF(B6="","",IFERROR(VLOOKUP(B6,'Coil Sheet at Plant'!$C:$G,5,FALSE),"ID Not Found"))</f>
        <v>2.8</v>
      </c>
      <c r="F6" s="50">
        <f>IF(B6="","",IFERROR(VLOOKUP(B6,'Coil Sheet at Plant'!$C:$H,6,FALSE),"ID Not Found"))</f>
        <v>0</v>
      </c>
      <c r="G6" s="80">
        <v>147</v>
      </c>
      <c r="H6" s="88">
        <f>IF(OR(B6="",G6=""),"",IFERROR(VLOOKUP(B6,'Coil Sheet at Plant'!$C:$J,8,FALSE),0)*G6/SUMIF(B:B,B6,G:G))</f>
        <v>2.4397506033789216</v>
      </c>
      <c r="I6" s="55">
        <f>IF(B6="","",IFERROR(VLOOKUP(B6,'Coil Sheet at Plant'!$C:$L,9,FALSE),""))</f>
        <v>0</v>
      </c>
      <c r="J6" s="84">
        <f>IF(B6="","",IFERROR(VLOOKUP(B6,'Coil Sheet at Plant'!$C:$M,10,FALSE),""))</f>
        <v>0</v>
      </c>
      <c r="K6" s="65">
        <f>IF(B6="","",SUMIF(B:B,B6,G:G))</f>
        <v>1243</v>
      </c>
      <c r="L6" s="66">
        <f>IF(B6="","",IFERROR(VLOOKUP(B6,'Coil Sheet at Plant'!$C:$I,7,FALSE),""))</f>
        <v>1250</v>
      </c>
      <c r="M6" s="67" t="str">
        <f>IF(OR(K6="",L6=""),"",IF(L6=0,"⚠ NO PARENT WIDTH",IF(K6&gt;L6,"⚠ BABY &gt; PARENT","✔ OK")))</f>
        <v>✔ OK</v>
      </c>
      <c r="N6" s="67" t="str">
        <f>IF(D6="","",IF(COUNTIF(D$3:D6,D6)&gt;1,"⚠ DUPLICATE",""))</f>
        <v/>
      </c>
      <c r="O6" s="78" t="str">
        <f>IF(B6="","",SUMIF(B:B,B6,G:G)&amp;" / "&amp;IFERROR(VLOOKUP(B6,'Coil Sheet at Plant'!$C:$I,7,FALSE),"?")&amp;" mm")</f>
        <v>1243 / 1250 mm</v>
      </c>
    </row>
    <row r="7" spans="1:15">
      <c r="A7" s="35">
        <v>46108</v>
      </c>
      <c r="B7" s="30" t="s">
        <v>58</v>
      </c>
      <c r="C7" s="31" t="s">
        <v>63</v>
      </c>
      <c r="D7" s="43" t="str">
        <f>IF(OR(B7="",C7=""),"",CONCATENATE(B7,"-",C7))</f>
        <v>HYD-0326-01-E</v>
      </c>
      <c r="E7" s="49">
        <f>IF(B7="","",IFERROR(VLOOKUP(B7,'Coil Sheet at Plant'!$C:$G,5,FALSE),"ID Not Found"))</f>
        <v>2.8</v>
      </c>
      <c r="F7" s="50">
        <f>IF(B7="","",IFERROR(VLOOKUP(B7,'Coil Sheet at Plant'!$C:$H,6,FALSE),"ID Not Found"))</f>
        <v>0</v>
      </c>
      <c r="G7" s="80">
        <v>147</v>
      </c>
      <c r="H7" s="88">
        <f>IF(OR(B7="",G7=""),"",IFERROR(VLOOKUP(B7,'Coil Sheet at Plant'!$C:$J,8,FALSE),0)*G7/SUMIF(B:B,B7,G:G))</f>
        <v>2.4397506033789216</v>
      </c>
      <c r="I7" s="55">
        <f>IF(B7="","",IFERROR(VLOOKUP(B7,'Coil Sheet at Plant'!$C:$L,9,FALSE),""))</f>
        <v>0</v>
      </c>
      <c r="J7" s="84">
        <f>IF(B7="","",IFERROR(VLOOKUP(B7,'Coil Sheet at Plant'!$C:$M,10,FALSE),""))</f>
        <v>0</v>
      </c>
      <c r="K7" s="65">
        <f>IF(B7="","",SUMIF(B:B,B7,G:G))</f>
        <v>1243</v>
      </c>
      <c r="L7" s="66">
        <f>IF(B7="","",IFERROR(VLOOKUP(B7,'Coil Sheet at Plant'!$C:$I,7,FALSE),""))</f>
        <v>1250</v>
      </c>
      <c r="M7" s="67" t="str">
        <f>IF(OR(K7="",L7=""),"",IF(L7=0,"⚠ NO PARENT WIDTH",IF(K7&gt;L7,"⚠ BABY &gt; PARENT","✔ OK")))</f>
        <v>✔ OK</v>
      </c>
      <c r="N7" s="67" t="str">
        <f>IF(D7="","",IF(COUNTIF(D$3:D7,D7)&gt;1,"⚠ DUPLICATE",""))</f>
        <v/>
      </c>
      <c r="O7" s="78" t="str">
        <f>IF(B7="","",SUMIF(B:B,B7,G:G)&amp;" / "&amp;IFERROR(VLOOKUP(B7,'Coil Sheet at Plant'!$C:$I,7,FALSE),"?")&amp;" mm")</f>
        <v>1243 / 1250 mm</v>
      </c>
    </row>
    <row r="8" spans="1:15">
      <c r="A8" s="35">
        <v>46108</v>
      </c>
      <c r="B8" s="30" t="s">
        <v>58</v>
      </c>
      <c r="C8" s="31" t="s">
        <v>64</v>
      </c>
      <c r="D8" s="43" t="str">
        <f>IF(OR(B8="",C8=""),"",CONCATENATE(B8,"-",C8))</f>
        <v>HYD-0326-01-F</v>
      </c>
      <c r="E8" s="49">
        <f>IF(B8="","",IFERROR(VLOOKUP(B8,'Coil Sheet at Plant'!$C:$G,5,FALSE),"ID Not Found"))</f>
        <v>2.8</v>
      </c>
      <c r="F8" s="50">
        <f>IF(B8="","",IFERROR(VLOOKUP(B8,'Coil Sheet at Plant'!$C:$H,6,FALSE),"ID Not Found"))</f>
        <v>0</v>
      </c>
      <c r="G8" s="80">
        <v>196</v>
      </c>
      <c r="H8" s="88">
        <f>IF(OR(B8="",G8=""),"",IFERROR(VLOOKUP(B8,'Coil Sheet at Plant'!$C:$J,8,FALSE),0)*G8/SUMIF(B:B,B8,G:G))</f>
        <v>3.2530008045052292</v>
      </c>
      <c r="I8" s="55">
        <f>IF(B8="","",IFERROR(VLOOKUP(B8,'Coil Sheet at Plant'!$C:$L,9,FALSE),""))</f>
        <v>0</v>
      </c>
      <c r="J8" s="84">
        <f>IF(B8="","",IFERROR(VLOOKUP(B8,'Coil Sheet at Plant'!$C:$M,10,FALSE),""))</f>
        <v>0</v>
      </c>
      <c r="K8" s="65">
        <f>IF(B8="","",SUMIF(B:B,B8,G:G))</f>
        <v>1243</v>
      </c>
      <c r="L8" s="66">
        <f>IF(B8="","",IFERROR(VLOOKUP(B8,'Coil Sheet at Plant'!$C:$I,7,FALSE),""))</f>
        <v>1250</v>
      </c>
      <c r="M8" s="67" t="str">
        <f>IF(OR(K8="",L8=""),"",IF(L8=0,"⚠ NO PARENT WIDTH",IF(K8&gt;L8,"⚠ BABY &gt; PARENT","✔ OK")))</f>
        <v>✔ OK</v>
      </c>
      <c r="N8" s="67" t="str">
        <f>IF(D8="","",IF(COUNTIF(D$3:D8,D8)&gt;1,"⚠ DUPLICATE",""))</f>
        <v/>
      </c>
      <c r="O8" s="78" t="str">
        <f>IF(B8="","",SUMIF(B:B,B8,G:G)&amp;" / "&amp;IFERROR(VLOOKUP(B8,'Coil Sheet at Plant'!$C:$I,7,FALSE),"?")&amp;" mm")</f>
        <v>1243 / 1250 mm</v>
      </c>
    </row>
    <row r="9" spans="1:15">
      <c r="A9" s="35">
        <v>46108</v>
      </c>
      <c r="B9" s="30" t="s">
        <v>58</v>
      </c>
      <c r="C9" s="31" t="s">
        <v>65</v>
      </c>
      <c r="D9" s="43" t="str">
        <f>IF(OR(B9="",C9=""),"",CONCATENATE(B9,"-",C9))</f>
        <v>HYD-0326-01-G</v>
      </c>
      <c r="E9" s="49">
        <f>IF(B9="","",IFERROR(VLOOKUP(B9,'Coil Sheet at Plant'!$C:$G,5,FALSE),"ID Not Found"))</f>
        <v>2.8</v>
      </c>
      <c r="F9" s="50">
        <f>IF(B9="","",IFERROR(VLOOKUP(B9,'Coil Sheet at Plant'!$C:$H,6,FALSE),"ID Not Found"))</f>
        <v>0</v>
      </c>
      <c r="G9" s="80">
        <v>196</v>
      </c>
      <c r="H9" s="88">
        <f>IF(OR(B9="",G9=""),"",IFERROR(VLOOKUP(B9,'Coil Sheet at Plant'!$C:$J,8,FALSE),0)*G9/SUMIF(B:B,B9,G:G))</f>
        <v>3.2530008045052292</v>
      </c>
      <c r="I9" s="55">
        <f>IF(B9="","",IFERROR(VLOOKUP(B9,'Coil Sheet at Plant'!$C:$L,9,FALSE),""))</f>
        <v>0</v>
      </c>
      <c r="J9" s="84">
        <f>IF(B9="","",IFERROR(VLOOKUP(B9,'Coil Sheet at Plant'!$C:$M,10,FALSE),""))</f>
        <v>0</v>
      </c>
      <c r="K9" s="65">
        <f>IF(B9="","",SUMIF(B:B,B9,G:G))</f>
        <v>1243</v>
      </c>
      <c r="L9" s="66">
        <f>IF(B9="","",IFERROR(VLOOKUP(B9,'Coil Sheet at Plant'!$C:$I,7,FALSE),""))</f>
        <v>1250</v>
      </c>
      <c r="M9" s="67" t="str">
        <f>IF(OR(K9="",L9=""),"",IF(L9=0,"⚠ NO PARENT WIDTH",IF(K9&gt;L9,"⚠ BABY &gt; PARENT","✔ OK")))</f>
        <v>✔ OK</v>
      </c>
      <c r="N9" s="67" t="str">
        <f>IF(D9="","",IF(COUNTIF(D$3:D9,D9)&gt;1,"⚠ DUPLICATE",""))</f>
        <v/>
      </c>
      <c r="O9" s="78" t="str">
        <f>IF(B9="","",SUMIF(B:B,B9,G:G)&amp;" / "&amp;IFERROR(VLOOKUP(B9,'Coil Sheet at Plant'!$C:$I,7,FALSE),"?")&amp;" mm")</f>
        <v>1243 / 1250 mm</v>
      </c>
    </row>
    <row r="10" spans="1:15">
      <c r="A10" s="35">
        <v>46108</v>
      </c>
      <c r="B10" s="30" t="s">
        <v>58</v>
      </c>
      <c r="C10" s="31" t="s">
        <v>66</v>
      </c>
      <c r="D10" s="43" t="str">
        <f>IF(OR(B10="",C10=""),"",CONCATENATE(B10,"-",C10))</f>
        <v>HYD-0326-01-H</v>
      </c>
      <c r="E10" s="49">
        <f>IF(B10="","",IFERROR(VLOOKUP(B10,'Coil Sheet at Plant'!$C:$G,5,FALSE),"ID Not Found"))</f>
        <v>2.8</v>
      </c>
      <c r="F10" s="50">
        <f>IF(B10="","",IFERROR(VLOOKUP(B10,'Coil Sheet at Plant'!$C:$H,6,FALSE),"ID Not Found"))</f>
        <v>0</v>
      </c>
      <c r="G10" s="80">
        <v>116</v>
      </c>
      <c r="H10" s="88">
        <f>IF(OR(B10="",G10=""),"",IFERROR(VLOOKUP(B10,'Coil Sheet at Plant'!$C:$J,8,FALSE),0)*G10/SUMIF(B:B,B10,G:G))</f>
        <v>1.9252453740949316</v>
      </c>
      <c r="I10" s="55">
        <f>IF(B10="","",IFERROR(VLOOKUP(B10,'Coil Sheet at Plant'!$C:$L,9,FALSE),""))</f>
        <v>0</v>
      </c>
      <c r="J10" s="84">
        <f>IF(B10="","",IFERROR(VLOOKUP(B10,'Coil Sheet at Plant'!$C:$M,10,FALSE),""))</f>
        <v>0</v>
      </c>
      <c r="K10" s="65">
        <f>IF(B10="","",SUMIF(B:B,B10,G:G))</f>
        <v>1243</v>
      </c>
      <c r="L10" s="66">
        <f>IF(B10="","",IFERROR(VLOOKUP(B10,'Coil Sheet at Plant'!$C:$I,7,FALSE),""))</f>
        <v>1250</v>
      </c>
      <c r="M10" s="67" t="str">
        <f>IF(OR(K10="",L10=""),"",IF(L10=0,"⚠ NO PARENT WIDTH",IF(K10&gt;L10,"⚠ BABY &gt; PARENT","✔ OK")))</f>
        <v>✔ OK</v>
      </c>
      <c r="N10" s="67" t="str">
        <f>IF(D10="","",IF(COUNTIF(D$3:D10,D10)&gt;1,"⚠ DUPLICATE",""))</f>
        <v/>
      </c>
      <c r="O10" s="78" t="str">
        <f>IF(B10="","",SUMIF(B:B,B10,G:G)&amp;" / "&amp;IFERROR(VLOOKUP(B10,'Coil Sheet at Plant'!$C:$I,7,FALSE),"?")&amp;" mm")</f>
        <v>1243 / 1250 mm</v>
      </c>
    </row>
    <row r="11" spans="1:15">
      <c r="A11" s="35">
        <v>46108</v>
      </c>
      <c r="B11" s="30" t="s">
        <v>67</v>
      </c>
      <c r="C11" s="31" t="s">
        <v>59</v>
      </c>
      <c r="D11" s="43" t="str">
        <f>IF(OR(B11="",C11=""),"",CONCATENATE(B11,"-",C11))</f>
        <v>HYD-0326-02-A</v>
      </c>
      <c r="E11" s="49">
        <f>IF(B11="","",IFERROR(VLOOKUP(B11,'Coil Sheet at Plant'!$C:$G,5,FALSE),"ID Not Found"))</f>
        <v>2.8</v>
      </c>
      <c r="F11" s="50">
        <f>IF(B11="","",IFERROR(VLOOKUP(B11,'Coil Sheet at Plant'!$C:$H,6,FALSE),"ID Not Found"))</f>
        <v>0</v>
      </c>
      <c r="G11" s="80">
        <v>147</v>
      </c>
      <c r="H11" s="88">
        <f>IF(OR(B11="",G11=""),"",IFERROR(VLOOKUP(B11,'Coil Sheet at Plant'!$C:$J,8,FALSE),0)*G11/SUMIF(B:B,B11,G:G))</f>
        <v>2.475229283990346</v>
      </c>
      <c r="I11" s="55">
        <f>IF(B11="","",IFERROR(VLOOKUP(B11,'Coil Sheet at Plant'!$C:$L,9,FALSE),""))</f>
        <v>0</v>
      </c>
      <c r="J11" s="84">
        <f>IF(B11="","",IFERROR(VLOOKUP(B11,'Coil Sheet at Plant'!$C:$M,10,FALSE),""))</f>
        <v>0</v>
      </c>
      <c r="K11" s="65">
        <f>IF(B11="","",SUMIF(B:B,B11,G:G))</f>
        <v>1243</v>
      </c>
      <c r="L11" s="66">
        <f>IF(B11="","",IFERROR(VLOOKUP(B11,'Coil Sheet at Plant'!$C:$I,7,FALSE),""))</f>
        <v>1250</v>
      </c>
      <c r="M11" s="67" t="str">
        <f>IF(OR(K11="",L11=""),"",IF(L11=0,"⚠ NO PARENT WIDTH",IF(K11&gt;L11,"⚠ BABY &gt; PARENT","✔ OK")))</f>
        <v>✔ OK</v>
      </c>
      <c r="N11" s="67" t="str">
        <f>IF(D11="","",IF(COUNTIF(D$3:D11,D11)&gt;1,"⚠ DUPLICATE",""))</f>
        <v/>
      </c>
      <c r="O11" s="78" t="str">
        <f>IF(B11="","",SUMIF(B:B,B11,G:G)&amp;" / "&amp;IFERROR(VLOOKUP(B11,'Coil Sheet at Plant'!$C:$I,7,FALSE),"?")&amp;" mm")</f>
        <v>1243 / 1250 mm</v>
      </c>
    </row>
    <row r="12" spans="1:15">
      <c r="A12" s="35">
        <v>46108</v>
      </c>
      <c r="B12" s="30" t="s">
        <v>67</v>
      </c>
      <c r="C12" s="31" t="s">
        <v>60</v>
      </c>
      <c r="D12" s="43" t="str">
        <f>IF(OR(B12="",C12=""),"",CONCATENATE(B12,"-",C12))</f>
        <v>HYD-0326-02-B</v>
      </c>
      <c r="E12" s="49">
        <f>IF(B12="","",IFERROR(VLOOKUP(B12,'Coil Sheet at Plant'!$C:$G,5,FALSE),"ID Not Found"))</f>
        <v>2.8</v>
      </c>
      <c r="F12" s="50">
        <f>IF(B12="","",IFERROR(VLOOKUP(B12,'Coil Sheet at Plant'!$C:$H,6,FALSE),"ID Not Found"))</f>
        <v>0</v>
      </c>
      <c r="G12" s="80">
        <v>147</v>
      </c>
      <c r="H12" s="88">
        <f>IF(OR(B12="",G12=""),"",IFERROR(VLOOKUP(B12,'Coil Sheet at Plant'!$C:$J,8,FALSE),0)*G12/SUMIF(B:B,B12,G:G))</f>
        <v>2.475229283990346</v>
      </c>
      <c r="I12" s="55">
        <f>IF(B12="","",IFERROR(VLOOKUP(B12,'Coil Sheet at Plant'!$C:$L,9,FALSE),""))</f>
        <v>0</v>
      </c>
      <c r="J12" s="84">
        <f>IF(B12="","",IFERROR(VLOOKUP(B12,'Coil Sheet at Plant'!$C:$M,10,FALSE),""))</f>
        <v>0</v>
      </c>
      <c r="K12" s="65">
        <f>IF(B12="","",SUMIF(B:B,B12,G:G))</f>
        <v>1243</v>
      </c>
      <c r="L12" s="66">
        <f>IF(B12="","",IFERROR(VLOOKUP(B12,'Coil Sheet at Plant'!$C:$I,7,FALSE),""))</f>
        <v>1250</v>
      </c>
      <c r="M12" s="67" t="str">
        <f>IF(OR(K12="",L12=""),"",IF(L12=0,"⚠ NO PARENT WIDTH",IF(K12&gt;L12,"⚠ BABY &gt; PARENT","✔ OK")))</f>
        <v>✔ OK</v>
      </c>
      <c r="N12" s="67" t="str">
        <f>IF(D12="","",IF(COUNTIF(D$3:D12,D12)&gt;1,"⚠ DUPLICATE",""))</f>
        <v/>
      </c>
      <c r="O12" s="78" t="str">
        <f>IF(B12="","",SUMIF(B:B,B12,G:G)&amp;" / "&amp;IFERROR(VLOOKUP(B12,'Coil Sheet at Plant'!$C:$I,7,FALSE),"?")&amp;" mm")</f>
        <v>1243 / 1250 mm</v>
      </c>
    </row>
    <row r="13" spans="1:15">
      <c r="A13" s="35">
        <v>46108</v>
      </c>
      <c r="B13" s="30" t="s">
        <v>67</v>
      </c>
      <c r="C13" s="31" t="s">
        <v>61</v>
      </c>
      <c r="D13" s="43" t="str">
        <f>IF(OR(B13="",C13=""),"",CONCATENATE(B13,"-",C13))</f>
        <v>HYD-0326-02-C</v>
      </c>
      <c r="E13" s="49">
        <f>IF(B13="","",IFERROR(VLOOKUP(B13,'Coil Sheet at Plant'!$C:$G,5,FALSE),"ID Not Found"))</f>
        <v>2.8</v>
      </c>
      <c r="F13" s="50">
        <f>IF(B13="","",IFERROR(VLOOKUP(B13,'Coil Sheet at Plant'!$C:$H,6,FALSE),"ID Not Found"))</f>
        <v>0</v>
      </c>
      <c r="G13" s="80">
        <v>147</v>
      </c>
      <c r="H13" s="88">
        <f>IF(OR(B13="",G13=""),"",IFERROR(VLOOKUP(B13,'Coil Sheet at Plant'!$C:$J,8,FALSE),0)*G13/SUMIF(B:B,B13,G:G))</f>
        <v>2.475229283990346</v>
      </c>
      <c r="I13" s="55">
        <f>IF(B13="","",IFERROR(VLOOKUP(B13,'Coil Sheet at Plant'!$C:$L,9,FALSE),""))</f>
        <v>0</v>
      </c>
      <c r="J13" s="84">
        <f>IF(B13="","",IFERROR(VLOOKUP(B13,'Coil Sheet at Plant'!$C:$M,10,FALSE),""))</f>
        <v>0</v>
      </c>
      <c r="K13" s="65">
        <f>IF(B13="","",SUMIF(B:B,B13,G:G))</f>
        <v>1243</v>
      </c>
      <c r="L13" s="66">
        <f>IF(B13="","",IFERROR(VLOOKUP(B13,'Coil Sheet at Plant'!$C:$I,7,FALSE),""))</f>
        <v>1250</v>
      </c>
      <c r="M13" s="67" t="str">
        <f>IF(OR(K13="",L13=""),"",IF(L13=0,"⚠ NO PARENT WIDTH",IF(K13&gt;L13,"⚠ BABY &gt; PARENT","✔ OK")))</f>
        <v>✔ OK</v>
      </c>
      <c r="N13" s="67" t="str">
        <f>IF(D13="","",IF(COUNTIF(D$3:D13,D13)&gt;1,"⚠ DUPLICATE",""))</f>
        <v/>
      </c>
      <c r="O13" s="78" t="str">
        <f>IF(B13="","",SUMIF(B:B,B13,G:G)&amp;" / "&amp;IFERROR(VLOOKUP(B13,'Coil Sheet at Plant'!$C:$I,7,FALSE),"?")&amp;" mm")</f>
        <v>1243 / 1250 mm</v>
      </c>
    </row>
    <row r="14" spans="1:15">
      <c r="A14" s="35">
        <v>46108</v>
      </c>
      <c r="B14" s="30" t="s">
        <v>67</v>
      </c>
      <c r="C14" s="31" t="s">
        <v>62</v>
      </c>
      <c r="D14" s="43" t="str">
        <f>IF(OR(B14="",C14=""),"",CONCATENATE(B14,"-",C14))</f>
        <v>HYD-0326-02-D</v>
      </c>
      <c r="E14" s="49">
        <f>IF(B14="","",IFERROR(VLOOKUP(B14,'Coil Sheet at Plant'!$C:$G,5,FALSE),"ID Not Found"))</f>
        <v>2.8</v>
      </c>
      <c r="F14" s="50">
        <f>IF(B14="","",IFERROR(VLOOKUP(B14,'Coil Sheet at Plant'!$C:$H,6,FALSE),"ID Not Found"))</f>
        <v>0</v>
      </c>
      <c r="G14" s="80">
        <v>147</v>
      </c>
      <c r="H14" s="88">
        <f>IF(OR(B14="",G14=""),"",IFERROR(VLOOKUP(B14,'Coil Sheet at Plant'!$C:$J,8,FALSE),0)*G14/SUMIF(B:B,B14,G:G))</f>
        <v>2.475229283990346</v>
      </c>
      <c r="I14" s="55">
        <f>IF(B14="","",IFERROR(VLOOKUP(B14,'Coil Sheet at Plant'!$C:$L,9,FALSE),""))</f>
        <v>0</v>
      </c>
      <c r="J14" s="84">
        <f>IF(B14="","",IFERROR(VLOOKUP(B14,'Coil Sheet at Plant'!$C:$M,10,FALSE),""))</f>
        <v>0</v>
      </c>
      <c r="K14" s="65">
        <f>IF(B14="","",SUMIF(B:B,B14,G:G))</f>
        <v>1243</v>
      </c>
      <c r="L14" s="66">
        <f>IF(B14="","",IFERROR(VLOOKUP(B14,'Coil Sheet at Plant'!$C:$I,7,FALSE),""))</f>
        <v>1250</v>
      </c>
      <c r="M14" s="67" t="str">
        <f>IF(OR(K14="",L14=""),"",IF(L14=0,"⚠ NO PARENT WIDTH",IF(K14&gt;L14,"⚠ BABY &gt; PARENT","✔ OK")))</f>
        <v>✔ OK</v>
      </c>
      <c r="N14" s="67" t="str">
        <f>IF(D14="","",IF(COUNTIF(D$3:D14,D14)&gt;1,"⚠ DUPLICATE",""))</f>
        <v/>
      </c>
      <c r="O14" s="78" t="str">
        <f>IF(B14="","",SUMIF(B:B,B14,G:G)&amp;" / "&amp;IFERROR(VLOOKUP(B14,'Coil Sheet at Plant'!$C:$I,7,FALSE),"?")&amp;" mm")</f>
        <v>1243 / 1250 mm</v>
      </c>
    </row>
    <row r="15" spans="1:15">
      <c r="A15" s="35">
        <v>46108</v>
      </c>
      <c r="B15" s="30" t="s">
        <v>67</v>
      </c>
      <c r="C15" s="31" t="s">
        <v>63</v>
      </c>
      <c r="D15" s="43" t="str">
        <f>IF(OR(B15="",C15=""),"",CONCATENATE(B15,"-",C15))</f>
        <v>HYD-0326-02-E</v>
      </c>
      <c r="E15" s="49">
        <f>IF(B15="","",IFERROR(VLOOKUP(B15,'Coil Sheet at Plant'!$C:$G,5,FALSE),"ID Not Found"))</f>
        <v>2.8</v>
      </c>
      <c r="F15" s="50">
        <f>IF(B15="","",IFERROR(VLOOKUP(B15,'Coil Sheet at Plant'!$C:$H,6,FALSE),"ID Not Found"))</f>
        <v>0</v>
      </c>
      <c r="G15" s="80">
        <v>147</v>
      </c>
      <c r="H15" s="88">
        <f>IF(OR(B15="",G15=""),"",IFERROR(VLOOKUP(B15,'Coil Sheet at Plant'!$C:$J,8,FALSE),0)*G15/SUMIF(B:B,B15,G:G))</f>
        <v>2.475229283990346</v>
      </c>
      <c r="I15" s="55">
        <f>IF(B15="","",IFERROR(VLOOKUP(B15,'Coil Sheet at Plant'!$C:$L,9,FALSE),""))</f>
        <v>0</v>
      </c>
      <c r="J15" s="84">
        <f>IF(B15="","",IFERROR(VLOOKUP(B15,'Coil Sheet at Plant'!$C:$M,10,FALSE),""))</f>
        <v>0</v>
      </c>
      <c r="K15" s="65">
        <f>IF(B15="","",SUMIF(B:B,B15,G:G))</f>
        <v>1243</v>
      </c>
      <c r="L15" s="66">
        <f>IF(B15="","",IFERROR(VLOOKUP(B15,'Coil Sheet at Plant'!$C:$I,7,FALSE),""))</f>
        <v>1250</v>
      </c>
      <c r="M15" s="67" t="str">
        <f>IF(OR(K15="",L15=""),"",IF(L15=0,"⚠ NO PARENT WIDTH",IF(K15&gt;L15,"⚠ BABY &gt; PARENT","✔ OK")))</f>
        <v>✔ OK</v>
      </c>
      <c r="N15" s="67" t="str">
        <f>IF(D15="","",IF(COUNTIF(D$3:D15,D15)&gt;1,"⚠ DUPLICATE",""))</f>
        <v/>
      </c>
      <c r="O15" s="78" t="str">
        <f>IF(B15="","",SUMIF(B:B,B15,G:G)&amp;" / "&amp;IFERROR(VLOOKUP(B15,'Coil Sheet at Plant'!$C:$I,7,FALSE),"?")&amp;" mm")</f>
        <v>1243 / 1250 mm</v>
      </c>
    </row>
    <row r="16" spans="1:15">
      <c r="A16" s="35">
        <v>46108</v>
      </c>
      <c r="B16" s="30" t="s">
        <v>67</v>
      </c>
      <c r="C16" s="31" t="s">
        <v>64</v>
      </c>
      <c r="D16" s="43" t="str">
        <f>IF(OR(B16="",C16=""),"",CONCATENATE(B16,"-",C16))</f>
        <v>HYD-0326-02-F</v>
      </c>
      <c r="E16" s="49">
        <f>IF(B16="","",IFERROR(VLOOKUP(B16,'Coil Sheet at Plant'!$C:$G,5,FALSE),"ID Not Found"))</f>
        <v>2.8</v>
      </c>
      <c r="F16" s="50">
        <f>IF(B16="","",IFERROR(VLOOKUP(B16,'Coil Sheet at Plant'!$C:$H,6,FALSE),"ID Not Found"))</f>
        <v>0</v>
      </c>
      <c r="G16" s="80">
        <v>196</v>
      </c>
      <c r="H16" s="88">
        <f>IF(OR(B16="",G16=""),"",IFERROR(VLOOKUP(B16,'Coil Sheet at Plant'!$C:$J,8,FALSE),0)*G16/SUMIF(B:B,B16,G:G))</f>
        <v>3.3003057119871277</v>
      </c>
      <c r="I16" s="55">
        <f>IF(B16="","",IFERROR(VLOOKUP(B16,'Coil Sheet at Plant'!$C:$L,9,FALSE),""))</f>
        <v>0</v>
      </c>
      <c r="J16" s="84">
        <f>IF(B16="","",IFERROR(VLOOKUP(B16,'Coil Sheet at Plant'!$C:$M,10,FALSE),""))</f>
        <v>0</v>
      </c>
      <c r="K16" s="65">
        <f>IF(B16="","",SUMIF(B:B,B16,G:G))</f>
        <v>1243</v>
      </c>
      <c r="L16" s="66">
        <f>IF(B16="","",IFERROR(VLOOKUP(B16,'Coil Sheet at Plant'!$C:$I,7,FALSE),""))</f>
        <v>1250</v>
      </c>
      <c r="M16" s="67" t="str">
        <f>IF(OR(K16="",L16=""),"",IF(L16=0,"⚠ NO PARENT WIDTH",IF(K16&gt;L16,"⚠ BABY &gt; PARENT","✔ OK")))</f>
        <v>✔ OK</v>
      </c>
      <c r="N16" s="67" t="str">
        <f>IF(D16="","",IF(COUNTIF(D$3:D16,D16)&gt;1,"⚠ DUPLICATE",""))</f>
        <v/>
      </c>
      <c r="O16" s="78" t="str">
        <f>IF(B16="","",SUMIF(B:B,B16,G:G)&amp;" / "&amp;IFERROR(VLOOKUP(B16,'Coil Sheet at Plant'!$C:$I,7,FALSE),"?")&amp;" mm")</f>
        <v>1243 / 1250 mm</v>
      </c>
    </row>
    <row r="17" spans="1:15">
      <c r="A17" s="35">
        <v>46108</v>
      </c>
      <c r="B17" s="30" t="s">
        <v>67</v>
      </c>
      <c r="C17" s="31" t="s">
        <v>65</v>
      </c>
      <c r="D17" s="43" t="str">
        <f>IF(OR(B17="",C17=""),"",CONCATENATE(B17,"-",C17))</f>
        <v>HYD-0326-02-G</v>
      </c>
      <c r="E17" s="49">
        <f>IF(B17="","",IFERROR(VLOOKUP(B17,'Coil Sheet at Plant'!$C:$G,5,FALSE),"ID Not Found"))</f>
        <v>2.8</v>
      </c>
      <c r="F17" s="50">
        <f>IF(B17="","",IFERROR(VLOOKUP(B17,'Coil Sheet at Plant'!$C:$H,6,FALSE),"ID Not Found"))</f>
        <v>0</v>
      </c>
      <c r="G17" s="80">
        <v>196</v>
      </c>
      <c r="H17" s="88">
        <f>IF(OR(B17="",G17=""),"",IFERROR(VLOOKUP(B17,'Coil Sheet at Plant'!$C:$J,8,FALSE),0)*G17/SUMIF(B:B,B17,G:G))</f>
        <v>3.3003057119871277</v>
      </c>
      <c r="I17" s="55">
        <f>IF(B17="","",IFERROR(VLOOKUP(B17,'Coil Sheet at Plant'!$C:$L,9,FALSE),""))</f>
        <v>0</v>
      </c>
      <c r="J17" s="84">
        <f>IF(B17="","",IFERROR(VLOOKUP(B17,'Coil Sheet at Plant'!$C:$M,10,FALSE),""))</f>
        <v>0</v>
      </c>
      <c r="K17" s="65">
        <f>IF(B17="","",SUMIF(B:B,B17,G:G))</f>
        <v>1243</v>
      </c>
      <c r="L17" s="66">
        <f>IF(B17="","",IFERROR(VLOOKUP(B17,'Coil Sheet at Plant'!$C:$I,7,FALSE),""))</f>
        <v>1250</v>
      </c>
      <c r="M17" s="67" t="str">
        <f>IF(OR(K17="",L17=""),"",IF(L17=0,"⚠ NO PARENT WIDTH",IF(K17&gt;L17,"⚠ BABY &gt; PARENT","✔ OK")))</f>
        <v>✔ OK</v>
      </c>
      <c r="N17" s="67" t="str">
        <f>IF(D17="","",IF(COUNTIF(D$3:D17,D17)&gt;1,"⚠ DUPLICATE",""))</f>
        <v/>
      </c>
      <c r="O17" s="78" t="str">
        <f>IF(B17="","",SUMIF(B:B,B17,G:G)&amp;" / "&amp;IFERROR(VLOOKUP(B17,'Coil Sheet at Plant'!$C:$I,7,FALSE),"?")&amp;" mm")</f>
        <v>1243 / 1250 mm</v>
      </c>
    </row>
    <row r="18" spans="1:15">
      <c r="A18" s="35">
        <v>46108</v>
      </c>
      <c r="B18" s="30" t="s">
        <v>67</v>
      </c>
      <c r="C18" s="31" t="s">
        <v>66</v>
      </c>
      <c r="D18" s="43" t="str">
        <f>IF(OR(B18="",C18=""),"",CONCATENATE(B18,"-",C18))</f>
        <v>HYD-0326-02-H</v>
      </c>
      <c r="E18" s="49">
        <f>IF(B18="","",IFERROR(VLOOKUP(B18,'Coil Sheet at Plant'!$C:$G,5,FALSE),"ID Not Found"))</f>
        <v>2.8</v>
      </c>
      <c r="F18" s="50">
        <f>IF(B18="","",IFERROR(VLOOKUP(B18,'Coil Sheet at Plant'!$C:$H,6,FALSE),"ID Not Found"))</f>
        <v>0</v>
      </c>
      <c r="G18" s="80">
        <v>116</v>
      </c>
      <c r="H18" s="88">
        <f>IF(OR(B18="",G18=""),"",IFERROR(VLOOKUP(B18,'Coil Sheet at Plant'!$C:$J,8,FALSE),0)*G18/SUMIF(B:B,B18,G:G))</f>
        <v>1.9532421560740145</v>
      </c>
      <c r="I18" s="55">
        <f>IF(B18="","",IFERROR(VLOOKUP(B18,'Coil Sheet at Plant'!$C:$L,9,FALSE),""))</f>
        <v>0</v>
      </c>
      <c r="J18" s="84">
        <f>IF(B18="","",IFERROR(VLOOKUP(B18,'Coil Sheet at Plant'!$C:$M,10,FALSE),""))</f>
        <v>0</v>
      </c>
      <c r="K18" s="65">
        <f>IF(B18="","",SUMIF(B:B,B18,G:G))</f>
        <v>1243</v>
      </c>
      <c r="L18" s="66">
        <f>IF(B18="","",IFERROR(VLOOKUP(B18,'Coil Sheet at Plant'!$C:$I,7,FALSE),""))</f>
        <v>1250</v>
      </c>
      <c r="M18" s="67" t="str">
        <f>IF(OR(K18="",L18=""),"",IF(L18=0,"⚠ NO PARENT WIDTH",IF(K18&gt;L18,"⚠ BABY &gt; PARENT","✔ OK")))</f>
        <v>✔ OK</v>
      </c>
      <c r="N18" s="67" t="str">
        <f>IF(D18="","",IF(COUNTIF(D$3:D18,D18)&gt;1,"⚠ DUPLICATE",""))</f>
        <v/>
      </c>
      <c r="O18" s="78" t="str">
        <f>IF(B18="","",SUMIF(B:B,B18,G:G)&amp;" / "&amp;IFERROR(VLOOKUP(B18,'Coil Sheet at Plant'!$C:$I,7,FALSE),"?")&amp;" mm")</f>
        <v>1243 / 1250 mm</v>
      </c>
    </row>
    <row r="19" spans="1:15">
      <c r="A19" s="35">
        <v>46109</v>
      </c>
      <c r="B19" s="30" t="s">
        <v>68</v>
      </c>
      <c r="C19" s="31" t="s">
        <v>59</v>
      </c>
      <c r="D19" s="43" t="str">
        <f>IF(OR(B19="",C19=""),"",CONCATENATE(B19,"-",C19))</f>
        <v>HYD-0326-03-A</v>
      </c>
      <c r="E19" s="49">
        <f>IF(B19="","",IFERROR(VLOOKUP(B19,'Coil Sheet at Plant'!$C:$G,5,FALSE),"ID Not Found"))</f>
        <v>2.5</v>
      </c>
      <c r="F19" s="50">
        <f>IF(B19="","",IFERROR(VLOOKUP(B19,'Coil Sheet at Plant'!$C:$H,6,FALSE),"ID Not Found"))</f>
        <v>0</v>
      </c>
      <c r="G19" s="80">
        <v>147</v>
      </c>
      <c r="H19" s="88">
        <f>IF(OR(B19="",G19=""),"",IFERROR(VLOOKUP(B19,'Coil Sheet at Plant'!$C:$J,8,FALSE),0)*G19/SUMIF(B:B,B19,G:G))</f>
        <v>2.8627859042553192</v>
      </c>
      <c r="I19" s="55">
        <f>IF(B19="","",IFERROR(VLOOKUP(B19,'Coil Sheet at Plant'!$C:$L,9,FALSE),""))</f>
        <v>0</v>
      </c>
      <c r="J19" s="84">
        <f>IF(B19="","",IFERROR(VLOOKUP(B19,'Coil Sheet at Plant'!$C:$M,10,FALSE),""))</f>
        <v>0</v>
      </c>
      <c r="K19" s="65">
        <f>IF(B19="","",SUMIF(B:B,B19,G:G))</f>
        <v>1504</v>
      </c>
      <c r="L19" s="66">
        <f>IF(B19="","",IFERROR(VLOOKUP(B19,'Coil Sheet at Plant'!$C:$I,7,FALSE),""))</f>
        <v>1500</v>
      </c>
      <c r="M19" s="67" t="str">
        <f>IF(OR(K19="",L19=""),"",IF(L19=0,"⚠ NO PARENT WIDTH",IF(K19&gt;L19,"⚠ BABY &gt; PARENT","✔ OK")))</f>
        <v>⚠ BABY &gt; PARENT</v>
      </c>
      <c r="N19" s="67" t="str">
        <f>IF(D19="","",IF(COUNTIF(D$3:D19,D19)&gt;1,"⚠ DUPLICATE",""))</f>
        <v/>
      </c>
      <c r="O19" s="78" t="str">
        <f>IF(B19="","",SUMIF(B:B,B19,G:G)&amp;" / "&amp;IFERROR(VLOOKUP(B19,'Coil Sheet at Plant'!$C:$I,7,FALSE),"?")&amp;" mm")</f>
        <v>1504 / 1500 mm</v>
      </c>
    </row>
    <row r="20" spans="1:15">
      <c r="A20" s="35">
        <v>46109</v>
      </c>
      <c r="B20" s="30" t="s">
        <v>68</v>
      </c>
      <c r="C20" s="31" t="s">
        <v>60</v>
      </c>
      <c r="D20" s="43" t="str">
        <f>IF(OR(B20="",C20=""),"",CONCATENATE(B20,"-",C20))</f>
        <v>HYD-0326-03-B</v>
      </c>
      <c r="E20" s="49">
        <f>IF(B20="","",IFERROR(VLOOKUP(B20,'Coil Sheet at Plant'!$C:$G,5,FALSE),"ID Not Found"))</f>
        <v>2.5</v>
      </c>
      <c r="F20" s="50">
        <f>IF(B20="","",IFERROR(VLOOKUP(B20,'Coil Sheet at Plant'!$C:$H,6,FALSE),"ID Not Found"))</f>
        <v>0</v>
      </c>
      <c r="G20" s="80">
        <v>147</v>
      </c>
      <c r="H20" s="88">
        <f>IF(OR(B20="",G20=""),"",IFERROR(VLOOKUP(B20,'Coil Sheet at Plant'!$C:$J,8,FALSE),0)*G20/SUMIF(B:B,B20,G:G))</f>
        <v>2.8627859042553192</v>
      </c>
      <c r="I20" s="55">
        <f>IF(B20="","",IFERROR(VLOOKUP(B20,'Coil Sheet at Plant'!$C:$L,9,FALSE),""))</f>
        <v>0</v>
      </c>
      <c r="J20" s="84">
        <f>IF(B20="","",IFERROR(VLOOKUP(B20,'Coil Sheet at Plant'!$C:$M,10,FALSE),""))</f>
        <v>0</v>
      </c>
      <c r="K20" s="65">
        <f>IF(B20="","",SUMIF(B:B,B20,G:G))</f>
        <v>1504</v>
      </c>
      <c r="L20" s="66">
        <f>IF(B20="","",IFERROR(VLOOKUP(B20,'Coil Sheet at Plant'!$C:$I,7,FALSE),""))</f>
        <v>1500</v>
      </c>
      <c r="M20" s="67" t="str">
        <f>IF(OR(K20="",L20=""),"",IF(L20=0,"⚠ NO PARENT WIDTH",IF(K20&gt;L20,"⚠ BABY &gt; PARENT","✔ OK")))</f>
        <v>⚠ BABY &gt; PARENT</v>
      </c>
      <c r="N20" s="67" t="str">
        <f>IF(D20="","",IF(COUNTIF(D$3:D20,D20)&gt;1,"⚠ DUPLICATE",""))</f>
        <v/>
      </c>
      <c r="O20" s="78" t="str">
        <f>IF(B20="","",SUMIF(B:B,B20,G:G)&amp;" / "&amp;IFERROR(VLOOKUP(B20,'Coil Sheet at Plant'!$C:$I,7,FALSE),"?")&amp;" mm")</f>
        <v>1504 / 1500 mm</v>
      </c>
    </row>
    <row r="21" spans="1:15">
      <c r="A21" s="35">
        <v>46109</v>
      </c>
      <c r="B21" s="30" t="s">
        <v>68</v>
      </c>
      <c r="C21" s="31" t="s">
        <v>61</v>
      </c>
      <c r="D21" s="43" t="str">
        <f>IF(OR(B21="",C21=""),"",CONCATENATE(B21,"-",C21))</f>
        <v>HYD-0326-03-C</v>
      </c>
      <c r="E21" s="49">
        <f>IF(B21="","",IFERROR(VLOOKUP(B21,'Coil Sheet at Plant'!$C:$G,5,FALSE),"ID Not Found"))</f>
        <v>2.5</v>
      </c>
      <c r="F21" s="50">
        <f>IF(B21="","",IFERROR(VLOOKUP(B21,'Coil Sheet at Plant'!$C:$H,6,FALSE),"ID Not Found"))</f>
        <v>0</v>
      </c>
      <c r="G21" s="80">
        <v>147</v>
      </c>
      <c r="H21" s="88">
        <f>IF(OR(B21="",G21=""),"",IFERROR(VLOOKUP(B21,'Coil Sheet at Plant'!$C:$J,8,FALSE),0)*G21/SUMIF(B:B,B21,G:G))</f>
        <v>2.8627859042553192</v>
      </c>
      <c r="I21" s="55">
        <f>IF(B21="","",IFERROR(VLOOKUP(B21,'Coil Sheet at Plant'!$C:$L,9,FALSE),""))</f>
        <v>0</v>
      </c>
      <c r="J21" s="84">
        <f>IF(B21="","",IFERROR(VLOOKUP(B21,'Coil Sheet at Plant'!$C:$M,10,FALSE),""))</f>
        <v>0</v>
      </c>
      <c r="K21" s="65">
        <f>IF(B21="","",SUMIF(B:B,B21,G:G))</f>
        <v>1504</v>
      </c>
      <c r="L21" s="66">
        <f>IF(B21="","",IFERROR(VLOOKUP(B21,'Coil Sheet at Plant'!$C:$I,7,FALSE),""))</f>
        <v>1500</v>
      </c>
      <c r="M21" s="67" t="str">
        <f>IF(OR(K21="",L21=""),"",IF(L21=0,"⚠ NO PARENT WIDTH",IF(K21&gt;L21,"⚠ BABY &gt; PARENT","✔ OK")))</f>
        <v>⚠ BABY &gt; PARENT</v>
      </c>
      <c r="N21" s="67" t="str">
        <f>IF(D21="","",IF(COUNTIF(D$3:D21,D21)&gt;1,"⚠ DUPLICATE",""))</f>
        <v/>
      </c>
      <c r="O21" s="78" t="str">
        <f>IF(B21="","",SUMIF(B:B,B21,G:G)&amp;" / "&amp;IFERROR(VLOOKUP(B21,'Coil Sheet at Plant'!$C:$I,7,FALSE),"?")&amp;" mm")</f>
        <v>1504 / 1500 mm</v>
      </c>
    </row>
    <row r="22" spans="1:15">
      <c r="A22" s="35">
        <v>46109</v>
      </c>
      <c r="B22" s="30" t="s">
        <v>68</v>
      </c>
      <c r="C22" s="31" t="s">
        <v>62</v>
      </c>
      <c r="D22" s="43" t="str">
        <f>IF(OR(B22="",C22=""),"",CONCATENATE(B22,"-",C22))</f>
        <v>HYD-0326-03-D</v>
      </c>
      <c r="E22" s="49">
        <f>IF(B22="","",IFERROR(VLOOKUP(B22,'Coil Sheet at Plant'!$C:$G,5,FALSE),"ID Not Found"))</f>
        <v>2.5</v>
      </c>
      <c r="F22" s="50">
        <f>IF(B22="","",IFERROR(VLOOKUP(B22,'Coil Sheet at Plant'!$C:$H,6,FALSE),"ID Not Found"))</f>
        <v>0</v>
      </c>
      <c r="G22" s="80">
        <v>147</v>
      </c>
      <c r="H22" s="88">
        <f>IF(OR(B22="",G22=""),"",IFERROR(VLOOKUP(B22,'Coil Sheet at Plant'!$C:$J,8,FALSE),0)*G22/SUMIF(B:B,B22,G:G))</f>
        <v>2.8627859042553192</v>
      </c>
      <c r="I22" s="55">
        <f>IF(B22="","",IFERROR(VLOOKUP(B22,'Coil Sheet at Plant'!$C:$L,9,FALSE),""))</f>
        <v>0</v>
      </c>
      <c r="J22" s="84">
        <f>IF(B22="","",IFERROR(VLOOKUP(B22,'Coil Sheet at Plant'!$C:$M,10,FALSE),""))</f>
        <v>0</v>
      </c>
      <c r="K22" s="65">
        <f>IF(B22="","",SUMIF(B:B,B22,G:G))</f>
        <v>1504</v>
      </c>
      <c r="L22" s="66">
        <f>IF(B22="","",IFERROR(VLOOKUP(B22,'Coil Sheet at Plant'!$C:$I,7,FALSE),""))</f>
        <v>1500</v>
      </c>
      <c r="M22" s="67" t="str">
        <f>IF(OR(K22="",L22=""),"",IF(L22=0,"⚠ NO PARENT WIDTH",IF(K22&gt;L22,"⚠ BABY &gt; PARENT","✔ OK")))</f>
        <v>⚠ BABY &gt; PARENT</v>
      </c>
      <c r="N22" s="67" t="str">
        <f>IF(D22="","",IF(COUNTIF(D$3:D22,D22)&gt;1,"⚠ DUPLICATE",""))</f>
        <v/>
      </c>
      <c r="O22" s="78" t="str">
        <f>IF(B22="","",SUMIF(B:B,B22,G:G)&amp;" / "&amp;IFERROR(VLOOKUP(B22,'Coil Sheet at Plant'!$C:$I,7,FALSE),"?")&amp;" mm")</f>
        <v>1504 / 1500 mm</v>
      </c>
    </row>
    <row r="23" spans="1:15">
      <c r="A23" s="35">
        <v>46109</v>
      </c>
      <c r="B23" s="30" t="s">
        <v>68</v>
      </c>
      <c r="C23" s="31" t="s">
        <v>63</v>
      </c>
      <c r="D23" s="43" t="str">
        <f>IF(OR(B23="",C23=""),"",CONCATENATE(B23,"-",C23))</f>
        <v>HYD-0326-03-E</v>
      </c>
      <c r="E23" s="49">
        <f>IF(B23="","",IFERROR(VLOOKUP(B23,'Coil Sheet at Plant'!$C:$G,5,FALSE),"ID Not Found"))</f>
        <v>2.5</v>
      </c>
      <c r="F23" s="50">
        <f>IF(B23="","",IFERROR(VLOOKUP(B23,'Coil Sheet at Plant'!$C:$H,6,FALSE),"ID Not Found"))</f>
        <v>0</v>
      </c>
      <c r="G23" s="80">
        <v>196</v>
      </c>
      <c r="H23" s="88">
        <f>IF(OR(B23="",G23=""),"",IFERROR(VLOOKUP(B23,'Coil Sheet at Plant'!$C:$J,8,FALSE),0)*G23/SUMIF(B:B,B23,G:G))</f>
        <v>3.8170478723404258</v>
      </c>
      <c r="I23" s="55">
        <f>IF(B23="","",IFERROR(VLOOKUP(B23,'Coil Sheet at Plant'!$C:$L,9,FALSE),""))</f>
        <v>0</v>
      </c>
      <c r="J23" s="84">
        <f>IF(B23="","",IFERROR(VLOOKUP(B23,'Coil Sheet at Plant'!$C:$M,10,FALSE),""))</f>
        <v>0</v>
      </c>
      <c r="K23" s="65">
        <f>IF(B23="","",SUMIF(B:B,B23,G:G))</f>
        <v>1504</v>
      </c>
      <c r="L23" s="66">
        <f>IF(B23="","",IFERROR(VLOOKUP(B23,'Coil Sheet at Plant'!$C:$I,7,FALSE),""))</f>
        <v>1500</v>
      </c>
      <c r="M23" s="67" t="str">
        <f>IF(OR(K23="",L23=""),"",IF(L23=0,"⚠ NO PARENT WIDTH",IF(K23&gt;L23,"⚠ BABY &gt; PARENT","✔ OK")))</f>
        <v>⚠ BABY &gt; PARENT</v>
      </c>
      <c r="N23" s="67" t="str">
        <f>IF(D23="","",IF(COUNTIF(D$3:D23,D23)&gt;1,"⚠ DUPLICATE",""))</f>
        <v/>
      </c>
      <c r="O23" s="78" t="str">
        <f>IF(B23="","",SUMIF(B:B,B23,G:G)&amp;" / "&amp;IFERROR(VLOOKUP(B23,'Coil Sheet at Plant'!$C:$I,7,FALSE),"?")&amp;" mm")</f>
        <v>1504 / 1500 mm</v>
      </c>
    </row>
    <row r="24" spans="1:15">
      <c r="A24" s="35">
        <v>46109</v>
      </c>
      <c r="B24" s="30" t="s">
        <v>68</v>
      </c>
      <c r="C24" s="31" t="s">
        <v>64</v>
      </c>
      <c r="D24" s="43" t="str">
        <f>IF(OR(B24="",C24=""),"",CONCATENATE(B24,"-",C24))</f>
        <v>HYD-0326-03-F</v>
      </c>
      <c r="E24" s="49">
        <f>IF(B24="","",IFERROR(VLOOKUP(B24,'Coil Sheet at Plant'!$C:$G,5,FALSE),"ID Not Found"))</f>
        <v>2.5</v>
      </c>
      <c r="F24" s="50">
        <f>IF(B24="","",IFERROR(VLOOKUP(B24,'Coil Sheet at Plant'!$C:$H,6,FALSE),"ID Not Found"))</f>
        <v>0</v>
      </c>
      <c r="G24" s="80">
        <v>196</v>
      </c>
      <c r="H24" s="88">
        <f>IF(OR(B24="",G24=""),"",IFERROR(VLOOKUP(B24,'Coil Sheet at Plant'!$C:$J,8,FALSE),0)*G24/SUMIF(B:B,B24,G:G))</f>
        <v>3.8170478723404258</v>
      </c>
      <c r="I24" s="55">
        <f>IF(B24="","",IFERROR(VLOOKUP(B24,'Coil Sheet at Plant'!$C:$L,9,FALSE),""))</f>
        <v>0</v>
      </c>
      <c r="J24" s="84">
        <f>IF(B24="","",IFERROR(VLOOKUP(B24,'Coil Sheet at Plant'!$C:$M,10,FALSE),""))</f>
        <v>0</v>
      </c>
      <c r="K24" s="65">
        <f>IF(B24="","",SUMIF(B:B,B24,G:G))</f>
        <v>1504</v>
      </c>
      <c r="L24" s="66">
        <f>IF(B24="","",IFERROR(VLOOKUP(B24,'Coil Sheet at Plant'!$C:$I,7,FALSE),""))</f>
        <v>1500</v>
      </c>
      <c r="M24" s="67" t="str">
        <f>IF(OR(K24="",L24=""),"",IF(L24=0,"⚠ NO PARENT WIDTH",IF(K24&gt;L24,"⚠ BABY &gt; PARENT","✔ OK")))</f>
        <v>⚠ BABY &gt; PARENT</v>
      </c>
      <c r="N24" s="67" t="str">
        <f>IF(D24="","",IF(COUNTIF(D$3:D24,D24)&gt;1,"⚠ DUPLICATE",""))</f>
        <v/>
      </c>
      <c r="O24" s="78" t="str">
        <f>IF(B24="","",SUMIF(B:B,B24,G:G)&amp;" / "&amp;IFERROR(VLOOKUP(B24,'Coil Sheet at Plant'!$C:$I,7,FALSE),"?")&amp;" mm")</f>
        <v>1504 / 1500 mm</v>
      </c>
    </row>
    <row r="25" spans="1:15">
      <c r="A25" s="35">
        <v>46109</v>
      </c>
      <c r="B25" s="30" t="s">
        <v>68</v>
      </c>
      <c r="C25" s="31" t="s">
        <v>65</v>
      </c>
      <c r="D25" s="43" t="str">
        <f>IF(OR(B25="",C25=""),"",CONCATENATE(B25,"-",C25))</f>
        <v>HYD-0326-03-G</v>
      </c>
      <c r="E25" s="49">
        <f>IF(B25="","",IFERROR(VLOOKUP(B25,'Coil Sheet at Plant'!$C:$G,5,FALSE),"ID Not Found"))</f>
        <v>2.5</v>
      </c>
      <c r="F25" s="50">
        <f>IF(B25="","",IFERROR(VLOOKUP(B25,'Coil Sheet at Plant'!$C:$H,6,FALSE),"ID Not Found"))</f>
        <v>0</v>
      </c>
      <c r="G25" s="80">
        <v>196</v>
      </c>
      <c r="H25" s="88">
        <f>IF(OR(B25="",G25=""),"",IFERROR(VLOOKUP(B25,'Coil Sheet at Plant'!$C:$J,8,FALSE),0)*G25/SUMIF(B:B,B25,G:G))</f>
        <v>3.8170478723404258</v>
      </c>
      <c r="I25" s="55">
        <f>IF(B25="","",IFERROR(VLOOKUP(B25,'Coil Sheet at Plant'!$C:$L,9,FALSE),""))</f>
        <v>0</v>
      </c>
      <c r="J25" s="84">
        <f>IF(B25="","",IFERROR(VLOOKUP(B25,'Coil Sheet at Plant'!$C:$M,10,FALSE),""))</f>
        <v>0</v>
      </c>
      <c r="K25" s="65">
        <f>IF(B25="","",SUMIF(B:B,B25,G:G))</f>
        <v>1504</v>
      </c>
      <c r="L25" s="66">
        <f>IF(B25="","",IFERROR(VLOOKUP(B25,'Coil Sheet at Plant'!$C:$I,7,FALSE),""))</f>
        <v>1500</v>
      </c>
      <c r="M25" s="67" t="str">
        <f>IF(OR(K25="",L25=""),"",IF(L25=0,"⚠ NO PARENT WIDTH",IF(K25&gt;L25,"⚠ BABY &gt; PARENT","✔ OK")))</f>
        <v>⚠ BABY &gt; PARENT</v>
      </c>
      <c r="N25" s="67" t="str">
        <f>IF(D25="","",IF(COUNTIF(D$3:D25,D25)&gt;1,"⚠ DUPLICATE",""))</f>
        <v/>
      </c>
      <c r="O25" s="78" t="str">
        <f>IF(B25="","",SUMIF(B:B,B25,G:G)&amp;" / "&amp;IFERROR(VLOOKUP(B25,'Coil Sheet at Plant'!$C:$I,7,FALSE),"?")&amp;" mm")</f>
        <v>1504 / 1500 mm</v>
      </c>
    </row>
    <row r="26" spans="1:15">
      <c r="A26" s="35">
        <v>46109</v>
      </c>
      <c r="B26" s="30" t="s">
        <v>68</v>
      </c>
      <c r="C26" s="31" t="s">
        <v>66</v>
      </c>
      <c r="D26" s="43" t="str">
        <f>IF(OR(B26="",C26=""),"",CONCATENATE(B26,"-",C26))</f>
        <v>HYD-0326-03-H</v>
      </c>
      <c r="E26" s="49">
        <f>IF(B26="","",IFERROR(VLOOKUP(B26,'Coil Sheet at Plant'!$C:$G,5,FALSE),"ID Not Found"))</f>
        <v>2.5</v>
      </c>
      <c r="F26" s="50">
        <f>IF(B26="","",IFERROR(VLOOKUP(B26,'Coil Sheet at Plant'!$C:$H,6,FALSE),"ID Not Found"))</f>
        <v>0</v>
      </c>
      <c r="G26" s="80">
        <v>116</v>
      </c>
      <c r="H26" s="88">
        <f>IF(OR(B26="",G26=""),"",IFERROR(VLOOKUP(B26,'Coil Sheet at Plant'!$C:$J,8,FALSE),0)*G26/SUMIF(B:B,B26,G:G))</f>
        <v>2.2590691489361703</v>
      </c>
      <c r="I26" s="55">
        <f>IF(B26="","",IFERROR(VLOOKUP(B26,'Coil Sheet at Plant'!$C:$L,9,FALSE),""))</f>
        <v>0</v>
      </c>
      <c r="J26" s="84">
        <f>IF(B26="","",IFERROR(VLOOKUP(B26,'Coil Sheet at Plant'!$C:$M,10,FALSE),""))</f>
        <v>0</v>
      </c>
      <c r="K26" s="65">
        <f>IF(B26="","",SUMIF(B:B,B26,G:G))</f>
        <v>1504</v>
      </c>
      <c r="L26" s="66">
        <f>IF(B26="","",IFERROR(VLOOKUP(B26,'Coil Sheet at Plant'!$C:$I,7,FALSE),""))</f>
        <v>1500</v>
      </c>
      <c r="M26" s="67" t="str">
        <f>IF(OR(K26="",L26=""),"",IF(L26=0,"⚠ NO PARENT WIDTH",IF(K26&gt;L26,"⚠ BABY &gt; PARENT","✔ OK")))</f>
        <v>⚠ BABY &gt; PARENT</v>
      </c>
      <c r="N26" s="67" t="str">
        <f>IF(D26="","",IF(COUNTIF(D$3:D26,D26)&gt;1,"⚠ DUPLICATE",""))</f>
        <v/>
      </c>
      <c r="O26" s="78" t="str">
        <f>IF(B26="","",SUMIF(B:B,B26,G:G)&amp;" / "&amp;IFERROR(VLOOKUP(B26,'Coil Sheet at Plant'!$C:$I,7,FALSE),"?")&amp;" mm")</f>
        <v>1504 / 1500 mm</v>
      </c>
    </row>
    <row r="27" spans="1:15">
      <c r="A27" s="35">
        <v>46109</v>
      </c>
      <c r="B27" s="30" t="s">
        <v>68</v>
      </c>
      <c r="C27" s="31" t="s">
        <v>69</v>
      </c>
      <c r="D27" s="43" t="str">
        <f>IF(OR(B27="",C27=""),"",CONCATENATE(B27,"-",C27))</f>
        <v>HYD-0326-03-I</v>
      </c>
      <c r="E27" s="49">
        <f>IF(B27="","",IFERROR(VLOOKUP(B27,'Coil Sheet at Plant'!$C:$G,5,FALSE),"ID Not Found"))</f>
        <v>2.5</v>
      </c>
      <c r="F27" s="50">
        <f>IF(B27="","",IFERROR(VLOOKUP(B27,'Coil Sheet at Plant'!$C:$H,6,FALSE),"ID Not Found"))</f>
        <v>0</v>
      </c>
      <c r="G27" s="80">
        <v>116</v>
      </c>
      <c r="H27" s="88">
        <f>IF(OR(B27="",G27=""),"",IFERROR(VLOOKUP(B27,'Coil Sheet at Plant'!$C:$J,8,FALSE),0)*G27/SUMIF(B:B,B27,G:G))</f>
        <v>2.2590691489361703</v>
      </c>
      <c r="I27" s="55">
        <f>IF(B27="","",IFERROR(VLOOKUP(B27,'Coil Sheet at Plant'!$C:$L,9,FALSE),""))</f>
        <v>0</v>
      </c>
      <c r="J27" s="84">
        <f>IF(B27="","",IFERROR(VLOOKUP(B27,'Coil Sheet at Plant'!$C:$M,10,FALSE),""))</f>
        <v>0</v>
      </c>
      <c r="K27" s="65">
        <f>IF(B27="","",SUMIF(B:B,B27,G:G))</f>
        <v>1504</v>
      </c>
      <c r="L27" s="66">
        <f>IF(B27="","",IFERROR(VLOOKUP(B27,'Coil Sheet at Plant'!$C:$I,7,FALSE),""))</f>
        <v>1500</v>
      </c>
      <c r="M27" s="67" t="str">
        <f>IF(OR(K27="",L27=""),"",IF(L27=0,"⚠ NO PARENT WIDTH",IF(K27&gt;L27,"⚠ BABY &gt; PARENT","✔ OK")))</f>
        <v>⚠ BABY &gt; PARENT</v>
      </c>
      <c r="N27" s="67" t="str">
        <f>IF(D27="","",IF(COUNTIF(D$3:D27,D27)&gt;1,"⚠ DUPLICATE",""))</f>
        <v/>
      </c>
      <c r="O27" s="78" t="str">
        <f>IF(B27="","",SUMIF(B:B,B27,G:G)&amp;" / "&amp;IFERROR(VLOOKUP(B27,'Coil Sheet at Plant'!$C:$I,7,FALSE),"?")&amp;" mm")</f>
        <v>1504 / 1500 mm</v>
      </c>
    </row>
    <row r="28" spans="1:15">
      <c r="A28" s="35">
        <v>46109</v>
      </c>
      <c r="B28" s="30" t="s">
        <v>68</v>
      </c>
      <c r="C28" s="31" t="s">
        <v>70</v>
      </c>
      <c r="D28" s="43" t="str">
        <f>IF(OR(B28="",C28=""),"",CONCATENATE(B28,"-",C28))</f>
        <v>HYD-0326-03-J</v>
      </c>
      <c r="E28" s="49">
        <f>IF(B28="","",IFERROR(VLOOKUP(B28,'Coil Sheet at Plant'!$C:$G,5,FALSE),"ID Not Found"))</f>
        <v>2.5</v>
      </c>
      <c r="F28" s="50">
        <f>IF(B28="","",IFERROR(VLOOKUP(B28,'Coil Sheet at Plant'!$C:$H,6,FALSE),"ID Not Found"))</f>
        <v>0</v>
      </c>
      <c r="G28" s="80">
        <v>96</v>
      </c>
      <c r="H28" s="88">
        <f>IF(OR(B28="",G28=""),"",IFERROR(VLOOKUP(B28,'Coil Sheet at Plant'!$C:$J,8,FALSE),0)*G28/SUMIF(B:B,B28,G:G))</f>
        <v>1.8695744680851065</v>
      </c>
      <c r="I28" s="55">
        <f>IF(B28="","",IFERROR(VLOOKUP(B28,'Coil Sheet at Plant'!$C:$L,9,FALSE),""))</f>
        <v>0</v>
      </c>
      <c r="J28" s="84">
        <f>IF(B28="","",IFERROR(VLOOKUP(B28,'Coil Sheet at Plant'!$C:$M,10,FALSE),""))</f>
        <v>0</v>
      </c>
      <c r="K28" s="65">
        <f>IF(B28="","",SUMIF(B:B,B28,G:G))</f>
        <v>1504</v>
      </c>
      <c r="L28" s="66">
        <f>IF(B28="","",IFERROR(VLOOKUP(B28,'Coil Sheet at Plant'!$C:$I,7,FALSE),""))</f>
        <v>1500</v>
      </c>
      <c r="M28" s="67" t="str">
        <f>IF(OR(K28="",L28=""),"",IF(L28=0,"⚠ NO PARENT WIDTH",IF(K28&gt;L28,"⚠ BABY &gt; PARENT","✔ OK")))</f>
        <v>⚠ BABY &gt; PARENT</v>
      </c>
      <c r="N28" s="67" t="str">
        <f>IF(D28="","",IF(COUNTIF(D$3:D28,D28)&gt;1,"⚠ DUPLICATE",""))</f>
        <v/>
      </c>
      <c r="O28" s="78" t="str">
        <f>IF(B28="","",SUMIF(B:B,B28,G:G)&amp;" / "&amp;IFERROR(VLOOKUP(B28,'Coil Sheet at Plant'!$C:$I,7,FALSE),"?")&amp;" mm")</f>
        <v>1504 / 1500 mm</v>
      </c>
    </row>
    <row r="29" spans="1:15">
      <c r="A29" s="35" t="s">
        <v>71</v>
      </c>
      <c r="B29" s="30" t="s">
        <v>72</v>
      </c>
      <c r="C29" s="31" t="s">
        <v>59</v>
      </c>
      <c r="D29" s="43" t="str">
        <f>IF(OR(B29="",C29=""),"",CONCATENATE(B29,"-",C29))</f>
        <v>HYD-0326-04-A</v>
      </c>
      <c r="E29" s="49">
        <f>IF(B29="","",IFERROR(VLOOKUP(B29,'Coil Sheet at Plant'!$C:$G,5,FALSE),"ID Not Found"))</f>
        <v>2.2000000000000002</v>
      </c>
      <c r="F29" s="50">
        <f>IF(B29="","",IFERROR(VLOOKUP(B29,'Coil Sheet at Plant'!$C:$H,6,FALSE),"ID Not Found"))</f>
        <v>0</v>
      </c>
      <c r="G29" s="80">
        <v>148</v>
      </c>
      <c r="H29" s="88">
        <f>IF(OR(B29="",G29=""),"",IFERROR(VLOOKUP(B29,'Coil Sheet at Plant'!$C:$J,8,FALSE),0)*G29/SUMIF(B:B,B29,G:G))</f>
        <v>3.3669704236610709</v>
      </c>
      <c r="I29" s="55">
        <f>IF(B29="","",IFERROR(VLOOKUP(B29,'Coil Sheet at Plant'!$C:$L,9,FALSE),""))</f>
        <v>0</v>
      </c>
      <c r="J29" s="84">
        <f>IF(B29="","",IFERROR(VLOOKUP(B29,'Coil Sheet at Plant'!$C:$M,10,FALSE),""))</f>
        <v>0</v>
      </c>
      <c r="K29" s="65">
        <f>IF(B29="","",SUMIF(B:B,B29,G:G))</f>
        <v>1251</v>
      </c>
      <c r="L29" s="66">
        <f>IF(B29="","",IFERROR(VLOOKUP(B29,'Coil Sheet at Plant'!$C:$I,7,FALSE),""))</f>
        <v>1250</v>
      </c>
      <c r="M29" s="67" t="str">
        <f>IF(OR(K29="",L29=""),"",IF(L29=0,"⚠ NO PARENT WIDTH",IF(K29&gt;L29,"⚠ BABY &gt; PARENT","✔ OK")))</f>
        <v>⚠ BABY &gt; PARENT</v>
      </c>
      <c r="N29" s="67" t="str">
        <f>IF(D29="","",IF(COUNTIF(D$3:D29,D29)&gt;1,"⚠ DUPLICATE",""))</f>
        <v/>
      </c>
      <c r="O29" s="78" t="str">
        <f>IF(B29="","",SUMIF(B:B,B29,G:G)&amp;" / "&amp;IFERROR(VLOOKUP(B29,'Coil Sheet at Plant'!$C:$I,7,FALSE),"?")&amp;" mm")</f>
        <v>1251 / 1250 mm</v>
      </c>
    </row>
    <row r="30" spans="1:15">
      <c r="A30" s="35" t="s">
        <v>71</v>
      </c>
      <c r="B30" s="30" t="s">
        <v>72</v>
      </c>
      <c r="C30" s="31" t="s">
        <v>60</v>
      </c>
      <c r="D30" s="43" t="str">
        <f>IF(OR(B30="",C30=""),"",CONCATENATE(B30,"-",C30))</f>
        <v>HYD-0326-04-B</v>
      </c>
      <c r="E30" s="49">
        <f>IF(B30="","",IFERROR(VLOOKUP(B30,'Coil Sheet at Plant'!$C:$G,5,FALSE),"ID Not Found"))</f>
        <v>2.2000000000000002</v>
      </c>
      <c r="F30" s="50">
        <f>IF(B30="","",IFERROR(VLOOKUP(B30,'Coil Sheet at Plant'!$C:$H,6,FALSE),"ID Not Found"))</f>
        <v>0</v>
      </c>
      <c r="G30" s="80">
        <v>148</v>
      </c>
      <c r="H30" s="88">
        <f>IF(OR(B30="",G30=""),"",IFERROR(VLOOKUP(B30,'Coil Sheet at Plant'!$C:$J,8,FALSE),0)*G30/SUMIF(B:B,B30,G:G))</f>
        <v>3.3669704236610709</v>
      </c>
      <c r="I30" s="55">
        <f>IF(B30="","",IFERROR(VLOOKUP(B30,'Coil Sheet at Plant'!$C:$L,9,FALSE),""))</f>
        <v>0</v>
      </c>
      <c r="J30" s="84">
        <f>IF(B30="","",IFERROR(VLOOKUP(B30,'Coil Sheet at Plant'!$C:$M,10,FALSE),""))</f>
        <v>0</v>
      </c>
      <c r="K30" s="65">
        <f>IF(B30="","",SUMIF(B:B,B30,G:G))</f>
        <v>1251</v>
      </c>
      <c r="L30" s="66">
        <f>IF(B30="","",IFERROR(VLOOKUP(B30,'Coil Sheet at Plant'!$C:$I,7,FALSE),""))</f>
        <v>1250</v>
      </c>
      <c r="M30" s="67" t="str">
        <f>IF(OR(K30="",L30=""),"",IF(L30=0,"⚠ NO PARENT WIDTH",IF(K30&gt;L30,"⚠ BABY &gt; PARENT","✔ OK")))</f>
        <v>⚠ BABY &gt; PARENT</v>
      </c>
      <c r="N30" s="67" t="str">
        <f>IF(D30="","",IF(COUNTIF(D$3:D30,D30)&gt;1,"⚠ DUPLICATE",""))</f>
        <v/>
      </c>
      <c r="O30" s="78" t="str">
        <f>IF(B30="","",SUMIF(B:B,B30,G:G)&amp;" / "&amp;IFERROR(VLOOKUP(B30,'Coil Sheet at Plant'!$C:$I,7,FALSE),"?")&amp;" mm")</f>
        <v>1251 / 1250 mm</v>
      </c>
    </row>
    <row r="31" spans="1:15">
      <c r="A31" s="35" t="s">
        <v>71</v>
      </c>
      <c r="B31" s="30" t="s">
        <v>72</v>
      </c>
      <c r="C31" s="31" t="s">
        <v>61</v>
      </c>
      <c r="D31" s="43" t="str">
        <f>IF(OR(B31="",C31=""),"",CONCATENATE(B31,"-",C31))</f>
        <v>HYD-0326-04-C</v>
      </c>
      <c r="E31" s="49">
        <f>IF(B31="","",IFERROR(VLOOKUP(B31,'Coil Sheet at Plant'!$C:$G,5,FALSE),"ID Not Found"))</f>
        <v>2.2000000000000002</v>
      </c>
      <c r="F31" s="50">
        <f>IF(B31="","",IFERROR(VLOOKUP(B31,'Coil Sheet at Plant'!$C:$H,6,FALSE),"ID Not Found"))</f>
        <v>0</v>
      </c>
      <c r="G31" s="80">
        <v>148</v>
      </c>
      <c r="H31" s="88">
        <f>IF(OR(B31="",G31=""),"",IFERROR(VLOOKUP(B31,'Coil Sheet at Plant'!$C:$J,8,FALSE),0)*G31/SUMIF(B:B,B31,G:G))</f>
        <v>3.3669704236610709</v>
      </c>
      <c r="I31" s="55">
        <f>IF(B31="","",IFERROR(VLOOKUP(B31,'Coil Sheet at Plant'!$C:$L,9,FALSE),""))</f>
        <v>0</v>
      </c>
      <c r="J31" s="84">
        <f>IF(B31="","",IFERROR(VLOOKUP(B31,'Coil Sheet at Plant'!$C:$M,10,FALSE),""))</f>
        <v>0</v>
      </c>
      <c r="K31" s="65">
        <f>IF(B31="","",SUMIF(B:B,B31,G:G))</f>
        <v>1251</v>
      </c>
      <c r="L31" s="66">
        <f>IF(B31="","",IFERROR(VLOOKUP(B31,'Coil Sheet at Plant'!$C:$I,7,FALSE),""))</f>
        <v>1250</v>
      </c>
      <c r="M31" s="67" t="str">
        <f>IF(OR(K31="",L31=""),"",IF(L31=0,"⚠ NO PARENT WIDTH",IF(K31&gt;L31,"⚠ BABY &gt; PARENT","✔ OK")))</f>
        <v>⚠ BABY &gt; PARENT</v>
      </c>
      <c r="N31" s="67" t="str">
        <f>IF(D31="","",IF(COUNTIF(D$3:D31,D31)&gt;1,"⚠ DUPLICATE",""))</f>
        <v/>
      </c>
      <c r="O31" s="78" t="str">
        <f>IF(B31="","",SUMIF(B:B,B31,G:G)&amp;" / "&amp;IFERROR(VLOOKUP(B31,'Coil Sheet at Plant'!$C:$I,7,FALSE),"?")&amp;" mm")</f>
        <v>1251 / 1250 mm</v>
      </c>
    </row>
    <row r="32" spans="1:15">
      <c r="A32" s="35" t="s">
        <v>71</v>
      </c>
      <c r="B32" s="30" t="s">
        <v>72</v>
      </c>
      <c r="C32" s="31" t="s">
        <v>62</v>
      </c>
      <c r="D32" s="43" t="str">
        <f>IF(OR(B32="",C32=""),"",CONCATENATE(B32,"-",C32))</f>
        <v>HYD-0326-04-D</v>
      </c>
      <c r="E32" s="49">
        <f>IF(B32="","",IFERROR(VLOOKUP(B32,'Coil Sheet at Plant'!$C:$G,5,FALSE),"ID Not Found"))</f>
        <v>2.2000000000000002</v>
      </c>
      <c r="F32" s="50">
        <f>IF(B32="","",IFERROR(VLOOKUP(B32,'Coil Sheet at Plant'!$C:$H,6,FALSE),"ID Not Found"))</f>
        <v>0</v>
      </c>
      <c r="G32" s="80">
        <v>148</v>
      </c>
      <c r="H32" s="88">
        <f>IF(OR(B32="",G32=""),"",IFERROR(VLOOKUP(B32,'Coil Sheet at Plant'!$C:$J,8,FALSE),0)*G32/SUMIF(B:B,B32,G:G))</f>
        <v>3.3669704236610709</v>
      </c>
      <c r="I32" s="55">
        <f>IF(B32="","",IFERROR(VLOOKUP(B32,'Coil Sheet at Plant'!$C:$L,9,FALSE),""))</f>
        <v>0</v>
      </c>
      <c r="J32" s="84">
        <f>IF(B32="","",IFERROR(VLOOKUP(B32,'Coil Sheet at Plant'!$C:$M,10,FALSE),""))</f>
        <v>0</v>
      </c>
      <c r="K32" s="65">
        <f>IF(B32="","",SUMIF(B:B,B32,G:G))</f>
        <v>1251</v>
      </c>
      <c r="L32" s="66">
        <f>IF(B32="","",IFERROR(VLOOKUP(B32,'Coil Sheet at Plant'!$C:$I,7,FALSE),""))</f>
        <v>1250</v>
      </c>
      <c r="M32" s="67" t="str">
        <f>IF(OR(K32="",L32=""),"",IF(L32=0,"⚠ NO PARENT WIDTH",IF(K32&gt;L32,"⚠ BABY &gt; PARENT","✔ OK")))</f>
        <v>⚠ BABY &gt; PARENT</v>
      </c>
      <c r="N32" s="67" t="str">
        <f>IF(D32="","",IF(COUNTIF(D$3:D32,D32)&gt;1,"⚠ DUPLICATE",""))</f>
        <v/>
      </c>
      <c r="O32" s="78" t="str">
        <f>IF(B32="","",SUMIF(B:B,B32,G:G)&amp;" / "&amp;IFERROR(VLOOKUP(B32,'Coil Sheet at Plant'!$C:$I,7,FALSE),"?")&amp;" mm")</f>
        <v>1251 / 1250 mm</v>
      </c>
    </row>
    <row r="33" spans="1:15">
      <c r="A33" s="35" t="s">
        <v>71</v>
      </c>
      <c r="B33" s="30" t="s">
        <v>72</v>
      </c>
      <c r="C33" s="31" t="s">
        <v>63</v>
      </c>
      <c r="D33" s="43" t="str">
        <f>IF(OR(B33="",C33=""),"",CONCATENATE(B33,"-",C33))</f>
        <v>HYD-0326-04-E</v>
      </c>
      <c r="E33" s="49">
        <f>IF(B33="","",IFERROR(VLOOKUP(B33,'Coil Sheet at Plant'!$C:$G,5,FALSE),"ID Not Found"))</f>
        <v>2.2000000000000002</v>
      </c>
      <c r="F33" s="50">
        <f>IF(B33="","",IFERROR(VLOOKUP(B33,'Coil Sheet at Plant'!$C:$H,6,FALSE),"ID Not Found"))</f>
        <v>0</v>
      </c>
      <c r="G33" s="80">
        <v>148</v>
      </c>
      <c r="H33" s="88">
        <f>IF(OR(B33="",G33=""),"",IFERROR(VLOOKUP(B33,'Coil Sheet at Plant'!$C:$J,8,FALSE),0)*G33/SUMIF(B:B,B33,G:G))</f>
        <v>3.3669704236610709</v>
      </c>
      <c r="I33" s="55">
        <f>IF(B33="","",IFERROR(VLOOKUP(B33,'Coil Sheet at Plant'!$C:$L,9,FALSE),""))</f>
        <v>0</v>
      </c>
      <c r="J33" s="84">
        <f>IF(B33="","",IFERROR(VLOOKUP(B33,'Coil Sheet at Plant'!$C:$M,10,FALSE),""))</f>
        <v>0</v>
      </c>
      <c r="K33" s="65">
        <f>IF(B33="","",SUMIF(B:B,B33,G:G))</f>
        <v>1251</v>
      </c>
      <c r="L33" s="66">
        <f>IF(B33="","",IFERROR(VLOOKUP(B33,'Coil Sheet at Plant'!$C:$I,7,FALSE),""))</f>
        <v>1250</v>
      </c>
      <c r="M33" s="67" t="str">
        <f>IF(OR(K33="",L33=""),"",IF(L33=0,"⚠ NO PARENT WIDTH",IF(K33&gt;L33,"⚠ BABY &gt; PARENT","✔ OK")))</f>
        <v>⚠ BABY &gt; PARENT</v>
      </c>
      <c r="N33" s="67" t="str">
        <f>IF(D33="","",IF(COUNTIF(D$3:D33,D33)&gt;1,"⚠ DUPLICATE",""))</f>
        <v/>
      </c>
      <c r="O33" s="78" t="str">
        <f>IF(B33="","",SUMIF(B:B,B33,G:G)&amp;" / "&amp;IFERROR(VLOOKUP(B33,'Coil Sheet at Plant'!$C:$I,7,FALSE),"?")&amp;" mm")</f>
        <v>1251 / 1250 mm</v>
      </c>
    </row>
    <row r="34" spans="1:15">
      <c r="A34" s="35" t="s">
        <v>71</v>
      </c>
      <c r="B34" s="30" t="s">
        <v>72</v>
      </c>
      <c r="C34" s="31" t="s">
        <v>64</v>
      </c>
      <c r="D34" s="43" t="str">
        <f>IF(OR(B34="",C34=""),"",CONCATENATE(B34,"-",C34))</f>
        <v>HYD-0326-04-F</v>
      </c>
      <c r="E34" s="49">
        <f>IF(B34="","",IFERROR(VLOOKUP(B34,'Coil Sheet at Plant'!$C:$G,5,FALSE),"ID Not Found"))</f>
        <v>2.2000000000000002</v>
      </c>
      <c r="F34" s="50">
        <f>IF(B34="","",IFERROR(VLOOKUP(B34,'Coil Sheet at Plant'!$C:$H,6,FALSE),"ID Not Found"))</f>
        <v>0</v>
      </c>
      <c r="G34" s="80">
        <v>197</v>
      </c>
      <c r="H34" s="88">
        <f>IF(OR(B34="",G34=""),"",IFERROR(VLOOKUP(B34,'Coil Sheet at Plant'!$C:$J,8,FALSE),0)*G34/SUMIF(B:B,B34,G:G))</f>
        <v>4.4817106314948036</v>
      </c>
      <c r="I34" s="55">
        <f>IF(B34="","",IFERROR(VLOOKUP(B34,'Coil Sheet at Plant'!$C:$L,9,FALSE),""))</f>
        <v>0</v>
      </c>
      <c r="J34" s="84">
        <f>IF(B34="","",IFERROR(VLOOKUP(B34,'Coil Sheet at Plant'!$C:$M,10,FALSE),""))</f>
        <v>0</v>
      </c>
      <c r="K34" s="65">
        <f>IF(B34="","",SUMIF(B:B,B34,G:G))</f>
        <v>1251</v>
      </c>
      <c r="L34" s="66">
        <f>IF(B34="","",IFERROR(VLOOKUP(B34,'Coil Sheet at Plant'!$C:$I,7,FALSE),""))</f>
        <v>1250</v>
      </c>
      <c r="M34" s="67" t="str">
        <f>IF(OR(K34="",L34=""),"",IF(L34=0,"⚠ NO PARENT WIDTH",IF(K34&gt;L34,"⚠ BABY &gt; PARENT","✔ OK")))</f>
        <v>⚠ BABY &gt; PARENT</v>
      </c>
      <c r="N34" s="67" t="str">
        <f>IF(D34="","",IF(COUNTIF(D$3:D34,D34)&gt;1,"⚠ DUPLICATE",""))</f>
        <v/>
      </c>
      <c r="O34" s="78" t="str">
        <f>IF(B34="","",SUMIF(B:B,B34,G:G)&amp;" / "&amp;IFERROR(VLOOKUP(B34,'Coil Sheet at Plant'!$C:$I,7,FALSE),"?")&amp;" mm")</f>
        <v>1251 / 1250 mm</v>
      </c>
    </row>
    <row r="35" spans="1:15">
      <c r="A35" s="35" t="s">
        <v>71</v>
      </c>
      <c r="B35" s="30" t="s">
        <v>72</v>
      </c>
      <c r="C35" s="31" t="s">
        <v>65</v>
      </c>
      <c r="D35" s="43" t="str">
        <f>IF(OR(B35="",C35=""),"",CONCATENATE(B35,"-",C35))</f>
        <v>HYD-0326-04-G</v>
      </c>
      <c r="E35" s="49">
        <f>IF(B35="","",IFERROR(VLOOKUP(B35,'Coil Sheet at Plant'!$C:$G,5,FALSE),"ID Not Found"))</f>
        <v>2.2000000000000002</v>
      </c>
      <c r="F35" s="50">
        <f>IF(B35="","",IFERROR(VLOOKUP(B35,'Coil Sheet at Plant'!$C:$H,6,FALSE),"ID Not Found"))</f>
        <v>0</v>
      </c>
      <c r="G35" s="80">
        <v>197</v>
      </c>
      <c r="H35" s="88">
        <f>IF(OR(B35="",G35=""),"",IFERROR(VLOOKUP(B35,'Coil Sheet at Plant'!$C:$J,8,FALSE),0)*G35/SUMIF(B:B,B35,G:G))</f>
        <v>4.4817106314948036</v>
      </c>
      <c r="I35" s="55">
        <f>IF(B35="","",IFERROR(VLOOKUP(B35,'Coil Sheet at Plant'!$C:$L,9,FALSE),""))</f>
        <v>0</v>
      </c>
      <c r="J35" s="84">
        <f>IF(B35="","",IFERROR(VLOOKUP(B35,'Coil Sheet at Plant'!$C:$M,10,FALSE),""))</f>
        <v>0</v>
      </c>
      <c r="K35" s="65">
        <f>IF(B35="","",SUMIF(B:B,B35,G:G))</f>
        <v>1251</v>
      </c>
      <c r="L35" s="66">
        <f>IF(B35="","",IFERROR(VLOOKUP(B35,'Coil Sheet at Plant'!$C:$I,7,FALSE),""))</f>
        <v>1250</v>
      </c>
      <c r="M35" s="67" t="str">
        <f>IF(OR(K35="",L35=""),"",IF(L35=0,"⚠ NO PARENT WIDTH",IF(K35&gt;L35,"⚠ BABY &gt; PARENT","✔ OK")))</f>
        <v>⚠ BABY &gt; PARENT</v>
      </c>
      <c r="N35" s="67" t="str">
        <f>IF(D35="","",IF(COUNTIF(D$3:D35,D35)&gt;1,"⚠ DUPLICATE",""))</f>
        <v/>
      </c>
      <c r="O35" s="78" t="str">
        <f>IF(B35="","",SUMIF(B:B,B35,G:G)&amp;" / "&amp;IFERROR(VLOOKUP(B35,'Coil Sheet at Plant'!$C:$I,7,FALSE),"?")&amp;" mm")</f>
        <v>1251 / 1250 mm</v>
      </c>
    </row>
    <row r="36" spans="1:15">
      <c r="A36" s="35" t="s">
        <v>71</v>
      </c>
      <c r="B36" s="30" t="s">
        <v>72</v>
      </c>
      <c r="C36" s="31" t="s">
        <v>66</v>
      </c>
      <c r="D36" s="43" t="str">
        <f>IF(OR(B36="",C36=""),"",CONCATENATE(B36,"-",C36))</f>
        <v>HYD-0326-04-H</v>
      </c>
      <c r="E36" s="49">
        <f>IF(B36="","",IFERROR(VLOOKUP(B36,'Coil Sheet at Plant'!$C:$G,5,FALSE),"ID Not Found"))</f>
        <v>2.2000000000000002</v>
      </c>
      <c r="F36" s="50">
        <f>IF(B36="","",IFERROR(VLOOKUP(B36,'Coil Sheet at Plant'!$C:$H,6,FALSE),"ID Not Found"))</f>
        <v>0</v>
      </c>
      <c r="G36" s="80">
        <v>117</v>
      </c>
      <c r="H36" s="88">
        <f>IF(OR(B36="",G36=""),"",IFERROR(VLOOKUP(B36,'Coil Sheet at Plant'!$C:$J,8,FALSE),0)*G36/SUMIF(B:B,B36,G:G))</f>
        <v>2.6617266187050359</v>
      </c>
      <c r="I36" s="55">
        <f>IF(B36="","",IFERROR(VLOOKUP(B36,'Coil Sheet at Plant'!$C:$L,9,FALSE),""))</f>
        <v>0</v>
      </c>
      <c r="J36" s="84">
        <f>IF(B36="","",IFERROR(VLOOKUP(B36,'Coil Sheet at Plant'!$C:$M,10,FALSE),""))</f>
        <v>0</v>
      </c>
      <c r="K36" s="65">
        <f>IF(B36="","",SUMIF(B:B,B36,G:G))</f>
        <v>1251</v>
      </c>
      <c r="L36" s="66">
        <f>IF(B36="","",IFERROR(VLOOKUP(B36,'Coil Sheet at Plant'!$C:$I,7,FALSE),""))</f>
        <v>1250</v>
      </c>
      <c r="M36" s="67" t="str">
        <f>IF(OR(K36="",L36=""),"",IF(L36=0,"⚠ NO PARENT WIDTH",IF(K36&gt;L36,"⚠ BABY &gt; PARENT","✔ OK")))</f>
        <v>⚠ BABY &gt; PARENT</v>
      </c>
      <c r="N36" s="67" t="str">
        <f>IF(D36="","",IF(COUNTIF(D$3:D36,D36)&gt;1,"⚠ DUPLICATE",""))</f>
        <v/>
      </c>
      <c r="O36" s="78" t="str">
        <f>IF(B36="","",SUMIF(B:B,B36,G:G)&amp;" / "&amp;IFERROR(VLOOKUP(B36,'Coil Sheet at Plant'!$C:$I,7,FALSE),"?")&amp;" mm")</f>
        <v>1251 / 1250 mm</v>
      </c>
    </row>
    <row r="37" spans="1:15">
      <c r="A37" s="168">
        <v>46116</v>
      </c>
      <c r="B37" s="30" t="s">
        <v>73</v>
      </c>
      <c r="C37" s="31" t="s">
        <v>59</v>
      </c>
      <c r="D37" s="43" t="str">
        <f>IF(OR(B37="",C37=""),"",CONCATENATE(B37,"-",C37))</f>
        <v>HYD-0426-05-A</v>
      </c>
      <c r="E37" s="49">
        <f>IF(B37="","",IFERROR(VLOOKUP(B37,'Coil Sheet at Plant'!$C:$G,5,FALSE),"ID Not Found"))</f>
        <v>2</v>
      </c>
      <c r="F37" s="50" t="str">
        <f>IF(B37="","",IFERROR(VLOOKUP(B37,'Coil Sheet at Plant'!$C:$H,6,FALSE),"ID Not Found"))</f>
        <v> </v>
      </c>
      <c r="G37" s="80">
        <v>197</v>
      </c>
      <c r="H37" s="88">
        <f>IF(OR(B37="",G37=""),"",IFERROR(VLOOKUP(B37,'Coil Sheet at Plant'!$C:$J,8,FALSE),0)*G37/SUMIF(B:B,B37,G:G))</f>
        <v>3.1005202541699766</v>
      </c>
      <c r="I37" s="55">
        <f>IF(B37="","",IFERROR(VLOOKUP(B37,'Coil Sheet at Plant'!$C:$L,9,FALSE),""))</f>
        <v>19.815000000000001</v>
      </c>
      <c r="J37" s="84" t="str">
        <f>IF(B37="","",IFERROR(VLOOKUP(B37,'Coil Sheet at Plant'!$C:$M,10,FALSE),""))</f>
        <v>11,65,122.0</v>
      </c>
      <c r="K37" s="65">
        <f>IF(B37="","",SUMIF(B:B,B37,G:G))</f>
        <v>1259</v>
      </c>
      <c r="L37" s="66">
        <f>IF(B37="","",IFERROR(VLOOKUP(B37,'Coil Sheet at Plant'!$C:$I,7,FALSE),""))</f>
        <v>1260</v>
      </c>
      <c r="M37" s="67" t="str">
        <f>IF(OR(K37="",L37=""),"",IF(L37=0,"⚠ NO PARENT WIDTH",IF(K37&gt;L37,"⚠ BABY &gt; PARENT","✔ OK")))</f>
        <v>✔ OK</v>
      </c>
      <c r="N37" s="67" t="str">
        <f>IF(D37="","",IF(COUNTIF(D$3:D37,D37)&gt;1,"⚠ DUPLICATE",""))</f>
        <v/>
      </c>
      <c r="O37" s="78" t="str">
        <f>IF(B37="","",SUMIF(B:B,B37,G:G)&amp;" / "&amp;IFERROR(VLOOKUP(B37,'Coil Sheet at Plant'!$C:$I,7,FALSE),"?")&amp;" mm")</f>
        <v>1259 / 1260 mm</v>
      </c>
    </row>
    <row r="38" spans="1:15" ht="21.75" customHeight="1">
      <c r="A38" s="168">
        <v>46116</v>
      </c>
      <c r="B38" s="30" t="s">
        <v>73</v>
      </c>
      <c r="C38" s="31" t="s">
        <v>60</v>
      </c>
      <c r="D38" s="43" t="str">
        <f>IF(OR(B38="",C38=""),"",CONCATENATE(B38,"-",C38))</f>
        <v>HYD-0426-05-B</v>
      </c>
      <c r="E38" s="49">
        <f>IF(B38="","",IFERROR(VLOOKUP(B38,'Coil Sheet at Plant'!$C:$G,5,FALSE),"ID Not Found"))</f>
        <v>2</v>
      </c>
      <c r="F38" s="50" t="str">
        <f>IF(B38="","",IFERROR(VLOOKUP(B38,'Coil Sheet at Plant'!$C:$H,6,FALSE),"ID Not Found"))</f>
        <v> </v>
      </c>
      <c r="G38" s="80">
        <v>197</v>
      </c>
      <c r="H38" s="88">
        <f>IF(OR(B38="",G38=""),"",IFERROR(VLOOKUP(B38,'Coil Sheet at Plant'!$C:$J,8,FALSE),0)*G38/SUMIF(B:B,B38,G:G))</f>
        <v>3.1005202541699766</v>
      </c>
      <c r="I38" s="55">
        <f>IF(B38="","",IFERROR(VLOOKUP(B38,'Coil Sheet at Plant'!$C:$L,9,FALSE),""))</f>
        <v>19.815000000000001</v>
      </c>
      <c r="J38" s="84" t="str">
        <f>IF(B38="","",IFERROR(VLOOKUP(B38,'Coil Sheet at Plant'!$C:$M,10,FALSE),""))</f>
        <v>11,65,122.0</v>
      </c>
      <c r="K38" s="65">
        <f>IF(B38="","",SUMIF(B:B,B38,G:G))</f>
        <v>1259</v>
      </c>
      <c r="L38" s="66">
        <f>IF(B38="","",IFERROR(VLOOKUP(B38,'Coil Sheet at Plant'!$C:$I,7,FALSE),""))</f>
        <v>1260</v>
      </c>
      <c r="M38" s="67" t="str">
        <f>IF(OR(K38="",L38=""),"",IF(L38=0,"⚠ NO PARENT WIDTH",IF(K38&gt;L38,"⚠ BABY &gt; PARENT","✔ OK")))</f>
        <v>✔ OK</v>
      </c>
      <c r="N38" s="67" t="str">
        <f>IF(D38="","",IF(COUNTIF(D$3:D38,D38)&gt;1,"⚠ DUPLICATE",""))</f>
        <v/>
      </c>
      <c r="O38" s="78" t="str">
        <f>IF(B38="","",SUMIF(B:B,B38,G:G)&amp;" / "&amp;IFERROR(VLOOKUP(B38,'Coil Sheet at Plant'!$C:$I,7,FALSE),"?")&amp;" mm")</f>
        <v>1259 / 1260 mm</v>
      </c>
    </row>
    <row r="39" spans="1:15" ht="21.75" customHeight="1">
      <c r="A39" s="168">
        <v>46116</v>
      </c>
      <c r="B39" s="30" t="s">
        <v>73</v>
      </c>
      <c r="C39" s="31" t="s">
        <v>61</v>
      </c>
      <c r="D39" s="43" t="str">
        <f>IF(OR(B39="",C39=""),"",CONCATENATE(B39,"-",C39))</f>
        <v>HYD-0426-05-C</v>
      </c>
      <c r="E39" s="49">
        <f>IF(B39="","",IFERROR(VLOOKUP(B39,'Coil Sheet at Plant'!$C:$G,5,FALSE),"ID Not Found"))</f>
        <v>2</v>
      </c>
      <c r="F39" s="50" t="str">
        <f>IF(B39="","",IFERROR(VLOOKUP(B39,'Coil Sheet at Plant'!$C:$H,6,FALSE),"ID Not Found"))</f>
        <v> </v>
      </c>
      <c r="G39" s="80">
        <v>197</v>
      </c>
      <c r="H39" s="88">
        <f>IF(OR(B39="",G39=""),"",IFERROR(VLOOKUP(B39,'Coil Sheet at Plant'!$C:$J,8,FALSE),0)*G39/SUMIF(B:B,B39,G:G))</f>
        <v>3.1005202541699766</v>
      </c>
      <c r="I39" s="55">
        <f>IF(B39="","",IFERROR(VLOOKUP(B39,'Coil Sheet at Plant'!$C:$L,9,FALSE),""))</f>
        <v>19.815000000000001</v>
      </c>
      <c r="J39" s="84" t="str">
        <f>IF(B39="","",IFERROR(VLOOKUP(B39,'Coil Sheet at Plant'!$C:$M,10,FALSE),""))</f>
        <v>11,65,122.0</v>
      </c>
      <c r="K39" s="65">
        <f>IF(B39="","",SUMIF(B:B,B39,G:G))</f>
        <v>1259</v>
      </c>
      <c r="L39" s="66">
        <f>IF(B39="","",IFERROR(VLOOKUP(B39,'Coil Sheet at Plant'!$C:$I,7,FALSE),""))</f>
        <v>1260</v>
      </c>
      <c r="M39" s="67" t="str">
        <f>IF(OR(K39="",L39=""),"",IF(L39=0,"⚠ NO PARENT WIDTH",IF(K39&gt;L39,"⚠ BABY &gt; PARENT","✔ OK")))</f>
        <v>✔ OK</v>
      </c>
      <c r="N39" s="67" t="str">
        <f>IF(D39="","",IF(COUNTIF(D$3:D39,D39)&gt;1,"⚠ DUPLICATE",""))</f>
        <v/>
      </c>
      <c r="O39" s="78" t="str">
        <f>IF(B39="","",SUMIF(B:B,B39,G:G)&amp;" / "&amp;IFERROR(VLOOKUP(B39,'Coil Sheet at Plant'!$C:$I,7,FALSE),"?")&amp;" mm")</f>
        <v>1259 / 1260 mm</v>
      </c>
    </row>
    <row r="40" spans="1:15" ht="21.75" customHeight="1">
      <c r="A40" s="168">
        <v>46116</v>
      </c>
      <c r="B40" s="30" t="s">
        <v>73</v>
      </c>
      <c r="C40" s="31" t="s">
        <v>62</v>
      </c>
      <c r="D40" s="43" t="str">
        <f>IF(OR(B40="",C40=""),"",CONCATENATE(B40,"-",C40))</f>
        <v>HYD-0426-05-D</v>
      </c>
      <c r="E40" s="49">
        <f>IF(B40="","",IFERROR(VLOOKUP(B40,'Coil Sheet at Plant'!$C:$G,5,FALSE),"ID Not Found"))</f>
        <v>2</v>
      </c>
      <c r="F40" s="50" t="str">
        <f>IF(B40="","",IFERROR(VLOOKUP(B40,'Coil Sheet at Plant'!$C:$H,6,FALSE),"ID Not Found"))</f>
        <v> </v>
      </c>
      <c r="G40" s="80">
        <v>197</v>
      </c>
      <c r="H40" s="88">
        <f>IF(OR(B40="",G40=""),"",IFERROR(VLOOKUP(B40,'Coil Sheet at Plant'!$C:$J,8,FALSE),0)*G40/SUMIF(B:B,B40,G:G))</f>
        <v>3.1005202541699766</v>
      </c>
      <c r="I40" s="55">
        <f>IF(B40="","",IFERROR(VLOOKUP(B40,'Coil Sheet at Plant'!$C:$L,9,FALSE),""))</f>
        <v>19.815000000000001</v>
      </c>
      <c r="J40" s="84" t="str">
        <f>IF(B40="","",IFERROR(VLOOKUP(B40,'Coil Sheet at Plant'!$C:$M,10,FALSE),""))</f>
        <v>11,65,122.0</v>
      </c>
      <c r="K40" s="65">
        <f>IF(B40="","",SUMIF(B:B,B40,G:G))</f>
        <v>1259</v>
      </c>
      <c r="L40" s="66">
        <f>IF(B40="","",IFERROR(VLOOKUP(B40,'Coil Sheet at Plant'!$C:$I,7,FALSE),""))</f>
        <v>1260</v>
      </c>
      <c r="M40" s="67" t="str">
        <f>IF(OR(K40="",L40=""),"",IF(L40=0,"⚠ NO PARENT WIDTH",IF(K40&gt;L40,"⚠ BABY &gt; PARENT","✔ OK")))</f>
        <v>✔ OK</v>
      </c>
      <c r="N40" s="67" t="str">
        <f>IF(D40="","",IF(COUNTIF(D$3:D40,D40)&gt;1,"⚠ DUPLICATE",""))</f>
        <v/>
      </c>
      <c r="O40" s="78" t="str">
        <f>IF(B40="","",SUMIF(B:B,B40,G:G)&amp;" / "&amp;IFERROR(VLOOKUP(B40,'Coil Sheet at Plant'!$C:$I,7,FALSE),"?")&amp;" mm")</f>
        <v>1259 / 1260 mm</v>
      </c>
    </row>
    <row r="41" spans="1:15" ht="21.75" customHeight="1">
      <c r="A41" s="168">
        <v>46116</v>
      </c>
      <c r="B41" s="30" t="s">
        <v>73</v>
      </c>
      <c r="C41" s="31" t="s">
        <v>63</v>
      </c>
      <c r="D41" s="43" t="str">
        <f>IF(OR(B41="",C41=""),"",CONCATENATE(B41,"-",C41))</f>
        <v>HYD-0426-05-E</v>
      </c>
      <c r="E41" s="49">
        <f>IF(B41="","",IFERROR(VLOOKUP(B41,'Coil Sheet at Plant'!$C:$G,5,FALSE),"ID Not Found"))</f>
        <v>2</v>
      </c>
      <c r="F41" s="50" t="str">
        <f>IF(B41="","",IFERROR(VLOOKUP(B41,'Coil Sheet at Plant'!$C:$H,6,FALSE),"ID Not Found"))</f>
        <v> </v>
      </c>
      <c r="G41" s="80">
        <v>197</v>
      </c>
      <c r="H41" s="88">
        <f>IF(OR(B41="",G41=""),"",IFERROR(VLOOKUP(B41,'Coil Sheet at Plant'!$C:$J,8,FALSE),0)*G41/SUMIF(B:B,B41,G:G))</f>
        <v>3.1005202541699766</v>
      </c>
      <c r="I41" s="55">
        <f>IF(B41="","",IFERROR(VLOOKUP(B41,'Coil Sheet at Plant'!$C:$L,9,FALSE),""))</f>
        <v>19.815000000000001</v>
      </c>
      <c r="J41" s="84" t="str">
        <f>IF(B41="","",IFERROR(VLOOKUP(B41,'Coil Sheet at Plant'!$C:$M,10,FALSE),""))</f>
        <v>11,65,122.0</v>
      </c>
      <c r="K41" s="65">
        <f>IF(B41="","",SUMIF(B:B,B41,G:G))</f>
        <v>1259</v>
      </c>
      <c r="L41" s="66">
        <f>IF(B41="","",IFERROR(VLOOKUP(B41,'Coil Sheet at Plant'!$C:$I,7,FALSE),""))</f>
        <v>1260</v>
      </c>
      <c r="M41" s="67" t="str">
        <f>IF(OR(K41="",L41=""),"",IF(L41=0,"⚠ NO PARENT WIDTH",IF(K41&gt;L41,"⚠ BABY &gt; PARENT","✔ OK")))</f>
        <v>✔ OK</v>
      </c>
      <c r="N41" s="67" t="str">
        <f>IF(D41="","",IF(COUNTIF(D$3:D41,D41)&gt;1,"⚠ DUPLICATE",""))</f>
        <v/>
      </c>
      <c r="O41" s="78" t="str">
        <f>IF(B41="","",SUMIF(B:B,B41,G:G)&amp;" / "&amp;IFERROR(VLOOKUP(B41,'Coil Sheet at Plant'!$C:$I,7,FALSE),"?")&amp;" mm")</f>
        <v>1259 / 1260 mm</v>
      </c>
    </row>
    <row r="42" spans="1:15" ht="21.75" customHeight="1">
      <c r="A42" s="168">
        <v>46116</v>
      </c>
      <c r="B42" s="30" t="s">
        <v>73</v>
      </c>
      <c r="C42" s="31" t="s">
        <v>64</v>
      </c>
      <c r="D42" s="43" t="str">
        <f>IF(OR(B42="",C42=""),"",CONCATENATE(B42,"-",C42))</f>
        <v>HYD-0426-05-F</v>
      </c>
      <c r="E42" s="49">
        <f>IF(B42="","",IFERROR(VLOOKUP(B42,'Coil Sheet at Plant'!$C:$G,5,FALSE),"ID Not Found"))</f>
        <v>2</v>
      </c>
      <c r="F42" s="50" t="str">
        <f>IF(B42="","",IFERROR(VLOOKUP(B42,'Coil Sheet at Plant'!$C:$H,6,FALSE),"ID Not Found"))</f>
        <v> </v>
      </c>
      <c r="G42" s="80">
        <v>197</v>
      </c>
      <c r="H42" s="88">
        <f>IF(OR(B42="",G42=""),"",IFERROR(VLOOKUP(B42,'Coil Sheet at Plant'!$C:$J,8,FALSE),0)*G42/SUMIF(B:B,B42,G:G))</f>
        <v>3.1005202541699766</v>
      </c>
      <c r="I42" s="55">
        <f>IF(B42="","",IFERROR(VLOOKUP(B42,'Coil Sheet at Plant'!$C:$L,9,FALSE),""))</f>
        <v>19.815000000000001</v>
      </c>
      <c r="J42" s="84" t="str">
        <f>IF(B42="","",IFERROR(VLOOKUP(B42,'Coil Sheet at Plant'!$C:$M,10,FALSE),""))</f>
        <v>11,65,122.0</v>
      </c>
      <c r="K42" s="65">
        <f>IF(B42="","",SUMIF(B:B,B42,G:G))</f>
        <v>1259</v>
      </c>
      <c r="L42" s="66">
        <f>IF(B42="","",IFERROR(VLOOKUP(B42,'Coil Sheet at Plant'!$C:$I,7,FALSE),""))</f>
        <v>1260</v>
      </c>
      <c r="M42" s="67" t="str">
        <f>IF(OR(K42="",L42=""),"",IF(L42=0,"⚠ NO PARENT WIDTH",IF(K42&gt;L42,"⚠ BABY &gt; PARENT","✔ OK")))</f>
        <v>✔ OK</v>
      </c>
      <c r="N42" s="67" t="str">
        <f>IF(D42="","",IF(COUNTIF(D$3:D42,D42)&gt;1,"⚠ DUPLICATE",""))</f>
        <v/>
      </c>
      <c r="O42" s="78" t="str">
        <f>IF(B42="","",SUMIF(B:B,B42,G:G)&amp;" / "&amp;IFERROR(VLOOKUP(B42,'Coil Sheet at Plant'!$C:$I,7,FALSE),"?")&amp;" mm")</f>
        <v>1259 / 1260 mm</v>
      </c>
    </row>
    <row r="43" spans="1:15" ht="21.75" customHeight="1">
      <c r="A43" s="168">
        <v>46116</v>
      </c>
      <c r="B43" s="30" t="s">
        <v>73</v>
      </c>
      <c r="C43" s="31" t="s">
        <v>65</v>
      </c>
      <c r="D43" s="43" t="str">
        <f>IF(OR(B43="",C43=""),"",CONCATENATE(B43,"-",C43))</f>
        <v>HYD-0426-05-G</v>
      </c>
      <c r="E43" s="49">
        <f>IF(B43="","",IFERROR(VLOOKUP(B43,'Coil Sheet at Plant'!$C:$G,5,FALSE),"ID Not Found"))</f>
        <v>2</v>
      </c>
      <c r="F43" s="50" t="str">
        <f>IF(B43="","",IFERROR(VLOOKUP(B43,'Coil Sheet at Plant'!$C:$H,6,FALSE),"ID Not Found"))</f>
        <v> </v>
      </c>
      <c r="G43" s="80">
        <v>77</v>
      </c>
      <c r="H43" s="88">
        <f>IF(OR(B43="",G43=""),"",IFERROR(VLOOKUP(B43,'Coil Sheet at Plant'!$C:$J,8,FALSE),0)*G43/SUMIF(B:B,B43,G:G))</f>
        <v>1.211878474980143</v>
      </c>
      <c r="I43" s="55">
        <f>IF(B43="","",IFERROR(VLOOKUP(B43,'Coil Sheet at Plant'!$C:$L,9,FALSE),""))</f>
        <v>19.815000000000001</v>
      </c>
      <c r="J43" s="84" t="str">
        <f>IF(B43="","",IFERROR(VLOOKUP(B43,'Coil Sheet at Plant'!$C:$M,10,FALSE),""))</f>
        <v>11,65,122.0</v>
      </c>
      <c r="K43" s="65">
        <f>IF(B43="","",SUMIF(B:B,B43,G:G))</f>
        <v>1259</v>
      </c>
      <c r="L43" s="66">
        <f>IF(B43="","",IFERROR(VLOOKUP(B43,'Coil Sheet at Plant'!$C:$I,7,FALSE),""))</f>
        <v>1260</v>
      </c>
      <c r="M43" s="67" t="str">
        <f>IF(OR(K43="",L43=""),"",IF(L43=0,"⚠ NO PARENT WIDTH",IF(K43&gt;L43,"⚠ BABY &gt; PARENT","✔ OK")))</f>
        <v>✔ OK</v>
      </c>
      <c r="N43" s="67" t="str">
        <f>IF(D43="","",IF(COUNTIF(D$3:D43,D43)&gt;1,"⚠ DUPLICATE",""))</f>
        <v/>
      </c>
      <c r="O43" s="78" t="str">
        <f>IF(B43="","",SUMIF(B:B,B43,G:G)&amp;" / "&amp;IFERROR(VLOOKUP(B43,'Coil Sheet at Plant'!$C:$I,7,FALSE),"?")&amp;" mm")</f>
        <v>1259 / 1260 mm</v>
      </c>
    </row>
    <row r="44" spans="1:15" ht="21.75" customHeight="1">
      <c r="A44" s="168">
        <v>46116</v>
      </c>
      <c r="B44" s="30" t="s">
        <v>74</v>
      </c>
      <c r="C44" s="31" t="s">
        <v>59</v>
      </c>
      <c r="D44" s="43" t="str">
        <f>IF(OR(B44="",C44=""),"",CONCATENATE(B44,"-",C44))</f>
        <v>HYD-0426-06-A</v>
      </c>
      <c r="E44" s="49">
        <f>IF(B44="","",IFERROR(VLOOKUP(B44,'Coil Sheet at Plant'!$C:$G,5,FALSE),"ID Not Found"))</f>
        <v>2</v>
      </c>
      <c r="F44" s="50" t="str">
        <f>IF(B44="","",IFERROR(VLOOKUP(B44,'Coil Sheet at Plant'!$C:$H,6,FALSE),"ID Not Found"))</f>
        <v> </v>
      </c>
      <c r="G44" s="80">
        <v>197</v>
      </c>
      <c r="H44" s="88">
        <f>IF(OR(B44="",G44=""),"",IFERROR(VLOOKUP(B44,'Coil Sheet at Plant'!$C:$J,8,FALSE),0)*G44/SUMIF(B:B,B44,G:G))</f>
        <v>3.4627561556791102</v>
      </c>
      <c r="I44" s="55">
        <f>IF(B44="","",IFERROR(VLOOKUP(B44,'Coil Sheet at Plant'!$C:$L,9,FALSE),""))</f>
        <v>22.13</v>
      </c>
      <c r="J44" s="84" t="str">
        <f>IF(B44="","",IFERROR(VLOOKUP(B44,'Coil Sheet at Plant'!$C:$M,10,FALSE),""))</f>
        <v>13,01,244.0</v>
      </c>
      <c r="K44" s="65">
        <f>IF(B44="","",SUMIF(B:B,B44,G:G))</f>
        <v>1259</v>
      </c>
      <c r="L44" s="66">
        <f>IF(B44="","",IFERROR(VLOOKUP(B44,'Coil Sheet at Plant'!$C:$I,7,FALSE),""))</f>
        <v>1264</v>
      </c>
      <c r="M44" s="67" t="str">
        <f>IF(OR(K44="",L44=""),"",IF(L44=0,"⚠ NO PARENT WIDTH",IF(K44&gt;L44,"⚠ BABY &gt; PARENT","✔ OK")))</f>
        <v>✔ OK</v>
      </c>
      <c r="N44" s="67" t="str">
        <f>IF(D44="","",IF(COUNTIF(D$3:D44,D44)&gt;1,"⚠ DUPLICATE",""))</f>
        <v/>
      </c>
      <c r="O44" s="78" t="str">
        <f>IF(B44="","",SUMIF(B:B,B44,G:G)&amp;" / "&amp;IFERROR(VLOOKUP(B44,'Coil Sheet at Plant'!$C:$I,7,FALSE),"?")&amp;" mm")</f>
        <v>1259 / 1264 mm</v>
      </c>
    </row>
    <row r="45" spans="1:15" ht="21.75" customHeight="1">
      <c r="A45" s="168">
        <v>46116</v>
      </c>
      <c r="B45" s="30" t="s">
        <v>74</v>
      </c>
      <c r="C45" s="31" t="s">
        <v>60</v>
      </c>
      <c r="D45" s="43" t="str">
        <f>IF(OR(B45="",C45=""),"",CONCATENATE(B45,"-",C45))</f>
        <v>HYD-0426-06-B</v>
      </c>
      <c r="E45" s="49">
        <f>IF(B45="","",IFERROR(VLOOKUP(B45,'Coil Sheet at Plant'!$C:$G,5,FALSE),"ID Not Found"))</f>
        <v>2</v>
      </c>
      <c r="F45" s="50" t="str">
        <f>IF(B45="","",IFERROR(VLOOKUP(B45,'Coil Sheet at Plant'!$C:$H,6,FALSE),"ID Not Found"))</f>
        <v> </v>
      </c>
      <c r="G45" s="80">
        <v>197</v>
      </c>
      <c r="H45" s="88">
        <f>IF(OR(B45="",G45=""),"",IFERROR(VLOOKUP(B45,'Coil Sheet at Plant'!$C:$J,8,FALSE),0)*G45/SUMIF(B:B,B45,G:G))</f>
        <v>3.4627561556791102</v>
      </c>
      <c r="I45" s="55">
        <f>IF(B45="","",IFERROR(VLOOKUP(B45,'Coil Sheet at Plant'!$C:$L,9,FALSE),""))</f>
        <v>22.13</v>
      </c>
      <c r="J45" s="84" t="str">
        <f>IF(B45="","",IFERROR(VLOOKUP(B45,'Coil Sheet at Plant'!$C:$M,10,FALSE),""))</f>
        <v>13,01,244.0</v>
      </c>
      <c r="K45" s="65">
        <f>IF(B45="","",SUMIF(B:B,B45,G:G))</f>
        <v>1259</v>
      </c>
      <c r="L45" s="66">
        <f>IF(B45="","",IFERROR(VLOOKUP(B45,'Coil Sheet at Plant'!$C:$I,7,FALSE),""))</f>
        <v>1264</v>
      </c>
      <c r="M45" s="67" t="str">
        <f>IF(OR(K45="",L45=""),"",IF(L45=0,"⚠ NO PARENT WIDTH",IF(K45&gt;L45,"⚠ BABY &gt; PARENT","✔ OK")))</f>
        <v>✔ OK</v>
      </c>
      <c r="N45" s="67" t="str">
        <f>IF(D45="","",IF(COUNTIF(D$3:D45,D45)&gt;1,"⚠ DUPLICATE",""))</f>
        <v/>
      </c>
      <c r="O45" s="78" t="str">
        <f>IF(B45="","",SUMIF(B:B,B45,G:G)&amp;" / "&amp;IFERROR(VLOOKUP(B45,'Coil Sheet at Plant'!$C:$I,7,FALSE),"?")&amp;" mm")</f>
        <v>1259 / 1264 mm</v>
      </c>
    </row>
    <row r="46" spans="1:15" ht="21.75" customHeight="1">
      <c r="A46" s="168">
        <v>46116</v>
      </c>
      <c r="B46" s="30" t="s">
        <v>74</v>
      </c>
      <c r="C46" s="31" t="s">
        <v>61</v>
      </c>
      <c r="D46" s="43" t="str">
        <f>IF(OR(B46="",C46=""),"",CONCATENATE(B46,"-",C46))</f>
        <v>HYD-0426-06-C</v>
      </c>
      <c r="E46" s="49">
        <f>IF(B46="","",IFERROR(VLOOKUP(B46,'Coil Sheet at Plant'!$C:$G,5,FALSE),"ID Not Found"))</f>
        <v>2</v>
      </c>
      <c r="F46" s="50" t="str">
        <f>IF(B46="","",IFERROR(VLOOKUP(B46,'Coil Sheet at Plant'!$C:$H,6,FALSE),"ID Not Found"))</f>
        <v> </v>
      </c>
      <c r="G46" s="80">
        <v>197</v>
      </c>
      <c r="H46" s="88">
        <f>IF(OR(B46="",G46=""),"",IFERROR(VLOOKUP(B46,'Coil Sheet at Plant'!$C:$J,8,FALSE),0)*G46/SUMIF(B:B,B46,G:G))</f>
        <v>3.4627561556791102</v>
      </c>
      <c r="I46" s="55">
        <f>IF(B46="","",IFERROR(VLOOKUP(B46,'Coil Sheet at Plant'!$C:$L,9,FALSE),""))</f>
        <v>22.13</v>
      </c>
      <c r="J46" s="84" t="str">
        <f>IF(B46="","",IFERROR(VLOOKUP(B46,'Coil Sheet at Plant'!$C:$M,10,FALSE),""))</f>
        <v>13,01,244.0</v>
      </c>
      <c r="K46" s="65">
        <f>IF(B46="","",SUMIF(B:B,B46,G:G))</f>
        <v>1259</v>
      </c>
      <c r="L46" s="66">
        <f>IF(B46="","",IFERROR(VLOOKUP(B46,'Coil Sheet at Plant'!$C:$I,7,FALSE),""))</f>
        <v>1264</v>
      </c>
      <c r="M46" s="67" t="str">
        <f>IF(OR(K46="",L46=""),"",IF(L46=0,"⚠ NO PARENT WIDTH",IF(K46&gt;L46,"⚠ BABY &gt; PARENT","✔ OK")))</f>
        <v>✔ OK</v>
      </c>
      <c r="N46" s="67" t="str">
        <f>IF(D46="","",IF(COUNTIF(D$3:D46,D46)&gt;1,"⚠ DUPLICATE",""))</f>
        <v/>
      </c>
      <c r="O46" s="78" t="str">
        <f>IF(B46="","",SUMIF(B:B,B46,G:G)&amp;" / "&amp;IFERROR(VLOOKUP(B46,'Coil Sheet at Plant'!$C:$I,7,FALSE),"?")&amp;" mm")</f>
        <v>1259 / 1264 mm</v>
      </c>
    </row>
    <row r="47" spans="1:15" ht="21.75" customHeight="1">
      <c r="A47" s="168">
        <v>46116</v>
      </c>
      <c r="B47" s="30" t="s">
        <v>74</v>
      </c>
      <c r="C47" s="31" t="s">
        <v>62</v>
      </c>
      <c r="D47" s="43" t="str">
        <f>IF(OR(B47="",C47=""),"",CONCATENATE(B47,"-",C47))</f>
        <v>HYD-0426-06-D</v>
      </c>
      <c r="E47" s="49">
        <f>IF(B47="","",IFERROR(VLOOKUP(B47,'Coil Sheet at Plant'!$C:$G,5,FALSE),"ID Not Found"))</f>
        <v>2</v>
      </c>
      <c r="F47" s="50" t="str">
        <f>IF(B47="","",IFERROR(VLOOKUP(B47,'Coil Sheet at Plant'!$C:$H,6,FALSE),"ID Not Found"))</f>
        <v> </v>
      </c>
      <c r="G47" s="80">
        <v>197</v>
      </c>
      <c r="H47" s="88">
        <f>IF(OR(B47="",G47=""),"",IFERROR(VLOOKUP(B47,'Coil Sheet at Plant'!$C:$J,8,FALSE),0)*G47/SUMIF(B:B,B47,G:G))</f>
        <v>3.4627561556791102</v>
      </c>
      <c r="I47" s="55">
        <f>IF(B47="","",IFERROR(VLOOKUP(B47,'Coil Sheet at Plant'!$C:$L,9,FALSE),""))</f>
        <v>22.13</v>
      </c>
      <c r="J47" s="84" t="str">
        <f>IF(B47="","",IFERROR(VLOOKUP(B47,'Coil Sheet at Plant'!$C:$M,10,FALSE),""))</f>
        <v>13,01,244.0</v>
      </c>
      <c r="K47" s="65">
        <f>IF(B47="","",SUMIF(B:B,B47,G:G))</f>
        <v>1259</v>
      </c>
      <c r="L47" s="66">
        <f>IF(B47="","",IFERROR(VLOOKUP(B47,'Coil Sheet at Plant'!$C:$I,7,FALSE),""))</f>
        <v>1264</v>
      </c>
      <c r="M47" s="67" t="str">
        <f>IF(OR(K47="",L47=""),"",IF(L47=0,"⚠ NO PARENT WIDTH",IF(K47&gt;L47,"⚠ BABY &gt; PARENT","✔ OK")))</f>
        <v>✔ OK</v>
      </c>
      <c r="N47" s="67" t="str">
        <f>IF(D47="","",IF(COUNTIF(D$3:D47,D47)&gt;1,"⚠ DUPLICATE",""))</f>
        <v/>
      </c>
      <c r="O47" s="78" t="str">
        <f>IF(B47="","",SUMIF(B:B,B47,G:G)&amp;" / "&amp;IFERROR(VLOOKUP(B47,'Coil Sheet at Plant'!$C:$I,7,FALSE),"?")&amp;" mm")</f>
        <v>1259 / 1264 mm</v>
      </c>
    </row>
    <row r="48" spans="1:15" ht="21.75" customHeight="1">
      <c r="A48" s="168">
        <v>46116</v>
      </c>
      <c r="B48" s="30" t="s">
        <v>74</v>
      </c>
      <c r="C48" s="31" t="s">
        <v>63</v>
      </c>
      <c r="D48" s="43" t="str">
        <f>IF(OR(B48="",C48=""),"",CONCATENATE(B48,"-",C48))</f>
        <v>HYD-0426-06-E</v>
      </c>
      <c r="E48" s="49">
        <f>IF(B48="","",IFERROR(VLOOKUP(B48,'Coil Sheet at Plant'!$C:$G,5,FALSE),"ID Not Found"))</f>
        <v>2</v>
      </c>
      <c r="F48" s="50" t="str">
        <f>IF(B48="","",IFERROR(VLOOKUP(B48,'Coil Sheet at Plant'!$C:$H,6,FALSE),"ID Not Found"))</f>
        <v> </v>
      </c>
      <c r="G48" s="80">
        <v>197</v>
      </c>
      <c r="H48" s="88">
        <f>IF(OR(B48="",G48=""),"",IFERROR(VLOOKUP(B48,'Coil Sheet at Plant'!$C:$J,8,FALSE),0)*G48/SUMIF(B:B,B48,G:G))</f>
        <v>3.4627561556791102</v>
      </c>
      <c r="I48" s="55">
        <f>IF(B48="","",IFERROR(VLOOKUP(B48,'Coil Sheet at Plant'!$C:$L,9,FALSE),""))</f>
        <v>22.13</v>
      </c>
      <c r="J48" s="84" t="str">
        <f>IF(B48="","",IFERROR(VLOOKUP(B48,'Coil Sheet at Plant'!$C:$M,10,FALSE),""))</f>
        <v>13,01,244.0</v>
      </c>
      <c r="K48" s="65">
        <f>IF(B48="","",SUMIF(B:B,B48,G:G))</f>
        <v>1259</v>
      </c>
      <c r="L48" s="66">
        <f>IF(B48="","",IFERROR(VLOOKUP(B48,'Coil Sheet at Plant'!$C:$I,7,FALSE),""))</f>
        <v>1264</v>
      </c>
      <c r="M48" s="67" t="str">
        <f>IF(OR(K48="",L48=""),"",IF(L48=0,"⚠ NO PARENT WIDTH",IF(K48&gt;L48,"⚠ BABY &gt; PARENT","✔ OK")))</f>
        <v>✔ OK</v>
      </c>
      <c r="N48" s="67" t="str">
        <f>IF(D48="","",IF(COUNTIF(D$3:D48,D48)&gt;1,"⚠ DUPLICATE",""))</f>
        <v/>
      </c>
      <c r="O48" s="78" t="str">
        <f>IF(B48="","",SUMIF(B:B,B48,G:G)&amp;" / "&amp;IFERROR(VLOOKUP(B48,'Coil Sheet at Plant'!$C:$I,7,FALSE),"?")&amp;" mm")</f>
        <v>1259 / 1264 mm</v>
      </c>
    </row>
    <row r="49" spans="1:15" ht="21.75" customHeight="1">
      <c r="A49" s="168">
        <v>46116</v>
      </c>
      <c r="B49" s="30" t="s">
        <v>74</v>
      </c>
      <c r="C49" s="31" t="s">
        <v>64</v>
      </c>
      <c r="D49" s="43" t="str">
        <f>IF(OR(B49="",C49=""),"",CONCATENATE(B49,"-",C49))</f>
        <v>HYD-0426-06-F</v>
      </c>
      <c r="E49" s="49">
        <f>IF(B49="","",IFERROR(VLOOKUP(B49,'Coil Sheet at Plant'!$C:$G,5,FALSE),"ID Not Found"))</f>
        <v>2</v>
      </c>
      <c r="F49" s="50" t="str">
        <f>IF(B49="","",IFERROR(VLOOKUP(B49,'Coil Sheet at Plant'!$C:$H,6,FALSE),"ID Not Found"))</f>
        <v> </v>
      </c>
      <c r="G49" s="80">
        <v>197</v>
      </c>
      <c r="H49" s="88">
        <f>IF(OR(B49="",G49=""),"",IFERROR(VLOOKUP(B49,'Coil Sheet at Plant'!$C:$J,8,FALSE),0)*G49/SUMIF(B:B,B49,G:G))</f>
        <v>3.4627561556791102</v>
      </c>
      <c r="I49" s="55">
        <f>IF(B49="","",IFERROR(VLOOKUP(B49,'Coil Sheet at Plant'!$C:$L,9,FALSE),""))</f>
        <v>22.13</v>
      </c>
      <c r="J49" s="84" t="str">
        <f>IF(B49="","",IFERROR(VLOOKUP(B49,'Coil Sheet at Plant'!$C:$M,10,FALSE),""))</f>
        <v>13,01,244.0</v>
      </c>
      <c r="K49" s="65">
        <f>IF(B49="","",SUMIF(B:B,B49,G:G))</f>
        <v>1259</v>
      </c>
      <c r="L49" s="66">
        <f>IF(B49="","",IFERROR(VLOOKUP(B49,'Coil Sheet at Plant'!$C:$I,7,FALSE),""))</f>
        <v>1264</v>
      </c>
      <c r="M49" s="67" t="str">
        <f>IF(OR(K49="",L49=""),"",IF(L49=0,"⚠ NO PARENT WIDTH",IF(K49&gt;L49,"⚠ BABY &gt; PARENT","✔ OK")))</f>
        <v>✔ OK</v>
      </c>
      <c r="N49" s="67" t="str">
        <f>IF(D49="","",IF(COUNTIF(D$3:D49,D49)&gt;1,"⚠ DUPLICATE",""))</f>
        <v/>
      </c>
      <c r="O49" s="78" t="str">
        <f>IF(B49="","",SUMIF(B:B,B49,G:G)&amp;" / "&amp;IFERROR(VLOOKUP(B49,'Coil Sheet at Plant'!$C:$I,7,FALSE),"?")&amp;" mm")</f>
        <v>1259 / 1264 mm</v>
      </c>
    </row>
    <row r="50" spans="1:15" ht="21.75" customHeight="1">
      <c r="A50" s="168">
        <v>46116</v>
      </c>
      <c r="B50" s="30" t="s">
        <v>74</v>
      </c>
      <c r="C50" s="31" t="s">
        <v>65</v>
      </c>
      <c r="D50" s="43" t="str">
        <f>IF(OR(B50="",C50=""),"",CONCATENATE(B50,"-",C50))</f>
        <v>HYD-0426-06-G</v>
      </c>
      <c r="E50" s="49">
        <f>IF(B50="","",IFERROR(VLOOKUP(B50,'Coil Sheet at Plant'!$C:$G,5,FALSE),"ID Not Found"))</f>
        <v>2</v>
      </c>
      <c r="F50" s="50" t="str">
        <f>IF(B50="","",IFERROR(VLOOKUP(B50,'Coil Sheet at Plant'!$C:$H,6,FALSE),"ID Not Found"))</f>
        <v> </v>
      </c>
      <c r="G50" s="80">
        <v>77</v>
      </c>
      <c r="H50" s="88">
        <f>IF(OR(B50="",G50=""),"",IFERROR(VLOOKUP(B50,'Coil Sheet at Plant'!$C:$J,8,FALSE),0)*G50/SUMIF(B:B,B50,G:G))</f>
        <v>1.3534630659253375</v>
      </c>
      <c r="I50" s="55">
        <f>IF(B50="","",IFERROR(VLOOKUP(B50,'Coil Sheet at Plant'!$C:$L,9,FALSE),""))</f>
        <v>22.13</v>
      </c>
      <c r="J50" s="84" t="str">
        <f>IF(B50="","",IFERROR(VLOOKUP(B50,'Coil Sheet at Plant'!$C:$M,10,FALSE),""))</f>
        <v>13,01,244.0</v>
      </c>
      <c r="K50" s="65">
        <f>IF(B50="","",SUMIF(B:B,B50,G:G))</f>
        <v>1259</v>
      </c>
      <c r="L50" s="66">
        <f>IF(B50="","",IFERROR(VLOOKUP(B50,'Coil Sheet at Plant'!$C:$I,7,FALSE),""))</f>
        <v>1264</v>
      </c>
      <c r="M50" s="67" t="str">
        <f>IF(OR(K50="",L50=""),"",IF(L50=0,"⚠ NO PARENT WIDTH",IF(K50&gt;L50,"⚠ BABY &gt; PARENT","✔ OK")))</f>
        <v>✔ OK</v>
      </c>
      <c r="N50" s="67" t="str">
        <f>IF(D50="","",IF(COUNTIF(D$3:D50,D50)&gt;1,"⚠ DUPLICATE",""))</f>
        <v/>
      </c>
      <c r="O50" s="78" t="str">
        <f>IF(B50="","",SUMIF(B:B,B50,G:G)&amp;" / "&amp;IFERROR(VLOOKUP(B50,'Coil Sheet at Plant'!$C:$I,7,FALSE),"?")&amp;" mm")</f>
        <v>1259 / 1264 mm</v>
      </c>
    </row>
    <row r="51" spans="1:15" ht="21.75" customHeight="1">
      <c r="A51" s="168">
        <v>46118</v>
      </c>
      <c r="B51" s="30" t="s">
        <v>75</v>
      </c>
      <c r="C51" s="31" t="s">
        <v>59</v>
      </c>
      <c r="D51" s="43" t="str">
        <f>IF(OR(B51="",C51=""),"",CONCATENATE(B51,"-",C51))</f>
        <v>HYD-0426-07-A</v>
      </c>
      <c r="E51" s="49">
        <f>IF(B51="","",IFERROR(VLOOKUP(B51,'Coil Sheet at Plant'!$C:$G,5,FALSE),"ID Not Found"))</f>
        <v>2</v>
      </c>
      <c r="F51" s="50" t="str">
        <f>IF(B51="","",IFERROR(VLOOKUP(B51,'Coil Sheet at Plant'!$C:$H,6,FALSE),"ID Not Found"))</f>
        <v> </v>
      </c>
      <c r="G51" s="80">
        <v>197</v>
      </c>
      <c r="H51" s="88">
        <f>IF(OR(B51="",G51=""),"",IFERROR(VLOOKUP(B51,'Coil Sheet at Plant'!$C:$J,8,FALSE),0)*G51/SUMIF(B:B,B51,G:G))</f>
        <v>3.0084164859002174</v>
      </c>
      <c r="I51" s="55">
        <f>IF(B51="","",IFERROR(VLOOKUP(B51,'Coil Sheet at Plant'!$C:$L,9,FALSE),""))</f>
        <v>14.08</v>
      </c>
      <c r="J51" s="84" t="str">
        <f>IF(B51="","",IFERROR(VLOOKUP(B51,'Coil Sheet at Plant'!$C:$M,10,FALSE),""))</f>
        <v>8,37,760.00</v>
      </c>
      <c r="K51" s="65">
        <f>IF(B51="","",SUMIF(B:B,B51,G:G))</f>
        <v>922</v>
      </c>
      <c r="L51" s="66">
        <f>IF(B51="","",IFERROR(VLOOKUP(B51,'Coil Sheet at Plant'!$C:$I,7,FALSE),""))</f>
        <v>930</v>
      </c>
      <c r="M51" s="67" t="str">
        <f>IF(OR(K51="",L51=""),"",IF(L51=0,"⚠ NO PARENT WIDTH",IF(K51&gt;L51,"⚠ BABY &gt; PARENT","✔ OK")))</f>
        <v>✔ OK</v>
      </c>
      <c r="N51" s="67" t="str">
        <f>IF(D51="","",IF(COUNTIF(D$3:D51,D51)&gt;1,"⚠ DUPLICATE",""))</f>
        <v/>
      </c>
      <c r="O51" s="78" t="str">
        <f>IF(B51="","",SUMIF(B:B,B51,G:G)&amp;" / "&amp;IFERROR(VLOOKUP(B51,'Coil Sheet at Plant'!$C:$I,7,FALSE),"?")&amp;" mm")</f>
        <v>922 / 930 mm</v>
      </c>
    </row>
    <row r="52" spans="1:15" ht="21.75" customHeight="1">
      <c r="A52" s="168">
        <v>46118</v>
      </c>
      <c r="B52" s="30" t="s">
        <v>75</v>
      </c>
      <c r="C52" s="31" t="s">
        <v>60</v>
      </c>
      <c r="D52" s="43" t="str">
        <f>IF(OR(B52="",C52=""),"",CONCATENATE(B52,"-",C52))</f>
        <v>HYD-0426-07-B</v>
      </c>
      <c r="E52" s="49">
        <f>IF(B52="","",IFERROR(VLOOKUP(B52,'Coil Sheet at Plant'!$C:$G,5,FALSE),"ID Not Found"))</f>
        <v>2</v>
      </c>
      <c r="F52" s="50" t="str">
        <f>IF(B52="","",IFERROR(VLOOKUP(B52,'Coil Sheet at Plant'!$C:$H,6,FALSE),"ID Not Found"))</f>
        <v> </v>
      </c>
      <c r="G52" s="80">
        <v>197</v>
      </c>
      <c r="H52" s="88">
        <f>IF(OR(B52="",G52=""),"",IFERROR(VLOOKUP(B52,'Coil Sheet at Plant'!$C:$J,8,FALSE),0)*G52/SUMIF(B:B,B52,G:G))</f>
        <v>3.0084164859002174</v>
      </c>
      <c r="I52" s="55">
        <f>IF(B52="","",IFERROR(VLOOKUP(B52,'Coil Sheet at Plant'!$C:$L,9,FALSE),""))</f>
        <v>14.08</v>
      </c>
      <c r="J52" s="84" t="str">
        <f>IF(B52="","",IFERROR(VLOOKUP(B52,'Coil Sheet at Plant'!$C:$M,10,FALSE),""))</f>
        <v>8,37,760.00</v>
      </c>
      <c r="K52" s="65">
        <f>IF(B52="","",SUMIF(B:B,B52,G:G))</f>
        <v>922</v>
      </c>
      <c r="L52" s="66">
        <f>IF(B52="","",IFERROR(VLOOKUP(B52,'Coil Sheet at Plant'!$C:$I,7,FALSE),""))</f>
        <v>930</v>
      </c>
      <c r="M52" s="67" t="str">
        <f>IF(OR(K52="",L52=""),"",IF(L52=0,"⚠ NO PARENT WIDTH",IF(K52&gt;L52,"⚠ BABY &gt; PARENT","✔ OK")))</f>
        <v>✔ OK</v>
      </c>
      <c r="N52" s="67" t="str">
        <f>IF(D52="","",IF(COUNTIF(D$3:D52,D52)&gt;1,"⚠ DUPLICATE",""))</f>
        <v/>
      </c>
      <c r="O52" s="78" t="str">
        <f>IF(B52="","",SUMIF(B:B,B52,G:G)&amp;" / "&amp;IFERROR(VLOOKUP(B52,'Coil Sheet at Plant'!$C:$I,7,FALSE),"?")&amp;" mm")</f>
        <v>922 / 930 mm</v>
      </c>
    </row>
    <row r="53" spans="1:15" ht="21.75" customHeight="1">
      <c r="A53" s="168">
        <v>46118</v>
      </c>
      <c r="B53" s="30" t="s">
        <v>75</v>
      </c>
      <c r="C53" s="31" t="s">
        <v>61</v>
      </c>
      <c r="D53" s="43" t="str">
        <f>IF(OR(B53="",C53=""),"",CONCATENATE(B53,"-",C53))</f>
        <v>HYD-0426-07-C</v>
      </c>
      <c r="E53" s="49">
        <f>IF(B53="","",IFERROR(VLOOKUP(B53,'Coil Sheet at Plant'!$C:$G,5,FALSE),"ID Not Found"))</f>
        <v>2</v>
      </c>
      <c r="F53" s="50" t="str">
        <f>IF(B53="","",IFERROR(VLOOKUP(B53,'Coil Sheet at Plant'!$C:$H,6,FALSE),"ID Not Found"))</f>
        <v> </v>
      </c>
      <c r="G53" s="80">
        <v>197</v>
      </c>
      <c r="H53" s="88">
        <f>IF(OR(B53="",G53=""),"",IFERROR(VLOOKUP(B53,'Coil Sheet at Plant'!$C:$J,8,FALSE),0)*G53/SUMIF(B:B,B53,G:G))</f>
        <v>3.0084164859002174</v>
      </c>
      <c r="I53" s="55">
        <f>IF(B53="","",IFERROR(VLOOKUP(B53,'Coil Sheet at Plant'!$C:$L,9,FALSE),""))</f>
        <v>14.08</v>
      </c>
      <c r="J53" s="84" t="str">
        <f>IF(B53="","",IFERROR(VLOOKUP(B53,'Coil Sheet at Plant'!$C:$M,10,FALSE),""))</f>
        <v>8,37,760.00</v>
      </c>
      <c r="K53" s="65">
        <f>IF(B53="","",SUMIF(B:B,B53,G:G))</f>
        <v>922</v>
      </c>
      <c r="L53" s="66">
        <f>IF(B53="","",IFERROR(VLOOKUP(B53,'Coil Sheet at Plant'!$C:$I,7,FALSE),""))</f>
        <v>930</v>
      </c>
      <c r="M53" s="67" t="str">
        <f>IF(OR(K53="",L53=""),"",IF(L53=0,"⚠ NO PARENT WIDTH",IF(K53&gt;L53,"⚠ BABY &gt; PARENT","✔ OK")))</f>
        <v>✔ OK</v>
      </c>
      <c r="N53" s="67" t="str">
        <f>IF(D53="","",IF(COUNTIF(D$3:D53,D53)&gt;1,"⚠ DUPLICATE",""))</f>
        <v/>
      </c>
      <c r="O53" s="78" t="str">
        <f>IF(B53="","",SUMIF(B:B,B53,G:G)&amp;" / "&amp;IFERROR(VLOOKUP(B53,'Coil Sheet at Plant'!$C:$I,7,FALSE),"?")&amp;" mm")</f>
        <v>922 / 930 mm</v>
      </c>
    </row>
    <row r="54" spans="1:15" ht="21.75" customHeight="1">
      <c r="A54" s="168">
        <v>46118</v>
      </c>
      <c r="B54" s="30" t="s">
        <v>75</v>
      </c>
      <c r="C54" s="31" t="s">
        <v>62</v>
      </c>
      <c r="D54" s="43" t="str">
        <f>IF(OR(B54="",C54=""),"",CONCATENATE(B54,"-",C54))</f>
        <v>HYD-0426-07-D</v>
      </c>
      <c r="E54" s="49">
        <f>IF(B54="","",IFERROR(VLOOKUP(B54,'Coil Sheet at Plant'!$C:$G,5,FALSE),"ID Not Found"))</f>
        <v>2</v>
      </c>
      <c r="F54" s="50" t="str">
        <f>IF(B54="","",IFERROR(VLOOKUP(B54,'Coil Sheet at Plant'!$C:$H,6,FALSE),"ID Not Found"))</f>
        <v> </v>
      </c>
      <c r="G54" s="80">
        <v>117</v>
      </c>
      <c r="H54" s="88">
        <f>IF(OR(B54="",G54=""),"",IFERROR(VLOOKUP(B54,'Coil Sheet at Plant'!$C:$J,8,FALSE),0)*G54/SUMIF(B:B,B54,G:G))</f>
        <v>1.7867245119305857</v>
      </c>
      <c r="I54" s="55">
        <f>IF(B54="","",IFERROR(VLOOKUP(B54,'Coil Sheet at Plant'!$C:$L,9,FALSE),""))</f>
        <v>14.08</v>
      </c>
      <c r="J54" s="84" t="str">
        <f>IF(B54="","",IFERROR(VLOOKUP(B54,'Coil Sheet at Plant'!$C:$M,10,FALSE),""))</f>
        <v>8,37,760.00</v>
      </c>
      <c r="K54" s="65">
        <f>IF(B54="","",SUMIF(B:B,B54,G:G))</f>
        <v>922</v>
      </c>
      <c r="L54" s="66">
        <f>IF(B54="","",IFERROR(VLOOKUP(B54,'Coil Sheet at Plant'!$C:$I,7,FALSE),""))</f>
        <v>930</v>
      </c>
      <c r="M54" s="67" t="str">
        <f>IF(OR(K54="",L54=""),"",IF(L54=0,"⚠ NO PARENT WIDTH",IF(K54&gt;L54,"⚠ BABY &gt; PARENT","✔ OK")))</f>
        <v>✔ OK</v>
      </c>
      <c r="N54" s="67" t="str">
        <f>IF(D54="","",IF(COUNTIF(D$3:D54,D54)&gt;1,"⚠ DUPLICATE",""))</f>
        <v/>
      </c>
      <c r="O54" s="78" t="str">
        <f>IF(B54="","",SUMIF(B:B,B54,G:G)&amp;" / "&amp;IFERROR(VLOOKUP(B54,'Coil Sheet at Plant'!$C:$I,7,FALSE),"?")&amp;" mm")</f>
        <v>922 / 930 mm</v>
      </c>
    </row>
    <row r="55" spans="1:15" ht="21.75" customHeight="1">
      <c r="A55" s="168">
        <v>46118</v>
      </c>
      <c r="B55" s="30" t="s">
        <v>75</v>
      </c>
      <c r="C55" s="31" t="s">
        <v>63</v>
      </c>
      <c r="D55" s="43" t="str">
        <f>IF(OR(B55="",C55=""),"",CONCATENATE(B55,"-",C55))</f>
        <v>HYD-0426-07-E</v>
      </c>
      <c r="E55" s="49">
        <f>IF(B55="","",IFERROR(VLOOKUP(B55,'Coil Sheet at Plant'!$C:$G,5,FALSE),"ID Not Found"))</f>
        <v>2</v>
      </c>
      <c r="F55" s="50" t="str">
        <f>IF(B55="","",IFERROR(VLOOKUP(B55,'Coil Sheet at Plant'!$C:$H,6,FALSE),"ID Not Found"))</f>
        <v> </v>
      </c>
      <c r="G55" s="80">
        <v>117</v>
      </c>
      <c r="H55" s="88">
        <f>IF(OR(B55="",G55=""),"",IFERROR(VLOOKUP(B55,'Coil Sheet at Plant'!$C:$J,8,FALSE),0)*G55/SUMIF(B:B,B55,G:G))</f>
        <v>1.7867245119305857</v>
      </c>
      <c r="I55" s="55">
        <f>IF(B55="","",IFERROR(VLOOKUP(B55,'Coil Sheet at Plant'!$C:$L,9,FALSE),""))</f>
        <v>14.08</v>
      </c>
      <c r="J55" s="84" t="str">
        <f>IF(B55="","",IFERROR(VLOOKUP(B55,'Coil Sheet at Plant'!$C:$M,10,FALSE),""))</f>
        <v>8,37,760.00</v>
      </c>
      <c r="K55" s="65">
        <f>IF(B55="","",SUMIF(B:B,B55,G:G))</f>
        <v>922</v>
      </c>
      <c r="L55" s="66">
        <f>IF(B55="","",IFERROR(VLOOKUP(B55,'Coil Sheet at Plant'!$C:$I,7,FALSE),""))</f>
        <v>930</v>
      </c>
      <c r="M55" s="67" t="str">
        <f>IF(OR(K55="",L55=""),"",IF(L55=0,"⚠ NO PARENT WIDTH",IF(K55&gt;L55,"⚠ BABY &gt; PARENT","✔ OK")))</f>
        <v>✔ OK</v>
      </c>
      <c r="N55" s="67" t="str">
        <f>IF(D55="","",IF(COUNTIF(D$3:D55,D55)&gt;1,"⚠ DUPLICATE",""))</f>
        <v/>
      </c>
      <c r="O55" s="78" t="str">
        <f>IF(B55="","",SUMIF(B:B,B55,G:G)&amp;" / "&amp;IFERROR(VLOOKUP(B55,'Coil Sheet at Plant'!$C:$I,7,FALSE),"?")&amp;" mm")</f>
        <v>922 / 930 mm</v>
      </c>
    </row>
    <row r="56" spans="1:15" ht="21.75" customHeight="1">
      <c r="A56" s="168">
        <v>46118</v>
      </c>
      <c r="B56" s="30" t="s">
        <v>75</v>
      </c>
      <c r="C56" s="31" t="s">
        <v>64</v>
      </c>
      <c r="D56" s="43" t="str">
        <f>IF(OR(B56="",C56=""),"",CONCATENATE(B56,"-",C56))</f>
        <v>HYD-0426-07-F</v>
      </c>
      <c r="E56" s="49">
        <f>IF(B56="","",IFERROR(VLOOKUP(B56,'Coil Sheet at Plant'!$C:$G,5,FALSE),"ID Not Found"))</f>
        <v>2</v>
      </c>
      <c r="F56" s="50" t="str">
        <f>IF(B56="","",IFERROR(VLOOKUP(B56,'Coil Sheet at Plant'!$C:$H,6,FALSE),"ID Not Found"))</f>
        <v> </v>
      </c>
      <c r="G56" s="80">
        <v>97</v>
      </c>
      <c r="H56" s="88">
        <f>IF(OR(B56="",G56=""),"",IFERROR(VLOOKUP(B56,'Coil Sheet at Plant'!$C:$J,8,FALSE),0)*G56/SUMIF(B:B,B56,G:G))</f>
        <v>1.4813015184381779</v>
      </c>
      <c r="I56" s="55">
        <f>IF(B56="","",IFERROR(VLOOKUP(B56,'Coil Sheet at Plant'!$C:$L,9,FALSE),""))</f>
        <v>14.08</v>
      </c>
      <c r="J56" s="84" t="str">
        <f>IF(B56="","",IFERROR(VLOOKUP(B56,'Coil Sheet at Plant'!$C:$M,10,FALSE),""))</f>
        <v>8,37,760.00</v>
      </c>
      <c r="K56" s="65">
        <f>IF(B56="","",SUMIF(B:B,B56,G:G))</f>
        <v>922</v>
      </c>
      <c r="L56" s="66">
        <f>IF(B56="","",IFERROR(VLOOKUP(B56,'Coil Sheet at Plant'!$C:$I,7,FALSE),""))</f>
        <v>930</v>
      </c>
      <c r="M56" s="67" t="str">
        <f>IF(OR(K56="",L56=""),"",IF(L56=0,"⚠ NO PARENT WIDTH",IF(K56&gt;L56,"⚠ BABY &gt; PARENT","✔ OK")))</f>
        <v>✔ OK</v>
      </c>
      <c r="N56" s="67" t="str">
        <f>IF(D56="","",IF(COUNTIF(D$3:D56,D56)&gt;1,"⚠ DUPLICATE",""))</f>
        <v/>
      </c>
      <c r="O56" s="78" t="str">
        <f>IF(B56="","",SUMIF(B:B,B56,G:G)&amp;" / "&amp;IFERROR(VLOOKUP(B56,'Coil Sheet at Plant'!$C:$I,7,FALSE),"?")&amp;" mm")</f>
        <v>922 / 930 mm</v>
      </c>
    </row>
    <row r="57" spans="1:15" ht="21.75" customHeight="1">
      <c r="A57" s="35"/>
      <c r="B57" s="30"/>
      <c r="C57" s="31"/>
      <c r="D57" s="43" t="str">
        <f>IF(OR(B57="",C57=""),"",CONCATENATE(B57,"-",C57))</f>
        <v/>
      </c>
      <c r="E57" s="49" t="str">
        <f>IF(B57="","",IFERROR(VLOOKUP(B57,'Coil Sheet at Plant'!$C:$G,5,FALSE),"ID Not Found"))</f>
        <v/>
      </c>
      <c r="F57" s="50" t="str">
        <f>IF(B57="","",IFERROR(VLOOKUP(B57,'Coil Sheet at Plant'!$C:$H,6,FALSE),"ID Not Found"))</f>
        <v/>
      </c>
      <c r="G57" s="80"/>
      <c r="H57" s="88" t="str">
        <f>IF(OR(B57="",G57=""),"",IFERROR(VLOOKUP(B57,'Coil Sheet at Plant'!$C:$J,8,FALSE),0)*G57/SUMIF(B:B,B57,G:G))</f>
        <v/>
      </c>
      <c r="I57" s="55" t="str">
        <f>IF(B57="","",IFERROR(VLOOKUP(B57,'Coil Sheet at Plant'!$C:$L,9,FALSE),""))</f>
        <v/>
      </c>
      <c r="J57" s="84" t="str">
        <f>IF(B57="","",IFERROR(VLOOKUP(B57,'Coil Sheet at Plant'!$C:$M,10,FALSE),""))</f>
        <v/>
      </c>
      <c r="K57" s="65" t="str">
        <f>IF(B57="","",SUMIF(B:B,B57,G:G))</f>
        <v/>
      </c>
      <c r="L57" s="66" t="str">
        <f>IF(B57="","",IFERROR(VLOOKUP(B57,'Coil Sheet at Plant'!$C:$I,7,FALSE),""))</f>
        <v/>
      </c>
      <c r="M57" s="67" t="str">
        <f>IF(OR(K57="",L57=""),"",IF(L57=0,"⚠ NO PARENT WIDTH",IF(K57&gt;L57,"⚠ BABY &gt; PARENT","✔ OK")))</f>
        <v/>
      </c>
      <c r="N57" s="67" t="str">
        <f>IF(D57="","",IF(COUNTIF(D$3:D57,D57)&gt;1,"⚠ DUPLICATE",""))</f>
        <v/>
      </c>
      <c r="O57" s="78" t="str">
        <f>IF(B57="","",SUMIF(B:B,B57,G:G)&amp;" / "&amp;IFERROR(VLOOKUP(B57,'Coil Sheet at Plant'!$C:$I,7,FALSE),"?")&amp;" mm")</f>
        <v/>
      </c>
    </row>
    <row r="58" spans="1:15" ht="21.75" customHeight="1">
      <c r="A58" s="35"/>
      <c r="B58" s="30"/>
      <c r="C58" s="31"/>
      <c r="D58" s="43" t="str">
        <f>IF(OR(B58="",C58=""),"",CONCATENATE(B58,"-",C58))</f>
        <v/>
      </c>
      <c r="E58" s="49" t="str">
        <f>IF(B58="","",IFERROR(VLOOKUP(B58,'Coil Sheet at Plant'!$C:$G,5,FALSE),"ID Not Found"))</f>
        <v/>
      </c>
      <c r="F58" s="50" t="str">
        <f>IF(B58="","",IFERROR(VLOOKUP(B58,'Coil Sheet at Plant'!$C:$H,6,FALSE),"ID Not Found"))</f>
        <v/>
      </c>
      <c r="G58" s="80"/>
      <c r="H58" s="88" t="str">
        <f>IF(OR(B58="",G58=""),"",IFERROR(VLOOKUP(B58,'Coil Sheet at Plant'!$C:$J,8,FALSE),0)*G58/SUMIF(B:B,B58,G:G))</f>
        <v/>
      </c>
      <c r="I58" s="55" t="str">
        <f>IF(B58="","",IFERROR(VLOOKUP(B58,'Coil Sheet at Plant'!$C:$L,9,FALSE),""))</f>
        <v/>
      </c>
      <c r="J58" s="84" t="str">
        <f>IF(B58="","",IFERROR(VLOOKUP(B58,'Coil Sheet at Plant'!$C:$M,10,FALSE),""))</f>
        <v/>
      </c>
      <c r="K58" s="65" t="str">
        <f>IF(B58="","",SUMIF(B:B,B58,G:G))</f>
        <v/>
      </c>
      <c r="L58" s="66" t="str">
        <f>IF(B58="","",IFERROR(VLOOKUP(B58,'Coil Sheet at Plant'!$C:$I,7,FALSE),""))</f>
        <v/>
      </c>
      <c r="M58" s="67" t="str">
        <f>IF(OR(K58="",L58=""),"",IF(L58=0,"⚠ NO PARENT WIDTH",IF(K58&gt;L58,"⚠ BABY &gt; PARENT","✔ OK")))</f>
        <v/>
      </c>
      <c r="N58" s="67" t="str">
        <f>IF(D58="","",IF(COUNTIF(D$3:D58,D58)&gt;1,"⚠ DUPLICATE",""))</f>
        <v/>
      </c>
      <c r="O58" s="78" t="str">
        <f>IF(B58="","",SUMIF(B:B,B58,G:G)&amp;" / "&amp;IFERROR(VLOOKUP(B58,'Coil Sheet at Plant'!$C:$I,7,FALSE),"?")&amp;" mm")</f>
        <v/>
      </c>
    </row>
    <row r="59" spans="1:15" ht="21.75" customHeight="1">
      <c r="A59" s="35"/>
      <c r="B59" s="30"/>
      <c r="C59" s="31"/>
      <c r="D59" s="43" t="str">
        <f>IF(OR(B59="",C59=""),"",CONCATENATE(B59,"-",C59))</f>
        <v/>
      </c>
      <c r="E59" s="49" t="str">
        <f>IF(B59="","",IFERROR(VLOOKUP(B59,'Coil Sheet at Plant'!$C:$G,5,FALSE),"ID Not Found"))</f>
        <v/>
      </c>
      <c r="F59" s="50" t="str">
        <f>IF(B59="","",IFERROR(VLOOKUP(B59,'Coil Sheet at Plant'!$C:$H,6,FALSE),"ID Not Found"))</f>
        <v/>
      </c>
      <c r="G59" s="80"/>
      <c r="H59" s="88" t="str">
        <f>IF(OR(B59="",G59=""),"",IFERROR(VLOOKUP(B59,'Coil Sheet at Plant'!$C:$J,8,FALSE),0)*G59/SUMIF(B:B,B59,G:G))</f>
        <v/>
      </c>
      <c r="I59" s="55" t="str">
        <f>IF(B59="","",IFERROR(VLOOKUP(B59,'Coil Sheet at Plant'!$C:$L,9,FALSE),""))</f>
        <v/>
      </c>
      <c r="J59" s="84" t="str">
        <f>IF(B59="","",IFERROR(VLOOKUP(B59,'Coil Sheet at Plant'!$C:$M,10,FALSE),""))</f>
        <v/>
      </c>
      <c r="K59" s="65" t="str">
        <f>IF(B59="","",SUMIF(B:B,B59,G:G))</f>
        <v/>
      </c>
      <c r="L59" s="66" t="str">
        <f>IF(B59="","",IFERROR(VLOOKUP(B59,'Coil Sheet at Plant'!$C:$I,7,FALSE),""))</f>
        <v/>
      </c>
      <c r="M59" s="67" t="str">
        <f>IF(OR(K59="",L59=""),"",IF(L59=0,"⚠ NO PARENT WIDTH",IF(K59&gt;L59,"⚠ BABY &gt; PARENT","✔ OK")))</f>
        <v/>
      </c>
      <c r="N59" s="67" t="str">
        <f>IF(D59="","",IF(COUNTIF(D$3:D59,D59)&gt;1,"⚠ DUPLICATE",""))</f>
        <v/>
      </c>
      <c r="O59" s="78" t="str">
        <f>IF(B59="","",SUMIF(B:B,B59,G:G)&amp;" / "&amp;IFERROR(VLOOKUP(B59,'Coil Sheet at Plant'!$C:$I,7,FALSE),"?")&amp;" mm")</f>
        <v/>
      </c>
    </row>
    <row r="60" spans="1:15" ht="21.75" customHeight="1">
      <c r="A60" s="35"/>
      <c r="B60" s="30"/>
      <c r="C60" s="31"/>
      <c r="D60" s="43" t="str">
        <f>IF(OR(B60="",C60=""),"",CONCATENATE(B60,"-",C60))</f>
        <v/>
      </c>
      <c r="E60" s="49" t="str">
        <f>IF(B60="","",IFERROR(VLOOKUP(B60,'Coil Sheet at Plant'!$C:$G,5,FALSE),"ID Not Found"))</f>
        <v/>
      </c>
      <c r="F60" s="50" t="str">
        <f>IF(B60="","",IFERROR(VLOOKUP(B60,'Coil Sheet at Plant'!$C:$H,6,FALSE),"ID Not Found"))</f>
        <v/>
      </c>
      <c r="G60" s="80"/>
      <c r="H60" s="88" t="str">
        <f>IF(OR(B60="",G60=""),"",IFERROR(VLOOKUP(B60,'Coil Sheet at Plant'!$C:$J,8,FALSE),0)*G60/SUMIF(B:B,B60,G:G))</f>
        <v/>
      </c>
      <c r="I60" s="55" t="str">
        <f>IF(B60="","",IFERROR(VLOOKUP(B60,'Coil Sheet at Plant'!$C:$L,9,FALSE),""))</f>
        <v/>
      </c>
      <c r="J60" s="84" t="str">
        <f>IF(B60="","",IFERROR(VLOOKUP(B60,'Coil Sheet at Plant'!$C:$M,10,FALSE),""))</f>
        <v/>
      </c>
      <c r="K60" s="65" t="str">
        <f>IF(B60="","",SUMIF(B:B,B60,G:G))</f>
        <v/>
      </c>
      <c r="L60" s="66" t="str">
        <f>IF(B60="","",IFERROR(VLOOKUP(B60,'Coil Sheet at Plant'!$C:$I,7,FALSE),""))</f>
        <v/>
      </c>
      <c r="M60" s="67" t="str">
        <f>IF(OR(K60="",L60=""),"",IF(L60=0,"⚠ NO PARENT WIDTH",IF(K60&gt;L60,"⚠ BABY &gt; PARENT","✔ OK")))</f>
        <v/>
      </c>
      <c r="N60" s="67" t="str">
        <f>IF(D60="","",IF(COUNTIF(D$3:D60,D60)&gt;1,"⚠ DUPLICATE",""))</f>
        <v/>
      </c>
      <c r="O60" s="78" t="str">
        <f>IF(B60="","",SUMIF(B:B,B60,G:G)&amp;" / "&amp;IFERROR(VLOOKUP(B60,'Coil Sheet at Plant'!$C:$I,7,FALSE),"?")&amp;" mm")</f>
        <v/>
      </c>
    </row>
    <row r="61" spans="1:15" ht="21.75" customHeight="1">
      <c r="A61" s="35"/>
      <c r="B61" s="30"/>
      <c r="C61" s="31"/>
      <c r="D61" s="43" t="str">
        <f>IF(OR(B61="",C61=""),"",CONCATENATE(B61,"-",C61))</f>
        <v/>
      </c>
      <c r="E61" s="49" t="str">
        <f>IF(B61="","",IFERROR(VLOOKUP(B61,'Coil Sheet at Plant'!$C:$G,5,FALSE),"ID Not Found"))</f>
        <v/>
      </c>
      <c r="F61" s="50" t="str">
        <f>IF(B61="","",IFERROR(VLOOKUP(B61,'Coil Sheet at Plant'!$C:$H,6,FALSE),"ID Not Found"))</f>
        <v/>
      </c>
      <c r="G61" s="80"/>
      <c r="H61" s="88" t="str">
        <f>IF(OR(B61="",G61=""),"",IFERROR(VLOOKUP(B61,'Coil Sheet at Plant'!$C:$J,8,FALSE),0)*G61/SUMIF(B:B,B61,G:G))</f>
        <v/>
      </c>
      <c r="I61" s="55" t="str">
        <f>IF(B61="","",IFERROR(VLOOKUP(B61,'Coil Sheet at Plant'!$C:$L,9,FALSE),""))</f>
        <v/>
      </c>
      <c r="J61" s="84" t="str">
        <f>IF(B61="","",IFERROR(VLOOKUP(B61,'Coil Sheet at Plant'!$C:$M,10,FALSE),""))</f>
        <v/>
      </c>
      <c r="K61" s="65" t="str">
        <f>IF(B61="","",SUMIF(B:B,B61,G:G))</f>
        <v/>
      </c>
      <c r="L61" s="66" t="str">
        <f>IF(B61="","",IFERROR(VLOOKUP(B61,'Coil Sheet at Plant'!$C:$I,7,FALSE),""))</f>
        <v/>
      </c>
      <c r="M61" s="67" t="str">
        <f>IF(OR(K61="",L61=""),"",IF(L61=0,"⚠ NO PARENT WIDTH",IF(K61&gt;L61,"⚠ BABY &gt; PARENT","✔ OK")))</f>
        <v/>
      </c>
      <c r="N61" s="67" t="str">
        <f>IF(D61="","",IF(COUNTIF(D$3:D61,D61)&gt;1,"⚠ DUPLICATE",""))</f>
        <v/>
      </c>
      <c r="O61" s="78" t="str">
        <f>IF(B61="","",SUMIF(B:B,B61,G:G)&amp;" / "&amp;IFERROR(VLOOKUP(B61,'Coil Sheet at Plant'!$C:$I,7,FALSE),"?")&amp;" mm")</f>
        <v/>
      </c>
    </row>
    <row r="62" spans="1:15" ht="21.75" customHeight="1">
      <c r="A62" s="35"/>
      <c r="B62" s="30"/>
      <c r="C62" s="31"/>
      <c r="D62" s="43" t="str">
        <f>IF(OR(B62="",C62=""),"",CONCATENATE(B62,"-",C62))</f>
        <v/>
      </c>
      <c r="E62" s="49" t="str">
        <f>IF(B62="","",IFERROR(VLOOKUP(B62,'Coil Sheet at Plant'!$C:$G,5,FALSE),"ID Not Found"))</f>
        <v/>
      </c>
      <c r="F62" s="50" t="str">
        <f>IF(B62="","",IFERROR(VLOOKUP(B62,'Coil Sheet at Plant'!$C:$H,6,FALSE),"ID Not Found"))</f>
        <v/>
      </c>
      <c r="G62" s="80"/>
      <c r="H62" s="88" t="str">
        <f>IF(OR(B62="",G62=""),"",IFERROR(VLOOKUP(B62,'Coil Sheet at Plant'!$C:$J,8,FALSE),0)*G62/SUMIF(B:B,B62,G:G))</f>
        <v/>
      </c>
      <c r="I62" s="55" t="str">
        <f>IF(B62="","",IFERROR(VLOOKUP(B62,'Coil Sheet at Plant'!$C:$L,9,FALSE),""))</f>
        <v/>
      </c>
      <c r="J62" s="84" t="str">
        <f>IF(B62="","",IFERROR(VLOOKUP(B62,'Coil Sheet at Plant'!$C:$M,10,FALSE),""))</f>
        <v/>
      </c>
      <c r="K62" s="65" t="str">
        <f>IF(B62="","",SUMIF(B:B,B62,G:G))</f>
        <v/>
      </c>
      <c r="L62" s="66" t="str">
        <f>IF(B62="","",IFERROR(VLOOKUP(B62,'Coil Sheet at Plant'!$C:$I,7,FALSE),""))</f>
        <v/>
      </c>
      <c r="M62" s="67" t="str">
        <f>IF(OR(K62="",L62=""),"",IF(L62=0,"⚠ NO PARENT WIDTH",IF(K62&gt;L62,"⚠ BABY &gt; PARENT","✔ OK")))</f>
        <v/>
      </c>
      <c r="N62" s="67" t="str">
        <f>IF(D62="","",IF(COUNTIF(D$3:D62,D62)&gt;1,"⚠ DUPLICATE",""))</f>
        <v/>
      </c>
      <c r="O62" s="78" t="str">
        <f>IF(B62="","",SUMIF(B:B,B62,G:G)&amp;" / "&amp;IFERROR(VLOOKUP(B62,'Coil Sheet at Plant'!$C:$I,7,FALSE),"?")&amp;" mm")</f>
        <v/>
      </c>
    </row>
    <row r="63" spans="1:15" ht="21.75" customHeight="1">
      <c r="A63" s="35"/>
      <c r="B63" s="30"/>
      <c r="C63" s="31"/>
      <c r="D63" s="43" t="str">
        <f>IF(OR(B63="",C63=""),"",CONCATENATE(B63,"-",C63))</f>
        <v/>
      </c>
      <c r="E63" s="49" t="str">
        <f>IF(B63="","",IFERROR(VLOOKUP(B63,'Coil Sheet at Plant'!$C:$G,5,FALSE),"ID Not Found"))</f>
        <v/>
      </c>
      <c r="F63" s="50" t="str">
        <f>IF(B63="","",IFERROR(VLOOKUP(B63,'Coil Sheet at Plant'!$C:$H,6,FALSE),"ID Not Found"))</f>
        <v/>
      </c>
      <c r="G63" s="80"/>
      <c r="H63" s="88" t="str">
        <f>IF(OR(B63="",G63=""),"",IFERROR(VLOOKUP(B63,'Coil Sheet at Plant'!$C:$J,8,FALSE),0)*G63/SUMIF(B:B,B63,G:G))</f>
        <v/>
      </c>
      <c r="I63" s="55" t="str">
        <f>IF(B63="","",IFERROR(VLOOKUP(B63,'Coil Sheet at Plant'!$C:$L,9,FALSE),""))</f>
        <v/>
      </c>
      <c r="J63" s="84" t="str">
        <f>IF(B63="","",IFERROR(VLOOKUP(B63,'Coil Sheet at Plant'!$C:$M,10,FALSE),""))</f>
        <v/>
      </c>
      <c r="K63" s="65" t="str">
        <f>IF(B63="","",SUMIF(B:B,B63,G:G))</f>
        <v/>
      </c>
      <c r="L63" s="66" t="str">
        <f>IF(B63="","",IFERROR(VLOOKUP(B63,'Coil Sheet at Plant'!$C:$I,7,FALSE),""))</f>
        <v/>
      </c>
      <c r="M63" s="67" t="str">
        <f>IF(OR(K63="",L63=""),"",IF(L63=0,"⚠ NO PARENT WIDTH",IF(K63&gt;L63,"⚠ BABY &gt; PARENT","✔ OK")))</f>
        <v/>
      </c>
      <c r="N63" s="67" t="str">
        <f>IF(D63="","",IF(COUNTIF(D$3:D63,D63)&gt;1,"⚠ DUPLICATE",""))</f>
        <v/>
      </c>
      <c r="O63" s="78" t="str">
        <f>IF(B63="","",SUMIF(B:B,B63,G:G)&amp;" / "&amp;IFERROR(VLOOKUP(B63,'Coil Sheet at Plant'!$C:$I,7,FALSE),"?")&amp;" mm")</f>
        <v/>
      </c>
    </row>
    <row r="64" spans="1:15" ht="21.75" customHeight="1">
      <c r="A64" s="35"/>
      <c r="B64" s="30"/>
      <c r="C64" s="31"/>
      <c r="D64" s="43" t="str">
        <f>IF(OR(B64="",C64=""),"",CONCATENATE(B64,"-",C64))</f>
        <v/>
      </c>
      <c r="E64" s="49" t="str">
        <f>IF(B64="","",IFERROR(VLOOKUP(B64,'Coil Sheet at Plant'!$C:$G,5,FALSE),"ID Not Found"))</f>
        <v/>
      </c>
      <c r="F64" s="50" t="str">
        <f>IF(B64="","",IFERROR(VLOOKUP(B64,'Coil Sheet at Plant'!$C:$H,6,FALSE),"ID Not Found"))</f>
        <v/>
      </c>
      <c r="G64" s="80"/>
      <c r="H64" s="88" t="str">
        <f>IF(OR(B64="",G64=""),"",IFERROR(VLOOKUP(B64,'Coil Sheet at Plant'!$C:$J,8,FALSE),0)*G64/SUMIF(B:B,B64,G:G))</f>
        <v/>
      </c>
      <c r="I64" s="55" t="str">
        <f>IF(B64="","",IFERROR(VLOOKUP(B64,'Coil Sheet at Plant'!$C:$L,9,FALSE),""))</f>
        <v/>
      </c>
      <c r="J64" s="84" t="str">
        <f>IF(B64="","",IFERROR(VLOOKUP(B64,'Coil Sheet at Plant'!$C:$M,10,FALSE),""))</f>
        <v/>
      </c>
      <c r="K64" s="65" t="str">
        <f>IF(B64="","",SUMIF(B:B,B64,G:G))</f>
        <v/>
      </c>
      <c r="L64" s="66" t="str">
        <f>IF(B64="","",IFERROR(VLOOKUP(B64,'Coil Sheet at Plant'!$C:$I,7,FALSE),""))</f>
        <v/>
      </c>
      <c r="M64" s="67" t="str">
        <f>IF(OR(K64="",L64=""),"",IF(L64=0,"⚠ NO PARENT WIDTH",IF(K64&gt;L64,"⚠ BABY &gt; PARENT","✔ OK")))</f>
        <v/>
      </c>
      <c r="N64" s="67" t="str">
        <f>IF(D64="","",IF(COUNTIF(D$3:D64,D64)&gt;1,"⚠ DUPLICATE",""))</f>
        <v/>
      </c>
      <c r="O64" s="78" t="str">
        <f>IF(B64="","",SUMIF(B:B,B64,G:G)&amp;" / "&amp;IFERROR(VLOOKUP(B64,'Coil Sheet at Plant'!$C:$I,7,FALSE),"?")&amp;" mm")</f>
        <v/>
      </c>
    </row>
    <row r="65" spans="1:15" ht="21.75" customHeight="1">
      <c r="A65" s="35"/>
      <c r="B65" s="30"/>
      <c r="C65" s="31"/>
      <c r="D65" s="43" t="str">
        <f>IF(OR(B65="",C65=""),"",CONCATENATE(B65,"-",C65))</f>
        <v/>
      </c>
      <c r="E65" s="49" t="str">
        <f>IF(B65="","",IFERROR(VLOOKUP(B65,'Coil Sheet at Plant'!$C:$G,5,FALSE),"ID Not Found"))</f>
        <v/>
      </c>
      <c r="F65" s="50" t="str">
        <f>IF(B65="","",IFERROR(VLOOKUP(B65,'Coil Sheet at Plant'!$C:$H,6,FALSE),"ID Not Found"))</f>
        <v/>
      </c>
      <c r="G65" s="80"/>
      <c r="H65" s="88" t="str">
        <f>IF(OR(B65="",G65=""),"",IFERROR(VLOOKUP(B65,'Coil Sheet at Plant'!$C:$J,8,FALSE),0)*G65/SUMIF(B:B,B65,G:G))</f>
        <v/>
      </c>
      <c r="I65" s="55" t="str">
        <f>IF(B65="","",IFERROR(VLOOKUP(B65,'Coil Sheet at Plant'!$C:$L,9,FALSE),""))</f>
        <v/>
      </c>
      <c r="J65" s="84" t="str">
        <f>IF(B65="","",IFERROR(VLOOKUP(B65,'Coil Sheet at Plant'!$C:$M,10,FALSE),""))</f>
        <v/>
      </c>
      <c r="K65" s="65" t="str">
        <f>IF(B65="","",SUMIF(B:B,B65,G:G))</f>
        <v/>
      </c>
      <c r="L65" s="66" t="str">
        <f>IF(B65="","",IFERROR(VLOOKUP(B65,'Coil Sheet at Plant'!$C:$I,7,FALSE),""))</f>
        <v/>
      </c>
      <c r="M65" s="67" t="str">
        <f>IF(OR(K65="",L65=""),"",IF(L65=0,"⚠ NO PARENT WIDTH",IF(K65&gt;L65,"⚠ BABY &gt; PARENT","✔ OK")))</f>
        <v/>
      </c>
      <c r="N65" s="67" t="str">
        <f>IF(D65="","",IF(COUNTIF(D$3:D65,D65)&gt;1,"⚠ DUPLICATE",""))</f>
        <v/>
      </c>
      <c r="O65" s="78" t="str">
        <f>IF(B65="","",SUMIF(B:B,B65,G:G)&amp;" / "&amp;IFERROR(VLOOKUP(B65,'Coil Sheet at Plant'!$C:$I,7,FALSE),"?")&amp;" mm")</f>
        <v/>
      </c>
    </row>
    <row r="66" spans="1:15" ht="21.75" customHeight="1">
      <c r="A66" s="35"/>
      <c r="B66" s="30"/>
      <c r="C66" s="31"/>
      <c r="D66" s="43" t="str">
        <f>IF(OR(B66="",C66=""),"",CONCATENATE(B66,"-",C66))</f>
        <v/>
      </c>
      <c r="E66" s="49" t="str">
        <f>IF(B66="","",IFERROR(VLOOKUP(B66,'Coil Sheet at Plant'!$C:$G,5,FALSE),"ID Not Found"))</f>
        <v/>
      </c>
      <c r="F66" s="50" t="str">
        <f>IF(B66="","",IFERROR(VLOOKUP(B66,'Coil Sheet at Plant'!$C:$H,6,FALSE),"ID Not Found"))</f>
        <v/>
      </c>
      <c r="G66" s="80"/>
      <c r="H66" s="88" t="str">
        <f>IF(OR(B66="",G66=""),"",IFERROR(VLOOKUP(B66,'Coil Sheet at Plant'!$C:$J,8,FALSE),0)*G66/SUMIF(B:B,B66,G:G))</f>
        <v/>
      </c>
      <c r="I66" s="55" t="str">
        <f>IF(B66="","",IFERROR(VLOOKUP(B66,'Coil Sheet at Plant'!$C:$L,9,FALSE),""))</f>
        <v/>
      </c>
      <c r="J66" s="84" t="str">
        <f>IF(B66="","",IFERROR(VLOOKUP(B66,'Coil Sheet at Plant'!$C:$M,10,FALSE),""))</f>
        <v/>
      </c>
      <c r="K66" s="65" t="str">
        <f>IF(B66="","",SUMIF(B:B,B66,G:G))</f>
        <v/>
      </c>
      <c r="L66" s="66" t="str">
        <f>IF(B66="","",IFERROR(VLOOKUP(B66,'Coil Sheet at Plant'!$C:$I,7,FALSE),""))</f>
        <v/>
      </c>
      <c r="M66" s="67" t="str">
        <f>IF(OR(K66="",L66=""),"",IF(L66=0,"⚠ NO PARENT WIDTH",IF(K66&gt;L66,"⚠ BABY &gt; PARENT","✔ OK")))</f>
        <v/>
      </c>
      <c r="N66" s="67" t="str">
        <f>IF(D66="","",IF(COUNTIF(D$3:D66,D66)&gt;1,"⚠ DUPLICATE",""))</f>
        <v/>
      </c>
      <c r="O66" s="78" t="str">
        <f>IF(B66="","",SUMIF(B:B,B66,G:G)&amp;" / "&amp;IFERROR(VLOOKUP(B66,'Coil Sheet at Plant'!$C:$I,7,FALSE),"?")&amp;" mm")</f>
        <v/>
      </c>
    </row>
    <row r="67" spans="1:15" ht="21.75" customHeight="1">
      <c r="A67" s="35"/>
      <c r="B67" s="30"/>
      <c r="C67" s="31"/>
      <c r="D67" s="43" t="str">
        <f>IF(OR(B67="",C67=""),"",CONCATENATE(B67,"-",C67))</f>
        <v/>
      </c>
      <c r="E67" s="49" t="str">
        <f>IF(B67="","",IFERROR(VLOOKUP(B67,'Coil Sheet at Plant'!$C:$G,5,FALSE),"ID Not Found"))</f>
        <v/>
      </c>
      <c r="F67" s="50" t="str">
        <f>IF(B67="","",IFERROR(VLOOKUP(B67,'Coil Sheet at Plant'!$C:$H,6,FALSE),"ID Not Found"))</f>
        <v/>
      </c>
      <c r="G67" s="80"/>
      <c r="H67" s="88" t="str">
        <f>IF(OR(B67="",G67=""),"",IFERROR(VLOOKUP(B67,'Coil Sheet at Plant'!$C:$J,8,FALSE),0)*G67/SUMIF(B:B,B67,G:G))</f>
        <v/>
      </c>
      <c r="I67" s="55" t="str">
        <f>IF(B67="","",IFERROR(VLOOKUP(B67,'Coil Sheet at Plant'!$C:$L,9,FALSE),""))</f>
        <v/>
      </c>
      <c r="J67" s="84" t="str">
        <f>IF(B67="","",IFERROR(VLOOKUP(B67,'Coil Sheet at Plant'!$C:$M,10,FALSE),""))</f>
        <v/>
      </c>
      <c r="K67" s="65" t="str">
        <f>IF(B67="","",SUMIF(B:B,B67,G:G))</f>
        <v/>
      </c>
      <c r="L67" s="66" t="str">
        <f>IF(B67="","",IFERROR(VLOOKUP(B67,'Coil Sheet at Plant'!$C:$I,7,FALSE),""))</f>
        <v/>
      </c>
      <c r="M67" s="67" t="str">
        <f>IF(OR(K67="",L67=""),"",IF(L67=0,"⚠ NO PARENT WIDTH",IF(K67&gt;L67,"⚠ BABY &gt; PARENT","✔ OK")))</f>
        <v/>
      </c>
      <c r="N67" s="67" t="str">
        <f>IF(D67="","",IF(COUNTIF(D$3:D67,D67)&gt;1,"⚠ DUPLICATE",""))</f>
        <v/>
      </c>
      <c r="O67" s="78" t="str">
        <f>IF(B67="","",SUMIF(B:B,B67,G:G)&amp;" / "&amp;IFERROR(VLOOKUP(B67,'Coil Sheet at Plant'!$C:$I,7,FALSE),"?")&amp;" mm")</f>
        <v/>
      </c>
    </row>
    <row r="68" spans="1:15" ht="21.75" customHeight="1">
      <c r="A68" s="35"/>
      <c r="B68" s="30"/>
      <c r="C68" s="31"/>
      <c r="D68" s="43" t="str">
        <f>IF(OR(B68="",C68=""),"",CONCATENATE(B68,"-",C68))</f>
        <v/>
      </c>
      <c r="E68" s="49" t="str">
        <f>IF(B68="","",IFERROR(VLOOKUP(B68,'Coil Sheet at Plant'!$C:$G,5,FALSE),"ID Not Found"))</f>
        <v/>
      </c>
      <c r="F68" s="50" t="str">
        <f>IF(B68="","",IFERROR(VLOOKUP(B68,'Coil Sheet at Plant'!$C:$H,6,FALSE),"ID Not Found"))</f>
        <v/>
      </c>
      <c r="G68" s="80"/>
      <c r="H68" s="88" t="str">
        <f>IF(OR(B68="",G68=""),"",IFERROR(VLOOKUP(B68,'Coil Sheet at Plant'!$C:$J,8,FALSE),0)*G68/SUMIF(B:B,B68,G:G))</f>
        <v/>
      </c>
      <c r="I68" s="55" t="str">
        <f>IF(B68="","",IFERROR(VLOOKUP(B68,'Coil Sheet at Plant'!$C:$L,9,FALSE),""))</f>
        <v/>
      </c>
      <c r="J68" s="84" t="str">
        <f>IF(B68="","",IFERROR(VLOOKUP(B68,'Coil Sheet at Plant'!$C:$M,10,FALSE),""))</f>
        <v/>
      </c>
      <c r="K68" s="65" t="str">
        <f>IF(B68="","",SUMIF(B:B,B68,G:G))</f>
        <v/>
      </c>
      <c r="L68" s="66" t="str">
        <f>IF(B68="","",IFERROR(VLOOKUP(B68,'Coil Sheet at Plant'!$C:$I,7,FALSE),""))</f>
        <v/>
      </c>
      <c r="M68" s="67" t="str">
        <f>IF(OR(K68="",L68=""),"",IF(L68=0,"⚠ NO PARENT WIDTH",IF(K68&gt;L68,"⚠ BABY &gt; PARENT","✔ OK")))</f>
        <v/>
      </c>
      <c r="N68" s="67" t="str">
        <f>IF(D68="","",IF(COUNTIF(D$3:D68,D68)&gt;1,"⚠ DUPLICATE",""))</f>
        <v/>
      </c>
      <c r="O68" s="78" t="str">
        <f>IF(B68="","",SUMIF(B:B,B68,G:G)&amp;" / "&amp;IFERROR(VLOOKUP(B68,'Coil Sheet at Plant'!$C:$I,7,FALSE),"?")&amp;" mm")</f>
        <v/>
      </c>
    </row>
    <row r="69" spans="1:15" ht="21.75" customHeight="1">
      <c r="A69" s="35"/>
      <c r="B69" s="30"/>
      <c r="C69" s="31"/>
      <c r="D69" s="43" t="str">
        <f>IF(OR(B69="",C69=""),"",CONCATENATE(B69,"-",C69))</f>
        <v/>
      </c>
      <c r="E69" s="49" t="str">
        <f>IF(B69="","",IFERROR(VLOOKUP(B69,'Coil Sheet at Plant'!$C:$G,5,FALSE),"ID Not Found"))</f>
        <v/>
      </c>
      <c r="F69" s="50" t="str">
        <f>IF(B69="","",IFERROR(VLOOKUP(B69,'Coil Sheet at Plant'!$C:$H,6,FALSE),"ID Not Found"))</f>
        <v/>
      </c>
      <c r="G69" s="80"/>
      <c r="H69" s="88" t="str">
        <f>IF(OR(B69="",G69=""),"",IFERROR(VLOOKUP(B69,'Coil Sheet at Plant'!$C:$J,8,FALSE),0)*G69/SUMIF(B:B,B69,G:G))</f>
        <v/>
      </c>
      <c r="I69" s="55" t="str">
        <f>IF(B69="","",IFERROR(VLOOKUP(B69,'Coil Sheet at Plant'!$C:$L,9,FALSE),""))</f>
        <v/>
      </c>
      <c r="J69" s="84" t="str">
        <f>IF(B69="","",IFERROR(VLOOKUP(B69,'Coil Sheet at Plant'!$C:$M,10,FALSE),""))</f>
        <v/>
      </c>
      <c r="K69" s="65" t="str">
        <f>IF(B69="","",SUMIF(B:B,B69,G:G))</f>
        <v/>
      </c>
      <c r="L69" s="66" t="str">
        <f>IF(B69="","",IFERROR(VLOOKUP(B69,'Coil Sheet at Plant'!$C:$I,7,FALSE),""))</f>
        <v/>
      </c>
      <c r="M69" s="67" t="str">
        <f>IF(OR(K69="",L69=""),"",IF(L69=0,"⚠ NO PARENT WIDTH",IF(K69&gt;L69,"⚠ BABY &gt; PARENT","✔ OK")))</f>
        <v/>
      </c>
      <c r="N69" s="67" t="str">
        <f>IF(D69="","",IF(COUNTIF(D$3:D69,D69)&gt;1,"⚠ DUPLICATE",""))</f>
        <v/>
      </c>
      <c r="O69" s="78" t="str">
        <f>IF(B69="","",SUMIF(B:B,B69,G:G)&amp;" / "&amp;IFERROR(VLOOKUP(B69,'Coil Sheet at Plant'!$C:$I,7,FALSE),"?")&amp;" mm")</f>
        <v/>
      </c>
    </row>
    <row r="70" spans="1:15" ht="21.75" customHeight="1">
      <c r="A70" s="35"/>
      <c r="B70" s="30"/>
      <c r="C70" s="31"/>
      <c r="D70" s="43" t="str">
        <f>IF(OR(B70="",C70=""),"",CONCATENATE(B70,"-",C70))</f>
        <v/>
      </c>
      <c r="E70" s="49" t="str">
        <f>IF(B70="","",IFERROR(VLOOKUP(B70,'Coil Sheet at Plant'!$C:$G,5,FALSE),"ID Not Found"))</f>
        <v/>
      </c>
      <c r="F70" s="50" t="str">
        <f>IF(B70="","",IFERROR(VLOOKUP(B70,'Coil Sheet at Plant'!$C:$H,6,FALSE),"ID Not Found"))</f>
        <v/>
      </c>
      <c r="G70" s="80"/>
      <c r="H70" s="88" t="str">
        <f>IF(OR(B70="",G70=""),"",IFERROR(VLOOKUP(B70,'Coil Sheet at Plant'!$C:$J,8,FALSE),0)*G70/SUMIF(B:B,B70,G:G))</f>
        <v/>
      </c>
      <c r="I70" s="55" t="str">
        <f>IF(B70="","",IFERROR(VLOOKUP(B70,'Coil Sheet at Plant'!$C:$L,9,FALSE),""))</f>
        <v/>
      </c>
      <c r="J70" s="84" t="str">
        <f>IF(B70="","",IFERROR(VLOOKUP(B70,'Coil Sheet at Plant'!$C:$M,10,FALSE),""))</f>
        <v/>
      </c>
      <c r="K70" s="65" t="str">
        <f>IF(B70="","",SUMIF(B:B,B70,G:G))</f>
        <v/>
      </c>
      <c r="L70" s="66" t="str">
        <f>IF(B70="","",IFERROR(VLOOKUP(B70,'Coil Sheet at Plant'!$C:$I,7,FALSE),""))</f>
        <v/>
      </c>
      <c r="M70" s="67" t="str">
        <f>IF(OR(K70="",L70=""),"",IF(L70=0,"⚠ NO PARENT WIDTH",IF(K70&gt;L70,"⚠ BABY &gt; PARENT","✔ OK")))</f>
        <v/>
      </c>
      <c r="N70" s="67" t="str">
        <f>IF(D70="","",IF(COUNTIF(D$3:D70,D70)&gt;1,"⚠ DUPLICATE",""))</f>
        <v/>
      </c>
      <c r="O70" s="78" t="str">
        <f>IF(B70="","",SUMIF(B:B,B70,G:G)&amp;" / "&amp;IFERROR(VLOOKUP(B70,'Coil Sheet at Plant'!$C:$I,7,FALSE),"?")&amp;" mm")</f>
        <v/>
      </c>
    </row>
    <row r="71" spans="1:15" ht="21.75" customHeight="1">
      <c r="A71" s="35"/>
      <c r="B71" s="30"/>
      <c r="C71" s="31"/>
      <c r="D71" s="43" t="str">
        <f>IF(OR(B71="",C71=""),"",CONCATENATE(B71,"-",C71))</f>
        <v/>
      </c>
      <c r="E71" s="49" t="str">
        <f>IF(B71="","",IFERROR(VLOOKUP(B71,'Coil Sheet at Plant'!$C:$G,5,FALSE),"ID Not Found"))</f>
        <v/>
      </c>
      <c r="F71" s="50" t="str">
        <f>IF(B71="","",IFERROR(VLOOKUP(B71,'Coil Sheet at Plant'!$C:$H,6,FALSE),"ID Not Found"))</f>
        <v/>
      </c>
      <c r="G71" s="80"/>
      <c r="H71" s="88" t="str">
        <f>IF(OR(B71="",G71=""),"",IFERROR(VLOOKUP(B71,'Coil Sheet at Plant'!$C:$J,8,FALSE),0)*G71/SUMIF(B:B,B71,G:G))</f>
        <v/>
      </c>
      <c r="I71" s="55" t="str">
        <f>IF(B71="","",IFERROR(VLOOKUP(B71,'Coil Sheet at Plant'!$C:$L,9,FALSE),""))</f>
        <v/>
      </c>
      <c r="J71" s="84" t="str">
        <f>IF(B71="","",IFERROR(VLOOKUP(B71,'Coil Sheet at Plant'!$C:$M,10,FALSE),""))</f>
        <v/>
      </c>
      <c r="K71" s="65" t="str">
        <f>IF(B71="","",SUMIF(B:B,B71,G:G))</f>
        <v/>
      </c>
      <c r="L71" s="66" t="str">
        <f>IF(B71="","",IFERROR(VLOOKUP(B71,'Coil Sheet at Plant'!$C:$I,7,FALSE),""))</f>
        <v/>
      </c>
      <c r="M71" s="67" t="str">
        <f>IF(OR(K71="",L71=""),"",IF(L71=0,"⚠ NO PARENT WIDTH",IF(K71&gt;L71,"⚠ BABY &gt; PARENT","✔ OK")))</f>
        <v/>
      </c>
      <c r="N71" s="67" t="str">
        <f>IF(D71="","",IF(COUNTIF(D$3:D71,D71)&gt;1,"⚠ DUPLICATE",""))</f>
        <v/>
      </c>
      <c r="O71" s="78" t="str">
        <f>IF(B71="","",SUMIF(B:B,B71,G:G)&amp;" / "&amp;IFERROR(VLOOKUP(B71,'Coil Sheet at Plant'!$C:$I,7,FALSE),"?")&amp;" mm")</f>
        <v/>
      </c>
    </row>
    <row r="72" spans="1:15" ht="21.75" customHeight="1">
      <c r="A72" s="35"/>
      <c r="B72" s="30"/>
      <c r="C72" s="31"/>
      <c r="D72" s="43" t="str">
        <f>IF(OR(B72="",C72=""),"",CONCATENATE(B72,"-",C72))</f>
        <v/>
      </c>
      <c r="E72" s="49" t="str">
        <f>IF(B72="","",IFERROR(VLOOKUP(B72,'Coil Sheet at Plant'!$C:$G,5,FALSE),"ID Not Found"))</f>
        <v/>
      </c>
      <c r="F72" s="50" t="str">
        <f>IF(B72="","",IFERROR(VLOOKUP(B72,'Coil Sheet at Plant'!$C:$H,6,FALSE),"ID Not Found"))</f>
        <v/>
      </c>
      <c r="G72" s="80"/>
      <c r="H72" s="88" t="str">
        <f>IF(OR(B72="",G72=""),"",IFERROR(VLOOKUP(B72,'Coil Sheet at Plant'!$C:$J,8,FALSE),0)*G72/SUMIF(B:B,B72,G:G))</f>
        <v/>
      </c>
      <c r="I72" s="55" t="str">
        <f>IF(B72="","",IFERROR(VLOOKUP(B72,'Coil Sheet at Plant'!$C:$L,9,FALSE),""))</f>
        <v/>
      </c>
      <c r="J72" s="84" t="str">
        <f>IF(B72="","",IFERROR(VLOOKUP(B72,'Coil Sheet at Plant'!$C:$M,10,FALSE),""))</f>
        <v/>
      </c>
      <c r="K72" s="65" t="str">
        <f>IF(B72="","",SUMIF(B:B,B72,G:G))</f>
        <v/>
      </c>
      <c r="L72" s="66" t="str">
        <f>IF(B72="","",IFERROR(VLOOKUP(B72,'Coil Sheet at Plant'!$C:$I,7,FALSE),""))</f>
        <v/>
      </c>
      <c r="M72" s="67" t="str">
        <f>IF(OR(K72="",L72=""),"",IF(L72=0,"⚠ NO PARENT WIDTH",IF(K72&gt;L72,"⚠ BABY &gt; PARENT","✔ OK")))</f>
        <v/>
      </c>
      <c r="N72" s="67" t="str">
        <f>IF(D72="","",IF(COUNTIF(D$3:D72,D72)&gt;1,"⚠ DUPLICATE",""))</f>
        <v/>
      </c>
      <c r="O72" s="78" t="str">
        <f>IF(B72="","",SUMIF(B:B,B72,G:G)&amp;" / "&amp;IFERROR(VLOOKUP(B72,'Coil Sheet at Plant'!$C:$I,7,FALSE),"?")&amp;" mm")</f>
        <v/>
      </c>
    </row>
    <row r="73" spans="1:15" ht="21.75" customHeight="1">
      <c r="A73" s="35"/>
      <c r="B73" s="30"/>
      <c r="C73" s="31"/>
      <c r="D73" s="43" t="str">
        <f>IF(OR(B73="",C73=""),"",CONCATENATE(B73,"-",C73))</f>
        <v/>
      </c>
      <c r="E73" s="49" t="str">
        <f>IF(B73="","",IFERROR(VLOOKUP(B73,'Coil Sheet at Plant'!$C:$G,5,FALSE),"ID Not Found"))</f>
        <v/>
      </c>
      <c r="F73" s="50" t="str">
        <f>IF(B73="","",IFERROR(VLOOKUP(B73,'Coil Sheet at Plant'!$C:$H,6,FALSE),"ID Not Found"))</f>
        <v/>
      </c>
      <c r="G73" s="80"/>
      <c r="H73" s="88" t="str">
        <f>IF(OR(B73="",G73=""),"",IFERROR(VLOOKUP(B73,'Coil Sheet at Plant'!$C:$J,8,FALSE),0)*G73/SUMIF(B:B,B73,G:G))</f>
        <v/>
      </c>
      <c r="I73" s="55" t="str">
        <f>IF(B73="","",IFERROR(VLOOKUP(B73,'Coil Sheet at Plant'!$C:$L,9,FALSE),""))</f>
        <v/>
      </c>
      <c r="J73" s="84" t="str">
        <f>IF(B73="","",IFERROR(VLOOKUP(B73,'Coil Sheet at Plant'!$C:$M,10,FALSE),""))</f>
        <v/>
      </c>
      <c r="K73" s="65" t="str">
        <f>IF(B73="","",SUMIF(B:B,B73,G:G))</f>
        <v/>
      </c>
      <c r="L73" s="66" t="str">
        <f>IF(B73="","",IFERROR(VLOOKUP(B73,'Coil Sheet at Plant'!$C:$I,7,FALSE),""))</f>
        <v/>
      </c>
      <c r="M73" s="67" t="str">
        <f>IF(OR(K73="",L73=""),"",IF(L73=0,"⚠ NO PARENT WIDTH",IF(K73&gt;L73,"⚠ BABY &gt; PARENT","✔ OK")))</f>
        <v/>
      </c>
      <c r="N73" s="67" t="str">
        <f>IF(D73="","",IF(COUNTIF(D$3:D73,D73)&gt;1,"⚠ DUPLICATE",""))</f>
        <v/>
      </c>
      <c r="O73" s="78" t="str">
        <f>IF(B73="","",SUMIF(B:B,B73,G:G)&amp;" / "&amp;IFERROR(VLOOKUP(B73,'Coil Sheet at Plant'!$C:$I,7,FALSE),"?")&amp;" mm")</f>
        <v/>
      </c>
    </row>
    <row r="74" spans="1:15" ht="21.75" customHeight="1">
      <c r="A74" s="35"/>
      <c r="B74" s="30"/>
      <c r="C74" s="31"/>
      <c r="D74" s="43" t="str">
        <f>IF(OR(B74="",C74=""),"",CONCATENATE(B74,"-",C74))</f>
        <v/>
      </c>
      <c r="E74" s="49" t="str">
        <f>IF(B74="","",IFERROR(VLOOKUP(B74,'Coil Sheet at Plant'!$C:$G,5,FALSE),"ID Not Found"))</f>
        <v/>
      </c>
      <c r="F74" s="50" t="str">
        <f>IF(B74="","",IFERROR(VLOOKUP(B74,'Coil Sheet at Plant'!$C:$H,6,FALSE),"ID Not Found"))</f>
        <v/>
      </c>
      <c r="G74" s="80"/>
      <c r="H74" s="88" t="str">
        <f>IF(OR(B74="",G74=""),"",IFERROR(VLOOKUP(B74,'Coil Sheet at Plant'!$C:$J,8,FALSE),0)*G74/SUMIF(B:B,B74,G:G))</f>
        <v/>
      </c>
      <c r="I74" s="55" t="str">
        <f>IF(B74="","",IFERROR(VLOOKUP(B74,'Coil Sheet at Plant'!$C:$L,9,FALSE),""))</f>
        <v/>
      </c>
      <c r="J74" s="84" t="str">
        <f>IF(B74="","",IFERROR(VLOOKUP(B74,'Coil Sheet at Plant'!$C:$M,10,FALSE),""))</f>
        <v/>
      </c>
      <c r="K74" s="65" t="str">
        <f>IF(B74="","",SUMIF(B:B,B74,G:G))</f>
        <v/>
      </c>
      <c r="L74" s="66" t="str">
        <f>IF(B74="","",IFERROR(VLOOKUP(B74,'Coil Sheet at Plant'!$C:$I,7,FALSE),""))</f>
        <v/>
      </c>
      <c r="M74" s="67" t="str">
        <f>IF(OR(K74="",L74=""),"",IF(L74=0,"⚠ NO PARENT WIDTH",IF(K74&gt;L74,"⚠ BABY &gt; PARENT","✔ OK")))</f>
        <v/>
      </c>
      <c r="N74" s="67" t="str">
        <f>IF(D74="","",IF(COUNTIF(D$3:D74,D74)&gt;1,"⚠ DUPLICATE",""))</f>
        <v/>
      </c>
      <c r="O74" s="78" t="str">
        <f>IF(B74="","",SUMIF(B:B,B74,G:G)&amp;" / "&amp;IFERROR(VLOOKUP(B74,'Coil Sheet at Plant'!$C:$I,7,FALSE),"?")&amp;" mm")</f>
        <v/>
      </c>
    </row>
    <row r="75" spans="1:15" ht="21.75" customHeight="1">
      <c r="A75" s="35"/>
      <c r="B75" s="30"/>
      <c r="C75" s="31"/>
      <c r="D75" s="43" t="str">
        <f>IF(OR(B75="",C75=""),"",CONCATENATE(B75,"-",C75))</f>
        <v/>
      </c>
      <c r="E75" s="49" t="str">
        <f>IF(B75="","",IFERROR(VLOOKUP(B75,'Coil Sheet at Plant'!$C:$G,5,FALSE),"ID Not Found"))</f>
        <v/>
      </c>
      <c r="F75" s="50" t="str">
        <f>IF(B75="","",IFERROR(VLOOKUP(B75,'Coil Sheet at Plant'!$C:$H,6,FALSE),"ID Not Found"))</f>
        <v/>
      </c>
      <c r="G75" s="80"/>
      <c r="H75" s="88" t="str">
        <f>IF(OR(B75="",G75=""),"",IFERROR(VLOOKUP(B75,'Coil Sheet at Plant'!$C:$J,8,FALSE),0)*G75/SUMIF(B:B,B75,G:G))</f>
        <v/>
      </c>
      <c r="I75" s="55" t="str">
        <f>IF(B75="","",IFERROR(VLOOKUP(B75,'Coil Sheet at Plant'!$C:$L,9,FALSE),""))</f>
        <v/>
      </c>
      <c r="J75" s="84" t="str">
        <f>IF(B75="","",IFERROR(VLOOKUP(B75,'Coil Sheet at Plant'!$C:$M,10,FALSE),""))</f>
        <v/>
      </c>
      <c r="K75" s="65" t="str">
        <f>IF(B75="","",SUMIF(B:B,B75,G:G))</f>
        <v/>
      </c>
      <c r="L75" s="66" t="str">
        <f>IF(B75="","",IFERROR(VLOOKUP(B75,'Coil Sheet at Plant'!$C:$I,7,FALSE),""))</f>
        <v/>
      </c>
      <c r="M75" s="67" t="str">
        <f>IF(OR(K75="",L75=""),"",IF(L75=0,"⚠ NO PARENT WIDTH",IF(K75&gt;L75,"⚠ BABY &gt; PARENT","✔ OK")))</f>
        <v/>
      </c>
      <c r="N75" s="67" t="str">
        <f>IF(D75="","",IF(COUNTIF(D$3:D75,D75)&gt;1,"⚠ DUPLICATE",""))</f>
        <v/>
      </c>
      <c r="O75" s="78" t="str">
        <f>IF(B75="","",SUMIF(B:B,B75,G:G)&amp;" / "&amp;IFERROR(VLOOKUP(B75,'Coil Sheet at Plant'!$C:$I,7,FALSE),"?")&amp;" mm")</f>
        <v/>
      </c>
    </row>
    <row r="76" spans="1:15" ht="21.75" customHeight="1">
      <c r="A76" s="35"/>
      <c r="B76" s="30"/>
      <c r="C76" s="31"/>
      <c r="D76" s="43" t="str">
        <f>IF(OR(B76="",C76=""),"",CONCATENATE(B76,"-",C76))</f>
        <v/>
      </c>
      <c r="E76" s="49" t="str">
        <f>IF(B76="","",IFERROR(VLOOKUP(B76,'Coil Sheet at Plant'!$C:$G,5,FALSE),"ID Not Found"))</f>
        <v/>
      </c>
      <c r="F76" s="50" t="str">
        <f>IF(B76="","",IFERROR(VLOOKUP(B76,'Coil Sheet at Plant'!$C:$H,6,FALSE),"ID Not Found"))</f>
        <v/>
      </c>
      <c r="G76" s="80"/>
      <c r="H76" s="88" t="str">
        <f>IF(OR(B76="",G76=""),"",IFERROR(VLOOKUP(B76,'Coil Sheet at Plant'!$C:$J,8,FALSE),0)*G76/SUMIF(B:B,B76,G:G))</f>
        <v/>
      </c>
      <c r="I76" s="55" t="str">
        <f>IF(B76="","",IFERROR(VLOOKUP(B76,'Coil Sheet at Plant'!$C:$L,9,FALSE),""))</f>
        <v/>
      </c>
      <c r="J76" s="84" t="str">
        <f>IF(B76="","",IFERROR(VLOOKUP(B76,'Coil Sheet at Plant'!$C:$M,10,FALSE),""))</f>
        <v/>
      </c>
      <c r="K76" s="65" t="str">
        <f>IF(B76="","",SUMIF(B:B,B76,G:G))</f>
        <v/>
      </c>
      <c r="L76" s="66" t="str">
        <f>IF(B76="","",IFERROR(VLOOKUP(B76,'Coil Sheet at Plant'!$C:$I,7,FALSE),""))</f>
        <v/>
      </c>
      <c r="M76" s="67" t="str">
        <f>IF(OR(K76="",L76=""),"",IF(L76=0,"⚠ NO PARENT WIDTH",IF(K76&gt;L76,"⚠ BABY &gt; PARENT","✔ OK")))</f>
        <v/>
      </c>
      <c r="N76" s="67" t="str">
        <f>IF(D76="","",IF(COUNTIF(D$3:D76,D76)&gt;1,"⚠ DUPLICATE",""))</f>
        <v/>
      </c>
      <c r="O76" s="78" t="str">
        <f>IF(B76="","",SUMIF(B:B,B76,G:G)&amp;" / "&amp;IFERROR(VLOOKUP(B76,'Coil Sheet at Plant'!$C:$I,7,FALSE),"?")&amp;" mm")</f>
        <v/>
      </c>
    </row>
    <row r="77" spans="1:15" ht="21.75" customHeight="1">
      <c r="A77" s="35"/>
      <c r="B77" s="30"/>
      <c r="C77" s="31"/>
      <c r="D77" s="43" t="str">
        <f>IF(OR(B77="",C77=""),"",CONCATENATE(B77,"-",C77))</f>
        <v/>
      </c>
      <c r="E77" s="49" t="str">
        <f>IF(B77="","",IFERROR(VLOOKUP(B77,'Coil Sheet at Plant'!$C:$G,5,FALSE),"ID Not Found"))</f>
        <v/>
      </c>
      <c r="F77" s="50" t="str">
        <f>IF(B77="","",IFERROR(VLOOKUP(B77,'Coil Sheet at Plant'!$C:$H,6,FALSE),"ID Not Found"))</f>
        <v/>
      </c>
      <c r="G77" s="80"/>
      <c r="H77" s="88" t="str">
        <f>IF(OR(B77="",G77=""),"",IFERROR(VLOOKUP(B77,'Coil Sheet at Plant'!$C:$J,8,FALSE),0)*G77/SUMIF(B:B,B77,G:G))</f>
        <v/>
      </c>
      <c r="I77" s="55" t="str">
        <f>IF(B77="","",IFERROR(VLOOKUP(B77,'Coil Sheet at Plant'!$C:$L,9,FALSE),""))</f>
        <v/>
      </c>
      <c r="J77" s="84" t="str">
        <f>IF(B77="","",IFERROR(VLOOKUP(B77,'Coil Sheet at Plant'!$C:$M,10,FALSE),""))</f>
        <v/>
      </c>
      <c r="K77" s="65" t="str">
        <f>IF(B77="","",SUMIF(B:B,B77,G:G))</f>
        <v/>
      </c>
      <c r="L77" s="66" t="str">
        <f>IF(B77="","",IFERROR(VLOOKUP(B77,'Coil Sheet at Plant'!$C:$I,7,FALSE),""))</f>
        <v/>
      </c>
      <c r="M77" s="67" t="str">
        <f>IF(OR(K77="",L77=""),"",IF(L77=0,"⚠ NO PARENT WIDTH",IF(K77&gt;L77,"⚠ BABY &gt; PARENT","✔ OK")))</f>
        <v/>
      </c>
      <c r="N77" s="67" t="str">
        <f>IF(D77="","",IF(COUNTIF(D$3:D77,D77)&gt;1,"⚠ DUPLICATE",""))</f>
        <v/>
      </c>
      <c r="O77" s="78" t="str">
        <f>IF(B77="","",SUMIF(B:B,B77,G:G)&amp;" / "&amp;IFERROR(VLOOKUP(B77,'Coil Sheet at Plant'!$C:$I,7,FALSE),"?")&amp;" mm")</f>
        <v/>
      </c>
    </row>
    <row r="78" spans="1:15" ht="21.75" customHeight="1">
      <c r="A78" s="35"/>
      <c r="B78" s="30"/>
      <c r="C78" s="31"/>
      <c r="D78" s="43" t="str">
        <f>IF(OR(B78="",C78=""),"",CONCATENATE(B78,"-",C78))</f>
        <v/>
      </c>
      <c r="E78" s="49" t="str">
        <f>IF(B78="","",IFERROR(VLOOKUP(B78,'Coil Sheet at Plant'!$C:$G,5,FALSE),"ID Not Found"))</f>
        <v/>
      </c>
      <c r="F78" s="50" t="str">
        <f>IF(B78="","",IFERROR(VLOOKUP(B78,'Coil Sheet at Plant'!$C:$H,6,FALSE),"ID Not Found"))</f>
        <v/>
      </c>
      <c r="G78" s="80"/>
      <c r="H78" s="88" t="str">
        <f>IF(OR(B78="",G78=""),"",IFERROR(VLOOKUP(B78,'Coil Sheet at Plant'!$C:$J,8,FALSE),0)*G78/SUMIF(B:B,B78,G:G))</f>
        <v/>
      </c>
      <c r="I78" s="55" t="str">
        <f>IF(B78="","",IFERROR(VLOOKUP(B78,'Coil Sheet at Plant'!$C:$L,9,FALSE),""))</f>
        <v/>
      </c>
      <c r="J78" s="84" t="str">
        <f>IF(B78="","",IFERROR(VLOOKUP(B78,'Coil Sheet at Plant'!$C:$M,10,FALSE),""))</f>
        <v/>
      </c>
      <c r="K78" s="65" t="str">
        <f>IF(B78="","",SUMIF(B:B,B78,G:G))</f>
        <v/>
      </c>
      <c r="L78" s="66" t="str">
        <f>IF(B78="","",IFERROR(VLOOKUP(B78,'Coil Sheet at Plant'!$C:$I,7,FALSE),""))</f>
        <v/>
      </c>
      <c r="M78" s="67" t="str">
        <f>IF(OR(K78="",L78=""),"",IF(L78=0,"⚠ NO PARENT WIDTH",IF(K78&gt;L78,"⚠ BABY &gt; PARENT","✔ OK")))</f>
        <v/>
      </c>
      <c r="N78" s="67" t="str">
        <f>IF(D78="","",IF(COUNTIF(D$3:D78,D78)&gt;1,"⚠ DUPLICATE",""))</f>
        <v/>
      </c>
      <c r="O78" s="78" t="str">
        <f>IF(B78="","",SUMIF(B:B,B78,G:G)&amp;" / "&amp;IFERROR(VLOOKUP(B78,'Coil Sheet at Plant'!$C:$I,7,FALSE),"?")&amp;" mm")</f>
        <v/>
      </c>
    </row>
    <row r="79" spans="1:15" ht="21.75" customHeight="1">
      <c r="A79" s="35"/>
      <c r="B79" s="30"/>
      <c r="C79" s="31"/>
      <c r="D79" s="43" t="str">
        <f>IF(OR(B79="",C79=""),"",CONCATENATE(B79,"-",C79))</f>
        <v/>
      </c>
      <c r="E79" s="49" t="str">
        <f>IF(B79="","",IFERROR(VLOOKUP(B79,'Coil Sheet at Plant'!$C:$G,5,FALSE),"ID Not Found"))</f>
        <v/>
      </c>
      <c r="F79" s="50" t="str">
        <f>IF(B79="","",IFERROR(VLOOKUP(B79,'Coil Sheet at Plant'!$C:$H,6,FALSE),"ID Not Found"))</f>
        <v/>
      </c>
      <c r="G79" s="80"/>
      <c r="H79" s="88" t="str">
        <f>IF(OR(B79="",G79=""),"",IFERROR(VLOOKUP(B79,'Coil Sheet at Plant'!$C:$J,8,FALSE),0)*G79/SUMIF(B:B,B79,G:G))</f>
        <v/>
      </c>
      <c r="I79" s="55" t="str">
        <f>IF(B79="","",IFERROR(VLOOKUP(B79,'Coil Sheet at Plant'!$C:$L,9,FALSE),""))</f>
        <v/>
      </c>
      <c r="J79" s="84" t="str">
        <f>IF(B79="","",IFERROR(VLOOKUP(B79,'Coil Sheet at Plant'!$C:$M,10,FALSE),""))</f>
        <v/>
      </c>
      <c r="K79" s="65" t="str">
        <f>IF(B79="","",SUMIF(B:B,B79,G:G))</f>
        <v/>
      </c>
      <c r="L79" s="66" t="str">
        <f>IF(B79="","",IFERROR(VLOOKUP(B79,'Coil Sheet at Plant'!$C:$I,7,FALSE),""))</f>
        <v/>
      </c>
      <c r="M79" s="67" t="str">
        <f>IF(OR(K79="",L79=""),"",IF(L79=0,"⚠ NO PARENT WIDTH",IF(K79&gt;L79,"⚠ BABY &gt; PARENT","✔ OK")))</f>
        <v/>
      </c>
      <c r="N79" s="67" t="str">
        <f>IF(D79="","",IF(COUNTIF(D$3:D79,D79)&gt;1,"⚠ DUPLICATE",""))</f>
        <v/>
      </c>
      <c r="O79" s="78" t="str">
        <f>IF(B79="","",SUMIF(B:B,B79,G:G)&amp;" / "&amp;IFERROR(VLOOKUP(B79,'Coil Sheet at Plant'!$C:$I,7,FALSE),"?")&amp;" mm")</f>
        <v/>
      </c>
    </row>
    <row r="80" spans="1:15" ht="21.75" customHeight="1">
      <c r="A80" s="35"/>
      <c r="B80" s="30"/>
      <c r="C80" s="31"/>
      <c r="D80" s="43" t="str">
        <f>IF(OR(B80="",C80=""),"",CONCATENATE(B80,"-",C80))</f>
        <v/>
      </c>
      <c r="E80" s="49" t="str">
        <f>IF(B80="","",IFERROR(VLOOKUP(B80,'Coil Sheet at Plant'!$C:$G,5,FALSE),"ID Not Found"))</f>
        <v/>
      </c>
      <c r="F80" s="50" t="str">
        <f>IF(B80="","",IFERROR(VLOOKUP(B80,'Coil Sheet at Plant'!$C:$H,6,FALSE),"ID Not Found"))</f>
        <v/>
      </c>
      <c r="G80" s="80"/>
      <c r="H80" s="88" t="str">
        <f>IF(OR(B80="",G80=""),"",IFERROR(VLOOKUP(B80,'Coil Sheet at Plant'!$C:$J,8,FALSE),0)*G80/SUMIF(B:B,B80,G:G))</f>
        <v/>
      </c>
      <c r="I80" s="55" t="str">
        <f>IF(B80="","",IFERROR(VLOOKUP(B80,'Coil Sheet at Plant'!$C:$L,9,FALSE),""))</f>
        <v/>
      </c>
      <c r="J80" s="84" t="str">
        <f>IF(B80="","",IFERROR(VLOOKUP(B80,'Coil Sheet at Plant'!$C:$M,10,FALSE),""))</f>
        <v/>
      </c>
      <c r="K80" s="65" t="str">
        <f>IF(B80="","",SUMIF(B:B,B80,G:G))</f>
        <v/>
      </c>
      <c r="L80" s="66" t="str">
        <f>IF(B80="","",IFERROR(VLOOKUP(B80,'Coil Sheet at Plant'!$C:$I,7,FALSE),""))</f>
        <v/>
      </c>
      <c r="M80" s="67" t="str">
        <f>IF(OR(K80="",L80=""),"",IF(L80=0,"⚠ NO PARENT WIDTH",IF(K80&gt;L80,"⚠ BABY &gt; PARENT","✔ OK")))</f>
        <v/>
      </c>
      <c r="N80" s="67" t="str">
        <f>IF(D80="","",IF(COUNTIF(D$3:D80,D80)&gt;1,"⚠ DUPLICATE",""))</f>
        <v/>
      </c>
      <c r="O80" s="78" t="str">
        <f>IF(B80="","",SUMIF(B:B,B80,G:G)&amp;" / "&amp;IFERROR(VLOOKUP(B80,'Coil Sheet at Plant'!$C:$I,7,FALSE),"?")&amp;" mm")</f>
        <v/>
      </c>
    </row>
    <row r="81" spans="1:15" ht="21.75" customHeight="1">
      <c r="A81" s="35"/>
      <c r="B81" s="30"/>
      <c r="C81" s="31"/>
      <c r="D81" s="43" t="str">
        <f>IF(OR(B81="",C81=""),"",CONCATENATE(B81,"-",C81))</f>
        <v/>
      </c>
      <c r="E81" s="49" t="str">
        <f>IF(B81="","",IFERROR(VLOOKUP(B81,'Coil Sheet at Plant'!$C:$G,5,FALSE),"ID Not Found"))</f>
        <v/>
      </c>
      <c r="F81" s="50" t="str">
        <f>IF(B81="","",IFERROR(VLOOKUP(B81,'Coil Sheet at Plant'!$C:$H,6,FALSE),"ID Not Found"))</f>
        <v/>
      </c>
      <c r="G81" s="80"/>
      <c r="H81" s="88" t="str">
        <f>IF(OR(B81="",G81=""),"",IFERROR(VLOOKUP(B81,'Coil Sheet at Plant'!$C:$J,8,FALSE),0)*G81/SUMIF(B:B,B81,G:G))</f>
        <v/>
      </c>
      <c r="I81" s="55" t="str">
        <f>IF(B81="","",IFERROR(VLOOKUP(B81,'Coil Sheet at Plant'!$C:$L,9,FALSE),""))</f>
        <v/>
      </c>
      <c r="J81" s="84" t="str">
        <f>IF(B81="","",IFERROR(VLOOKUP(B81,'Coil Sheet at Plant'!$C:$M,10,FALSE),""))</f>
        <v/>
      </c>
      <c r="K81" s="65" t="str">
        <f>IF(B81="","",SUMIF(B:B,B81,G:G))</f>
        <v/>
      </c>
      <c r="L81" s="66" t="str">
        <f>IF(B81="","",IFERROR(VLOOKUP(B81,'Coil Sheet at Plant'!$C:$I,7,FALSE),""))</f>
        <v/>
      </c>
      <c r="M81" s="67" t="str">
        <f>IF(OR(K81="",L81=""),"",IF(L81=0,"⚠ NO PARENT WIDTH",IF(K81&gt;L81,"⚠ BABY &gt; PARENT","✔ OK")))</f>
        <v/>
      </c>
      <c r="N81" s="67" t="str">
        <f>IF(D81="","",IF(COUNTIF(D$3:D81,D81)&gt;1,"⚠ DUPLICATE",""))</f>
        <v/>
      </c>
      <c r="O81" s="78" t="str">
        <f>IF(B81="","",SUMIF(B:B,B81,G:G)&amp;" / "&amp;IFERROR(VLOOKUP(B81,'Coil Sheet at Plant'!$C:$I,7,FALSE),"?")&amp;" mm")</f>
        <v/>
      </c>
    </row>
    <row r="82" spans="1:15" ht="21.75" customHeight="1">
      <c r="A82" s="35"/>
      <c r="B82" s="30"/>
      <c r="C82" s="31"/>
      <c r="D82" s="43" t="str">
        <f>IF(OR(B82="",C82=""),"",CONCATENATE(B82,"-",C82))</f>
        <v/>
      </c>
      <c r="E82" s="49" t="str">
        <f>IF(B82="","",IFERROR(VLOOKUP(B82,'Coil Sheet at Plant'!$C:$G,5,FALSE),"ID Not Found"))</f>
        <v/>
      </c>
      <c r="F82" s="50" t="str">
        <f>IF(B82="","",IFERROR(VLOOKUP(B82,'Coil Sheet at Plant'!$C:$H,6,FALSE),"ID Not Found"))</f>
        <v/>
      </c>
      <c r="G82" s="80"/>
      <c r="H82" s="88" t="str">
        <f>IF(OR(B82="",G82=""),"",IFERROR(VLOOKUP(B82,'Coil Sheet at Plant'!$C:$J,8,FALSE),0)*G82/SUMIF(B:B,B82,G:G))</f>
        <v/>
      </c>
      <c r="I82" s="55" t="str">
        <f>IF(B82="","",IFERROR(VLOOKUP(B82,'Coil Sheet at Plant'!$C:$L,9,FALSE),""))</f>
        <v/>
      </c>
      <c r="J82" s="84" t="str">
        <f>IF(B82="","",IFERROR(VLOOKUP(B82,'Coil Sheet at Plant'!$C:$M,10,FALSE),""))</f>
        <v/>
      </c>
      <c r="K82" s="65" t="str">
        <f>IF(B82="","",SUMIF(B:B,B82,G:G))</f>
        <v/>
      </c>
      <c r="L82" s="66" t="str">
        <f>IF(B82="","",IFERROR(VLOOKUP(B82,'Coil Sheet at Plant'!$C:$I,7,FALSE),""))</f>
        <v/>
      </c>
      <c r="M82" s="67" t="str">
        <f>IF(OR(K82="",L82=""),"",IF(L82=0,"⚠ NO PARENT WIDTH",IF(K82&gt;L82,"⚠ BABY &gt; PARENT","✔ OK")))</f>
        <v/>
      </c>
      <c r="N82" s="67" t="str">
        <f>IF(D82="","",IF(COUNTIF(D$3:D82,D82)&gt;1,"⚠ DUPLICATE",""))</f>
        <v/>
      </c>
      <c r="O82" s="78" t="str">
        <f>IF(B82="","",SUMIF(B:B,B82,G:G)&amp;" / "&amp;IFERROR(VLOOKUP(B82,'Coil Sheet at Plant'!$C:$I,7,FALSE),"?")&amp;" mm")</f>
        <v/>
      </c>
    </row>
    <row r="83" spans="1:15" ht="21.75" customHeight="1">
      <c r="A83" s="35"/>
      <c r="B83" s="30"/>
      <c r="C83" s="31"/>
      <c r="D83" s="43" t="str">
        <f>IF(OR(B83="",C83=""),"",CONCATENATE(B83,"-",C83))</f>
        <v/>
      </c>
      <c r="E83" s="49" t="str">
        <f>IF(B83="","",IFERROR(VLOOKUP(B83,'Coil Sheet at Plant'!$C:$G,5,FALSE),"ID Not Found"))</f>
        <v/>
      </c>
      <c r="F83" s="50" t="str">
        <f>IF(B83="","",IFERROR(VLOOKUP(B83,'Coil Sheet at Plant'!$C:$H,6,FALSE),"ID Not Found"))</f>
        <v/>
      </c>
      <c r="G83" s="80"/>
      <c r="H83" s="88" t="str">
        <f>IF(OR(B83="",G83=""),"",IFERROR(VLOOKUP(B83,'Coil Sheet at Plant'!$C:$J,8,FALSE),0)*G83/SUMIF(B:B,B83,G:G))</f>
        <v/>
      </c>
      <c r="I83" s="55" t="str">
        <f>IF(B83="","",IFERROR(VLOOKUP(B83,'Coil Sheet at Plant'!$C:$L,9,FALSE),""))</f>
        <v/>
      </c>
      <c r="J83" s="84" t="str">
        <f>IF(B83="","",IFERROR(VLOOKUP(B83,'Coil Sheet at Plant'!$C:$M,10,FALSE),""))</f>
        <v/>
      </c>
      <c r="K83" s="65" t="str">
        <f>IF(B83="","",SUMIF(B:B,B83,G:G))</f>
        <v/>
      </c>
      <c r="L83" s="66" t="str">
        <f>IF(B83="","",IFERROR(VLOOKUP(B83,'Coil Sheet at Plant'!$C:$I,7,FALSE),""))</f>
        <v/>
      </c>
      <c r="M83" s="67" t="str">
        <f>IF(OR(K83="",L83=""),"",IF(L83=0,"⚠ NO PARENT WIDTH",IF(K83&gt;L83,"⚠ BABY &gt; PARENT","✔ OK")))</f>
        <v/>
      </c>
      <c r="N83" s="67" t="str">
        <f>IF(D83="","",IF(COUNTIF(D$3:D83,D83)&gt;1,"⚠ DUPLICATE",""))</f>
        <v/>
      </c>
      <c r="O83" s="78" t="str">
        <f>IF(B83="","",SUMIF(B:B,B83,G:G)&amp;" / "&amp;IFERROR(VLOOKUP(B83,'Coil Sheet at Plant'!$C:$I,7,FALSE),"?")&amp;" mm")</f>
        <v/>
      </c>
    </row>
    <row r="84" spans="1:15" ht="21.75" customHeight="1">
      <c r="A84" s="35"/>
      <c r="B84" s="30"/>
      <c r="C84" s="31"/>
      <c r="D84" s="43" t="str">
        <f>IF(OR(B84="",C84=""),"",CONCATENATE(B84,"-",C84))</f>
        <v/>
      </c>
      <c r="E84" s="49" t="str">
        <f>IF(B84="","",IFERROR(VLOOKUP(B84,'Coil Sheet at Plant'!$C:$G,5,FALSE),"ID Not Found"))</f>
        <v/>
      </c>
      <c r="F84" s="50" t="str">
        <f>IF(B84="","",IFERROR(VLOOKUP(B84,'Coil Sheet at Plant'!$C:$H,6,FALSE),"ID Not Found"))</f>
        <v/>
      </c>
      <c r="G84" s="80"/>
      <c r="H84" s="88" t="str">
        <f>IF(OR(B84="",G84=""),"",IFERROR(VLOOKUP(B84,'Coil Sheet at Plant'!$C:$J,8,FALSE),0)*G84/SUMIF(B:B,B84,G:G))</f>
        <v/>
      </c>
      <c r="I84" s="55" t="str">
        <f>IF(B84="","",IFERROR(VLOOKUP(B84,'Coil Sheet at Plant'!$C:$L,9,FALSE),""))</f>
        <v/>
      </c>
      <c r="J84" s="84" t="str">
        <f>IF(B84="","",IFERROR(VLOOKUP(B84,'Coil Sheet at Plant'!$C:$M,10,FALSE),""))</f>
        <v/>
      </c>
      <c r="K84" s="65" t="str">
        <f>IF(B84="","",SUMIF(B:B,B84,G:G))</f>
        <v/>
      </c>
      <c r="L84" s="66" t="str">
        <f>IF(B84="","",IFERROR(VLOOKUP(B84,'Coil Sheet at Plant'!$C:$I,7,FALSE),""))</f>
        <v/>
      </c>
      <c r="M84" s="67" t="str">
        <f>IF(OR(K84="",L84=""),"",IF(L84=0,"⚠ NO PARENT WIDTH",IF(K84&gt;L84,"⚠ BABY &gt; PARENT","✔ OK")))</f>
        <v/>
      </c>
      <c r="N84" s="67" t="str">
        <f>IF(D84="","",IF(COUNTIF(D$3:D84,D84)&gt;1,"⚠ DUPLICATE",""))</f>
        <v/>
      </c>
      <c r="O84" s="78" t="str">
        <f>IF(B84="","",SUMIF(B:B,B84,G:G)&amp;" / "&amp;IFERROR(VLOOKUP(B84,'Coil Sheet at Plant'!$C:$I,7,FALSE),"?")&amp;" mm")</f>
        <v/>
      </c>
    </row>
    <row r="85" spans="1:15" ht="21.75" customHeight="1">
      <c r="A85" s="35"/>
      <c r="B85" s="30"/>
      <c r="C85" s="31"/>
      <c r="D85" s="43" t="str">
        <f>IF(OR(B85="",C85=""),"",CONCATENATE(B85,"-",C85))</f>
        <v/>
      </c>
      <c r="E85" s="49" t="str">
        <f>IF(B85="","",IFERROR(VLOOKUP(B85,'Coil Sheet at Plant'!$C:$G,5,FALSE),"ID Not Found"))</f>
        <v/>
      </c>
      <c r="F85" s="50" t="str">
        <f>IF(B85="","",IFERROR(VLOOKUP(B85,'Coil Sheet at Plant'!$C:$H,6,FALSE),"ID Not Found"))</f>
        <v/>
      </c>
      <c r="G85" s="80"/>
      <c r="H85" s="88" t="str">
        <f>IF(OR(B85="",G85=""),"",IFERROR(VLOOKUP(B85,'Coil Sheet at Plant'!$C:$J,8,FALSE),0)*G85/SUMIF(B:B,B85,G:G))</f>
        <v/>
      </c>
      <c r="I85" s="55" t="str">
        <f>IF(B85="","",IFERROR(VLOOKUP(B85,'Coil Sheet at Plant'!$C:$L,9,FALSE),""))</f>
        <v/>
      </c>
      <c r="J85" s="84" t="str">
        <f>IF(B85="","",IFERROR(VLOOKUP(B85,'Coil Sheet at Plant'!$C:$M,10,FALSE),""))</f>
        <v/>
      </c>
      <c r="K85" s="65" t="str">
        <f>IF(B85="","",SUMIF(B:B,B85,G:G))</f>
        <v/>
      </c>
      <c r="L85" s="66" t="str">
        <f>IF(B85="","",IFERROR(VLOOKUP(B85,'Coil Sheet at Plant'!$C:$I,7,FALSE),""))</f>
        <v/>
      </c>
      <c r="M85" s="67" t="str">
        <f>IF(OR(K85="",L85=""),"",IF(L85=0,"⚠ NO PARENT WIDTH",IF(K85&gt;L85,"⚠ BABY &gt; PARENT","✔ OK")))</f>
        <v/>
      </c>
      <c r="N85" s="67" t="str">
        <f>IF(D85="","",IF(COUNTIF(D$3:D85,D85)&gt;1,"⚠ DUPLICATE",""))</f>
        <v/>
      </c>
      <c r="O85" s="78" t="str">
        <f>IF(B85="","",SUMIF(B:B,B85,G:G)&amp;" / "&amp;IFERROR(VLOOKUP(B85,'Coil Sheet at Plant'!$C:$I,7,FALSE),"?")&amp;" mm")</f>
        <v/>
      </c>
    </row>
    <row r="86" spans="1:15" ht="21.75" customHeight="1">
      <c r="A86" s="35"/>
      <c r="B86" s="30"/>
      <c r="C86" s="31"/>
      <c r="D86" s="43" t="str">
        <f>IF(OR(B86="",C86=""),"",CONCATENATE(B86,"-",C86))</f>
        <v/>
      </c>
      <c r="E86" s="49" t="str">
        <f>IF(B86="","",IFERROR(VLOOKUP(B86,'Coil Sheet at Plant'!$C:$G,5,FALSE),"ID Not Found"))</f>
        <v/>
      </c>
      <c r="F86" s="50" t="str">
        <f>IF(B86="","",IFERROR(VLOOKUP(B86,'Coil Sheet at Plant'!$C:$H,6,FALSE),"ID Not Found"))</f>
        <v/>
      </c>
      <c r="G86" s="80"/>
      <c r="H86" s="88" t="str">
        <f>IF(OR(B86="",G86=""),"",IFERROR(VLOOKUP(B86,'Coil Sheet at Plant'!$C:$J,8,FALSE),0)*G86/SUMIF(B:B,B86,G:G))</f>
        <v/>
      </c>
      <c r="I86" s="55" t="str">
        <f>IF(B86="","",IFERROR(VLOOKUP(B86,'Coil Sheet at Plant'!$C:$L,9,FALSE),""))</f>
        <v/>
      </c>
      <c r="J86" s="84" t="str">
        <f>IF(B86="","",IFERROR(VLOOKUP(B86,'Coil Sheet at Plant'!$C:$M,10,FALSE),""))</f>
        <v/>
      </c>
      <c r="K86" s="65" t="str">
        <f>IF(B86="","",SUMIF(B:B,B86,G:G))</f>
        <v/>
      </c>
      <c r="L86" s="66" t="str">
        <f>IF(B86="","",IFERROR(VLOOKUP(B86,'Coil Sheet at Plant'!$C:$I,7,FALSE),""))</f>
        <v/>
      </c>
      <c r="M86" s="67" t="str">
        <f>IF(OR(K86="",L86=""),"",IF(L86=0,"⚠ NO PARENT WIDTH",IF(K86&gt;L86,"⚠ BABY &gt; PARENT","✔ OK")))</f>
        <v/>
      </c>
      <c r="N86" s="67" t="str">
        <f>IF(D86="","",IF(COUNTIF(D$3:D86,D86)&gt;1,"⚠ DUPLICATE",""))</f>
        <v/>
      </c>
      <c r="O86" s="78" t="str">
        <f>IF(B86="","",SUMIF(B:B,B86,G:G)&amp;" / "&amp;IFERROR(VLOOKUP(B86,'Coil Sheet at Plant'!$C:$I,7,FALSE),"?")&amp;" mm")</f>
        <v/>
      </c>
    </row>
    <row r="87" spans="1:15" ht="21.75" customHeight="1">
      <c r="A87" s="35"/>
      <c r="B87" s="30"/>
      <c r="C87" s="31"/>
      <c r="D87" s="43" t="str">
        <f>IF(OR(B87="",C87=""),"",CONCATENATE(B87,"-",C87))</f>
        <v/>
      </c>
      <c r="E87" s="49" t="str">
        <f>IF(B87="","",IFERROR(VLOOKUP(B87,'Coil Sheet at Plant'!$C:$G,5,FALSE),"ID Not Found"))</f>
        <v/>
      </c>
      <c r="F87" s="50" t="str">
        <f>IF(B87="","",IFERROR(VLOOKUP(B87,'Coil Sheet at Plant'!$C:$H,6,FALSE),"ID Not Found"))</f>
        <v/>
      </c>
      <c r="G87" s="80"/>
      <c r="H87" s="88" t="str">
        <f>IF(OR(B87="",G87=""),"",IFERROR(VLOOKUP(B87,'Coil Sheet at Plant'!$C:$J,8,FALSE),0)*G87/SUMIF(B:B,B87,G:G))</f>
        <v/>
      </c>
      <c r="I87" s="55" t="str">
        <f>IF(B87="","",IFERROR(VLOOKUP(B87,'Coil Sheet at Plant'!$C:$L,9,FALSE),""))</f>
        <v/>
      </c>
      <c r="J87" s="84" t="str">
        <f>IF(B87="","",IFERROR(VLOOKUP(B87,'Coil Sheet at Plant'!$C:$M,10,FALSE),""))</f>
        <v/>
      </c>
      <c r="K87" s="65" t="str">
        <f>IF(B87="","",SUMIF(B:B,B87,G:G))</f>
        <v/>
      </c>
      <c r="L87" s="66" t="str">
        <f>IF(B87="","",IFERROR(VLOOKUP(B87,'Coil Sheet at Plant'!$C:$I,7,FALSE),""))</f>
        <v/>
      </c>
      <c r="M87" s="67" t="str">
        <f>IF(OR(K87="",L87=""),"",IF(L87=0,"⚠ NO PARENT WIDTH",IF(K87&gt;L87,"⚠ BABY &gt; PARENT","✔ OK")))</f>
        <v/>
      </c>
      <c r="N87" s="67" t="str">
        <f>IF(D87="","",IF(COUNTIF(D$3:D87,D87)&gt;1,"⚠ DUPLICATE",""))</f>
        <v/>
      </c>
      <c r="O87" s="78" t="str">
        <f>IF(B87="","",SUMIF(B:B,B87,G:G)&amp;" / "&amp;IFERROR(VLOOKUP(B87,'Coil Sheet at Plant'!$C:$I,7,FALSE),"?")&amp;" mm")</f>
        <v/>
      </c>
    </row>
    <row r="88" spans="1:15" ht="21.75" customHeight="1">
      <c r="A88" s="35"/>
      <c r="B88" s="30"/>
      <c r="C88" s="31"/>
      <c r="D88" s="43" t="str">
        <f>IF(OR(B88="",C88=""),"",CONCATENATE(B88,"-",C88))</f>
        <v/>
      </c>
      <c r="E88" s="49" t="str">
        <f>IF(B88="","",IFERROR(VLOOKUP(B88,'Coil Sheet at Plant'!$C:$G,5,FALSE),"ID Not Found"))</f>
        <v/>
      </c>
      <c r="F88" s="50" t="str">
        <f>IF(B88="","",IFERROR(VLOOKUP(B88,'Coil Sheet at Plant'!$C:$H,6,FALSE),"ID Not Found"))</f>
        <v/>
      </c>
      <c r="G88" s="80"/>
      <c r="H88" s="88" t="str">
        <f>IF(OR(B88="",G88=""),"",IFERROR(VLOOKUP(B88,'Coil Sheet at Plant'!$C:$J,8,FALSE),0)*G88/SUMIF(B:B,B88,G:G))</f>
        <v/>
      </c>
      <c r="I88" s="55" t="str">
        <f>IF(B88="","",IFERROR(VLOOKUP(B88,'Coil Sheet at Plant'!$C:$L,9,FALSE),""))</f>
        <v/>
      </c>
      <c r="J88" s="84" t="str">
        <f>IF(B88="","",IFERROR(VLOOKUP(B88,'Coil Sheet at Plant'!$C:$M,10,FALSE),""))</f>
        <v/>
      </c>
      <c r="K88" s="65" t="str">
        <f>IF(B88="","",SUMIF(B:B,B88,G:G))</f>
        <v/>
      </c>
      <c r="L88" s="66" t="str">
        <f>IF(B88="","",IFERROR(VLOOKUP(B88,'Coil Sheet at Plant'!$C:$I,7,FALSE),""))</f>
        <v/>
      </c>
      <c r="M88" s="67" t="str">
        <f>IF(OR(K88="",L88=""),"",IF(L88=0,"⚠ NO PARENT WIDTH",IF(K88&gt;L88,"⚠ BABY &gt; PARENT","✔ OK")))</f>
        <v/>
      </c>
      <c r="N88" s="67" t="str">
        <f>IF(D88="","",IF(COUNTIF(D$3:D88,D88)&gt;1,"⚠ DUPLICATE",""))</f>
        <v/>
      </c>
      <c r="O88" s="78" t="str">
        <f>IF(B88="","",SUMIF(B:B,B88,G:G)&amp;" / "&amp;IFERROR(VLOOKUP(B88,'Coil Sheet at Plant'!$C:$I,7,FALSE),"?")&amp;" mm")</f>
        <v/>
      </c>
    </row>
    <row r="89" spans="1:15" ht="21.75" customHeight="1">
      <c r="A89" s="35"/>
      <c r="B89" s="30"/>
      <c r="C89" s="31"/>
      <c r="D89" s="43" t="str">
        <f>IF(OR(B89="",C89=""),"",CONCATENATE(B89,"-",C89))</f>
        <v/>
      </c>
      <c r="E89" s="49" t="str">
        <f>IF(B89="","",IFERROR(VLOOKUP(B89,'Coil Sheet at Plant'!$C:$G,5,FALSE),"ID Not Found"))</f>
        <v/>
      </c>
      <c r="F89" s="50" t="str">
        <f>IF(B89="","",IFERROR(VLOOKUP(B89,'Coil Sheet at Plant'!$C:$H,6,FALSE),"ID Not Found"))</f>
        <v/>
      </c>
      <c r="G89" s="80"/>
      <c r="H89" s="88" t="str">
        <f>IF(OR(B89="",G89=""),"",IFERROR(VLOOKUP(B89,'Coil Sheet at Plant'!$C:$J,8,FALSE),0)*G89/SUMIF(B:B,B89,G:G))</f>
        <v/>
      </c>
      <c r="I89" s="55" t="str">
        <f>IF(B89="","",IFERROR(VLOOKUP(B89,'Coil Sheet at Plant'!$C:$L,9,FALSE),""))</f>
        <v/>
      </c>
      <c r="J89" s="84" t="str">
        <f>IF(B89="","",IFERROR(VLOOKUP(B89,'Coil Sheet at Plant'!$C:$M,10,FALSE),""))</f>
        <v/>
      </c>
      <c r="K89" s="65" t="str">
        <f>IF(B89="","",SUMIF(B:B,B89,G:G))</f>
        <v/>
      </c>
      <c r="L89" s="66" t="str">
        <f>IF(B89="","",IFERROR(VLOOKUP(B89,'Coil Sheet at Plant'!$C:$I,7,FALSE),""))</f>
        <v/>
      </c>
      <c r="M89" s="67" t="str">
        <f>IF(OR(K89="",L89=""),"",IF(L89=0,"⚠ NO PARENT WIDTH",IF(K89&gt;L89,"⚠ BABY &gt; PARENT","✔ OK")))</f>
        <v/>
      </c>
      <c r="N89" s="67" t="str">
        <f>IF(D89="","",IF(COUNTIF(D$3:D89,D89)&gt;1,"⚠ DUPLICATE",""))</f>
        <v/>
      </c>
      <c r="O89" s="78" t="str">
        <f>IF(B89="","",SUMIF(B:B,B89,G:G)&amp;" / "&amp;IFERROR(VLOOKUP(B89,'Coil Sheet at Plant'!$C:$I,7,FALSE),"?")&amp;" mm")</f>
        <v/>
      </c>
    </row>
    <row r="90" spans="1:15" ht="21.75" customHeight="1">
      <c r="A90" s="35"/>
      <c r="B90" s="30"/>
      <c r="C90" s="31"/>
      <c r="D90" s="43" t="str">
        <f>IF(OR(B90="",C90=""),"",CONCATENATE(B90,"-",C90))</f>
        <v/>
      </c>
      <c r="E90" s="49" t="str">
        <f>IF(B90="","",IFERROR(VLOOKUP(B90,'Coil Sheet at Plant'!$C:$G,5,FALSE),"ID Not Found"))</f>
        <v/>
      </c>
      <c r="F90" s="50" t="str">
        <f>IF(B90="","",IFERROR(VLOOKUP(B90,'Coil Sheet at Plant'!$C:$H,6,FALSE),"ID Not Found"))</f>
        <v/>
      </c>
      <c r="G90" s="80"/>
      <c r="H90" s="88" t="str">
        <f>IF(OR(B90="",G90=""),"",IFERROR(VLOOKUP(B90,'Coil Sheet at Plant'!$C:$J,8,FALSE),0)*G90/SUMIF(B:B,B90,G:G))</f>
        <v/>
      </c>
      <c r="I90" s="55" t="str">
        <f>IF(B90="","",IFERROR(VLOOKUP(B90,'Coil Sheet at Plant'!$C:$L,9,FALSE),""))</f>
        <v/>
      </c>
      <c r="J90" s="84" t="str">
        <f>IF(B90="","",IFERROR(VLOOKUP(B90,'Coil Sheet at Plant'!$C:$M,10,FALSE),""))</f>
        <v/>
      </c>
      <c r="K90" s="65" t="str">
        <f>IF(B90="","",SUMIF(B:B,B90,G:G))</f>
        <v/>
      </c>
      <c r="L90" s="66" t="str">
        <f>IF(B90="","",IFERROR(VLOOKUP(B90,'Coil Sheet at Plant'!$C:$I,7,FALSE),""))</f>
        <v/>
      </c>
      <c r="M90" s="67" t="str">
        <f>IF(OR(K90="",L90=""),"",IF(L90=0,"⚠ NO PARENT WIDTH",IF(K90&gt;L90,"⚠ BABY &gt; PARENT","✔ OK")))</f>
        <v/>
      </c>
      <c r="N90" s="67" t="str">
        <f>IF(D90="","",IF(COUNTIF(D$3:D90,D90)&gt;1,"⚠ DUPLICATE",""))</f>
        <v/>
      </c>
      <c r="O90" s="78" t="str">
        <f>IF(B90="","",SUMIF(B:B,B90,G:G)&amp;" / "&amp;IFERROR(VLOOKUP(B90,'Coil Sheet at Plant'!$C:$I,7,FALSE),"?")&amp;" mm")</f>
        <v/>
      </c>
    </row>
    <row r="91" spans="1:15" ht="21.75" customHeight="1">
      <c r="A91" s="35"/>
      <c r="B91" s="30"/>
      <c r="C91" s="31"/>
      <c r="D91" s="43" t="str">
        <f>IF(OR(B91="",C91=""),"",CONCATENATE(B91,"-",C91))</f>
        <v/>
      </c>
      <c r="E91" s="49" t="str">
        <f>IF(B91="","",IFERROR(VLOOKUP(B91,'Coil Sheet at Plant'!$C:$G,5,FALSE),"ID Not Found"))</f>
        <v/>
      </c>
      <c r="F91" s="50" t="str">
        <f>IF(B91="","",IFERROR(VLOOKUP(B91,'Coil Sheet at Plant'!$C:$H,6,FALSE),"ID Not Found"))</f>
        <v/>
      </c>
      <c r="G91" s="80"/>
      <c r="H91" s="88" t="str">
        <f>IF(OR(B91="",G91=""),"",IFERROR(VLOOKUP(B91,'Coil Sheet at Plant'!$C:$J,8,FALSE),0)*G91/SUMIF(B:B,B91,G:G))</f>
        <v/>
      </c>
      <c r="I91" s="55" t="str">
        <f>IF(B91="","",IFERROR(VLOOKUP(B91,'Coil Sheet at Plant'!$C:$L,9,FALSE),""))</f>
        <v/>
      </c>
      <c r="J91" s="84" t="str">
        <f>IF(B91="","",IFERROR(VLOOKUP(B91,'Coil Sheet at Plant'!$C:$M,10,FALSE),""))</f>
        <v/>
      </c>
      <c r="K91" s="65" t="str">
        <f>IF(B91="","",SUMIF(B:B,B91,G:G))</f>
        <v/>
      </c>
      <c r="L91" s="66" t="str">
        <f>IF(B91="","",IFERROR(VLOOKUP(B91,'Coil Sheet at Plant'!$C:$I,7,FALSE),""))</f>
        <v/>
      </c>
      <c r="M91" s="67" t="str">
        <f>IF(OR(K91="",L91=""),"",IF(L91=0,"⚠ NO PARENT WIDTH",IF(K91&gt;L91,"⚠ BABY &gt; PARENT","✔ OK")))</f>
        <v/>
      </c>
      <c r="N91" s="67" t="str">
        <f>IF(D91="","",IF(COUNTIF(D$3:D91,D91)&gt;1,"⚠ DUPLICATE",""))</f>
        <v/>
      </c>
      <c r="O91" s="78" t="str">
        <f>IF(B91="","",SUMIF(B:B,B91,G:G)&amp;" / "&amp;IFERROR(VLOOKUP(B91,'Coil Sheet at Plant'!$C:$I,7,FALSE),"?")&amp;" mm")</f>
        <v/>
      </c>
    </row>
    <row r="92" spans="1:15" ht="21.75" customHeight="1">
      <c r="A92" s="35"/>
      <c r="B92" s="30"/>
      <c r="C92" s="31"/>
      <c r="D92" s="43" t="str">
        <f>IF(OR(B92="",C92=""),"",CONCATENATE(B92,"-",C92))</f>
        <v/>
      </c>
      <c r="E92" s="49" t="str">
        <f>IF(B92="","",IFERROR(VLOOKUP(B92,'Coil Sheet at Plant'!$C:$G,5,FALSE),"ID Not Found"))</f>
        <v/>
      </c>
      <c r="F92" s="50" t="str">
        <f>IF(B92="","",IFERROR(VLOOKUP(B92,'Coil Sheet at Plant'!$C:$H,6,FALSE),"ID Not Found"))</f>
        <v/>
      </c>
      <c r="G92" s="80"/>
      <c r="H92" s="88" t="str">
        <f>IF(OR(B92="",G92=""),"",IFERROR(VLOOKUP(B92,'Coil Sheet at Plant'!$C:$J,8,FALSE),0)*G92/SUMIF(B:B,B92,G:G))</f>
        <v/>
      </c>
      <c r="I92" s="55" t="str">
        <f>IF(B92="","",IFERROR(VLOOKUP(B92,'Coil Sheet at Plant'!$C:$L,9,FALSE),""))</f>
        <v/>
      </c>
      <c r="J92" s="84" t="str">
        <f>IF(B92="","",IFERROR(VLOOKUP(B92,'Coil Sheet at Plant'!$C:$M,10,FALSE),""))</f>
        <v/>
      </c>
      <c r="K92" s="65" t="str">
        <f>IF(B92="","",SUMIF(B:B,B92,G:G))</f>
        <v/>
      </c>
      <c r="L92" s="66" t="str">
        <f>IF(B92="","",IFERROR(VLOOKUP(B92,'Coil Sheet at Plant'!$C:$I,7,FALSE),""))</f>
        <v/>
      </c>
      <c r="M92" s="67" t="str">
        <f>IF(OR(K92="",L92=""),"",IF(L92=0,"⚠ NO PARENT WIDTH",IF(K92&gt;L92,"⚠ BABY &gt; PARENT","✔ OK")))</f>
        <v/>
      </c>
      <c r="N92" s="67" t="str">
        <f>IF(D92="","",IF(COUNTIF(D$3:D92,D92)&gt;1,"⚠ DUPLICATE",""))</f>
        <v/>
      </c>
      <c r="O92" s="78" t="str">
        <f>IF(B92="","",SUMIF(B:B,B92,G:G)&amp;" / "&amp;IFERROR(VLOOKUP(B92,'Coil Sheet at Plant'!$C:$I,7,FALSE),"?")&amp;" mm")</f>
        <v/>
      </c>
    </row>
    <row r="93" spans="1:15" ht="21.75" customHeight="1">
      <c r="A93" s="35"/>
      <c r="B93" s="30"/>
      <c r="C93" s="31"/>
      <c r="D93" s="43" t="str">
        <f>IF(OR(B93="",C93=""),"",CONCATENATE(B93,"-",C93))</f>
        <v/>
      </c>
      <c r="E93" s="49" t="str">
        <f>IF(B93="","",IFERROR(VLOOKUP(B93,'Coil Sheet at Plant'!$C:$G,5,FALSE),"ID Not Found"))</f>
        <v/>
      </c>
      <c r="F93" s="50" t="str">
        <f>IF(B93="","",IFERROR(VLOOKUP(B93,'Coil Sheet at Plant'!$C:$H,6,FALSE),"ID Not Found"))</f>
        <v/>
      </c>
      <c r="G93" s="80"/>
      <c r="H93" s="88" t="str">
        <f>IF(OR(B93="",G93=""),"",IFERROR(VLOOKUP(B93,'Coil Sheet at Plant'!$C:$J,8,FALSE),0)*G93/SUMIF(B:B,B93,G:G))</f>
        <v/>
      </c>
      <c r="I93" s="55" t="str">
        <f>IF(B93="","",IFERROR(VLOOKUP(B93,'Coil Sheet at Plant'!$C:$L,9,FALSE),""))</f>
        <v/>
      </c>
      <c r="J93" s="84" t="str">
        <f>IF(B93="","",IFERROR(VLOOKUP(B93,'Coil Sheet at Plant'!$C:$M,10,FALSE),""))</f>
        <v/>
      </c>
      <c r="K93" s="65" t="str">
        <f>IF(B93="","",SUMIF(B:B,B93,G:G))</f>
        <v/>
      </c>
      <c r="L93" s="66" t="str">
        <f>IF(B93="","",IFERROR(VLOOKUP(B93,'Coil Sheet at Plant'!$C:$I,7,FALSE),""))</f>
        <v/>
      </c>
      <c r="M93" s="67" t="str">
        <f>IF(OR(K93="",L93=""),"",IF(L93=0,"⚠ NO PARENT WIDTH",IF(K93&gt;L93,"⚠ BABY &gt; PARENT","✔ OK")))</f>
        <v/>
      </c>
      <c r="N93" s="67" t="str">
        <f>IF(D93="","",IF(COUNTIF(D$3:D93,D93)&gt;1,"⚠ DUPLICATE",""))</f>
        <v/>
      </c>
      <c r="O93" s="78" t="str">
        <f>IF(B93="","",SUMIF(B:B,B93,G:G)&amp;" / "&amp;IFERROR(VLOOKUP(B93,'Coil Sheet at Plant'!$C:$I,7,FALSE),"?")&amp;" mm")</f>
        <v/>
      </c>
    </row>
    <row r="94" spans="1:15" ht="21.75" customHeight="1">
      <c r="A94" s="35"/>
      <c r="B94" s="30"/>
      <c r="C94" s="31"/>
      <c r="D94" s="43" t="str">
        <f>IF(OR(B94="",C94=""),"",CONCATENATE(B94,"-",C94))</f>
        <v/>
      </c>
      <c r="E94" s="49" t="str">
        <f>IF(B94="","",IFERROR(VLOOKUP(B94,'Coil Sheet at Plant'!$C:$G,5,FALSE),"ID Not Found"))</f>
        <v/>
      </c>
      <c r="F94" s="50" t="str">
        <f>IF(B94="","",IFERROR(VLOOKUP(B94,'Coil Sheet at Plant'!$C:$H,6,FALSE),"ID Not Found"))</f>
        <v/>
      </c>
      <c r="G94" s="80"/>
      <c r="H94" s="88" t="str">
        <f>IF(OR(B94="",G94=""),"",IFERROR(VLOOKUP(B94,'Coil Sheet at Plant'!$C:$J,8,FALSE),0)*G94/SUMIF(B:B,B94,G:G))</f>
        <v/>
      </c>
      <c r="I94" s="55" t="str">
        <f>IF(B94="","",IFERROR(VLOOKUP(B94,'Coil Sheet at Plant'!$C:$L,9,FALSE),""))</f>
        <v/>
      </c>
      <c r="J94" s="84" t="str">
        <f>IF(B94="","",IFERROR(VLOOKUP(B94,'Coil Sheet at Plant'!$C:$M,10,FALSE),""))</f>
        <v/>
      </c>
      <c r="K94" s="65" t="str">
        <f>IF(B94="","",SUMIF(B:B,B94,G:G))</f>
        <v/>
      </c>
      <c r="L94" s="66" t="str">
        <f>IF(B94="","",IFERROR(VLOOKUP(B94,'Coil Sheet at Plant'!$C:$I,7,FALSE),""))</f>
        <v/>
      </c>
      <c r="M94" s="67" t="str">
        <f>IF(OR(K94="",L94=""),"",IF(L94=0,"⚠ NO PARENT WIDTH",IF(K94&gt;L94,"⚠ BABY &gt; PARENT","✔ OK")))</f>
        <v/>
      </c>
      <c r="N94" s="67" t="str">
        <f>IF(D94="","",IF(COUNTIF(D$3:D94,D94)&gt;1,"⚠ DUPLICATE",""))</f>
        <v/>
      </c>
      <c r="O94" s="78" t="str">
        <f>IF(B94="","",SUMIF(B:B,B94,G:G)&amp;" / "&amp;IFERROR(VLOOKUP(B94,'Coil Sheet at Plant'!$C:$I,7,FALSE),"?")&amp;" mm")</f>
        <v/>
      </c>
    </row>
    <row r="95" spans="1:15" ht="21.75" customHeight="1">
      <c r="A95" s="35"/>
      <c r="B95" s="30"/>
      <c r="C95" s="31"/>
      <c r="D95" s="43" t="str">
        <f>IF(OR(B95="",C95=""),"",CONCATENATE(B95,"-",C95))</f>
        <v/>
      </c>
      <c r="E95" s="49" t="str">
        <f>IF(B95="","",IFERROR(VLOOKUP(B95,'Coil Sheet at Plant'!$C:$G,5,FALSE),"ID Not Found"))</f>
        <v/>
      </c>
      <c r="F95" s="50" t="str">
        <f>IF(B95="","",IFERROR(VLOOKUP(B95,'Coil Sheet at Plant'!$C:$H,6,FALSE),"ID Not Found"))</f>
        <v/>
      </c>
      <c r="G95" s="80"/>
      <c r="H95" s="88" t="str">
        <f>IF(OR(B95="",G95=""),"",IFERROR(VLOOKUP(B95,'Coil Sheet at Plant'!$C:$J,8,FALSE),0)*G95/SUMIF(B:B,B95,G:G))</f>
        <v/>
      </c>
      <c r="I95" s="55" t="str">
        <f>IF(B95="","",IFERROR(VLOOKUP(B95,'Coil Sheet at Plant'!$C:$L,9,FALSE),""))</f>
        <v/>
      </c>
      <c r="J95" s="84" t="str">
        <f>IF(B95="","",IFERROR(VLOOKUP(B95,'Coil Sheet at Plant'!$C:$M,10,FALSE),""))</f>
        <v/>
      </c>
      <c r="K95" s="65" t="str">
        <f>IF(B95="","",SUMIF(B:B,B95,G:G))</f>
        <v/>
      </c>
      <c r="L95" s="66" t="str">
        <f>IF(B95="","",IFERROR(VLOOKUP(B95,'Coil Sheet at Plant'!$C:$I,7,FALSE),""))</f>
        <v/>
      </c>
      <c r="M95" s="67" t="str">
        <f>IF(OR(K95="",L95=""),"",IF(L95=0,"⚠ NO PARENT WIDTH",IF(K95&gt;L95,"⚠ BABY &gt; PARENT","✔ OK")))</f>
        <v/>
      </c>
      <c r="N95" s="67" t="str">
        <f>IF(D95="","",IF(COUNTIF(D$3:D95,D95)&gt;1,"⚠ DUPLICATE",""))</f>
        <v/>
      </c>
      <c r="O95" s="78" t="str">
        <f>IF(B95="","",SUMIF(B:B,B95,G:G)&amp;" / "&amp;IFERROR(VLOOKUP(B95,'Coil Sheet at Plant'!$C:$I,7,FALSE),"?")&amp;" mm")</f>
        <v/>
      </c>
    </row>
    <row r="96" spans="1:15" ht="21.75" customHeight="1">
      <c r="A96" s="35"/>
      <c r="B96" s="30"/>
      <c r="C96" s="31"/>
      <c r="D96" s="43" t="str">
        <f>IF(OR(B96="",C96=""),"",CONCATENATE(B96,"-",C96))</f>
        <v/>
      </c>
      <c r="E96" s="49" t="str">
        <f>IF(B96="","",IFERROR(VLOOKUP(B96,'Coil Sheet at Plant'!$C:$G,5,FALSE),"ID Not Found"))</f>
        <v/>
      </c>
      <c r="F96" s="50" t="str">
        <f>IF(B96="","",IFERROR(VLOOKUP(B96,'Coil Sheet at Plant'!$C:$H,6,FALSE),"ID Not Found"))</f>
        <v/>
      </c>
      <c r="G96" s="80"/>
      <c r="H96" s="88" t="str">
        <f>IF(OR(B96="",G96=""),"",IFERROR(VLOOKUP(B96,'Coil Sheet at Plant'!$C:$J,8,FALSE),0)*G96/SUMIF(B:B,B96,G:G))</f>
        <v/>
      </c>
      <c r="I96" s="55" t="str">
        <f>IF(B96="","",IFERROR(VLOOKUP(B96,'Coil Sheet at Plant'!$C:$L,9,FALSE),""))</f>
        <v/>
      </c>
      <c r="J96" s="84" t="str">
        <f>IF(B96="","",IFERROR(VLOOKUP(B96,'Coil Sheet at Plant'!$C:$M,10,FALSE),""))</f>
        <v/>
      </c>
      <c r="K96" s="65" t="str">
        <f>IF(B96="","",SUMIF(B:B,B96,G:G))</f>
        <v/>
      </c>
      <c r="L96" s="66" t="str">
        <f>IF(B96="","",IFERROR(VLOOKUP(B96,'Coil Sheet at Plant'!$C:$I,7,FALSE),""))</f>
        <v/>
      </c>
      <c r="M96" s="67" t="str">
        <f>IF(OR(K96="",L96=""),"",IF(L96=0,"⚠ NO PARENT WIDTH",IF(K96&gt;L96,"⚠ BABY &gt; PARENT","✔ OK")))</f>
        <v/>
      </c>
      <c r="N96" s="67" t="str">
        <f>IF(D96="","",IF(COUNTIF(D$3:D96,D96)&gt;1,"⚠ DUPLICATE",""))</f>
        <v/>
      </c>
      <c r="O96" s="78" t="str">
        <f>IF(B96="","",SUMIF(B:B,B96,G:G)&amp;" / "&amp;IFERROR(VLOOKUP(B96,'Coil Sheet at Plant'!$C:$I,7,FALSE),"?")&amp;" mm")</f>
        <v/>
      </c>
    </row>
    <row r="97" spans="1:15" ht="21.75" customHeight="1">
      <c r="A97" s="35"/>
      <c r="B97" s="30"/>
      <c r="C97" s="31"/>
      <c r="D97" s="43" t="str">
        <f>IF(OR(B97="",C97=""),"",CONCATENATE(B97,"-",C97))</f>
        <v/>
      </c>
      <c r="E97" s="49" t="str">
        <f>IF(B97="","",IFERROR(VLOOKUP(B97,'Coil Sheet at Plant'!$C:$G,5,FALSE),"ID Not Found"))</f>
        <v/>
      </c>
      <c r="F97" s="50" t="str">
        <f>IF(B97="","",IFERROR(VLOOKUP(B97,'Coil Sheet at Plant'!$C:$H,6,FALSE),"ID Not Found"))</f>
        <v/>
      </c>
      <c r="G97" s="80"/>
      <c r="H97" s="88" t="str">
        <f>IF(OR(B97="",G97=""),"",IFERROR(VLOOKUP(B97,'Coil Sheet at Plant'!$C:$J,8,FALSE),0)*G97/SUMIF(B:B,B97,G:G))</f>
        <v/>
      </c>
      <c r="I97" s="55" t="str">
        <f>IF(B97="","",IFERROR(VLOOKUP(B97,'Coil Sheet at Plant'!$C:$L,9,FALSE),""))</f>
        <v/>
      </c>
      <c r="J97" s="84" t="str">
        <f>IF(B97="","",IFERROR(VLOOKUP(B97,'Coil Sheet at Plant'!$C:$M,10,FALSE),""))</f>
        <v/>
      </c>
      <c r="K97" s="65" t="str">
        <f>IF(B97="","",SUMIF(B:B,B97,G:G))</f>
        <v/>
      </c>
      <c r="L97" s="66" t="str">
        <f>IF(B97="","",IFERROR(VLOOKUP(B97,'Coil Sheet at Plant'!$C:$I,7,FALSE),""))</f>
        <v/>
      </c>
      <c r="M97" s="67" t="str">
        <f>IF(OR(K97="",L97=""),"",IF(L97=0,"⚠ NO PARENT WIDTH",IF(K97&gt;L97,"⚠ BABY &gt; PARENT","✔ OK")))</f>
        <v/>
      </c>
      <c r="N97" s="67" t="str">
        <f>IF(D97="","",IF(COUNTIF(D$3:D97,D97)&gt;1,"⚠ DUPLICATE",""))</f>
        <v/>
      </c>
      <c r="O97" s="78" t="str">
        <f>IF(B97="","",SUMIF(B:B,B97,G:G)&amp;" / "&amp;IFERROR(VLOOKUP(B97,'Coil Sheet at Plant'!$C:$I,7,FALSE),"?")&amp;" mm")</f>
        <v/>
      </c>
    </row>
    <row r="98" spans="1:15" ht="21.75" customHeight="1">
      <c r="A98" s="35"/>
      <c r="B98" s="30"/>
      <c r="C98" s="31"/>
      <c r="D98" s="43" t="str">
        <f>IF(OR(B98="",C98=""),"",CONCATENATE(B98,"-",C98))</f>
        <v/>
      </c>
      <c r="E98" s="49" t="str">
        <f>IF(B98="","",IFERROR(VLOOKUP(B98,'Coil Sheet at Plant'!$C:$G,5,FALSE),"ID Not Found"))</f>
        <v/>
      </c>
      <c r="F98" s="50" t="str">
        <f>IF(B98="","",IFERROR(VLOOKUP(B98,'Coil Sheet at Plant'!$C:$H,6,FALSE),"ID Not Found"))</f>
        <v/>
      </c>
      <c r="G98" s="80"/>
      <c r="H98" s="88" t="str">
        <f>IF(OR(B98="",G98=""),"",IFERROR(VLOOKUP(B98,'Coil Sheet at Plant'!$C:$J,8,FALSE),0)*G98/SUMIF(B:B,B98,G:G))</f>
        <v/>
      </c>
      <c r="I98" s="55" t="str">
        <f>IF(B98="","",IFERROR(VLOOKUP(B98,'Coil Sheet at Plant'!$C:$L,9,FALSE),""))</f>
        <v/>
      </c>
      <c r="J98" s="84" t="str">
        <f>IF(B98="","",IFERROR(VLOOKUP(B98,'Coil Sheet at Plant'!$C:$M,10,FALSE),""))</f>
        <v/>
      </c>
      <c r="K98" s="65" t="str">
        <f>IF(B98="","",SUMIF(B:B,B98,G:G))</f>
        <v/>
      </c>
      <c r="L98" s="66" t="str">
        <f>IF(B98="","",IFERROR(VLOOKUP(B98,'Coil Sheet at Plant'!$C:$I,7,FALSE),""))</f>
        <v/>
      </c>
      <c r="M98" s="67" t="str">
        <f>IF(OR(K98="",L98=""),"",IF(L98=0,"⚠ NO PARENT WIDTH",IF(K98&gt;L98,"⚠ BABY &gt; PARENT","✔ OK")))</f>
        <v/>
      </c>
      <c r="N98" s="67" t="str">
        <f>IF(D98="","",IF(COUNTIF(D$3:D98,D98)&gt;1,"⚠ DUPLICATE",""))</f>
        <v/>
      </c>
      <c r="O98" s="78" t="str">
        <f>IF(B98="","",SUMIF(B:B,B98,G:G)&amp;" / "&amp;IFERROR(VLOOKUP(B98,'Coil Sheet at Plant'!$C:$I,7,FALSE),"?")&amp;" mm")</f>
        <v/>
      </c>
    </row>
    <row r="99" spans="1:15" ht="21.75" customHeight="1">
      <c r="A99" s="35"/>
      <c r="B99" s="30"/>
      <c r="C99" s="31"/>
      <c r="D99" s="43" t="str">
        <f>IF(OR(B99="",C99=""),"",CONCATENATE(B99,"-",C99))</f>
        <v/>
      </c>
      <c r="E99" s="49" t="str">
        <f>IF(B99="","",IFERROR(VLOOKUP(B99,'Coil Sheet at Plant'!$C:$G,5,FALSE),"ID Not Found"))</f>
        <v/>
      </c>
      <c r="F99" s="50" t="str">
        <f>IF(B99="","",IFERROR(VLOOKUP(B99,'Coil Sheet at Plant'!$C:$H,6,FALSE),"ID Not Found"))</f>
        <v/>
      </c>
      <c r="G99" s="80"/>
      <c r="H99" s="88" t="str">
        <f>IF(OR(B99="",G99=""),"",IFERROR(VLOOKUP(B99,'Coil Sheet at Plant'!$C:$J,8,FALSE),0)*G99/SUMIF(B:B,B99,G:G))</f>
        <v/>
      </c>
      <c r="I99" s="55" t="str">
        <f>IF(B99="","",IFERROR(VLOOKUP(B99,'Coil Sheet at Plant'!$C:$L,9,FALSE),""))</f>
        <v/>
      </c>
      <c r="J99" s="84" t="str">
        <f>IF(B99="","",IFERROR(VLOOKUP(B99,'Coil Sheet at Plant'!$C:$M,10,FALSE),""))</f>
        <v/>
      </c>
      <c r="K99" s="65" t="str">
        <f>IF(B99="","",SUMIF(B:B,B99,G:G))</f>
        <v/>
      </c>
      <c r="L99" s="66" t="str">
        <f>IF(B99="","",IFERROR(VLOOKUP(B99,'Coil Sheet at Plant'!$C:$I,7,FALSE),""))</f>
        <v/>
      </c>
      <c r="M99" s="67" t="str">
        <f>IF(OR(K99="",L99=""),"",IF(L99=0,"⚠ NO PARENT WIDTH",IF(K99&gt;L99,"⚠ BABY &gt; PARENT","✔ OK")))</f>
        <v/>
      </c>
      <c r="N99" s="67" t="str">
        <f>IF(D99="","",IF(COUNTIF(D$3:D99,D99)&gt;1,"⚠ DUPLICATE",""))</f>
        <v/>
      </c>
      <c r="O99" s="78" t="str">
        <f>IF(B99="","",SUMIF(B:B,B99,G:G)&amp;" / "&amp;IFERROR(VLOOKUP(B99,'Coil Sheet at Plant'!$C:$I,7,FALSE),"?")&amp;" mm")</f>
        <v/>
      </c>
    </row>
    <row r="100" spans="1:15" ht="21.75" customHeight="1">
      <c r="A100" s="35"/>
      <c r="B100" s="30"/>
      <c r="C100" s="31"/>
      <c r="D100" s="43" t="str">
        <f>IF(OR(B100="",C100=""),"",CONCATENATE(B100,"-",C100))</f>
        <v/>
      </c>
      <c r="E100" s="49" t="str">
        <f>IF(B100="","",IFERROR(VLOOKUP(B100,'Coil Sheet at Plant'!$C:$G,5,FALSE),"ID Not Found"))</f>
        <v/>
      </c>
      <c r="F100" s="50" t="str">
        <f>IF(B100="","",IFERROR(VLOOKUP(B100,'Coil Sheet at Plant'!$C:$H,6,FALSE),"ID Not Found"))</f>
        <v/>
      </c>
      <c r="G100" s="80"/>
      <c r="H100" s="88" t="str">
        <f>IF(OR(B100="",G100=""),"",IFERROR(VLOOKUP(B100,'Coil Sheet at Plant'!$C:$J,8,FALSE),0)*G100/SUMIF(B:B,B100,G:G))</f>
        <v/>
      </c>
      <c r="I100" s="55" t="str">
        <f>IF(B100="","",IFERROR(VLOOKUP(B100,'Coil Sheet at Plant'!$C:$L,9,FALSE),""))</f>
        <v/>
      </c>
      <c r="J100" s="84" t="str">
        <f>IF(B100="","",IFERROR(VLOOKUP(B100,'Coil Sheet at Plant'!$C:$M,10,FALSE),""))</f>
        <v/>
      </c>
      <c r="K100" s="65" t="str">
        <f>IF(B100="","",SUMIF(B:B,B100,G:G))</f>
        <v/>
      </c>
      <c r="L100" s="66" t="str">
        <f>IF(B100="","",IFERROR(VLOOKUP(B100,'Coil Sheet at Plant'!$C:$I,7,FALSE),""))</f>
        <v/>
      </c>
      <c r="M100" s="67" t="str">
        <f>IF(OR(K100="",L100=""),"",IF(L100=0,"⚠ NO PARENT WIDTH",IF(K100&gt;L100,"⚠ BABY &gt; PARENT","✔ OK")))</f>
        <v/>
      </c>
      <c r="N100" s="67" t="str">
        <f>IF(D100="","",IF(COUNTIF(D$3:D100,D100)&gt;1,"⚠ DUPLICATE",""))</f>
        <v/>
      </c>
      <c r="O100" s="78" t="str">
        <f>IF(B100="","",SUMIF(B:B,B100,G:G)&amp;" / "&amp;IFERROR(VLOOKUP(B100,'Coil Sheet at Plant'!$C:$I,7,FALSE),"?")&amp;" mm")</f>
        <v/>
      </c>
    </row>
    <row r="101" spans="1:15">
      <c r="A101" s="36"/>
      <c r="B101" s="32"/>
      <c r="C101" s="39"/>
      <c r="D101" s="44" t="str">
        <f>IF(OR(B101="",C101=""),"",CONCATENATE(B101,"-",C101))</f>
        <v/>
      </c>
      <c r="E101" s="49" t="str">
        <f>IF(B101="","",IFERROR(VLOOKUP(B101,'Coil Sheet at Plant'!$C:$G,5,FALSE),"ID Not Found"))</f>
        <v/>
      </c>
      <c r="F101" s="50" t="str">
        <f>IF(B101="","",IFERROR(VLOOKUP(B101,'Coil Sheet at Plant'!$C:$H,6,FALSE),"ID Not Found"))</f>
        <v/>
      </c>
      <c r="G101" s="81">
        <v>248</v>
      </c>
      <c r="H101" s="89" t="str">
        <f>IF(OR(B101="",G101=""),"",IFERROR(VLOOKUP(B101,'Coil Sheet at Plant'!$C:$J,8,FALSE),0)*G101/SUMIF(B:B,B101,G:G))</f>
        <v/>
      </c>
      <c r="I101" s="56" t="str">
        <f>IF(B101="","",IFERROR(VLOOKUP(B101,'Coil Sheet at Plant'!$C:$L,9,FALSE),""))</f>
        <v/>
      </c>
      <c r="J101" s="85" t="str">
        <f>IF(B101="","",IFERROR(VLOOKUP(B101,'Coil Sheet at Plant'!$C:$M,10,FALSE),""))</f>
        <v/>
      </c>
      <c r="K101" s="69" t="str">
        <f>IF(B101="","",SUMIF(B:B,B101,G:G))</f>
        <v/>
      </c>
      <c r="L101" s="70" t="str">
        <f>IF(B101="","",IFERROR(VLOOKUP(B101,'Coil Sheet at Plant'!$C:$I,7,FALSE),""))</f>
        <v/>
      </c>
      <c r="M101" s="71" t="str">
        <f>IF(OR(K101="",L101=""),"",IF(L101=0,"⚠ NO PARENT WIDTH",IF(K101&gt;L101,"⚠ BABY &gt; PARENT","✔ OK")))</f>
        <v/>
      </c>
      <c r="N101" s="71" t="str">
        <f>IF(D101="","",IF(COUNTIF(D$3:D101,D101)&gt;1,"⚠ DUPLICATE",""))</f>
        <v/>
      </c>
      <c r="O101" s="72" t="str">
        <f>IF(B101="","",SUMIF(B:B,B101,G:G)&amp;" / "&amp;IFERROR(VLOOKUP(B101,'Coil Sheet at Plant'!$C:$I,7,FALSE),"?")&amp;" mm")</f>
        <v/>
      </c>
    </row>
    <row r="102" spans="1:15">
      <c r="A102" s="36"/>
      <c r="B102" s="32"/>
      <c r="C102" s="39"/>
      <c r="D102" s="44" t="str">
        <f>IF(OR(B102="",C102=""),"",CONCATENATE(B102,"-",C102))</f>
        <v/>
      </c>
      <c r="E102" s="49" t="str">
        <f>IF(B102="","",IFERROR(VLOOKUP(B102,'Coil Sheet at Plant'!$C:$G,5,FALSE),"ID Not Found"))</f>
        <v/>
      </c>
      <c r="F102" s="50" t="str">
        <f>IF(B102="","",IFERROR(VLOOKUP(B102,'Coil Sheet at Plant'!$C:$H,6,FALSE),"ID Not Found"))</f>
        <v/>
      </c>
      <c r="G102" s="81">
        <v>249</v>
      </c>
      <c r="H102" s="89" t="str">
        <f>IF(OR(B102="",G102=""),"",IFERROR(VLOOKUP(B102,'Coil Sheet at Plant'!$C:$J,8,FALSE),0)*G102/SUMIF(B:B,B102,G:G))</f>
        <v/>
      </c>
      <c r="I102" s="56" t="str">
        <f>IF(B102="","",IFERROR(VLOOKUP(B102,'Coil Sheet at Plant'!$C:$L,9,FALSE),""))</f>
        <v/>
      </c>
      <c r="J102" s="85" t="str">
        <f>IF(B102="","",IFERROR(VLOOKUP(B102,'Coil Sheet at Plant'!$C:$M,10,FALSE),""))</f>
        <v/>
      </c>
      <c r="K102" s="69" t="str">
        <f>IF(B102="","",SUMIF(B:B,B102,G:G))</f>
        <v/>
      </c>
      <c r="L102" s="70" t="str">
        <f>IF(B102="","",IFERROR(VLOOKUP(B102,'Coil Sheet at Plant'!$C:$I,7,FALSE),""))</f>
        <v/>
      </c>
      <c r="M102" s="71" t="str">
        <f>IF(OR(K102="",L102=""),"",IF(L102=0,"⚠ NO PARENT WIDTH",IF(K102&gt;L102,"⚠ BABY &gt; PARENT","✔ OK")))</f>
        <v/>
      </c>
      <c r="N102" s="71" t="str">
        <f>IF(D102="","",IF(COUNTIF(D$3:D102,D102)&gt;1,"⚠ DUPLICATE",""))</f>
        <v/>
      </c>
      <c r="O102" s="72" t="str">
        <f>IF(B102="","",SUMIF(B:B,B102,G:G)&amp;" / "&amp;IFERROR(VLOOKUP(B102,'Coil Sheet at Plant'!$C:$I,7,FALSE),"?")&amp;" mm")</f>
        <v/>
      </c>
    </row>
    <row r="103" spans="1:15">
      <c r="A103" s="36"/>
      <c r="B103" s="32"/>
      <c r="C103" s="39"/>
      <c r="D103" s="44" t="str">
        <f>IF(OR(B103="",C103=""),"",CONCATENATE(B103,"-",C103))</f>
        <v/>
      </c>
      <c r="E103" s="49" t="str">
        <f>IF(B103="","",IFERROR(VLOOKUP(B103,'Coil Sheet at Plant'!$C:$G,5,FALSE),"ID Not Found"))</f>
        <v/>
      </c>
      <c r="F103" s="50" t="str">
        <f>IF(B103="","",IFERROR(VLOOKUP(B103,'Coil Sheet at Plant'!$C:$H,6,FALSE),"ID Not Found"))</f>
        <v/>
      </c>
      <c r="G103" s="81">
        <v>250</v>
      </c>
      <c r="H103" s="89" t="str">
        <f>IF(OR(B103="",G103=""),"",IFERROR(VLOOKUP(B103,'Coil Sheet at Plant'!$C:$J,8,FALSE),0)*G103/SUMIF(B:B,B103,G:G))</f>
        <v/>
      </c>
      <c r="I103" s="56" t="str">
        <f>IF(B103="","",IFERROR(VLOOKUP(B103,'Coil Sheet at Plant'!$C:$L,9,FALSE),""))</f>
        <v/>
      </c>
      <c r="J103" s="85" t="str">
        <f>IF(B103="","",IFERROR(VLOOKUP(B103,'Coil Sheet at Plant'!$C:$M,10,FALSE),""))</f>
        <v/>
      </c>
      <c r="K103" s="69" t="str">
        <f>IF(B103="","",SUMIF(B:B,B103,G:G))</f>
        <v/>
      </c>
      <c r="L103" s="70" t="str">
        <f>IF(B103="","",IFERROR(VLOOKUP(B103,'Coil Sheet at Plant'!$C:$I,7,FALSE),""))</f>
        <v/>
      </c>
      <c r="M103" s="71" t="str">
        <f>IF(OR(K103="",L103=""),"",IF(L103=0,"⚠ NO PARENT WIDTH",IF(K103&gt;L103,"⚠ BABY &gt; PARENT","✔ OK")))</f>
        <v/>
      </c>
      <c r="N103" s="71" t="str">
        <f>IF(D103="","",IF(COUNTIF(D$3:D103,D103)&gt;1,"⚠ DUPLICATE",""))</f>
        <v/>
      </c>
      <c r="O103" s="72" t="str">
        <f>IF(B103="","",SUMIF(B:B,B103,G:G)&amp;" / "&amp;IFERROR(VLOOKUP(B103,'Coil Sheet at Plant'!$C:$I,7,FALSE),"?")&amp;" mm")</f>
        <v/>
      </c>
    </row>
    <row r="104" spans="1:15">
      <c r="A104" s="36"/>
      <c r="B104" s="32"/>
      <c r="C104" s="39"/>
      <c r="D104" s="44" t="str">
        <f>IF(OR(B104="",C104=""),"",CONCATENATE(B104,"-",C104))</f>
        <v/>
      </c>
      <c r="E104" s="49" t="str">
        <f>IF(B104="","",IFERROR(VLOOKUP(B104,'Coil Sheet at Plant'!$C:$G,5,FALSE),"ID Not Found"))</f>
        <v/>
      </c>
      <c r="F104" s="50" t="str">
        <f>IF(B104="","",IFERROR(VLOOKUP(B104,'Coil Sheet at Plant'!$C:$H,6,FALSE),"ID Not Found"))</f>
        <v/>
      </c>
      <c r="G104" s="81">
        <v>251</v>
      </c>
      <c r="H104" s="89" t="str">
        <f>IF(OR(B104="",G104=""),"",IFERROR(VLOOKUP(B104,'Coil Sheet at Plant'!$C:$J,8,FALSE),0)*G104/SUMIF(B:B,B104,G:G))</f>
        <v/>
      </c>
      <c r="I104" s="56" t="str">
        <f>IF(B104="","",IFERROR(VLOOKUP(B104,'Coil Sheet at Plant'!$C:$L,9,FALSE),""))</f>
        <v/>
      </c>
      <c r="J104" s="85" t="str">
        <f>IF(B104="","",IFERROR(VLOOKUP(B104,'Coil Sheet at Plant'!$C:$M,10,FALSE),""))</f>
        <v/>
      </c>
      <c r="K104" s="69" t="str">
        <f>IF(B104="","",SUMIF(B:B,B104,G:G))</f>
        <v/>
      </c>
      <c r="L104" s="70" t="str">
        <f>IF(B104="","",IFERROR(VLOOKUP(B104,'Coil Sheet at Plant'!$C:$I,7,FALSE),""))</f>
        <v/>
      </c>
      <c r="M104" s="71" t="str">
        <f>IF(OR(K104="",L104=""),"",IF(L104=0,"⚠ NO PARENT WIDTH",IF(K104&gt;L104,"⚠ BABY &gt; PARENT","✔ OK")))</f>
        <v/>
      </c>
      <c r="N104" s="71" t="str">
        <f>IF(D104="","",IF(COUNTIF(D$3:D104,D104)&gt;1,"⚠ DUPLICATE",""))</f>
        <v/>
      </c>
      <c r="O104" s="72" t="str">
        <f>IF(B104="","",SUMIF(B:B,B104,G:G)&amp;" / "&amp;IFERROR(VLOOKUP(B104,'Coil Sheet at Plant'!$C:$I,7,FALSE),"?")&amp;" mm")</f>
        <v/>
      </c>
    </row>
    <row r="105" spans="1:15">
      <c r="A105" s="36"/>
      <c r="B105" s="32"/>
      <c r="C105" s="39"/>
      <c r="D105" s="44" t="str">
        <f>IF(OR(B105="",C105=""),"",CONCATENATE(B105,"-",C105))</f>
        <v/>
      </c>
      <c r="E105" s="49" t="str">
        <f>IF(B105="","",IFERROR(VLOOKUP(B105,'Coil Sheet at Plant'!$C:$G,5,FALSE),"ID Not Found"))</f>
        <v/>
      </c>
      <c r="F105" s="50" t="str">
        <f>IF(B105="","",IFERROR(VLOOKUP(B105,'Coil Sheet at Plant'!$C:$H,6,FALSE),"ID Not Found"))</f>
        <v/>
      </c>
      <c r="G105" s="81">
        <v>252</v>
      </c>
      <c r="H105" s="89" t="str">
        <f>IF(OR(B105="",G105=""),"",IFERROR(VLOOKUP(B105,'Coil Sheet at Plant'!$C:$J,8,FALSE),0)*G105/SUMIF(B:B,B105,G:G))</f>
        <v/>
      </c>
      <c r="I105" s="56" t="str">
        <f>IF(B105="","",IFERROR(VLOOKUP(B105,'Coil Sheet at Plant'!$C:$L,9,FALSE),""))</f>
        <v/>
      </c>
      <c r="J105" s="85" t="str">
        <f>IF(B105="","",IFERROR(VLOOKUP(B105,'Coil Sheet at Plant'!$C:$M,10,FALSE),""))</f>
        <v/>
      </c>
      <c r="K105" s="69" t="str">
        <f>IF(B105="","",SUMIF(B:B,B105,G:G))</f>
        <v/>
      </c>
      <c r="L105" s="70" t="str">
        <f>IF(B105="","",IFERROR(VLOOKUP(B105,'Coil Sheet at Plant'!$C:$I,7,FALSE),""))</f>
        <v/>
      </c>
      <c r="M105" s="71" t="str">
        <f>IF(OR(K105="",L105=""),"",IF(L105=0,"⚠ NO PARENT WIDTH",IF(K105&gt;L105,"⚠ BABY &gt; PARENT","✔ OK")))</f>
        <v/>
      </c>
      <c r="N105" s="71" t="str">
        <f>IF(D105="","",IF(COUNTIF(D$3:D105,D105)&gt;1,"⚠ DUPLICATE",""))</f>
        <v/>
      </c>
      <c r="O105" s="72" t="str">
        <f>IF(B105="","",SUMIF(B:B,B105,G:G)&amp;" / "&amp;IFERROR(VLOOKUP(B105,'Coil Sheet at Plant'!$C:$I,7,FALSE),"?")&amp;" mm")</f>
        <v/>
      </c>
    </row>
    <row r="106" spans="1:15">
      <c r="A106" s="36"/>
      <c r="B106" s="32"/>
      <c r="C106" s="39"/>
      <c r="D106" s="44" t="str">
        <f>IF(OR(B106="",C106=""),"",CONCATENATE(B106,"-",C106))</f>
        <v/>
      </c>
      <c r="E106" s="49" t="str">
        <f>IF(B106="","",IFERROR(VLOOKUP(B106,'Coil Sheet at Plant'!$C:$G,5,FALSE),"ID Not Found"))</f>
        <v/>
      </c>
      <c r="F106" s="50" t="str">
        <f>IF(B106="","",IFERROR(VLOOKUP(B106,'Coil Sheet at Plant'!$C:$H,6,FALSE),"ID Not Found"))</f>
        <v/>
      </c>
      <c r="G106" s="81">
        <v>253</v>
      </c>
      <c r="H106" s="89" t="str">
        <f>IF(OR(B106="",G106=""),"",IFERROR(VLOOKUP(B106,'Coil Sheet at Plant'!$C:$J,8,FALSE),0)*G106/SUMIF(B:B,B106,G:G))</f>
        <v/>
      </c>
      <c r="I106" s="56" t="str">
        <f>IF(B106="","",IFERROR(VLOOKUP(B106,'Coil Sheet at Plant'!$C:$L,9,FALSE),""))</f>
        <v/>
      </c>
      <c r="J106" s="85" t="str">
        <f>IF(B106="","",IFERROR(VLOOKUP(B106,'Coil Sheet at Plant'!$C:$M,10,FALSE),""))</f>
        <v/>
      </c>
      <c r="K106" s="69" t="str">
        <f>IF(B106="","",SUMIF(B:B,B106,G:G))</f>
        <v/>
      </c>
      <c r="L106" s="70" t="str">
        <f>IF(B106="","",IFERROR(VLOOKUP(B106,'Coil Sheet at Plant'!$C:$I,7,FALSE),""))</f>
        <v/>
      </c>
      <c r="M106" s="71" t="str">
        <f>IF(OR(K106="",L106=""),"",IF(L106=0,"⚠ NO PARENT WIDTH",IF(K106&gt;L106,"⚠ BABY &gt; PARENT","✔ OK")))</f>
        <v/>
      </c>
      <c r="N106" s="71" t="str">
        <f>IF(D106="","",IF(COUNTIF(D$3:D106,D106)&gt;1,"⚠ DUPLICATE",""))</f>
        <v/>
      </c>
      <c r="O106" s="72" t="str">
        <f>IF(B106="","",SUMIF(B:B,B106,G:G)&amp;" / "&amp;IFERROR(VLOOKUP(B106,'Coil Sheet at Plant'!$C:$I,7,FALSE),"?")&amp;" mm")</f>
        <v/>
      </c>
    </row>
    <row r="107" spans="1:15">
      <c r="A107" s="36"/>
      <c r="B107" s="32"/>
      <c r="C107" s="39"/>
      <c r="D107" s="44" t="str">
        <f>IF(OR(B107="",C107=""),"",CONCATENATE(B107,"-",C107))</f>
        <v/>
      </c>
      <c r="E107" s="49" t="str">
        <f>IF(B107="","",IFERROR(VLOOKUP(B107,'Coil Sheet at Plant'!$C:$G,5,FALSE),"ID Not Found"))</f>
        <v/>
      </c>
      <c r="F107" s="50" t="str">
        <f>IF(B107="","",IFERROR(VLOOKUP(B107,'Coil Sheet at Plant'!$C:$H,6,FALSE),"ID Not Found"))</f>
        <v/>
      </c>
      <c r="G107" s="81">
        <v>254</v>
      </c>
      <c r="H107" s="89" t="str">
        <f>IF(OR(B107="",G107=""),"",IFERROR(VLOOKUP(B107,'Coil Sheet at Plant'!$C:$J,8,FALSE),0)*G107/SUMIF(B:B,B107,G:G))</f>
        <v/>
      </c>
      <c r="I107" s="56" t="str">
        <f>IF(B107="","",IFERROR(VLOOKUP(B107,'Coil Sheet at Plant'!$C:$L,9,FALSE),""))</f>
        <v/>
      </c>
      <c r="J107" s="85" t="str">
        <f>IF(B107="","",IFERROR(VLOOKUP(B107,'Coil Sheet at Plant'!$C:$M,10,FALSE),""))</f>
        <v/>
      </c>
      <c r="K107" s="69" t="str">
        <f>IF(B107="","",SUMIF(B:B,B107,G:G))</f>
        <v/>
      </c>
      <c r="L107" s="70" t="str">
        <f>IF(B107="","",IFERROR(VLOOKUP(B107,'Coil Sheet at Plant'!$C:$I,7,FALSE),""))</f>
        <v/>
      </c>
      <c r="M107" s="71" t="str">
        <f>IF(OR(K107="",L107=""),"",IF(L107=0,"⚠ NO PARENT WIDTH",IF(K107&gt;L107,"⚠ BABY &gt; PARENT","✔ OK")))</f>
        <v/>
      </c>
      <c r="N107" s="71" t="str">
        <f>IF(D107="","",IF(COUNTIF(D$3:D107,D107)&gt;1,"⚠ DUPLICATE",""))</f>
        <v/>
      </c>
      <c r="O107" s="72" t="str">
        <f>IF(B107="","",SUMIF(B:B,B107,G:G)&amp;" / "&amp;IFERROR(VLOOKUP(B107,'Coil Sheet at Plant'!$C:$I,7,FALSE),"?")&amp;" mm")</f>
        <v/>
      </c>
    </row>
    <row r="108" spans="1:15">
      <c r="A108" s="36"/>
      <c r="B108" s="32"/>
      <c r="C108" s="39"/>
      <c r="D108" s="44" t="str">
        <f>IF(OR(B108="",C108=""),"",CONCATENATE(B108,"-",C108))</f>
        <v/>
      </c>
      <c r="E108" s="49" t="str">
        <f>IF(B108="","",IFERROR(VLOOKUP(B108,'Coil Sheet at Plant'!$C:$G,5,FALSE),"ID Not Found"))</f>
        <v/>
      </c>
      <c r="F108" s="50" t="str">
        <f>IF(B108="","",IFERROR(VLOOKUP(B108,'Coil Sheet at Plant'!$C:$H,6,FALSE),"ID Not Found"))</f>
        <v/>
      </c>
      <c r="G108" s="81">
        <v>255</v>
      </c>
      <c r="H108" s="89" t="str">
        <f>IF(OR(B108="",G108=""),"",IFERROR(VLOOKUP(B108,'Coil Sheet at Plant'!$C:$J,8,FALSE),0)*G108/SUMIF(B:B,B108,G:G))</f>
        <v/>
      </c>
      <c r="I108" s="56" t="str">
        <f>IF(B108="","",IFERROR(VLOOKUP(B108,'Coil Sheet at Plant'!$C:$L,9,FALSE),""))</f>
        <v/>
      </c>
      <c r="J108" s="85" t="str">
        <f>IF(B108="","",IFERROR(VLOOKUP(B108,'Coil Sheet at Plant'!$C:$M,10,FALSE),""))</f>
        <v/>
      </c>
      <c r="K108" s="69" t="str">
        <f>IF(B108="","",SUMIF(B:B,B108,G:G))</f>
        <v/>
      </c>
      <c r="L108" s="70" t="str">
        <f>IF(B108="","",IFERROR(VLOOKUP(B108,'Coil Sheet at Plant'!$C:$I,7,FALSE),""))</f>
        <v/>
      </c>
      <c r="M108" s="71" t="str">
        <f>IF(OR(K108="",L108=""),"",IF(L108=0,"⚠ NO PARENT WIDTH",IF(K108&gt;L108,"⚠ BABY &gt; PARENT","✔ OK")))</f>
        <v/>
      </c>
      <c r="N108" s="71" t="str">
        <f>IF(D108="","",IF(COUNTIF(D$3:D108,D108)&gt;1,"⚠ DUPLICATE",""))</f>
        <v/>
      </c>
      <c r="O108" s="72" t="str">
        <f>IF(B108="","",SUMIF(B:B,B108,G:G)&amp;" / "&amp;IFERROR(VLOOKUP(B108,'Coil Sheet at Plant'!$C:$I,7,FALSE),"?")&amp;" mm")</f>
        <v/>
      </c>
    </row>
    <row r="109" spans="1:15">
      <c r="A109" s="36"/>
      <c r="B109" s="32"/>
      <c r="C109" s="39"/>
      <c r="D109" s="44" t="str">
        <f>IF(OR(B109="",C109=""),"",CONCATENATE(B109,"-",C109))</f>
        <v/>
      </c>
      <c r="E109" s="49" t="str">
        <f>IF(B109="","",IFERROR(VLOOKUP(B109,'Coil Sheet at Plant'!$C:$G,5,FALSE),"ID Not Found"))</f>
        <v/>
      </c>
      <c r="F109" s="50" t="str">
        <f>IF(B109="","",IFERROR(VLOOKUP(B109,'Coil Sheet at Plant'!$C:$H,6,FALSE),"ID Not Found"))</f>
        <v/>
      </c>
      <c r="G109" s="81">
        <v>256</v>
      </c>
      <c r="H109" s="89" t="str">
        <f>IF(OR(B109="",G109=""),"",IFERROR(VLOOKUP(B109,'Coil Sheet at Plant'!$C:$J,8,FALSE),0)*G109/SUMIF(B:B,B109,G:G))</f>
        <v/>
      </c>
      <c r="I109" s="56" t="str">
        <f>IF(B109="","",IFERROR(VLOOKUP(B109,'Coil Sheet at Plant'!$C:$L,9,FALSE),""))</f>
        <v/>
      </c>
      <c r="J109" s="85" t="str">
        <f>IF(B109="","",IFERROR(VLOOKUP(B109,'Coil Sheet at Plant'!$C:$M,10,FALSE),""))</f>
        <v/>
      </c>
      <c r="K109" s="69" t="str">
        <f>IF(B109="","",SUMIF(B:B,B109,G:G))</f>
        <v/>
      </c>
      <c r="L109" s="70" t="str">
        <f>IF(B109="","",IFERROR(VLOOKUP(B109,'Coil Sheet at Plant'!$C:$I,7,FALSE),""))</f>
        <v/>
      </c>
      <c r="M109" s="71" t="str">
        <f>IF(OR(K109="",L109=""),"",IF(L109=0,"⚠ NO PARENT WIDTH",IF(K109&gt;L109,"⚠ BABY &gt; PARENT","✔ OK")))</f>
        <v/>
      </c>
      <c r="N109" s="71" t="str">
        <f>IF(D109="","",IF(COUNTIF(D$3:D109,D109)&gt;1,"⚠ DUPLICATE",""))</f>
        <v/>
      </c>
      <c r="O109" s="72" t="str">
        <f>IF(B109="","",SUMIF(B:B,B109,G:G)&amp;" / "&amp;IFERROR(VLOOKUP(B109,'Coil Sheet at Plant'!$C:$I,7,FALSE),"?")&amp;" mm")</f>
        <v/>
      </c>
    </row>
    <row r="110" spans="1:15">
      <c r="A110" s="36"/>
      <c r="B110" s="32"/>
      <c r="C110" s="39"/>
      <c r="D110" s="44" t="str">
        <f>IF(OR(B110="",C110=""),"",CONCATENATE(B110,"-",C110))</f>
        <v/>
      </c>
      <c r="E110" s="49" t="str">
        <f>IF(B110="","",IFERROR(VLOOKUP(B110,'Coil Sheet at Plant'!$C:$G,5,FALSE),"ID Not Found"))</f>
        <v/>
      </c>
      <c r="F110" s="50" t="str">
        <f>IF(B110="","",IFERROR(VLOOKUP(B110,'Coil Sheet at Plant'!$C:$H,6,FALSE),"ID Not Found"))</f>
        <v/>
      </c>
      <c r="G110" s="81">
        <v>257</v>
      </c>
      <c r="H110" s="89" t="str">
        <f>IF(OR(B110="",G110=""),"",IFERROR(VLOOKUP(B110,'Coil Sheet at Plant'!$C:$J,8,FALSE),0)*G110/SUMIF(B:B,B110,G:G))</f>
        <v/>
      </c>
      <c r="I110" s="56" t="str">
        <f>IF(B110="","",IFERROR(VLOOKUP(B110,'Coil Sheet at Plant'!$C:$L,9,FALSE),""))</f>
        <v/>
      </c>
      <c r="J110" s="85" t="str">
        <f>IF(B110="","",IFERROR(VLOOKUP(B110,'Coil Sheet at Plant'!$C:$M,10,FALSE),""))</f>
        <v/>
      </c>
      <c r="K110" s="69" t="str">
        <f>IF(B110="","",SUMIF(B:B,B110,G:G))</f>
        <v/>
      </c>
      <c r="L110" s="70" t="str">
        <f>IF(B110="","",IFERROR(VLOOKUP(B110,'Coil Sheet at Plant'!$C:$I,7,FALSE),""))</f>
        <v/>
      </c>
      <c r="M110" s="71" t="str">
        <f>IF(OR(K110="",L110=""),"",IF(L110=0,"⚠ NO PARENT WIDTH",IF(K110&gt;L110,"⚠ BABY &gt; PARENT","✔ OK")))</f>
        <v/>
      </c>
      <c r="N110" s="71" t="str">
        <f>IF(D110="","",IF(COUNTIF(D$3:D110,D110)&gt;1,"⚠ DUPLICATE",""))</f>
        <v/>
      </c>
      <c r="O110" s="72" t="str">
        <f>IF(B110="","",SUMIF(B:B,B110,G:G)&amp;" / "&amp;IFERROR(VLOOKUP(B110,'Coil Sheet at Plant'!$C:$I,7,FALSE),"?")&amp;" mm")</f>
        <v/>
      </c>
    </row>
    <row r="111" spans="1:15">
      <c r="A111" s="36"/>
      <c r="B111" s="32"/>
      <c r="C111" s="39"/>
      <c r="D111" s="44" t="str">
        <f>IF(OR(B111="",C111=""),"",CONCATENATE(B111,"-",C111))</f>
        <v/>
      </c>
      <c r="E111" s="49" t="str">
        <f>IF(B111="","",IFERROR(VLOOKUP(B111,'Coil Sheet at Plant'!$C:$G,5,FALSE),"ID Not Found"))</f>
        <v/>
      </c>
      <c r="F111" s="50" t="str">
        <f>IF(B111="","",IFERROR(VLOOKUP(B111,'Coil Sheet at Plant'!$C:$H,6,FALSE),"ID Not Found"))</f>
        <v/>
      </c>
      <c r="G111" s="81">
        <v>258</v>
      </c>
      <c r="H111" s="89" t="str">
        <f>IF(OR(B111="",G111=""),"",IFERROR(VLOOKUP(B111,'Coil Sheet at Plant'!$C:$J,8,FALSE),0)*G111/SUMIF(B:B,B111,G:G))</f>
        <v/>
      </c>
      <c r="I111" s="56" t="str">
        <f>IF(B111="","",IFERROR(VLOOKUP(B111,'Coil Sheet at Plant'!$C:$L,9,FALSE),""))</f>
        <v/>
      </c>
      <c r="J111" s="85" t="str">
        <f>IF(B111="","",IFERROR(VLOOKUP(B111,'Coil Sheet at Plant'!$C:$M,10,FALSE),""))</f>
        <v/>
      </c>
      <c r="K111" s="69" t="str">
        <f>IF(B111="","",SUMIF(B:B,B111,G:G))</f>
        <v/>
      </c>
      <c r="L111" s="70" t="str">
        <f>IF(B111="","",IFERROR(VLOOKUP(B111,'Coil Sheet at Plant'!$C:$I,7,FALSE),""))</f>
        <v/>
      </c>
      <c r="M111" s="71" t="str">
        <f>IF(OR(K111="",L111=""),"",IF(L111=0,"⚠ NO PARENT WIDTH",IF(K111&gt;L111,"⚠ BABY &gt; PARENT","✔ OK")))</f>
        <v/>
      </c>
      <c r="N111" s="71" t="str">
        <f>IF(D111="","",IF(COUNTIF(D$3:D111,D111)&gt;1,"⚠ DUPLICATE",""))</f>
        <v/>
      </c>
      <c r="O111" s="72" t="str">
        <f>IF(B111="","",SUMIF(B:B,B111,G:G)&amp;" / "&amp;IFERROR(VLOOKUP(B111,'Coil Sheet at Plant'!$C:$I,7,FALSE),"?")&amp;" mm")</f>
        <v/>
      </c>
    </row>
    <row r="112" spans="1:15">
      <c r="A112" s="36"/>
      <c r="B112" s="32"/>
      <c r="C112" s="39"/>
      <c r="D112" s="44" t="str">
        <f>IF(OR(B112="",C112=""),"",CONCATENATE(B112,"-",C112))</f>
        <v/>
      </c>
      <c r="E112" s="49" t="str">
        <f>IF(B112="","",IFERROR(VLOOKUP(B112,'Coil Sheet at Plant'!$C:$G,5,FALSE),"ID Not Found"))</f>
        <v/>
      </c>
      <c r="F112" s="50" t="str">
        <f>IF(B112="","",IFERROR(VLOOKUP(B112,'Coil Sheet at Plant'!$C:$H,6,FALSE),"ID Not Found"))</f>
        <v/>
      </c>
      <c r="G112" s="81">
        <v>259</v>
      </c>
      <c r="H112" s="89" t="str">
        <f>IF(OR(B112="",G112=""),"",IFERROR(VLOOKUP(B112,'Coil Sheet at Plant'!$C:$J,8,FALSE),0)*G112/SUMIF(B:B,B112,G:G))</f>
        <v/>
      </c>
      <c r="I112" s="56" t="str">
        <f>IF(B112="","",IFERROR(VLOOKUP(B112,'Coil Sheet at Plant'!$C:$L,9,FALSE),""))</f>
        <v/>
      </c>
      <c r="J112" s="85" t="str">
        <f>IF(B112="","",IFERROR(VLOOKUP(B112,'Coil Sheet at Plant'!$C:$M,10,FALSE),""))</f>
        <v/>
      </c>
      <c r="K112" s="69" t="str">
        <f>IF(B112="","",SUMIF(B:B,B112,G:G))</f>
        <v/>
      </c>
      <c r="L112" s="70" t="str">
        <f>IF(B112="","",IFERROR(VLOOKUP(B112,'Coil Sheet at Plant'!$C:$I,7,FALSE),""))</f>
        <v/>
      </c>
      <c r="M112" s="71" t="str">
        <f>IF(OR(K112="",L112=""),"",IF(L112=0,"⚠ NO PARENT WIDTH",IF(K112&gt;L112,"⚠ BABY &gt; PARENT","✔ OK")))</f>
        <v/>
      </c>
      <c r="N112" s="71" t="str">
        <f>IF(D112="","",IF(COUNTIF(D$3:D112,D112)&gt;1,"⚠ DUPLICATE",""))</f>
        <v/>
      </c>
      <c r="O112" s="72" t="str">
        <f>IF(B112="","",SUMIF(B:B,B112,G:G)&amp;" / "&amp;IFERROR(VLOOKUP(B112,'Coil Sheet at Plant'!$C:$I,7,FALSE),"?")&amp;" mm")</f>
        <v/>
      </c>
    </row>
    <row r="113" spans="1:15">
      <c r="A113" s="36"/>
      <c r="B113" s="32"/>
      <c r="C113" s="39"/>
      <c r="D113" s="44" t="str">
        <f>IF(OR(B113="",C113=""),"",CONCATENATE(B113,"-",C113))</f>
        <v/>
      </c>
      <c r="E113" s="49" t="str">
        <f>IF(B113="","",IFERROR(VLOOKUP(B113,'Coil Sheet at Plant'!$C:$G,5,FALSE),"ID Not Found"))</f>
        <v/>
      </c>
      <c r="F113" s="50" t="str">
        <f>IF(B113="","",IFERROR(VLOOKUP(B113,'Coil Sheet at Plant'!$C:$H,6,FALSE),"ID Not Found"))</f>
        <v/>
      </c>
      <c r="G113" s="81">
        <v>260</v>
      </c>
      <c r="H113" s="89" t="str">
        <f>IF(OR(B113="",G113=""),"",IFERROR(VLOOKUP(B113,'Coil Sheet at Plant'!$C:$J,8,FALSE),0)*G113/SUMIF(B:B,B113,G:G))</f>
        <v/>
      </c>
      <c r="I113" s="56" t="str">
        <f>IF(B113="","",IFERROR(VLOOKUP(B113,'Coil Sheet at Plant'!$C:$L,9,FALSE),""))</f>
        <v/>
      </c>
      <c r="J113" s="85" t="str">
        <f>IF(B113="","",IFERROR(VLOOKUP(B113,'Coil Sheet at Plant'!$C:$M,10,FALSE),""))</f>
        <v/>
      </c>
      <c r="K113" s="69" t="str">
        <f>IF(B113="","",SUMIF(B:B,B113,G:G))</f>
        <v/>
      </c>
      <c r="L113" s="70" t="str">
        <f>IF(B113="","",IFERROR(VLOOKUP(B113,'Coil Sheet at Plant'!$C:$I,7,FALSE),""))</f>
        <v/>
      </c>
      <c r="M113" s="71" t="str">
        <f>IF(OR(K113="",L113=""),"",IF(L113=0,"⚠ NO PARENT WIDTH",IF(K113&gt;L113,"⚠ BABY &gt; PARENT","✔ OK")))</f>
        <v/>
      </c>
      <c r="N113" s="71" t="str">
        <f>IF(D113="","",IF(COUNTIF(D$3:D113,D113)&gt;1,"⚠ DUPLICATE",""))</f>
        <v/>
      </c>
      <c r="O113" s="72" t="str">
        <f>IF(B113="","",SUMIF(B:B,B113,G:G)&amp;" / "&amp;IFERROR(VLOOKUP(B113,'Coil Sheet at Plant'!$C:$I,7,FALSE),"?")&amp;" mm")</f>
        <v/>
      </c>
    </row>
    <row r="114" spans="1:15">
      <c r="A114" s="36"/>
      <c r="B114" s="32"/>
      <c r="C114" s="39"/>
      <c r="D114" s="44" t="str">
        <f>IF(OR(B114="",C114=""),"",CONCATENATE(B114,"-",C114))</f>
        <v/>
      </c>
      <c r="E114" s="49" t="str">
        <f>IF(B114="","",IFERROR(VLOOKUP(B114,'Coil Sheet at Plant'!$C:$G,5,FALSE),"ID Not Found"))</f>
        <v/>
      </c>
      <c r="F114" s="50" t="str">
        <f>IF(B114="","",IFERROR(VLOOKUP(B114,'Coil Sheet at Plant'!$C:$H,6,FALSE),"ID Not Found"))</f>
        <v/>
      </c>
      <c r="G114" s="81">
        <v>261</v>
      </c>
      <c r="H114" s="89" t="str">
        <f>IF(OR(B114="",G114=""),"",IFERROR(VLOOKUP(B114,'Coil Sheet at Plant'!$C:$J,8,FALSE),0)*G114/SUMIF(B:B,B114,G:G))</f>
        <v/>
      </c>
      <c r="I114" s="56" t="str">
        <f>IF(B114="","",IFERROR(VLOOKUP(B114,'Coil Sheet at Plant'!$C:$L,9,FALSE),""))</f>
        <v/>
      </c>
      <c r="J114" s="85" t="str">
        <f>IF(B114="","",IFERROR(VLOOKUP(B114,'Coil Sheet at Plant'!$C:$M,10,FALSE),""))</f>
        <v/>
      </c>
      <c r="K114" s="69" t="str">
        <f>IF(B114="","",SUMIF(B:B,B114,G:G))</f>
        <v/>
      </c>
      <c r="L114" s="70" t="str">
        <f>IF(B114="","",IFERROR(VLOOKUP(B114,'Coil Sheet at Plant'!$C:$I,7,FALSE),""))</f>
        <v/>
      </c>
      <c r="M114" s="71" t="str">
        <f>IF(OR(K114="",L114=""),"",IF(L114=0,"⚠ NO PARENT WIDTH",IF(K114&gt;L114,"⚠ BABY &gt; PARENT","✔ OK")))</f>
        <v/>
      </c>
      <c r="N114" s="71" t="str">
        <f>IF(D114="","",IF(COUNTIF(D$3:D114,D114)&gt;1,"⚠ DUPLICATE",""))</f>
        <v/>
      </c>
      <c r="O114" s="72" t="str">
        <f>IF(B114="","",SUMIF(B:B,B114,G:G)&amp;" / "&amp;IFERROR(VLOOKUP(B114,'Coil Sheet at Plant'!$C:$I,7,FALSE),"?")&amp;" mm")</f>
        <v/>
      </c>
    </row>
    <row r="115" spans="1:15">
      <c r="A115" s="36"/>
      <c r="B115" s="32"/>
      <c r="C115" s="39"/>
      <c r="D115" s="44" t="str">
        <f>IF(OR(B115="",C115=""),"",CONCATENATE(B115,"-",C115))</f>
        <v/>
      </c>
      <c r="E115" s="49" t="str">
        <f>IF(B115="","",IFERROR(VLOOKUP(B115,'Coil Sheet at Plant'!$C:$G,5,FALSE),"ID Not Found"))</f>
        <v/>
      </c>
      <c r="F115" s="50" t="str">
        <f>IF(B115="","",IFERROR(VLOOKUP(B115,'Coil Sheet at Plant'!$C:$H,6,FALSE),"ID Not Found"))</f>
        <v/>
      </c>
      <c r="G115" s="81">
        <v>262</v>
      </c>
      <c r="H115" s="89" t="str">
        <f>IF(OR(B115="",G115=""),"",IFERROR(VLOOKUP(B115,'Coil Sheet at Plant'!$C:$J,8,FALSE),0)*G115/SUMIF(B:B,B115,G:G))</f>
        <v/>
      </c>
      <c r="I115" s="56" t="str">
        <f>IF(B115="","",IFERROR(VLOOKUP(B115,'Coil Sheet at Plant'!$C:$L,9,FALSE),""))</f>
        <v/>
      </c>
      <c r="J115" s="85" t="str">
        <f>IF(B115="","",IFERROR(VLOOKUP(B115,'Coil Sheet at Plant'!$C:$M,10,FALSE),""))</f>
        <v/>
      </c>
      <c r="K115" s="69" t="str">
        <f>IF(B115="","",SUMIF(B:B,B115,G:G))</f>
        <v/>
      </c>
      <c r="L115" s="70" t="str">
        <f>IF(B115="","",IFERROR(VLOOKUP(B115,'Coil Sheet at Plant'!$C:$I,7,FALSE),""))</f>
        <v/>
      </c>
      <c r="M115" s="71" t="str">
        <f>IF(OR(K115="",L115=""),"",IF(L115=0,"⚠ NO PARENT WIDTH",IF(K115&gt;L115,"⚠ BABY &gt; PARENT","✔ OK")))</f>
        <v/>
      </c>
      <c r="N115" s="71" t="str">
        <f>IF(D115="","",IF(COUNTIF(D$3:D115,D115)&gt;1,"⚠ DUPLICATE",""))</f>
        <v/>
      </c>
      <c r="O115" s="72" t="str">
        <f>IF(B115="","",SUMIF(B:B,B115,G:G)&amp;" / "&amp;IFERROR(VLOOKUP(B115,'Coil Sheet at Plant'!$C:$I,7,FALSE),"?")&amp;" mm")</f>
        <v/>
      </c>
    </row>
    <row r="116" spans="1:15">
      <c r="A116" s="36"/>
      <c r="B116" s="32"/>
      <c r="C116" s="39"/>
      <c r="D116" s="44" t="str">
        <f>IF(OR(B116="",C116=""),"",CONCATENATE(B116,"-",C116))</f>
        <v/>
      </c>
      <c r="E116" s="49" t="str">
        <f>IF(B116="","",IFERROR(VLOOKUP(B116,'Coil Sheet at Plant'!$C:$G,5,FALSE),"ID Not Found"))</f>
        <v/>
      </c>
      <c r="F116" s="50" t="str">
        <f>IF(B116="","",IFERROR(VLOOKUP(B116,'Coil Sheet at Plant'!$C:$H,6,FALSE),"ID Not Found"))</f>
        <v/>
      </c>
      <c r="G116" s="81">
        <v>263</v>
      </c>
      <c r="H116" s="89" t="str">
        <f>IF(OR(B116="",G116=""),"",IFERROR(VLOOKUP(B116,'Coil Sheet at Plant'!$C:$J,8,FALSE),0)*G116/SUMIF(B:B,B116,G:G))</f>
        <v/>
      </c>
      <c r="I116" s="56" t="str">
        <f>IF(B116="","",IFERROR(VLOOKUP(B116,'Coil Sheet at Plant'!$C:$L,9,FALSE),""))</f>
        <v/>
      </c>
      <c r="J116" s="85" t="str">
        <f>IF(B116="","",IFERROR(VLOOKUP(B116,'Coil Sheet at Plant'!$C:$M,10,FALSE),""))</f>
        <v/>
      </c>
      <c r="K116" s="69" t="str">
        <f>IF(B116="","",SUMIF(B:B,B116,G:G))</f>
        <v/>
      </c>
      <c r="L116" s="70" t="str">
        <f>IF(B116="","",IFERROR(VLOOKUP(B116,'Coil Sheet at Plant'!$C:$I,7,FALSE),""))</f>
        <v/>
      </c>
      <c r="M116" s="71" t="str">
        <f>IF(OR(K116="",L116=""),"",IF(L116=0,"⚠ NO PARENT WIDTH",IF(K116&gt;L116,"⚠ BABY &gt; PARENT","✔ OK")))</f>
        <v/>
      </c>
      <c r="N116" s="71" t="str">
        <f>IF(D116="","",IF(COUNTIF(D$3:D116,D116)&gt;1,"⚠ DUPLICATE",""))</f>
        <v/>
      </c>
      <c r="O116" s="72" t="str">
        <f>IF(B116="","",SUMIF(B:B,B116,G:G)&amp;" / "&amp;IFERROR(VLOOKUP(B116,'Coil Sheet at Plant'!$C:$I,7,FALSE),"?")&amp;" mm")</f>
        <v/>
      </c>
    </row>
    <row r="117" spans="1:15">
      <c r="A117" s="36"/>
      <c r="B117" s="32"/>
      <c r="C117" s="39"/>
      <c r="D117" s="44" t="str">
        <f>IF(OR(B117="",C117=""),"",CONCATENATE(B117,"-",C117))</f>
        <v/>
      </c>
      <c r="E117" s="49" t="str">
        <f>IF(B117="","",IFERROR(VLOOKUP(B117,'Coil Sheet at Plant'!$C:$G,5,FALSE),"ID Not Found"))</f>
        <v/>
      </c>
      <c r="F117" s="50" t="str">
        <f>IF(B117="","",IFERROR(VLOOKUP(B117,'Coil Sheet at Plant'!$C:$H,6,FALSE),"ID Not Found"))</f>
        <v/>
      </c>
      <c r="G117" s="81">
        <v>264</v>
      </c>
      <c r="H117" s="89" t="str">
        <f>IF(OR(B117="",G117=""),"",IFERROR(VLOOKUP(B117,'Coil Sheet at Plant'!$C:$J,8,FALSE),0)*G117/SUMIF(B:B,B117,G:G))</f>
        <v/>
      </c>
      <c r="I117" s="56" t="str">
        <f>IF(B117="","",IFERROR(VLOOKUP(B117,'Coil Sheet at Plant'!$C:$L,9,FALSE),""))</f>
        <v/>
      </c>
      <c r="J117" s="85" t="str">
        <f>IF(B117="","",IFERROR(VLOOKUP(B117,'Coil Sheet at Plant'!$C:$M,10,FALSE),""))</f>
        <v/>
      </c>
      <c r="K117" s="69" t="str">
        <f>IF(B117="","",SUMIF(B:B,B117,G:G))</f>
        <v/>
      </c>
      <c r="L117" s="70" t="str">
        <f>IF(B117="","",IFERROR(VLOOKUP(B117,'Coil Sheet at Plant'!$C:$I,7,FALSE),""))</f>
        <v/>
      </c>
      <c r="M117" s="71" t="str">
        <f>IF(OR(K117="",L117=""),"",IF(L117=0,"⚠ NO PARENT WIDTH",IF(K117&gt;L117,"⚠ BABY &gt; PARENT","✔ OK")))</f>
        <v/>
      </c>
      <c r="N117" s="71" t="str">
        <f>IF(D117="","",IF(COUNTIF(D$3:D117,D117)&gt;1,"⚠ DUPLICATE",""))</f>
        <v/>
      </c>
      <c r="O117" s="72" t="str">
        <f>IF(B117="","",SUMIF(B:B,B117,G:G)&amp;" / "&amp;IFERROR(VLOOKUP(B117,'Coil Sheet at Plant'!$C:$I,7,FALSE),"?")&amp;" mm")</f>
        <v/>
      </c>
    </row>
    <row r="118" spans="1:15">
      <c r="A118" s="36"/>
      <c r="B118" s="32"/>
      <c r="C118" s="39"/>
      <c r="D118" s="44" t="str">
        <f>IF(OR(B118="",C118=""),"",CONCATENATE(B118,"-",C118))</f>
        <v/>
      </c>
      <c r="E118" s="49" t="str">
        <f>IF(B118="","",IFERROR(VLOOKUP(B118,'Coil Sheet at Plant'!$C:$G,5,FALSE),"ID Not Found"))</f>
        <v/>
      </c>
      <c r="F118" s="50" t="str">
        <f>IF(B118="","",IFERROR(VLOOKUP(B118,'Coil Sheet at Plant'!$C:$H,6,FALSE),"ID Not Found"))</f>
        <v/>
      </c>
      <c r="G118" s="81">
        <v>265</v>
      </c>
      <c r="H118" s="89" t="str">
        <f>IF(OR(B118="",G118=""),"",IFERROR(VLOOKUP(B118,'Coil Sheet at Plant'!$C:$J,8,FALSE),0)*G118/SUMIF(B:B,B118,G:G))</f>
        <v/>
      </c>
      <c r="I118" s="56" t="str">
        <f>IF(B118="","",IFERROR(VLOOKUP(B118,'Coil Sheet at Plant'!$C:$L,9,FALSE),""))</f>
        <v/>
      </c>
      <c r="J118" s="85" t="str">
        <f>IF(B118="","",IFERROR(VLOOKUP(B118,'Coil Sheet at Plant'!$C:$M,10,FALSE),""))</f>
        <v/>
      </c>
      <c r="K118" s="69" t="str">
        <f>IF(B118="","",SUMIF(B:B,B118,G:G))</f>
        <v/>
      </c>
      <c r="L118" s="70" t="str">
        <f>IF(B118="","",IFERROR(VLOOKUP(B118,'Coil Sheet at Plant'!$C:$I,7,FALSE),""))</f>
        <v/>
      </c>
      <c r="M118" s="71" t="str">
        <f>IF(OR(K118="",L118=""),"",IF(L118=0,"⚠ NO PARENT WIDTH",IF(K118&gt;L118,"⚠ BABY &gt; PARENT","✔ OK")))</f>
        <v/>
      </c>
      <c r="N118" s="71" t="str">
        <f>IF(D118="","",IF(COUNTIF(D$3:D118,D118)&gt;1,"⚠ DUPLICATE",""))</f>
        <v/>
      </c>
      <c r="O118" s="72" t="str">
        <f>IF(B118="","",SUMIF(B:B,B118,G:G)&amp;" / "&amp;IFERROR(VLOOKUP(B118,'Coil Sheet at Plant'!$C:$I,7,FALSE),"?")&amp;" mm")</f>
        <v/>
      </c>
    </row>
    <row r="119" spans="1:15">
      <c r="A119" s="36"/>
      <c r="B119" s="32"/>
      <c r="C119" s="39"/>
      <c r="D119" s="44" t="str">
        <f>IF(OR(B119="",C119=""),"",CONCATENATE(B119,"-",C119))</f>
        <v/>
      </c>
      <c r="E119" s="49" t="str">
        <f>IF(B119="","",IFERROR(VLOOKUP(B119,'Coil Sheet at Plant'!$C:$G,5,FALSE),"ID Not Found"))</f>
        <v/>
      </c>
      <c r="F119" s="50" t="str">
        <f>IF(B119="","",IFERROR(VLOOKUP(B119,'Coil Sheet at Plant'!$C:$H,6,FALSE),"ID Not Found"))</f>
        <v/>
      </c>
      <c r="G119" s="81">
        <v>266</v>
      </c>
      <c r="H119" s="89" t="str">
        <f>IF(OR(B119="",G119=""),"",IFERROR(VLOOKUP(B119,'Coil Sheet at Plant'!$C:$J,8,FALSE),0)*G119/SUMIF(B:B,B119,G:G))</f>
        <v/>
      </c>
      <c r="I119" s="56" t="str">
        <f>IF(B119="","",IFERROR(VLOOKUP(B119,'Coil Sheet at Plant'!$C:$L,9,FALSE),""))</f>
        <v/>
      </c>
      <c r="J119" s="85" t="str">
        <f>IF(B119="","",IFERROR(VLOOKUP(B119,'Coil Sheet at Plant'!$C:$M,10,FALSE),""))</f>
        <v/>
      </c>
      <c r="K119" s="69" t="str">
        <f>IF(B119="","",SUMIF(B:B,B119,G:G))</f>
        <v/>
      </c>
      <c r="L119" s="70" t="str">
        <f>IF(B119="","",IFERROR(VLOOKUP(B119,'Coil Sheet at Plant'!$C:$I,7,FALSE),""))</f>
        <v/>
      </c>
      <c r="M119" s="71" t="str">
        <f>IF(OR(K119="",L119=""),"",IF(L119=0,"⚠ NO PARENT WIDTH",IF(K119&gt;L119,"⚠ BABY &gt; PARENT","✔ OK")))</f>
        <v/>
      </c>
      <c r="N119" s="71" t="str">
        <f>IF(D119="","",IF(COUNTIF(D$3:D119,D119)&gt;1,"⚠ DUPLICATE",""))</f>
        <v/>
      </c>
      <c r="O119" s="72" t="str">
        <f>IF(B119="","",SUMIF(B:B,B119,G:G)&amp;" / "&amp;IFERROR(VLOOKUP(B119,'Coil Sheet at Plant'!$C:$I,7,FALSE),"?")&amp;" mm")</f>
        <v/>
      </c>
    </row>
    <row r="120" spans="1:15">
      <c r="A120" s="36"/>
      <c r="B120" s="32"/>
      <c r="C120" s="39"/>
      <c r="D120" s="44" t="str">
        <f>IF(OR(B120="",C120=""),"",CONCATENATE(B120,"-",C120))</f>
        <v/>
      </c>
      <c r="E120" s="49" t="str">
        <f>IF(B120="","",IFERROR(VLOOKUP(B120,'Coil Sheet at Plant'!$C:$G,5,FALSE),"ID Not Found"))</f>
        <v/>
      </c>
      <c r="F120" s="50" t="str">
        <f>IF(B120="","",IFERROR(VLOOKUP(B120,'Coil Sheet at Plant'!$C:$H,6,FALSE),"ID Not Found"))</f>
        <v/>
      </c>
      <c r="G120" s="81">
        <v>267</v>
      </c>
      <c r="H120" s="89" t="str">
        <f>IF(OR(B120="",G120=""),"",IFERROR(VLOOKUP(B120,'Coil Sheet at Plant'!$C:$J,8,FALSE),0)*G120/SUMIF(B:B,B120,G:G))</f>
        <v/>
      </c>
      <c r="I120" s="56" t="str">
        <f>IF(B120="","",IFERROR(VLOOKUP(B120,'Coil Sheet at Plant'!$C:$L,9,FALSE),""))</f>
        <v/>
      </c>
      <c r="J120" s="85" t="str">
        <f>IF(B120="","",IFERROR(VLOOKUP(B120,'Coil Sheet at Plant'!$C:$M,10,FALSE),""))</f>
        <v/>
      </c>
      <c r="K120" s="69" t="str">
        <f>IF(B120="","",SUMIF(B:B,B120,G:G))</f>
        <v/>
      </c>
      <c r="L120" s="70" t="str">
        <f>IF(B120="","",IFERROR(VLOOKUP(B120,'Coil Sheet at Plant'!$C:$I,7,FALSE),""))</f>
        <v/>
      </c>
      <c r="M120" s="71" t="str">
        <f>IF(OR(K120="",L120=""),"",IF(L120=0,"⚠ NO PARENT WIDTH",IF(K120&gt;L120,"⚠ BABY &gt; PARENT","✔ OK")))</f>
        <v/>
      </c>
      <c r="N120" s="71" t="str">
        <f>IF(D120="","",IF(COUNTIF(D$3:D120,D120)&gt;1,"⚠ DUPLICATE",""))</f>
        <v/>
      </c>
      <c r="O120" s="72" t="str">
        <f>IF(B120="","",SUMIF(B:B,B120,G:G)&amp;" / "&amp;IFERROR(VLOOKUP(B120,'Coil Sheet at Plant'!$C:$I,7,FALSE),"?")&amp;" mm")</f>
        <v/>
      </c>
    </row>
    <row r="121" spans="1:15">
      <c r="A121" s="36"/>
      <c r="B121" s="32"/>
      <c r="C121" s="39"/>
      <c r="D121" s="44" t="str">
        <f>IF(OR(B121="",C121=""),"",CONCATENATE(B121,"-",C121))</f>
        <v/>
      </c>
      <c r="E121" s="49" t="str">
        <f>IF(B121="","",IFERROR(VLOOKUP(B121,'Coil Sheet at Plant'!$C:$G,5,FALSE),"ID Not Found"))</f>
        <v/>
      </c>
      <c r="F121" s="50" t="str">
        <f>IF(B121="","",IFERROR(VLOOKUP(B121,'Coil Sheet at Plant'!$C:$H,6,FALSE),"ID Not Found"))</f>
        <v/>
      </c>
      <c r="G121" s="81">
        <v>268</v>
      </c>
      <c r="H121" s="89" t="str">
        <f>IF(OR(B121="",G121=""),"",IFERROR(VLOOKUP(B121,'Coil Sheet at Plant'!$C:$J,8,FALSE),0)*G121/SUMIF(B:B,B121,G:G))</f>
        <v/>
      </c>
      <c r="I121" s="56" t="str">
        <f>IF(B121="","",IFERROR(VLOOKUP(B121,'Coil Sheet at Plant'!$C:$L,9,FALSE),""))</f>
        <v/>
      </c>
      <c r="J121" s="85" t="str">
        <f>IF(B121="","",IFERROR(VLOOKUP(B121,'Coil Sheet at Plant'!$C:$M,10,FALSE),""))</f>
        <v/>
      </c>
      <c r="K121" s="69" t="str">
        <f>IF(B121="","",SUMIF(B:B,B121,G:G))</f>
        <v/>
      </c>
      <c r="L121" s="70" t="str">
        <f>IF(B121="","",IFERROR(VLOOKUP(B121,'Coil Sheet at Plant'!$C:$I,7,FALSE),""))</f>
        <v/>
      </c>
      <c r="M121" s="71" t="str">
        <f>IF(OR(K121="",L121=""),"",IF(L121=0,"⚠ NO PARENT WIDTH",IF(K121&gt;L121,"⚠ BABY &gt; PARENT","✔ OK")))</f>
        <v/>
      </c>
      <c r="N121" s="71" t="str">
        <f>IF(D121="","",IF(COUNTIF(D$3:D121,D121)&gt;1,"⚠ DUPLICATE",""))</f>
        <v/>
      </c>
      <c r="O121" s="72" t="str">
        <f>IF(B121="","",SUMIF(B:B,B121,G:G)&amp;" / "&amp;IFERROR(VLOOKUP(B121,'Coil Sheet at Plant'!$C:$I,7,FALSE),"?")&amp;" mm")</f>
        <v/>
      </c>
    </row>
    <row r="122" spans="1:15">
      <c r="A122" s="36"/>
      <c r="B122" s="32"/>
      <c r="C122" s="39"/>
      <c r="D122" s="44" t="str">
        <f>IF(OR(B122="",C122=""),"",CONCATENATE(B122,"-",C122))</f>
        <v/>
      </c>
      <c r="E122" s="49" t="str">
        <f>IF(B122="","",IFERROR(VLOOKUP(B122,'Coil Sheet at Plant'!$C:$G,5,FALSE),"ID Not Found"))</f>
        <v/>
      </c>
      <c r="F122" s="50" t="str">
        <f>IF(B122="","",IFERROR(VLOOKUP(B122,'Coil Sheet at Plant'!$C:$H,6,FALSE),"ID Not Found"))</f>
        <v/>
      </c>
      <c r="G122" s="81">
        <v>269</v>
      </c>
      <c r="H122" s="89" t="str">
        <f>IF(OR(B122="",G122=""),"",IFERROR(VLOOKUP(B122,'Coil Sheet at Plant'!$C:$J,8,FALSE),0)*G122/SUMIF(B:B,B122,G:G))</f>
        <v/>
      </c>
      <c r="I122" s="56" t="str">
        <f>IF(B122="","",IFERROR(VLOOKUP(B122,'Coil Sheet at Plant'!$C:$L,9,FALSE),""))</f>
        <v/>
      </c>
      <c r="J122" s="85" t="str">
        <f>IF(B122="","",IFERROR(VLOOKUP(B122,'Coil Sheet at Plant'!$C:$M,10,FALSE),""))</f>
        <v/>
      </c>
      <c r="K122" s="69" t="str">
        <f>IF(B122="","",SUMIF(B:B,B122,G:G))</f>
        <v/>
      </c>
      <c r="L122" s="70" t="str">
        <f>IF(B122="","",IFERROR(VLOOKUP(B122,'Coil Sheet at Plant'!$C:$I,7,FALSE),""))</f>
        <v/>
      </c>
      <c r="M122" s="71" t="str">
        <f>IF(OR(K122="",L122=""),"",IF(L122=0,"⚠ NO PARENT WIDTH",IF(K122&gt;L122,"⚠ BABY &gt; PARENT","✔ OK")))</f>
        <v/>
      </c>
      <c r="N122" s="71" t="str">
        <f>IF(D122="","",IF(COUNTIF(D$3:D122,D122)&gt;1,"⚠ DUPLICATE",""))</f>
        <v/>
      </c>
      <c r="O122" s="72" t="str">
        <f>IF(B122="","",SUMIF(B:B,B122,G:G)&amp;" / "&amp;IFERROR(VLOOKUP(B122,'Coil Sheet at Plant'!$C:$I,7,FALSE),"?")&amp;" mm")</f>
        <v/>
      </c>
    </row>
    <row r="123" spans="1:15">
      <c r="A123" s="36"/>
      <c r="B123" s="32"/>
      <c r="C123" s="39"/>
      <c r="D123" s="44" t="str">
        <f>IF(OR(B123="",C123=""),"",CONCATENATE(B123,"-",C123))</f>
        <v/>
      </c>
      <c r="E123" s="49" t="str">
        <f>IF(B123="","",IFERROR(VLOOKUP(B123,'Coil Sheet at Plant'!$C:$G,5,FALSE),"ID Not Found"))</f>
        <v/>
      </c>
      <c r="F123" s="50" t="str">
        <f>IF(B123="","",IFERROR(VLOOKUP(B123,'Coil Sheet at Plant'!$C:$H,6,FALSE),"ID Not Found"))</f>
        <v/>
      </c>
      <c r="G123" s="81">
        <v>270</v>
      </c>
      <c r="H123" s="89" t="str">
        <f>IF(OR(B123="",G123=""),"",IFERROR(VLOOKUP(B123,'Coil Sheet at Plant'!$C:$J,8,FALSE),0)*G123/SUMIF(B:B,B123,G:G))</f>
        <v/>
      </c>
      <c r="I123" s="56" t="str">
        <f>IF(B123="","",IFERROR(VLOOKUP(B123,'Coil Sheet at Plant'!$C:$L,9,FALSE),""))</f>
        <v/>
      </c>
      <c r="J123" s="85" t="str">
        <f>IF(B123="","",IFERROR(VLOOKUP(B123,'Coil Sheet at Plant'!$C:$M,10,FALSE),""))</f>
        <v/>
      </c>
      <c r="K123" s="69" t="str">
        <f>IF(B123="","",SUMIF(B:B,B123,G:G))</f>
        <v/>
      </c>
      <c r="L123" s="70" t="str">
        <f>IF(B123="","",IFERROR(VLOOKUP(B123,'Coil Sheet at Plant'!$C:$I,7,FALSE),""))</f>
        <v/>
      </c>
      <c r="M123" s="71" t="str">
        <f>IF(OR(K123="",L123=""),"",IF(L123=0,"⚠ NO PARENT WIDTH",IF(K123&gt;L123,"⚠ BABY &gt; PARENT","✔ OK")))</f>
        <v/>
      </c>
      <c r="N123" s="71" t="str">
        <f>IF(D123="","",IF(COUNTIF(D$3:D123,D123)&gt;1,"⚠ DUPLICATE",""))</f>
        <v/>
      </c>
      <c r="O123" s="72" t="str">
        <f>IF(B123="","",SUMIF(B:B,B123,G:G)&amp;" / "&amp;IFERROR(VLOOKUP(B123,'Coil Sheet at Plant'!$C:$I,7,FALSE),"?")&amp;" mm")</f>
        <v/>
      </c>
    </row>
    <row r="124" spans="1:15">
      <c r="A124" s="36"/>
      <c r="B124" s="32"/>
      <c r="C124" s="39"/>
      <c r="D124" s="44" t="str">
        <f>IF(OR(B124="",C124=""),"",CONCATENATE(B124,"-",C124))</f>
        <v/>
      </c>
      <c r="E124" s="49" t="str">
        <f>IF(B124="","",IFERROR(VLOOKUP(B124,'Coil Sheet at Plant'!$C:$G,5,FALSE),"ID Not Found"))</f>
        <v/>
      </c>
      <c r="F124" s="50" t="str">
        <f>IF(B124="","",IFERROR(VLOOKUP(B124,'Coil Sheet at Plant'!$C:$H,6,FALSE),"ID Not Found"))</f>
        <v/>
      </c>
      <c r="G124" s="81">
        <v>271</v>
      </c>
      <c r="H124" s="89" t="str">
        <f>IF(OR(B124="",G124=""),"",IFERROR(VLOOKUP(B124,'Coil Sheet at Plant'!$C:$J,8,FALSE),0)*G124/SUMIF(B:B,B124,G:G))</f>
        <v/>
      </c>
      <c r="I124" s="56" t="str">
        <f>IF(B124="","",IFERROR(VLOOKUP(B124,'Coil Sheet at Plant'!$C:$L,9,FALSE),""))</f>
        <v/>
      </c>
      <c r="J124" s="85" t="str">
        <f>IF(B124="","",IFERROR(VLOOKUP(B124,'Coil Sheet at Plant'!$C:$M,10,FALSE),""))</f>
        <v/>
      </c>
      <c r="K124" s="69" t="str">
        <f>IF(B124="","",SUMIF(B:B,B124,G:G))</f>
        <v/>
      </c>
      <c r="L124" s="70" t="str">
        <f>IF(B124="","",IFERROR(VLOOKUP(B124,'Coil Sheet at Plant'!$C:$I,7,FALSE),""))</f>
        <v/>
      </c>
      <c r="M124" s="71" t="str">
        <f>IF(OR(K124="",L124=""),"",IF(L124=0,"⚠ NO PARENT WIDTH",IF(K124&gt;L124,"⚠ BABY &gt; PARENT","✔ OK")))</f>
        <v/>
      </c>
      <c r="N124" s="71" t="str">
        <f>IF(D124="","",IF(COUNTIF(D$3:D124,D124)&gt;1,"⚠ DUPLICATE",""))</f>
        <v/>
      </c>
      <c r="O124" s="72" t="str">
        <f>IF(B124="","",SUMIF(B:B,B124,G:G)&amp;" / "&amp;IFERROR(VLOOKUP(B124,'Coil Sheet at Plant'!$C:$I,7,FALSE),"?")&amp;" mm")</f>
        <v/>
      </c>
    </row>
    <row r="125" spans="1:15">
      <c r="A125" s="36"/>
      <c r="B125" s="32"/>
      <c r="C125" s="39"/>
      <c r="D125" s="44" t="str">
        <f>IF(OR(B125="",C125=""),"",CONCATENATE(B125,"-",C125))</f>
        <v/>
      </c>
      <c r="E125" s="49" t="str">
        <f>IF(B125="","",IFERROR(VLOOKUP(B125,'Coil Sheet at Plant'!$C:$G,5,FALSE),"ID Not Found"))</f>
        <v/>
      </c>
      <c r="F125" s="50" t="str">
        <f>IF(B125="","",IFERROR(VLOOKUP(B125,'Coil Sheet at Plant'!$C:$H,6,FALSE),"ID Not Found"))</f>
        <v/>
      </c>
      <c r="G125" s="81">
        <v>272</v>
      </c>
      <c r="H125" s="89" t="str">
        <f>IF(OR(B125="",G125=""),"",IFERROR(VLOOKUP(B125,'Coil Sheet at Plant'!$C:$J,8,FALSE),0)*G125/SUMIF(B:B,B125,G:G))</f>
        <v/>
      </c>
      <c r="I125" s="56" t="str">
        <f>IF(B125="","",IFERROR(VLOOKUP(B125,'Coil Sheet at Plant'!$C:$L,9,FALSE),""))</f>
        <v/>
      </c>
      <c r="J125" s="85" t="str">
        <f>IF(B125="","",IFERROR(VLOOKUP(B125,'Coil Sheet at Plant'!$C:$M,10,FALSE),""))</f>
        <v/>
      </c>
      <c r="K125" s="69" t="str">
        <f>IF(B125="","",SUMIF(B:B,B125,G:G))</f>
        <v/>
      </c>
      <c r="L125" s="70" t="str">
        <f>IF(B125="","",IFERROR(VLOOKUP(B125,'Coil Sheet at Plant'!$C:$I,7,FALSE),""))</f>
        <v/>
      </c>
      <c r="M125" s="71" t="str">
        <f>IF(OR(K125="",L125=""),"",IF(L125=0,"⚠ NO PARENT WIDTH",IF(K125&gt;L125,"⚠ BABY &gt; PARENT","✔ OK")))</f>
        <v/>
      </c>
      <c r="N125" s="71" t="str">
        <f>IF(D125="","",IF(COUNTIF(D$3:D125,D125)&gt;1,"⚠ DUPLICATE",""))</f>
        <v/>
      </c>
      <c r="O125" s="72" t="str">
        <f>IF(B125="","",SUMIF(B:B,B125,G:G)&amp;" / "&amp;IFERROR(VLOOKUP(B125,'Coil Sheet at Plant'!$C:$I,7,FALSE),"?")&amp;" mm")</f>
        <v/>
      </c>
    </row>
    <row r="126" spans="1:15">
      <c r="A126" s="36"/>
      <c r="B126" s="32"/>
      <c r="C126" s="39"/>
      <c r="D126" s="44" t="str">
        <f>IF(OR(B126="",C126=""),"",CONCATENATE(B126,"-",C126))</f>
        <v/>
      </c>
      <c r="E126" s="49" t="str">
        <f>IF(B126="","",IFERROR(VLOOKUP(B126,'Coil Sheet at Plant'!$C:$G,5,FALSE),"ID Not Found"))</f>
        <v/>
      </c>
      <c r="F126" s="50" t="str">
        <f>IF(B126="","",IFERROR(VLOOKUP(B126,'Coil Sheet at Plant'!$C:$H,6,FALSE),"ID Not Found"))</f>
        <v/>
      </c>
      <c r="G126" s="81">
        <v>273</v>
      </c>
      <c r="H126" s="89" t="str">
        <f>IF(OR(B126="",G126=""),"",IFERROR(VLOOKUP(B126,'Coil Sheet at Plant'!$C:$J,8,FALSE),0)*G126/SUMIF(B:B,B126,G:G))</f>
        <v/>
      </c>
      <c r="I126" s="56" t="str">
        <f>IF(B126="","",IFERROR(VLOOKUP(B126,'Coil Sheet at Plant'!$C:$L,9,FALSE),""))</f>
        <v/>
      </c>
      <c r="J126" s="85" t="str">
        <f>IF(B126="","",IFERROR(VLOOKUP(B126,'Coil Sheet at Plant'!$C:$M,10,FALSE),""))</f>
        <v/>
      </c>
      <c r="K126" s="69" t="str">
        <f>IF(B126="","",SUMIF(B:B,B126,G:G))</f>
        <v/>
      </c>
      <c r="L126" s="70" t="str">
        <f>IF(B126="","",IFERROR(VLOOKUP(B126,'Coil Sheet at Plant'!$C:$I,7,FALSE),""))</f>
        <v/>
      </c>
      <c r="M126" s="71" t="str">
        <f>IF(OR(K126="",L126=""),"",IF(L126=0,"⚠ NO PARENT WIDTH",IF(K126&gt;L126,"⚠ BABY &gt; PARENT","✔ OK")))</f>
        <v/>
      </c>
      <c r="N126" s="71" t="str">
        <f>IF(D126="","",IF(COUNTIF(D$3:D126,D126)&gt;1,"⚠ DUPLICATE",""))</f>
        <v/>
      </c>
      <c r="O126" s="72" t="str">
        <f>IF(B126="","",SUMIF(B:B,B126,G:G)&amp;" / "&amp;IFERROR(VLOOKUP(B126,'Coil Sheet at Plant'!$C:$I,7,FALSE),"?")&amp;" mm")</f>
        <v/>
      </c>
    </row>
    <row r="127" spans="1:15">
      <c r="A127" s="36"/>
      <c r="B127" s="32"/>
      <c r="C127" s="39"/>
      <c r="D127" s="44" t="str">
        <f>IF(OR(B127="",C127=""),"",CONCATENATE(B127,"-",C127))</f>
        <v/>
      </c>
      <c r="E127" s="49" t="str">
        <f>IF(B127="","",IFERROR(VLOOKUP(B127,'Coil Sheet at Plant'!$C:$G,5,FALSE),"ID Not Found"))</f>
        <v/>
      </c>
      <c r="F127" s="50" t="str">
        <f>IF(B127="","",IFERROR(VLOOKUP(B127,'Coil Sheet at Plant'!$C:$H,6,FALSE),"ID Not Found"))</f>
        <v/>
      </c>
      <c r="G127" s="81">
        <v>274</v>
      </c>
      <c r="H127" s="89" t="str">
        <f>IF(OR(B127="",G127=""),"",IFERROR(VLOOKUP(B127,'Coil Sheet at Plant'!$C:$J,8,FALSE),0)*G127/SUMIF(B:B,B127,G:G))</f>
        <v/>
      </c>
      <c r="I127" s="56" t="str">
        <f>IF(B127="","",IFERROR(VLOOKUP(B127,'Coil Sheet at Plant'!$C:$L,9,FALSE),""))</f>
        <v/>
      </c>
      <c r="J127" s="85" t="str">
        <f>IF(B127="","",IFERROR(VLOOKUP(B127,'Coil Sheet at Plant'!$C:$M,10,FALSE),""))</f>
        <v/>
      </c>
      <c r="K127" s="69" t="str">
        <f>IF(B127="","",SUMIF(B:B,B127,G:G))</f>
        <v/>
      </c>
      <c r="L127" s="70" t="str">
        <f>IF(B127="","",IFERROR(VLOOKUP(B127,'Coil Sheet at Plant'!$C:$I,7,FALSE),""))</f>
        <v/>
      </c>
      <c r="M127" s="71" t="str">
        <f>IF(OR(K127="",L127=""),"",IF(L127=0,"⚠ NO PARENT WIDTH",IF(K127&gt;L127,"⚠ BABY &gt; PARENT","✔ OK")))</f>
        <v/>
      </c>
      <c r="N127" s="71" t="str">
        <f>IF(D127="","",IF(COUNTIF(D$3:D127,D127)&gt;1,"⚠ DUPLICATE",""))</f>
        <v/>
      </c>
      <c r="O127" s="72" t="str">
        <f>IF(B127="","",SUMIF(B:B,B127,G:G)&amp;" / "&amp;IFERROR(VLOOKUP(B127,'Coil Sheet at Plant'!$C:$I,7,FALSE),"?")&amp;" mm")</f>
        <v/>
      </c>
    </row>
    <row r="128" spans="1:15">
      <c r="A128" s="36"/>
      <c r="B128" s="32"/>
      <c r="C128" s="39"/>
      <c r="D128" s="44" t="str">
        <f>IF(OR(B128="",C128=""),"",CONCATENATE(B128,"-",C128))</f>
        <v/>
      </c>
      <c r="E128" s="49" t="str">
        <f>IF(B128="","",IFERROR(VLOOKUP(B128,'Coil Sheet at Plant'!$C:$G,5,FALSE),"ID Not Found"))</f>
        <v/>
      </c>
      <c r="F128" s="50" t="str">
        <f>IF(B128="","",IFERROR(VLOOKUP(B128,'Coil Sheet at Plant'!$C:$H,6,FALSE),"ID Not Found"))</f>
        <v/>
      </c>
      <c r="G128" s="81">
        <v>275</v>
      </c>
      <c r="H128" s="89" t="str">
        <f>IF(OR(B128="",G128=""),"",IFERROR(VLOOKUP(B128,'Coil Sheet at Plant'!$C:$J,8,FALSE),0)*G128/SUMIF(B:B,B128,G:G))</f>
        <v/>
      </c>
      <c r="I128" s="56" t="str">
        <f>IF(B128="","",IFERROR(VLOOKUP(B128,'Coil Sheet at Plant'!$C:$L,9,FALSE),""))</f>
        <v/>
      </c>
      <c r="J128" s="85" t="str">
        <f>IF(B128="","",IFERROR(VLOOKUP(B128,'Coil Sheet at Plant'!$C:$M,10,FALSE),""))</f>
        <v/>
      </c>
      <c r="K128" s="69" t="str">
        <f>IF(B128="","",SUMIF(B:B,B128,G:G))</f>
        <v/>
      </c>
      <c r="L128" s="70" t="str">
        <f>IF(B128="","",IFERROR(VLOOKUP(B128,'Coil Sheet at Plant'!$C:$I,7,FALSE),""))</f>
        <v/>
      </c>
      <c r="M128" s="71" t="str">
        <f>IF(OR(K128="",L128=""),"",IF(L128=0,"⚠ NO PARENT WIDTH",IF(K128&gt;L128,"⚠ BABY &gt; PARENT","✔ OK")))</f>
        <v/>
      </c>
      <c r="N128" s="71" t="str">
        <f>IF(D128="","",IF(COUNTIF(D$3:D128,D128)&gt;1,"⚠ DUPLICATE",""))</f>
        <v/>
      </c>
      <c r="O128" s="72" t="str">
        <f>IF(B128="","",SUMIF(B:B,B128,G:G)&amp;" / "&amp;IFERROR(VLOOKUP(B128,'Coil Sheet at Plant'!$C:$I,7,FALSE),"?")&amp;" mm")</f>
        <v/>
      </c>
    </row>
    <row r="129" spans="1:15">
      <c r="A129" s="36"/>
      <c r="B129" s="32"/>
      <c r="C129" s="39"/>
      <c r="D129" s="44" t="str">
        <f>IF(OR(B129="",C129=""),"",CONCATENATE(B129,"-",C129))</f>
        <v/>
      </c>
      <c r="E129" s="49" t="str">
        <f>IF(B129="","",IFERROR(VLOOKUP(B129,'Coil Sheet at Plant'!$C:$G,5,FALSE),"ID Not Found"))</f>
        <v/>
      </c>
      <c r="F129" s="50" t="str">
        <f>IF(B129="","",IFERROR(VLOOKUP(B129,'Coil Sheet at Plant'!$C:$H,6,FALSE),"ID Not Found"))</f>
        <v/>
      </c>
      <c r="G129" s="81">
        <v>276</v>
      </c>
      <c r="H129" s="89" t="str">
        <f>IF(OR(B129="",G129=""),"",IFERROR(VLOOKUP(B129,'Coil Sheet at Plant'!$C:$J,8,FALSE),0)*G129/SUMIF(B:B,B129,G:G))</f>
        <v/>
      </c>
      <c r="I129" s="56" t="str">
        <f>IF(B129="","",IFERROR(VLOOKUP(B129,'Coil Sheet at Plant'!$C:$L,9,FALSE),""))</f>
        <v/>
      </c>
      <c r="J129" s="85" t="str">
        <f>IF(B129="","",IFERROR(VLOOKUP(B129,'Coil Sheet at Plant'!$C:$M,10,FALSE),""))</f>
        <v/>
      </c>
      <c r="K129" s="69" t="str">
        <f>IF(B129="","",SUMIF(B:B,B129,G:G))</f>
        <v/>
      </c>
      <c r="L129" s="70" t="str">
        <f>IF(B129="","",IFERROR(VLOOKUP(B129,'Coil Sheet at Plant'!$C:$I,7,FALSE),""))</f>
        <v/>
      </c>
      <c r="M129" s="71" t="str">
        <f>IF(OR(K129="",L129=""),"",IF(L129=0,"⚠ NO PARENT WIDTH",IF(K129&gt;L129,"⚠ BABY &gt; PARENT","✔ OK")))</f>
        <v/>
      </c>
      <c r="N129" s="71" t="str">
        <f>IF(D129="","",IF(COUNTIF(D$3:D129,D129)&gt;1,"⚠ DUPLICATE",""))</f>
        <v/>
      </c>
      <c r="O129" s="72" t="str">
        <f>IF(B129="","",SUMIF(B:B,B129,G:G)&amp;" / "&amp;IFERROR(VLOOKUP(B129,'Coil Sheet at Plant'!$C:$I,7,FALSE),"?")&amp;" mm")</f>
        <v/>
      </c>
    </row>
    <row r="130" spans="1:15">
      <c r="A130" s="36"/>
      <c r="B130" s="32"/>
      <c r="C130" s="39"/>
      <c r="D130" s="44" t="str">
        <f>IF(OR(B130="",C130=""),"",CONCATENATE(B130,"-",C130))</f>
        <v/>
      </c>
      <c r="E130" s="49" t="str">
        <f>IF(B130="","",IFERROR(VLOOKUP(B130,'Coil Sheet at Plant'!$C:$G,5,FALSE),"ID Not Found"))</f>
        <v/>
      </c>
      <c r="F130" s="50" t="str">
        <f>IF(B130="","",IFERROR(VLOOKUP(B130,'Coil Sheet at Plant'!$C:$H,6,FALSE),"ID Not Found"))</f>
        <v/>
      </c>
      <c r="G130" s="81">
        <v>277</v>
      </c>
      <c r="H130" s="89" t="str">
        <f>IF(OR(B130="",G130=""),"",IFERROR(VLOOKUP(B130,'Coil Sheet at Plant'!$C:$J,8,FALSE),0)*G130/SUMIF(B:B,B130,G:G))</f>
        <v/>
      </c>
      <c r="I130" s="56" t="str">
        <f>IF(B130="","",IFERROR(VLOOKUP(B130,'Coil Sheet at Plant'!$C:$L,9,FALSE),""))</f>
        <v/>
      </c>
      <c r="J130" s="85" t="str">
        <f>IF(B130="","",IFERROR(VLOOKUP(B130,'Coil Sheet at Plant'!$C:$M,10,FALSE),""))</f>
        <v/>
      </c>
      <c r="K130" s="69" t="str">
        <f>IF(B130="","",SUMIF(B:B,B130,G:G))</f>
        <v/>
      </c>
      <c r="L130" s="70" t="str">
        <f>IF(B130="","",IFERROR(VLOOKUP(B130,'Coil Sheet at Plant'!$C:$I,7,FALSE),""))</f>
        <v/>
      </c>
      <c r="M130" s="71" t="str">
        <f>IF(OR(K130="",L130=""),"",IF(L130=0,"⚠ NO PARENT WIDTH",IF(K130&gt;L130,"⚠ BABY &gt; PARENT","✔ OK")))</f>
        <v/>
      </c>
      <c r="N130" s="71" t="str">
        <f>IF(D130="","",IF(COUNTIF(D$3:D130,D130)&gt;1,"⚠ DUPLICATE",""))</f>
        <v/>
      </c>
      <c r="O130" s="72" t="str">
        <f>IF(B130="","",SUMIF(B:B,B130,G:G)&amp;" / "&amp;IFERROR(VLOOKUP(B130,'Coil Sheet at Plant'!$C:$I,7,FALSE),"?")&amp;" mm")</f>
        <v/>
      </c>
    </row>
    <row r="131" spans="1:15">
      <c r="A131" s="36"/>
      <c r="B131" s="32"/>
      <c r="C131" s="39"/>
      <c r="D131" s="44" t="str">
        <f>IF(OR(B131="",C131=""),"",CONCATENATE(B131,"-",C131))</f>
        <v/>
      </c>
      <c r="E131" s="49" t="str">
        <f>IF(B131="","",IFERROR(VLOOKUP(B131,'Coil Sheet at Plant'!$C:$G,5,FALSE),"ID Not Found"))</f>
        <v/>
      </c>
      <c r="F131" s="50" t="str">
        <f>IF(B131="","",IFERROR(VLOOKUP(B131,'Coil Sheet at Plant'!$C:$H,6,FALSE),"ID Not Found"))</f>
        <v/>
      </c>
      <c r="G131" s="81">
        <v>278</v>
      </c>
      <c r="H131" s="89" t="str">
        <f>IF(OR(B131="",G131=""),"",IFERROR(VLOOKUP(B131,'Coil Sheet at Plant'!$C:$J,8,FALSE),0)*G131/SUMIF(B:B,B131,G:G))</f>
        <v/>
      </c>
      <c r="I131" s="56" t="str">
        <f>IF(B131="","",IFERROR(VLOOKUP(B131,'Coil Sheet at Plant'!$C:$L,9,FALSE),""))</f>
        <v/>
      </c>
      <c r="J131" s="85" t="str">
        <f>IF(B131="","",IFERROR(VLOOKUP(B131,'Coil Sheet at Plant'!$C:$M,10,FALSE),""))</f>
        <v/>
      </c>
      <c r="K131" s="69" t="str">
        <f>IF(B131="","",SUMIF(B:B,B131,G:G))</f>
        <v/>
      </c>
      <c r="L131" s="70" t="str">
        <f>IF(B131="","",IFERROR(VLOOKUP(B131,'Coil Sheet at Plant'!$C:$I,7,FALSE),""))</f>
        <v/>
      </c>
      <c r="M131" s="71" t="str">
        <f>IF(OR(K131="",L131=""),"",IF(L131=0,"⚠ NO PARENT WIDTH",IF(K131&gt;L131,"⚠ BABY &gt; PARENT","✔ OK")))</f>
        <v/>
      </c>
      <c r="N131" s="71" t="str">
        <f>IF(D131="","",IF(COUNTIF(D$3:D131,D131)&gt;1,"⚠ DUPLICATE",""))</f>
        <v/>
      </c>
      <c r="O131" s="72" t="str">
        <f>IF(B131="","",SUMIF(B:B,B131,G:G)&amp;" / "&amp;IFERROR(VLOOKUP(B131,'Coil Sheet at Plant'!$C:$I,7,FALSE),"?")&amp;" mm")</f>
        <v/>
      </c>
    </row>
    <row r="132" spans="1:15">
      <c r="A132" s="36"/>
      <c r="B132" s="32"/>
      <c r="C132" s="39"/>
      <c r="D132" s="44" t="str">
        <f>IF(OR(B132="",C132=""),"",CONCATENATE(B132,"-",C132))</f>
        <v/>
      </c>
      <c r="E132" s="49" t="str">
        <f>IF(B132="","",IFERROR(VLOOKUP(B132,'Coil Sheet at Plant'!$C:$G,5,FALSE),"ID Not Found"))</f>
        <v/>
      </c>
      <c r="F132" s="50" t="str">
        <f>IF(B132="","",IFERROR(VLOOKUP(B132,'Coil Sheet at Plant'!$C:$H,6,FALSE),"ID Not Found"))</f>
        <v/>
      </c>
      <c r="G132" s="81">
        <v>279</v>
      </c>
      <c r="H132" s="89" t="str">
        <f>IF(OR(B132="",G132=""),"",IFERROR(VLOOKUP(B132,'Coil Sheet at Plant'!$C:$J,8,FALSE),0)*G132/SUMIF(B:B,B132,G:G))</f>
        <v/>
      </c>
      <c r="I132" s="56" t="str">
        <f>IF(B132="","",IFERROR(VLOOKUP(B132,'Coil Sheet at Plant'!$C:$L,9,FALSE),""))</f>
        <v/>
      </c>
      <c r="J132" s="85" t="str">
        <f>IF(B132="","",IFERROR(VLOOKUP(B132,'Coil Sheet at Plant'!$C:$M,10,FALSE),""))</f>
        <v/>
      </c>
      <c r="K132" s="69" t="str">
        <f>IF(B132="","",SUMIF(B:B,B132,G:G))</f>
        <v/>
      </c>
      <c r="L132" s="70" t="str">
        <f>IF(B132="","",IFERROR(VLOOKUP(B132,'Coil Sheet at Plant'!$C:$I,7,FALSE),""))</f>
        <v/>
      </c>
      <c r="M132" s="71" t="str">
        <f>IF(OR(K132="",L132=""),"",IF(L132=0,"⚠ NO PARENT WIDTH",IF(K132&gt;L132,"⚠ BABY &gt; PARENT","✔ OK")))</f>
        <v/>
      </c>
      <c r="N132" s="71" t="str">
        <f>IF(D132="","",IF(COUNTIF(D$3:D132,D132)&gt;1,"⚠ DUPLICATE",""))</f>
        <v/>
      </c>
      <c r="O132" s="72" t="str">
        <f>IF(B132="","",SUMIF(B:B,B132,G:G)&amp;" / "&amp;IFERROR(VLOOKUP(B132,'Coil Sheet at Plant'!$C:$I,7,FALSE),"?")&amp;" mm")</f>
        <v/>
      </c>
    </row>
    <row r="133" spans="1:15">
      <c r="A133" s="36"/>
      <c r="B133" s="32"/>
      <c r="C133" s="39"/>
      <c r="D133" s="44" t="str">
        <f>IF(OR(B133="",C133=""),"",CONCATENATE(B133,"-",C133))</f>
        <v/>
      </c>
      <c r="E133" s="49" t="str">
        <f>IF(B133="","",IFERROR(VLOOKUP(B133,'Coil Sheet at Plant'!$C:$G,5,FALSE),"ID Not Found"))</f>
        <v/>
      </c>
      <c r="F133" s="50" t="str">
        <f>IF(B133="","",IFERROR(VLOOKUP(B133,'Coil Sheet at Plant'!$C:$H,6,FALSE),"ID Not Found"))</f>
        <v/>
      </c>
      <c r="G133" s="81">
        <v>280</v>
      </c>
      <c r="H133" s="89" t="str">
        <f>IF(OR(B133="",G133=""),"",IFERROR(VLOOKUP(B133,'Coil Sheet at Plant'!$C:$J,8,FALSE),0)*G133/SUMIF(B:B,B133,G:G))</f>
        <v/>
      </c>
      <c r="I133" s="56" t="str">
        <f>IF(B133="","",IFERROR(VLOOKUP(B133,'Coil Sheet at Plant'!$C:$L,9,FALSE),""))</f>
        <v/>
      </c>
      <c r="J133" s="85" t="str">
        <f>IF(B133="","",IFERROR(VLOOKUP(B133,'Coil Sheet at Plant'!$C:$M,10,FALSE),""))</f>
        <v/>
      </c>
      <c r="K133" s="69" t="str">
        <f>IF(B133="","",SUMIF(B:B,B133,G:G))</f>
        <v/>
      </c>
      <c r="L133" s="70" t="str">
        <f>IF(B133="","",IFERROR(VLOOKUP(B133,'Coil Sheet at Plant'!$C:$I,7,FALSE),""))</f>
        <v/>
      </c>
      <c r="M133" s="71" t="str">
        <f>IF(OR(K133="",L133=""),"",IF(L133=0,"⚠ NO PARENT WIDTH",IF(K133&gt;L133,"⚠ BABY &gt; PARENT","✔ OK")))</f>
        <v/>
      </c>
      <c r="N133" s="71" t="str">
        <f>IF(D133="","",IF(COUNTIF(D$3:D133,D133)&gt;1,"⚠ DUPLICATE",""))</f>
        <v/>
      </c>
      <c r="O133" s="72" t="str">
        <f>IF(B133="","",SUMIF(B:B,B133,G:G)&amp;" / "&amp;IFERROR(VLOOKUP(B133,'Coil Sheet at Plant'!$C:$I,7,FALSE),"?")&amp;" mm")</f>
        <v/>
      </c>
    </row>
    <row r="134" spans="1:15">
      <c r="A134" s="36"/>
      <c r="B134" s="32"/>
      <c r="C134" s="39"/>
      <c r="D134" s="44" t="str">
        <f>IF(OR(B134="",C134=""),"",CONCATENATE(B134,"-",C134))</f>
        <v/>
      </c>
      <c r="E134" s="49" t="str">
        <f>IF(B134="","",IFERROR(VLOOKUP(B134,'Coil Sheet at Plant'!$C:$G,5,FALSE),"ID Not Found"))</f>
        <v/>
      </c>
      <c r="F134" s="50" t="str">
        <f>IF(B134="","",IFERROR(VLOOKUP(B134,'Coil Sheet at Plant'!$C:$H,6,FALSE),"ID Not Found"))</f>
        <v/>
      </c>
      <c r="G134" s="81">
        <v>281</v>
      </c>
      <c r="H134" s="89" t="str">
        <f>IF(OR(B134="",G134=""),"",IFERROR(VLOOKUP(B134,'Coil Sheet at Plant'!$C:$J,8,FALSE),0)*G134/SUMIF(B:B,B134,G:G))</f>
        <v/>
      </c>
      <c r="I134" s="56" t="str">
        <f>IF(B134="","",IFERROR(VLOOKUP(B134,'Coil Sheet at Plant'!$C:$L,9,FALSE),""))</f>
        <v/>
      </c>
      <c r="J134" s="85" t="str">
        <f>IF(B134="","",IFERROR(VLOOKUP(B134,'Coil Sheet at Plant'!$C:$M,10,FALSE),""))</f>
        <v/>
      </c>
      <c r="K134" s="69" t="str">
        <f>IF(B134="","",SUMIF(B:B,B134,G:G))</f>
        <v/>
      </c>
      <c r="L134" s="70" t="str">
        <f>IF(B134="","",IFERROR(VLOOKUP(B134,'Coil Sheet at Plant'!$C:$I,7,FALSE),""))</f>
        <v/>
      </c>
      <c r="M134" s="71" t="str">
        <f>IF(OR(K134="",L134=""),"",IF(L134=0,"⚠ NO PARENT WIDTH",IF(K134&gt;L134,"⚠ BABY &gt; PARENT","✔ OK")))</f>
        <v/>
      </c>
      <c r="N134" s="71" t="str">
        <f>IF(D134="","",IF(COUNTIF(D$3:D134,D134)&gt;1,"⚠ DUPLICATE",""))</f>
        <v/>
      </c>
      <c r="O134" s="72" t="str">
        <f>IF(B134="","",SUMIF(B:B,B134,G:G)&amp;" / "&amp;IFERROR(VLOOKUP(B134,'Coil Sheet at Plant'!$C:$I,7,FALSE),"?")&amp;" mm")</f>
        <v/>
      </c>
    </row>
    <row r="135" spans="1:15">
      <c r="A135" s="36"/>
      <c r="B135" s="32"/>
      <c r="C135" s="39"/>
      <c r="D135" s="44" t="str">
        <f>IF(OR(B135="",C135=""),"",CONCATENATE(B135,"-",C135))</f>
        <v/>
      </c>
      <c r="E135" s="49" t="str">
        <f>IF(B135="","",IFERROR(VLOOKUP(B135,'Coil Sheet at Plant'!$C:$G,5,FALSE),"ID Not Found"))</f>
        <v/>
      </c>
      <c r="F135" s="50" t="str">
        <f>IF(B135="","",IFERROR(VLOOKUP(B135,'Coil Sheet at Plant'!$C:$H,6,FALSE),"ID Not Found"))</f>
        <v/>
      </c>
      <c r="G135" s="81">
        <v>282</v>
      </c>
      <c r="H135" s="89" t="str">
        <f>IF(OR(B135="",G135=""),"",IFERROR(VLOOKUP(B135,'Coil Sheet at Plant'!$C:$J,8,FALSE),0)*G135/SUMIF(B:B,B135,G:G))</f>
        <v/>
      </c>
      <c r="I135" s="56" t="str">
        <f>IF(B135="","",IFERROR(VLOOKUP(B135,'Coil Sheet at Plant'!$C:$L,9,FALSE),""))</f>
        <v/>
      </c>
      <c r="J135" s="85" t="str">
        <f>IF(B135="","",IFERROR(VLOOKUP(B135,'Coil Sheet at Plant'!$C:$M,10,FALSE),""))</f>
        <v/>
      </c>
      <c r="K135" s="69" t="str">
        <f>IF(B135="","",SUMIF(B:B,B135,G:G))</f>
        <v/>
      </c>
      <c r="L135" s="70" t="str">
        <f>IF(B135="","",IFERROR(VLOOKUP(B135,'Coil Sheet at Plant'!$C:$I,7,FALSE),""))</f>
        <v/>
      </c>
      <c r="M135" s="71" t="str">
        <f>IF(OR(K135="",L135=""),"",IF(L135=0,"⚠ NO PARENT WIDTH",IF(K135&gt;L135,"⚠ BABY &gt; PARENT","✔ OK")))</f>
        <v/>
      </c>
      <c r="N135" s="71" t="str">
        <f>IF(D135="","",IF(COUNTIF(D$3:D135,D135)&gt;1,"⚠ DUPLICATE",""))</f>
        <v/>
      </c>
      <c r="O135" s="72" t="str">
        <f>IF(B135="","",SUMIF(B:B,B135,G:G)&amp;" / "&amp;IFERROR(VLOOKUP(B135,'Coil Sheet at Plant'!$C:$I,7,FALSE),"?")&amp;" mm")</f>
        <v/>
      </c>
    </row>
    <row r="136" spans="1:15">
      <c r="A136" s="36"/>
      <c r="B136" s="32"/>
      <c r="C136" s="39"/>
      <c r="D136" s="44" t="str">
        <f>IF(OR(B136="",C136=""),"",CONCATENATE(B136,"-",C136))</f>
        <v/>
      </c>
      <c r="E136" s="49" t="str">
        <f>IF(B136="","",IFERROR(VLOOKUP(B136,'Coil Sheet at Plant'!$C:$G,5,FALSE),"ID Not Found"))</f>
        <v/>
      </c>
      <c r="F136" s="50" t="str">
        <f>IF(B136="","",IFERROR(VLOOKUP(B136,'Coil Sheet at Plant'!$C:$H,6,FALSE),"ID Not Found"))</f>
        <v/>
      </c>
      <c r="G136" s="81">
        <v>283</v>
      </c>
      <c r="H136" s="89" t="str">
        <f>IF(OR(B136="",G136=""),"",IFERROR(VLOOKUP(B136,'Coil Sheet at Plant'!$C:$J,8,FALSE),0)*G136/SUMIF(B:B,B136,G:G))</f>
        <v/>
      </c>
      <c r="I136" s="56" t="str">
        <f>IF(B136="","",IFERROR(VLOOKUP(B136,'Coil Sheet at Plant'!$C:$L,9,FALSE),""))</f>
        <v/>
      </c>
      <c r="J136" s="85" t="str">
        <f>IF(B136="","",IFERROR(VLOOKUP(B136,'Coil Sheet at Plant'!$C:$M,10,FALSE),""))</f>
        <v/>
      </c>
      <c r="K136" s="69" t="str">
        <f>IF(B136="","",SUMIF(B:B,B136,G:G))</f>
        <v/>
      </c>
      <c r="L136" s="70" t="str">
        <f>IF(B136="","",IFERROR(VLOOKUP(B136,'Coil Sheet at Plant'!$C:$I,7,FALSE),""))</f>
        <v/>
      </c>
      <c r="M136" s="71" t="str">
        <f>IF(OR(K136="",L136=""),"",IF(L136=0,"⚠ NO PARENT WIDTH",IF(K136&gt;L136,"⚠ BABY &gt; PARENT","✔ OK")))</f>
        <v/>
      </c>
      <c r="N136" s="71" t="str">
        <f>IF(D136="","",IF(COUNTIF(D$3:D136,D136)&gt;1,"⚠ DUPLICATE",""))</f>
        <v/>
      </c>
      <c r="O136" s="72" t="str">
        <f>IF(B136="","",SUMIF(B:B,B136,G:G)&amp;" / "&amp;IFERROR(VLOOKUP(B136,'Coil Sheet at Plant'!$C:$I,7,FALSE),"?")&amp;" mm")</f>
        <v/>
      </c>
    </row>
    <row r="137" spans="1:15">
      <c r="A137" s="36"/>
      <c r="B137" s="32"/>
      <c r="C137" s="39"/>
      <c r="D137" s="44" t="str">
        <f>IF(OR(B137="",C137=""),"",CONCATENATE(B137,"-",C137))</f>
        <v/>
      </c>
      <c r="E137" s="49" t="str">
        <f>IF(B137="","",IFERROR(VLOOKUP(B137,'Coil Sheet at Plant'!$C:$G,5,FALSE),"ID Not Found"))</f>
        <v/>
      </c>
      <c r="F137" s="50" t="str">
        <f>IF(B137="","",IFERROR(VLOOKUP(B137,'Coil Sheet at Plant'!$C:$H,6,FALSE),"ID Not Found"))</f>
        <v/>
      </c>
      <c r="G137" s="81">
        <v>284</v>
      </c>
      <c r="H137" s="89" t="str">
        <f>IF(OR(B137="",G137=""),"",IFERROR(VLOOKUP(B137,'Coil Sheet at Plant'!$C:$J,8,FALSE),0)*G137/SUMIF(B:B,B137,G:G))</f>
        <v/>
      </c>
      <c r="I137" s="56" t="str">
        <f>IF(B137="","",IFERROR(VLOOKUP(B137,'Coil Sheet at Plant'!$C:$L,9,FALSE),""))</f>
        <v/>
      </c>
      <c r="J137" s="85" t="str">
        <f>IF(B137="","",IFERROR(VLOOKUP(B137,'Coil Sheet at Plant'!$C:$M,10,FALSE),""))</f>
        <v/>
      </c>
      <c r="K137" s="69" t="str">
        <f>IF(B137="","",SUMIF(B:B,B137,G:G))</f>
        <v/>
      </c>
      <c r="L137" s="70" t="str">
        <f>IF(B137="","",IFERROR(VLOOKUP(B137,'Coil Sheet at Plant'!$C:$I,7,FALSE),""))</f>
        <v/>
      </c>
      <c r="M137" s="71" t="str">
        <f>IF(OR(K137="",L137=""),"",IF(L137=0,"⚠ NO PARENT WIDTH",IF(K137&gt;L137,"⚠ BABY &gt; PARENT","✔ OK")))</f>
        <v/>
      </c>
      <c r="N137" s="71" t="str">
        <f>IF(D137="","",IF(COUNTIF(D$3:D137,D137)&gt;1,"⚠ DUPLICATE",""))</f>
        <v/>
      </c>
      <c r="O137" s="72" t="str">
        <f>IF(B137="","",SUMIF(B:B,B137,G:G)&amp;" / "&amp;IFERROR(VLOOKUP(B137,'Coil Sheet at Plant'!$C:$I,7,FALSE),"?")&amp;" mm")</f>
        <v/>
      </c>
    </row>
    <row r="138" spans="1:15">
      <c r="A138" s="36"/>
      <c r="B138" s="32"/>
      <c r="C138" s="39"/>
      <c r="D138" s="44" t="str">
        <f>IF(OR(B138="",C138=""),"",CONCATENATE(B138,"-",C138))</f>
        <v/>
      </c>
      <c r="E138" s="49" t="str">
        <f>IF(B138="","",IFERROR(VLOOKUP(B138,'Coil Sheet at Plant'!$C:$G,5,FALSE),"ID Not Found"))</f>
        <v/>
      </c>
      <c r="F138" s="50" t="str">
        <f>IF(B138="","",IFERROR(VLOOKUP(B138,'Coil Sheet at Plant'!$C:$H,6,FALSE),"ID Not Found"))</f>
        <v/>
      </c>
      <c r="G138" s="81">
        <v>285</v>
      </c>
      <c r="H138" s="89" t="str">
        <f>IF(OR(B138="",G138=""),"",IFERROR(VLOOKUP(B138,'Coil Sheet at Plant'!$C:$J,8,FALSE),0)*G138/SUMIF(B:B,B138,G:G))</f>
        <v/>
      </c>
      <c r="I138" s="56" t="str">
        <f>IF(B138="","",IFERROR(VLOOKUP(B138,'Coil Sheet at Plant'!$C:$L,9,FALSE),""))</f>
        <v/>
      </c>
      <c r="J138" s="85" t="str">
        <f>IF(B138="","",IFERROR(VLOOKUP(B138,'Coil Sheet at Plant'!$C:$M,10,FALSE),""))</f>
        <v/>
      </c>
      <c r="K138" s="69" t="str">
        <f>IF(B138="","",SUMIF(B:B,B138,G:G))</f>
        <v/>
      </c>
      <c r="L138" s="70" t="str">
        <f>IF(B138="","",IFERROR(VLOOKUP(B138,'Coil Sheet at Plant'!$C:$I,7,FALSE),""))</f>
        <v/>
      </c>
      <c r="M138" s="71" t="str">
        <f>IF(OR(K138="",L138=""),"",IF(L138=0,"⚠ NO PARENT WIDTH",IF(K138&gt;L138,"⚠ BABY &gt; PARENT","✔ OK")))</f>
        <v/>
      </c>
      <c r="N138" s="71" t="str">
        <f>IF(D138="","",IF(COUNTIF(D$3:D138,D138)&gt;1,"⚠ DUPLICATE",""))</f>
        <v/>
      </c>
      <c r="O138" s="72" t="str">
        <f>IF(B138="","",SUMIF(B:B,B138,G:G)&amp;" / "&amp;IFERROR(VLOOKUP(B138,'Coil Sheet at Plant'!$C:$I,7,FALSE),"?")&amp;" mm")</f>
        <v/>
      </c>
    </row>
    <row r="139" spans="1:15">
      <c r="A139" s="36"/>
      <c r="B139" s="32"/>
      <c r="C139" s="39"/>
      <c r="D139" s="44" t="str">
        <f>IF(OR(B139="",C139=""),"",CONCATENATE(B139,"-",C139))</f>
        <v/>
      </c>
      <c r="E139" s="49" t="str">
        <f>IF(B139="","",IFERROR(VLOOKUP(B139,'Coil Sheet at Plant'!$C:$G,5,FALSE),"ID Not Found"))</f>
        <v/>
      </c>
      <c r="F139" s="50" t="str">
        <f>IF(B139="","",IFERROR(VLOOKUP(B139,'Coil Sheet at Plant'!$C:$H,6,FALSE),"ID Not Found"))</f>
        <v/>
      </c>
      <c r="G139" s="81">
        <v>286</v>
      </c>
      <c r="H139" s="89" t="str">
        <f>IF(OR(B139="",G139=""),"",IFERROR(VLOOKUP(B139,'Coil Sheet at Plant'!$C:$J,8,FALSE),0)*G139/SUMIF(B:B,B139,G:G))</f>
        <v/>
      </c>
      <c r="I139" s="56" t="str">
        <f>IF(B139="","",IFERROR(VLOOKUP(B139,'Coil Sheet at Plant'!$C:$L,9,FALSE),""))</f>
        <v/>
      </c>
      <c r="J139" s="85" t="str">
        <f>IF(B139="","",IFERROR(VLOOKUP(B139,'Coil Sheet at Plant'!$C:$M,10,FALSE),""))</f>
        <v/>
      </c>
      <c r="K139" s="69" t="str">
        <f>IF(B139="","",SUMIF(B:B,B139,G:G))</f>
        <v/>
      </c>
      <c r="L139" s="70" t="str">
        <f>IF(B139="","",IFERROR(VLOOKUP(B139,'Coil Sheet at Plant'!$C:$I,7,FALSE),""))</f>
        <v/>
      </c>
      <c r="M139" s="71" t="str">
        <f>IF(OR(K139="",L139=""),"",IF(L139=0,"⚠ NO PARENT WIDTH",IF(K139&gt;L139,"⚠ BABY &gt; PARENT","✔ OK")))</f>
        <v/>
      </c>
      <c r="N139" s="71" t="str">
        <f>IF(D139="","",IF(COUNTIF(D$3:D139,D139)&gt;1,"⚠ DUPLICATE",""))</f>
        <v/>
      </c>
      <c r="O139" s="72" t="str">
        <f>IF(B139="","",SUMIF(B:B,B139,G:G)&amp;" / "&amp;IFERROR(VLOOKUP(B139,'Coil Sheet at Plant'!$C:$I,7,FALSE),"?")&amp;" mm")</f>
        <v/>
      </c>
    </row>
    <row r="140" spans="1:15">
      <c r="A140" s="36"/>
      <c r="B140" s="32"/>
      <c r="C140" s="39"/>
      <c r="D140" s="44" t="str">
        <f>IF(OR(B140="",C140=""),"",CONCATENATE(B140,"-",C140))</f>
        <v/>
      </c>
      <c r="E140" s="49" t="str">
        <f>IF(B140="","",IFERROR(VLOOKUP(B140,'Coil Sheet at Plant'!$C:$G,5,FALSE),"ID Not Found"))</f>
        <v/>
      </c>
      <c r="F140" s="50" t="str">
        <f>IF(B140="","",IFERROR(VLOOKUP(B140,'Coil Sheet at Plant'!$C:$H,6,FALSE),"ID Not Found"))</f>
        <v/>
      </c>
      <c r="G140" s="81">
        <v>287</v>
      </c>
      <c r="H140" s="89" t="str">
        <f>IF(OR(B140="",G140=""),"",IFERROR(VLOOKUP(B140,'Coil Sheet at Plant'!$C:$J,8,FALSE),0)*G140/SUMIF(B:B,B140,G:G))</f>
        <v/>
      </c>
      <c r="I140" s="56" t="str">
        <f>IF(B140="","",IFERROR(VLOOKUP(B140,'Coil Sheet at Plant'!$C:$L,9,FALSE),""))</f>
        <v/>
      </c>
      <c r="J140" s="85" t="str">
        <f>IF(B140="","",IFERROR(VLOOKUP(B140,'Coil Sheet at Plant'!$C:$M,10,FALSE),""))</f>
        <v/>
      </c>
      <c r="K140" s="69" t="str">
        <f>IF(B140="","",SUMIF(B:B,B140,G:G))</f>
        <v/>
      </c>
      <c r="L140" s="70" t="str">
        <f>IF(B140="","",IFERROR(VLOOKUP(B140,'Coil Sheet at Plant'!$C:$I,7,FALSE),""))</f>
        <v/>
      </c>
      <c r="M140" s="71" t="str">
        <f>IF(OR(K140="",L140=""),"",IF(L140=0,"⚠ NO PARENT WIDTH",IF(K140&gt;L140,"⚠ BABY &gt; PARENT","✔ OK")))</f>
        <v/>
      </c>
      <c r="N140" s="71" t="str">
        <f>IF(D140="","",IF(COUNTIF(D$3:D140,D140)&gt;1,"⚠ DUPLICATE",""))</f>
        <v/>
      </c>
      <c r="O140" s="72" t="str">
        <f>IF(B140="","",SUMIF(B:B,B140,G:G)&amp;" / "&amp;IFERROR(VLOOKUP(B140,'Coil Sheet at Plant'!$C:$I,7,FALSE),"?")&amp;" mm")</f>
        <v/>
      </c>
    </row>
    <row r="141" spans="1:15">
      <c r="A141" s="36"/>
      <c r="B141" s="32"/>
      <c r="C141" s="39"/>
      <c r="D141" s="44" t="str">
        <f>IF(OR(B141="",C141=""),"",CONCATENATE(B141,"-",C141))</f>
        <v/>
      </c>
      <c r="E141" s="49" t="str">
        <f>IF(B141="","",IFERROR(VLOOKUP(B141,'Coil Sheet at Plant'!$C:$G,5,FALSE),"ID Not Found"))</f>
        <v/>
      </c>
      <c r="F141" s="50" t="str">
        <f>IF(B141="","",IFERROR(VLOOKUP(B141,'Coil Sheet at Plant'!$C:$H,6,FALSE),"ID Not Found"))</f>
        <v/>
      </c>
      <c r="G141" s="81">
        <v>288</v>
      </c>
      <c r="H141" s="89" t="str">
        <f>IF(OR(B141="",G141=""),"",IFERROR(VLOOKUP(B141,'Coil Sheet at Plant'!$C:$J,8,FALSE),0)*G141/SUMIF(B:B,B141,G:G))</f>
        <v/>
      </c>
      <c r="I141" s="56" t="str">
        <f>IF(B141="","",IFERROR(VLOOKUP(B141,'Coil Sheet at Plant'!$C:$L,9,FALSE),""))</f>
        <v/>
      </c>
      <c r="J141" s="85" t="str">
        <f>IF(B141="","",IFERROR(VLOOKUP(B141,'Coil Sheet at Plant'!$C:$M,10,FALSE),""))</f>
        <v/>
      </c>
      <c r="K141" s="69" t="str">
        <f>IF(B141="","",SUMIF(B:B,B141,G:G))</f>
        <v/>
      </c>
      <c r="L141" s="70" t="str">
        <f>IF(B141="","",IFERROR(VLOOKUP(B141,'Coil Sheet at Plant'!$C:$I,7,FALSE),""))</f>
        <v/>
      </c>
      <c r="M141" s="71" t="str">
        <f>IF(OR(K141="",L141=""),"",IF(L141=0,"⚠ NO PARENT WIDTH",IF(K141&gt;L141,"⚠ BABY &gt; PARENT","✔ OK")))</f>
        <v/>
      </c>
      <c r="N141" s="71" t="str">
        <f>IF(D141="","",IF(COUNTIF(D$3:D141,D141)&gt;1,"⚠ DUPLICATE",""))</f>
        <v/>
      </c>
      <c r="O141" s="72" t="str">
        <f>IF(B141="","",SUMIF(B:B,B141,G:G)&amp;" / "&amp;IFERROR(VLOOKUP(B141,'Coil Sheet at Plant'!$C:$I,7,FALSE),"?")&amp;" mm")</f>
        <v/>
      </c>
    </row>
    <row r="142" spans="1:15">
      <c r="A142" s="36"/>
      <c r="B142" s="32"/>
      <c r="C142" s="39"/>
      <c r="D142" s="44" t="str">
        <f>IF(OR(B142="",C142=""),"",CONCATENATE(B142,"-",C142))</f>
        <v/>
      </c>
      <c r="E142" s="49" t="str">
        <f>IF(B142="","",IFERROR(VLOOKUP(B142,'Coil Sheet at Plant'!$C:$G,5,FALSE),"ID Not Found"))</f>
        <v/>
      </c>
      <c r="F142" s="50" t="str">
        <f>IF(B142="","",IFERROR(VLOOKUP(B142,'Coil Sheet at Plant'!$C:$H,6,FALSE),"ID Not Found"))</f>
        <v/>
      </c>
      <c r="G142" s="81">
        <v>289</v>
      </c>
      <c r="H142" s="89" t="str">
        <f>IF(OR(B142="",G142=""),"",IFERROR(VLOOKUP(B142,'Coil Sheet at Plant'!$C:$J,8,FALSE),0)*G142/SUMIF(B:B,B142,G:G))</f>
        <v/>
      </c>
      <c r="I142" s="56" t="str">
        <f>IF(B142="","",IFERROR(VLOOKUP(B142,'Coil Sheet at Plant'!$C:$L,9,FALSE),""))</f>
        <v/>
      </c>
      <c r="J142" s="85" t="str">
        <f>IF(B142="","",IFERROR(VLOOKUP(B142,'Coil Sheet at Plant'!$C:$M,10,FALSE),""))</f>
        <v/>
      </c>
      <c r="K142" s="69" t="str">
        <f>IF(B142="","",SUMIF(B:B,B142,G:G))</f>
        <v/>
      </c>
      <c r="L142" s="70" t="str">
        <f>IF(B142="","",IFERROR(VLOOKUP(B142,'Coil Sheet at Plant'!$C:$I,7,FALSE),""))</f>
        <v/>
      </c>
      <c r="M142" s="71" t="str">
        <f>IF(OR(K142="",L142=""),"",IF(L142=0,"⚠ NO PARENT WIDTH",IF(K142&gt;L142,"⚠ BABY &gt; PARENT","✔ OK")))</f>
        <v/>
      </c>
      <c r="N142" s="71" t="str">
        <f>IF(D142="","",IF(COUNTIF(D$3:D142,D142)&gt;1,"⚠ DUPLICATE",""))</f>
        <v/>
      </c>
      <c r="O142" s="72" t="str">
        <f>IF(B142="","",SUMIF(B:B,B142,G:G)&amp;" / "&amp;IFERROR(VLOOKUP(B142,'Coil Sheet at Plant'!$C:$I,7,FALSE),"?")&amp;" mm")</f>
        <v/>
      </c>
    </row>
    <row r="143" spans="1:15">
      <c r="A143" s="36"/>
      <c r="B143" s="32"/>
      <c r="C143" s="39"/>
      <c r="D143" s="44" t="str">
        <f>IF(OR(B143="",C143=""),"",CONCATENATE(B143,"-",C143))</f>
        <v/>
      </c>
      <c r="E143" s="49" t="str">
        <f>IF(B143="","",IFERROR(VLOOKUP(B143,'Coil Sheet at Plant'!$C:$G,5,FALSE),"ID Not Found"))</f>
        <v/>
      </c>
      <c r="F143" s="50" t="str">
        <f>IF(B143="","",IFERROR(VLOOKUP(B143,'Coil Sheet at Plant'!$C:$H,6,FALSE),"ID Not Found"))</f>
        <v/>
      </c>
      <c r="G143" s="81">
        <v>290</v>
      </c>
      <c r="H143" s="89" t="str">
        <f>IF(OR(B143="",G143=""),"",IFERROR(VLOOKUP(B143,'Coil Sheet at Plant'!$C:$J,8,FALSE),0)*G143/SUMIF(B:B,B143,G:G))</f>
        <v/>
      </c>
      <c r="I143" s="56" t="str">
        <f>IF(B143="","",IFERROR(VLOOKUP(B143,'Coil Sheet at Plant'!$C:$L,9,FALSE),""))</f>
        <v/>
      </c>
      <c r="J143" s="85" t="str">
        <f>IF(B143="","",IFERROR(VLOOKUP(B143,'Coil Sheet at Plant'!$C:$M,10,FALSE),""))</f>
        <v/>
      </c>
      <c r="K143" s="69" t="str">
        <f>IF(B143="","",SUMIF(B:B,B143,G:G))</f>
        <v/>
      </c>
      <c r="L143" s="70" t="str">
        <f>IF(B143="","",IFERROR(VLOOKUP(B143,'Coil Sheet at Plant'!$C:$I,7,FALSE),""))</f>
        <v/>
      </c>
      <c r="M143" s="71" t="str">
        <f>IF(OR(K143="",L143=""),"",IF(L143=0,"⚠ NO PARENT WIDTH",IF(K143&gt;L143,"⚠ BABY &gt; PARENT","✔ OK")))</f>
        <v/>
      </c>
      <c r="N143" s="71" t="str">
        <f>IF(D143="","",IF(COUNTIF(D$3:D143,D143)&gt;1,"⚠ DUPLICATE",""))</f>
        <v/>
      </c>
      <c r="O143" s="72" t="str">
        <f>IF(B143="","",SUMIF(B:B,B143,G:G)&amp;" / "&amp;IFERROR(VLOOKUP(B143,'Coil Sheet at Plant'!$C:$I,7,FALSE),"?")&amp;" mm")</f>
        <v/>
      </c>
    </row>
    <row r="144" spans="1:15">
      <c r="A144" s="36"/>
      <c r="B144" s="32"/>
      <c r="C144" s="39"/>
      <c r="D144" s="44" t="str">
        <f>IF(OR(B144="",C144=""),"",CONCATENATE(B144,"-",C144))</f>
        <v/>
      </c>
      <c r="E144" s="49" t="str">
        <f>IF(B144="","",IFERROR(VLOOKUP(B144,'Coil Sheet at Plant'!$C:$G,5,FALSE),"ID Not Found"))</f>
        <v/>
      </c>
      <c r="F144" s="50" t="str">
        <f>IF(B144="","",IFERROR(VLOOKUP(B144,'Coil Sheet at Plant'!$C:$H,6,FALSE),"ID Not Found"))</f>
        <v/>
      </c>
      <c r="G144" s="81">
        <v>291</v>
      </c>
      <c r="H144" s="89" t="str">
        <f>IF(OR(B144="",G144=""),"",IFERROR(VLOOKUP(B144,'Coil Sheet at Plant'!$C:$J,8,FALSE),0)*G144/SUMIF(B:B,B144,G:G))</f>
        <v/>
      </c>
      <c r="I144" s="56" t="str">
        <f>IF(B144="","",IFERROR(VLOOKUP(B144,'Coil Sheet at Plant'!$C:$L,9,FALSE),""))</f>
        <v/>
      </c>
      <c r="J144" s="85" t="str">
        <f>IF(B144="","",IFERROR(VLOOKUP(B144,'Coil Sheet at Plant'!$C:$M,10,FALSE),""))</f>
        <v/>
      </c>
      <c r="K144" s="69" t="str">
        <f>IF(B144="","",SUMIF(B:B,B144,G:G))</f>
        <v/>
      </c>
      <c r="L144" s="70" t="str">
        <f>IF(B144="","",IFERROR(VLOOKUP(B144,'Coil Sheet at Plant'!$C:$I,7,FALSE),""))</f>
        <v/>
      </c>
      <c r="M144" s="71" t="str">
        <f>IF(OR(K144="",L144=""),"",IF(L144=0,"⚠ NO PARENT WIDTH",IF(K144&gt;L144,"⚠ BABY &gt; PARENT","✔ OK")))</f>
        <v/>
      </c>
      <c r="N144" s="71" t="str">
        <f>IF(D144="","",IF(COUNTIF(D$3:D144,D144)&gt;1,"⚠ DUPLICATE",""))</f>
        <v/>
      </c>
      <c r="O144" s="72" t="str">
        <f>IF(B144="","",SUMIF(B:B,B144,G:G)&amp;" / "&amp;IFERROR(VLOOKUP(B144,'Coil Sheet at Plant'!$C:$I,7,FALSE),"?")&amp;" mm")</f>
        <v/>
      </c>
    </row>
    <row r="145" spans="1:15">
      <c r="A145" s="36"/>
      <c r="B145" s="32"/>
      <c r="C145" s="39"/>
      <c r="D145" s="44" t="str">
        <f>IF(OR(B145="",C145=""),"",CONCATENATE(B145,"-",C145))</f>
        <v/>
      </c>
      <c r="E145" s="49" t="str">
        <f>IF(B145="","",IFERROR(VLOOKUP(B145,'Coil Sheet at Plant'!$C:$G,5,FALSE),"ID Not Found"))</f>
        <v/>
      </c>
      <c r="F145" s="50" t="str">
        <f>IF(B145="","",IFERROR(VLOOKUP(B145,'Coil Sheet at Plant'!$C:$H,6,FALSE),"ID Not Found"))</f>
        <v/>
      </c>
      <c r="G145" s="81">
        <v>292</v>
      </c>
      <c r="H145" s="89" t="str">
        <f>IF(OR(B145="",G145=""),"",IFERROR(VLOOKUP(B145,'Coil Sheet at Plant'!$C:$J,8,FALSE),0)*G145/SUMIF(B:B,B145,G:G))</f>
        <v/>
      </c>
      <c r="I145" s="56" t="str">
        <f>IF(B145="","",IFERROR(VLOOKUP(B145,'Coil Sheet at Plant'!$C:$L,9,FALSE),""))</f>
        <v/>
      </c>
      <c r="J145" s="85" t="str">
        <f>IF(B145="","",IFERROR(VLOOKUP(B145,'Coil Sheet at Plant'!$C:$M,10,FALSE),""))</f>
        <v/>
      </c>
      <c r="K145" s="69" t="str">
        <f>IF(B145="","",SUMIF(B:B,B145,G:G))</f>
        <v/>
      </c>
      <c r="L145" s="70" t="str">
        <f>IF(B145="","",IFERROR(VLOOKUP(B145,'Coil Sheet at Plant'!$C:$I,7,FALSE),""))</f>
        <v/>
      </c>
      <c r="M145" s="71" t="str">
        <f>IF(OR(K145="",L145=""),"",IF(L145=0,"⚠ NO PARENT WIDTH",IF(K145&gt;L145,"⚠ BABY &gt; PARENT","✔ OK")))</f>
        <v/>
      </c>
      <c r="N145" s="71" t="str">
        <f>IF(D145="","",IF(COUNTIF(D$3:D145,D145)&gt;1,"⚠ DUPLICATE",""))</f>
        <v/>
      </c>
      <c r="O145" s="72" t="str">
        <f>IF(B145="","",SUMIF(B:B,B145,G:G)&amp;" / "&amp;IFERROR(VLOOKUP(B145,'Coil Sheet at Plant'!$C:$I,7,FALSE),"?")&amp;" mm")</f>
        <v/>
      </c>
    </row>
    <row r="146" spans="1:15">
      <c r="A146" s="36"/>
      <c r="B146" s="32"/>
      <c r="C146" s="39"/>
      <c r="D146" s="44" t="str">
        <f>IF(OR(B146="",C146=""),"",CONCATENATE(B146,"-",C146))</f>
        <v/>
      </c>
      <c r="E146" s="49" t="str">
        <f>IF(B146="","",IFERROR(VLOOKUP(B146,'Coil Sheet at Plant'!$C:$G,5,FALSE),"ID Not Found"))</f>
        <v/>
      </c>
      <c r="F146" s="50" t="str">
        <f>IF(B146="","",IFERROR(VLOOKUP(B146,'Coil Sheet at Plant'!$C:$H,6,FALSE),"ID Not Found"))</f>
        <v/>
      </c>
      <c r="G146" s="81">
        <v>293</v>
      </c>
      <c r="H146" s="89" t="str">
        <f>IF(OR(B146="",G146=""),"",IFERROR(VLOOKUP(B146,'Coil Sheet at Plant'!$C:$J,8,FALSE),0)*G146/SUMIF(B:B,B146,G:G))</f>
        <v/>
      </c>
      <c r="I146" s="56" t="str">
        <f>IF(B146="","",IFERROR(VLOOKUP(B146,'Coil Sheet at Plant'!$C:$L,9,FALSE),""))</f>
        <v/>
      </c>
      <c r="J146" s="85" t="str">
        <f>IF(B146="","",IFERROR(VLOOKUP(B146,'Coil Sheet at Plant'!$C:$M,10,FALSE),""))</f>
        <v/>
      </c>
      <c r="K146" s="69" t="str">
        <f>IF(B146="","",SUMIF(B:B,B146,G:G))</f>
        <v/>
      </c>
      <c r="L146" s="70" t="str">
        <f>IF(B146="","",IFERROR(VLOOKUP(B146,'Coil Sheet at Plant'!$C:$I,7,FALSE),""))</f>
        <v/>
      </c>
      <c r="M146" s="71" t="str">
        <f>IF(OR(K146="",L146=""),"",IF(L146=0,"⚠ NO PARENT WIDTH",IF(K146&gt;L146,"⚠ BABY &gt; PARENT","✔ OK")))</f>
        <v/>
      </c>
      <c r="N146" s="71" t="str">
        <f>IF(D146="","",IF(COUNTIF(D$3:D146,D146)&gt;1,"⚠ DUPLICATE",""))</f>
        <v/>
      </c>
      <c r="O146" s="72" t="str">
        <f>IF(B146="","",SUMIF(B:B,B146,G:G)&amp;" / "&amp;IFERROR(VLOOKUP(B146,'Coil Sheet at Plant'!$C:$I,7,FALSE),"?")&amp;" mm")</f>
        <v/>
      </c>
    </row>
    <row r="147" spans="1:15">
      <c r="A147" s="36"/>
      <c r="B147" s="32"/>
      <c r="C147" s="39"/>
      <c r="D147" s="44" t="str">
        <f>IF(OR(B147="",C147=""),"",CONCATENATE(B147,"-",C147))</f>
        <v/>
      </c>
      <c r="E147" s="49" t="str">
        <f>IF(B147="","",IFERROR(VLOOKUP(B147,'Coil Sheet at Plant'!$C:$G,5,FALSE),"ID Not Found"))</f>
        <v/>
      </c>
      <c r="F147" s="50" t="str">
        <f>IF(B147="","",IFERROR(VLOOKUP(B147,'Coil Sheet at Plant'!$C:$H,6,FALSE),"ID Not Found"))</f>
        <v/>
      </c>
      <c r="G147" s="81">
        <v>294</v>
      </c>
      <c r="H147" s="89" t="str">
        <f>IF(OR(B147="",G147=""),"",IFERROR(VLOOKUP(B147,'Coil Sheet at Plant'!$C:$J,8,FALSE),0)*G147/SUMIF(B:B,B147,G:G))</f>
        <v/>
      </c>
      <c r="I147" s="56" t="str">
        <f>IF(B147="","",IFERROR(VLOOKUP(B147,'Coil Sheet at Plant'!$C:$L,9,FALSE),""))</f>
        <v/>
      </c>
      <c r="J147" s="85" t="str">
        <f>IF(B147="","",IFERROR(VLOOKUP(B147,'Coil Sheet at Plant'!$C:$M,10,FALSE),""))</f>
        <v/>
      </c>
      <c r="K147" s="69" t="str">
        <f>IF(B147="","",SUMIF(B:B,B147,G:G))</f>
        <v/>
      </c>
      <c r="L147" s="70" t="str">
        <f>IF(B147="","",IFERROR(VLOOKUP(B147,'Coil Sheet at Plant'!$C:$I,7,FALSE),""))</f>
        <v/>
      </c>
      <c r="M147" s="71" t="str">
        <f>IF(OR(K147="",L147=""),"",IF(L147=0,"⚠ NO PARENT WIDTH",IF(K147&gt;L147,"⚠ BABY &gt; PARENT","✔ OK")))</f>
        <v/>
      </c>
      <c r="N147" s="71" t="str">
        <f>IF(D147="","",IF(COUNTIF(D$3:D147,D147)&gt;1,"⚠ DUPLICATE",""))</f>
        <v/>
      </c>
      <c r="O147" s="72" t="str">
        <f>IF(B147="","",SUMIF(B:B,B147,G:G)&amp;" / "&amp;IFERROR(VLOOKUP(B147,'Coil Sheet at Plant'!$C:$I,7,FALSE),"?")&amp;" mm")</f>
        <v/>
      </c>
    </row>
    <row r="148" spans="1:15">
      <c r="A148" s="36"/>
      <c r="B148" s="32"/>
      <c r="C148" s="39"/>
      <c r="D148" s="44" t="str">
        <f>IF(OR(B148="",C148=""),"",CONCATENATE(B148,"-",C148))</f>
        <v/>
      </c>
      <c r="E148" s="49" t="str">
        <f>IF(B148="","",IFERROR(VLOOKUP(B148,'Coil Sheet at Plant'!$C:$G,5,FALSE),"ID Not Found"))</f>
        <v/>
      </c>
      <c r="F148" s="50" t="str">
        <f>IF(B148="","",IFERROR(VLOOKUP(B148,'Coil Sheet at Plant'!$C:$H,6,FALSE),"ID Not Found"))</f>
        <v/>
      </c>
      <c r="G148" s="81">
        <v>295</v>
      </c>
      <c r="H148" s="89" t="str">
        <f>IF(OR(B148="",G148=""),"",IFERROR(VLOOKUP(B148,'Coil Sheet at Plant'!$C:$J,8,FALSE),0)*G148/SUMIF(B:B,B148,G:G))</f>
        <v/>
      </c>
      <c r="I148" s="56" t="str">
        <f>IF(B148="","",IFERROR(VLOOKUP(B148,'Coil Sheet at Plant'!$C:$L,9,FALSE),""))</f>
        <v/>
      </c>
      <c r="J148" s="85" t="str">
        <f>IF(B148="","",IFERROR(VLOOKUP(B148,'Coil Sheet at Plant'!$C:$M,10,FALSE),""))</f>
        <v/>
      </c>
      <c r="K148" s="69" t="str">
        <f>IF(B148="","",SUMIF(B:B,B148,G:G))</f>
        <v/>
      </c>
      <c r="L148" s="70" t="str">
        <f>IF(B148="","",IFERROR(VLOOKUP(B148,'Coil Sheet at Plant'!$C:$I,7,FALSE),""))</f>
        <v/>
      </c>
      <c r="M148" s="71" t="str">
        <f>IF(OR(K148="",L148=""),"",IF(L148=0,"⚠ NO PARENT WIDTH",IF(K148&gt;L148,"⚠ BABY &gt; PARENT","✔ OK")))</f>
        <v/>
      </c>
      <c r="N148" s="71" t="str">
        <f>IF(D148="","",IF(COUNTIF(D$3:D148,D148)&gt;1,"⚠ DUPLICATE",""))</f>
        <v/>
      </c>
      <c r="O148" s="72" t="str">
        <f>IF(B148="","",SUMIF(B:B,B148,G:G)&amp;" / "&amp;IFERROR(VLOOKUP(B148,'Coil Sheet at Plant'!$C:$I,7,FALSE),"?")&amp;" mm")</f>
        <v/>
      </c>
    </row>
    <row r="149" spans="1:15">
      <c r="A149" s="36"/>
      <c r="B149" s="32"/>
      <c r="C149" s="39"/>
      <c r="D149" s="44" t="str">
        <f>IF(OR(B149="",C149=""),"",CONCATENATE(B149,"-",C149))</f>
        <v/>
      </c>
      <c r="E149" s="49" t="str">
        <f>IF(B149="","",IFERROR(VLOOKUP(B149,'Coil Sheet at Plant'!$C:$G,5,FALSE),"ID Not Found"))</f>
        <v/>
      </c>
      <c r="F149" s="50" t="str">
        <f>IF(B149="","",IFERROR(VLOOKUP(B149,'Coil Sheet at Plant'!$C:$H,6,FALSE),"ID Not Found"))</f>
        <v/>
      </c>
      <c r="G149" s="81">
        <v>296</v>
      </c>
      <c r="H149" s="89" t="str">
        <f>IF(OR(B149="",G149=""),"",IFERROR(VLOOKUP(B149,'Coil Sheet at Plant'!$C:$J,8,FALSE),0)*G149/SUMIF(B:B,B149,G:G))</f>
        <v/>
      </c>
      <c r="I149" s="56" t="str">
        <f>IF(B149="","",IFERROR(VLOOKUP(B149,'Coil Sheet at Plant'!$C:$L,9,FALSE),""))</f>
        <v/>
      </c>
      <c r="J149" s="85" t="str">
        <f>IF(B149="","",IFERROR(VLOOKUP(B149,'Coil Sheet at Plant'!$C:$M,10,FALSE),""))</f>
        <v/>
      </c>
      <c r="K149" s="69" t="str">
        <f>IF(B149="","",SUMIF(B:B,B149,G:G))</f>
        <v/>
      </c>
      <c r="L149" s="70" t="str">
        <f>IF(B149="","",IFERROR(VLOOKUP(B149,'Coil Sheet at Plant'!$C:$I,7,FALSE),""))</f>
        <v/>
      </c>
      <c r="M149" s="71" t="str">
        <f>IF(OR(K149="",L149=""),"",IF(L149=0,"⚠ NO PARENT WIDTH",IF(K149&gt;L149,"⚠ BABY &gt; PARENT","✔ OK")))</f>
        <v/>
      </c>
      <c r="N149" s="71" t="str">
        <f>IF(D149="","",IF(COUNTIF(D$3:D149,D149)&gt;1,"⚠ DUPLICATE",""))</f>
        <v/>
      </c>
      <c r="O149" s="72" t="str">
        <f>IF(B149="","",SUMIF(B:B,B149,G:G)&amp;" / "&amp;IFERROR(VLOOKUP(B149,'Coil Sheet at Plant'!$C:$I,7,FALSE),"?")&amp;" mm")</f>
        <v/>
      </c>
    </row>
    <row r="150" spans="1:15">
      <c r="A150" s="36"/>
      <c r="B150" s="32"/>
      <c r="C150" s="39"/>
      <c r="D150" s="44" t="str">
        <f>IF(OR(B150="",C150=""),"",CONCATENATE(B150,"-",C150))</f>
        <v/>
      </c>
      <c r="E150" s="49" t="str">
        <f>IF(B150="","",IFERROR(VLOOKUP(B150,'Coil Sheet at Plant'!$C:$G,5,FALSE),"ID Not Found"))</f>
        <v/>
      </c>
      <c r="F150" s="50" t="str">
        <f>IF(B150="","",IFERROR(VLOOKUP(B150,'Coil Sheet at Plant'!$C:$H,6,FALSE),"ID Not Found"))</f>
        <v/>
      </c>
      <c r="G150" s="81">
        <v>297</v>
      </c>
      <c r="H150" s="89" t="str">
        <f>IF(OR(B150="",G150=""),"",IFERROR(VLOOKUP(B150,'Coil Sheet at Plant'!$C:$J,8,FALSE),0)*G150/SUMIF(B:B,B150,G:G))</f>
        <v/>
      </c>
      <c r="I150" s="56" t="str">
        <f>IF(B150="","",IFERROR(VLOOKUP(B150,'Coil Sheet at Plant'!$C:$L,9,FALSE),""))</f>
        <v/>
      </c>
      <c r="J150" s="85" t="str">
        <f>IF(B150="","",IFERROR(VLOOKUP(B150,'Coil Sheet at Plant'!$C:$M,10,FALSE),""))</f>
        <v/>
      </c>
      <c r="K150" s="69" t="str">
        <f>IF(B150="","",SUMIF(B:B,B150,G:G))</f>
        <v/>
      </c>
      <c r="L150" s="70" t="str">
        <f>IF(B150="","",IFERROR(VLOOKUP(B150,'Coil Sheet at Plant'!$C:$I,7,FALSE),""))</f>
        <v/>
      </c>
      <c r="M150" s="71" t="str">
        <f>IF(OR(K150="",L150=""),"",IF(L150=0,"⚠ NO PARENT WIDTH",IF(K150&gt;L150,"⚠ BABY &gt; PARENT","✔ OK")))</f>
        <v/>
      </c>
      <c r="N150" s="71" t="str">
        <f>IF(D150="","",IF(COUNTIF(D$3:D150,D150)&gt;1,"⚠ DUPLICATE",""))</f>
        <v/>
      </c>
      <c r="O150" s="72" t="str">
        <f>IF(B150="","",SUMIF(B:B,B150,G:G)&amp;" / "&amp;IFERROR(VLOOKUP(B150,'Coil Sheet at Plant'!$C:$I,7,FALSE),"?")&amp;" mm")</f>
        <v/>
      </c>
    </row>
    <row r="151" spans="1:15">
      <c r="A151" s="36"/>
      <c r="B151" s="32"/>
      <c r="C151" s="39"/>
      <c r="D151" s="44" t="str">
        <f>IF(OR(B151="",C151=""),"",CONCATENATE(B151,"-",C151))</f>
        <v/>
      </c>
      <c r="E151" s="49" t="str">
        <f>IF(B151="","",IFERROR(VLOOKUP(B151,'Coil Sheet at Plant'!$C:$G,5,FALSE),"ID Not Found"))</f>
        <v/>
      </c>
      <c r="F151" s="50" t="str">
        <f>IF(B151="","",IFERROR(VLOOKUP(B151,'Coil Sheet at Plant'!$C:$H,6,FALSE),"ID Not Found"))</f>
        <v/>
      </c>
      <c r="G151" s="81">
        <v>298</v>
      </c>
      <c r="H151" s="89" t="str">
        <f>IF(OR(B151="",G151=""),"",IFERROR(VLOOKUP(B151,'Coil Sheet at Plant'!$C:$J,8,FALSE),0)*G151/SUMIF(B:B,B151,G:G))</f>
        <v/>
      </c>
      <c r="I151" s="56" t="str">
        <f>IF(B151="","",IFERROR(VLOOKUP(B151,'Coil Sheet at Plant'!$C:$L,9,FALSE),""))</f>
        <v/>
      </c>
      <c r="J151" s="85" t="str">
        <f>IF(B151="","",IFERROR(VLOOKUP(B151,'Coil Sheet at Plant'!$C:$M,10,FALSE),""))</f>
        <v/>
      </c>
      <c r="K151" s="69" t="str">
        <f>IF(B151="","",SUMIF(B:B,B151,G:G))</f>
        <v/>
      </c>
      <c r="L151" s="70" t="str">
        <f>IF(B151="","",IFERROR(VLOOKUP(B151,'Coil Sheet at Plant'!$C:$I,7,FALSE),""))</f>
        <v/>
      </c>
      <c r="M151" s="71" t="str">
        <f>IF(OR(K151="",L151=""),"",IF(L151=0,"⚠ NO PARENT WIDTH",IF(K151&gt;L151,"⚠ BABY &gt; PARENT","✔ OK")))</f>
        <v/>
      </c>
      <c r="N151" s="71" t="str">
        <f>IF(D151="","",IF(COUNTIF(D$3:D151,D151)&gt;1,"⚠ DUPLICATE",""))</f>
        <v/>
      </c>
      <c r="O151" s="72" t="str">
        <f>IF(B151="","",SUMIF(B:B,B151,G:G)&amp;" / "&amp;IFERROR(VLOOKUP(B151,'Coil Sheet at Plant'!$C:$I,7,FALSE),"?")&amp;" mm")</f>
        <v/>
      </c>
    </row>
    <row r="152" spans="1:15">
      <c r="A152" s="36"/>
      <c r="B152" s="32"/>
      <c r="C152" s="39"/>
      <c r="D152" s="44" t="str">
        <f>IF(OR(B152="",C152=""),"",CONCATENATE(B152,"-",C152))</f>
        <v/>
      </c>
      <c r="E152" s="49" t="str">
        <f>IF(B152="","",IFERROR(VLOOKUP(B152,'Coil Sheet at Plant'!$C:$G,5,FALSE),"ID Not Found"))</f>
        <v/>
      </c>
      <c r="F152" s="50" t="str">
        <f>IF(B152="","",IFERROR(VLOOKUP(B152,'Coil Sheet at Plant'!$C:$H,6,FALSE),"ID Not Found"))</f>
        <v/>
      </c>
      <c r="G152" s="81">
        <v>299</v>
      </c>
      <c r="H152" s="89" t="str">
        <f>IF(OR(B152="",G152=""),"",IFERROR(VLOOKUP(B152,'Coil Sheet at Plant'!$C:$J,8,FALSE),0)*G152/SUMIF(B:B,B152,G:G))</f>
        <v/>
      </c>
      <c r="I152" s="56" t="str">
        <f>IF(B152="","",IFERROR(VLOOKUP(B152,'Coil Sheet at Plant'!$C:$L,9,FALSE),""))</f>
        <v/>
      </c>
      <c r="J152" s="85" t="str">
        <f>IF(B152="","",IFERROR(VLOOKUP(B152,'Coil Sheet at Plant'!$C:$M,10,FALSE),""))</f>
        <v/>
      </c>
      <c r="K152" s="69" t="str">
        <f>IF(B152="","",SUMIF(B:B,B152,G:G))</f>
        <v/>
      </c>
      <c r="L152" s="70" t="str">
        <f>IF(B152="","",IFERROR(VLOOKUP(B152,'Coil Sheet at Plant'!$C:$I,7,FALSE),""))</f>
        <v/>
      </c>
      <c r="M152" s="71" t="str">
        <f>IF(OR(K152="",L152=""),"",IF(L152=0,"⚠ NO PARENT WIDTH",IF(K152&gt;L152,"⚠ BABY &gt; PARENT","✔ OK")))</f>
        <v/>
      </c>
      <c r="N152" s="71" t="str">
        <f>IF(D152="","",IF(COUNTIF(D$3:D152,D152)&gt;1,"⚠ DUPLICATE",""))</f>
        <v/>
      </c>
      <c r="O152" s="72" t="str">
        <f>IF(B152="","",SUMIF(B:B,B152,G:G)&amp;" / "&amp;IFERROR(VLOOKUP(B152,'Coil Sheet at Plant'!$C:$I,7,FALSE),"?")&amp;" mm")</f>
        <v/>
      </c>
    </row>
    <row r="153" spans="1:15">
      <c r="A153" s="36"/>
      <c r="B153" s="32"/>
      <c r="C153" s="39"/>
      <c r="D153" s="44" t="str">
        <f>IF(OR(B153="",C153=""),"",CONCATENATE(B153,"-",C153))</f>
        <v/>
      </c>
      <c r="E153" s="49" t="str">
        <f>IF(B153="","",IFERROR(VLOOKUP(B153,'Coil Sheet at Plant'!$C:$G,5,FALSE),"ID Not Found"))</f>
        <v/>
      </c>
      <c r="F153" s="50" t="str">
        <f>IF(B153="","",IFERROR(VLOOKUP(B153,'Coil Sheet at Plant'!$C:$H,6,FALSE),"ID Not Found"))</f>
        <v/>
      </c>
      <c r="G153" s="81">
        <v>300</v>
      </c>
      <c r="H153" s="89" t="str">
        <f>IF(OR(B153="",G153=""),"",IFERROR(VLOOKUP(B153,'Coil Sheet at Plant'!$C:$J,8,FALSE),0)*G153/SUMIF(B:B,B153,G:G))</f>
        <v/>
      </c>
      <c r="I153" s="56" t="str">
        <f>IF(B153="","",IFERROR(VLOOKUP(B153,'Coil Sheet at Plant'!$C:$L,9,FALSE),""))</f>
        <v/>
      </c>
      <c r="J153" s="85" t="str">
        <f>IF(B153="","",IFERROR(VLOOKUP(B153,'Coil Sheet at Plant'!$C:$M,10,FALSE),""))</f>
        <v/>
      </c>
      <c r="K153" s="69" t="str">
        <f>IF(B153="","",SUMIF(B:B,B153,G:G))</f>
        <v/>
      </c>
      <c r="L153" s="70" t="str">
        <f>IF(B153="","",IFERROR(VLOOKUP(B153,'Coil Sheet at Plant'!$C:$I,7,FALSE),""))</f>
        <v/>
      </c>
      <c r="M153" s="71" t="str">
        <f>IF(OR(K153="",L153=""),"",IF(L153=0,"⚠ NO PARENT WIDTH",IF(K153&gt;L153,"⚠ BABY &gt; PARENT","✔ OK")))</f>
        <v/>
      </c>
      <c r="N153" s="71" t="str">
        <f>IF(D153="","",IF(COUNTIF(D$3:D153,D153)&gt;1,"⚠ DUPLICATE",""))</f>
        <v/>
      </c>
      <c r="O153" s="72" t="str">
        <f>IF(B153="","",SUMIF(B:B,B153,G:G)&amp;" / "&amp;IFERROR(VLOOKUP(B153,'Coil Sheet at Plant'!$C:$I,7,FALSE),"?")&amp;" mm")</f>
        <v/>
      </c>
    </row>
    <row r="154" spans="1:15">
      <c r="A154" s="36"/>
      <c r="B154" s="32"/>
      <c r="C154" s="39"/>
      <c r="D154" s="44" t="str">
        <f>IF(OR(B154="",C154=""),"",CONCATENATE(B154,"-",C154))</f>
        <v/>
      </c>
      <c r="E154" s="49" t="str">
        <f>IF(B154="","",IFERROR(VLOOKUP(B154,'Coil Sheet at Plant'!$C:$G,5,FALSE),"ID Not Found"))</f>
        <v/>
      </c>
      <c r="F154" s="50" t="str">
        <f>IF(B154="","",IFERROR(VLOOKUP(B154,'Coil Sheet at Plant'!$C:$H,6,FALSE),"ID Not Found"))</f>
        <v/>
      </c>
      <c r="G154" s="81">
        <v>301</v>
      </c>
      <c r="H154" s="89" t="str">
        <f>IF(OR(B154="",G154=""),"",IFERROR(VLOOKUP(B154,'Coil Sheet at Plant'!$C:$J,8,FALSE),0)*G154/SUMIF(B:B,B154,G:G))</f>
        <v/>
      </c>
      <c r="I154" s="56" t="str">
        <f>IF(B154="","",IFERROR(VLOOKUP(B154,'Coil Sheet at Plant'!$C:$L,9,FALSE),""))</f>
        <v/>
      </c>
      <c r="J154" s="85" t="str">
        <f>IF(B154="","",IFERROR(VLOOKUP(B154,'Coil Sheet at Plant'!$C:$M,10,FALSE),""))</f>
        <v/>
      </c>
      <c r="K154" s="69" t="str">
        <f>IF(B154="","",SUMIF(B:B,B154,G:G))</f>
        <v/>
      </c>
      <c r="L154" s="70" t="str">
        <f>IF(B154="","",IFERROR(VLOOKUP(B154,'Coil Sheet at Plant'!$C:$I,7,FALSE),""))</f>
        <v/>
      </c>
      <c r="M154" s="71" t="str">
        <f>IF(OR(K154="",L154=""),"",IF(L154=0,"⚠ NO PARENT WIDTH",IF(K154&gt;L154,"⚠ BABY &gt; PARENT","✔ OK")))</f>
        <v/>
      </c>
      <c r="N154" s="71" t="str">
        <f>IF(D154="","",IF(COUNTIF(D$3:D154,D154)&gt;1,"⚠ DUPLICATE",""))</f>
        <v/>
      </c>
      <c r="O154" s="72" t="str">
        <f>IF(B154="","",SUMIF(B:B,B154,G:G)&amp;" / "&amp;IFERROR(VLOOKUP(B154,'Coil Sheet at Plant'!$C:$I,7,FALSE),"?")&amp;" mm")</f>
        <v/>
      </c>
    </row>
    <row r="155" spans="1:15">
      <c r="A155" s="36"/>
      <c r="B155" s="32"/>
      <c r="C155" s="39"/>
      <c r="D155" s="44" t="str">
        <f>IF(OR(B155="",C155=""),"",CONCATENATE(B155,"-",C155))</f>
        <v/>
      </c>
      <c r="E155" s="49" t="str">
        <f>IF(B155="","",IFERROR(VLOOKUP(B155,'Coil Sheet at Plant'!$C:$G,5,FALSE),"ID Not Found"))</f>
        <v/>
      </c>
      <c r="F155" s="50" t="str">
        <f>IF(B155="","",IFERROR(VLOOKUP(B155,'Coil Sheet at Plant'!$C:$H,6,FALSE),"ID Not Found"))</f>
        <v/>
      </c>
      <c r="G155" s="81">
        <v>302</v>
      </c>
      <c r="H155" s="89" t="str">
        <f>IF(OR(B155="",G155=""),"",IFERROR(VLOOKUP(B155,'Coil Sheet at Plant'!$C:$J,8,FALSE),0)*G155/SUMIF(B:B,B155,G:G))</f>
        <v/>
      </c>
      <c r="I155" s="56" t="str">
        <f>IF(B155="","",IFERROR(VLOOKUP(B155,'Coil Sheet at Plant'!$C:$L,9,FALSE),""))</f>
        <v/>
      </c>
      <c r="J155" s="85" t="str">
        <f>IF(B155="","",IFERROR(VLOOKUP(B155,'Coil Sheet at Plant'!$C:$M,10,FALSE),""))</f>
        <v/>
      </c>
      <c r="K155" s="69" t="str">
        <f>IF(B155="","",SUMIF(B:B,B155,G:G))</f>
        <v/>
      </c>
      <c r="L155" s="70" t="str">
        <f>IF(B155="","",IFERROR(VLOOKUP(B155,'Coil Sheet at Plant'!$C:$I,7,FALSE),""))</f>
        <v/>
      </c>
      <c r="M155" s="71" t="str">
        <f>IF(OR(K155="",L155=""),"",IF(L155=0,"⚠ NO PARENT WIDTH",IF(K155&gt;L155,"⚠ BABY &gt; PARENT","✔ OK")))</f>
        <v/>
      </c>
      <c r="N155" s="71" t="str">
        <f>IF(D155="","",IF(COUNTIF(D$3:D155,D155)&gt;1,"⚠ DUPLICATE",""))</f>
        <v/>
      </c>
      <c r="O155" s="72" t="str">
        <f>IF(B155="","",SUMIF(B:B,B155,G:G)&amp;" / "&amp;IFERROR(VLOOKUP(B155,'Coil Sheet at Plant'!$C:$I,7,FALSE),"?")&amp;" mm")</f>
        <v/>
      </c>
    </row>
    <row r="156" spans="1:15">
      <c r="A156" s="36"/>
      <c r="B156" s="32"/>
      <c r="C156" s="39"/>
      <c r="D156" s="44" t="str">
        <f>IF(OR(B156="",C156=""),"",CONCATENATE(B156,"-",C156))</f>
        <v/>
      </c>
      <c r="E156" s="49" t="str">
        <f>IF(B156="","",IFERROR(VLOOKUP(B156,'Coil Sheet at Plant'!$C:$G,5,FALSE),"ID Not Found"))</f>
        <v/>
      </c>
      <c r="F156" s="50" t="str">
        <f>IF(B156="","",IFERROR(VLOOKUP(B156,'Coil Sheet at Plant'!$C:$H,6,FALSE),"ID Not Found"))</f>
        <v/>
      </c>
      <c r="G156" s="81">
        <v>303</v>
      </c>
      <c r="H156" s="89" t="str">
        <f>IF(OR(B156="",G156=""),"",IFERROR(VLOOKUP(B156,'Coil Sheet at Plant'!$C:$J,8,FALSE),0)*G156/SUMIF(B:B,B156,G:G))</f>
        <v/>
      </c>
      <c r="I156" s="56" t="str">
        <f>IF(B156="","",IFERROR(VLOOKUP(B156,'Coil Sheet at Plant'!$C:$L,9,FALSE),""))</f>
        <v/>
      </c>
      <c r="J156" s="85" t="str">
        <f>IF(B156="","",IFERROR(VLOOKUP(B156,'Coil Sheet at Plant'!$C:$M,10,FALSE),""))</f>
        <v/>
      </c>
      <c r="K156" s="69" t="str">
        <f>IF(B156="","",SUMIF(B:B,B156,G:G))</f>
        <v/>
      </c>
      <c r="L156" s="70" t="str">
        <f>IF(B156="","",IFERROR(VLOOKUP(B156,'Coil Sheet at Plant'!$C:$I,7,FALSE),""))</f>
        <v/>
      </c>
      <c r="M156" s="71" t="str">
        <f>IF(OR(K156="",L156=""),"",IF(L156=0,"⚠ NO PARENT WIDTH",IF(K156&gt;L156,"⚠ BABY &gt; PARENT","✔ OK")))</f>
        <v/>
      </c>
      <c r="N156" s="71" t="str">
        <f>IF(D156="","",IF(COUNTIF(D$3:D156,D156)&gt;1,"⚠ DUPLICATE",""))</f>
        <v/>
      </c>
      <c r="O156" s="72" t="str">
        <f>IF(B156="","",SUMIF(B:B,B156,G:G)&amp;" / "&amp;IFERROR(VLOOKUP(B156,'Coil Sheet at Plant'!$C:$I,7,FALSE),"?")&amp;" mm")</f>
        <v/>
      </c>
    </row>
    <row r="157" spans="1:15">
      <c r="A157" s="36"/>
      <c r="B157" s="32"/>
      <c r="C157" s="39"/>
      <c r="D157" s="44" t="str">
        <f>IF(OR(B157="",C157=""),"",CONCATENATE(B157,"-",C157))</f>
        <v/>
      </c>
      <c r="E157" s="49" t="str">
        <f>IF(B157="","",IFERROR(VLOOKUP(B157,'Coil Sheet at Plant'!$C:$G,5,FALSE),"ID Not Found"))</f>
        <v/>
      </c>
      <c r="F157" s="50" t="str">
        <f>IF(B157="","",IFERROR(VLOOKUP(B157,'Coil Sheet at Plant'!$C:$H,6,FALSE),"ID Not Found"))</f>
        <v/>
      </c>
      <c r="G157" s="81">
        <v>304</v>
      </c>
      <c r="H157" s="89" t="str">
        <f>IF(OR(B157="",G157=""),"",IFERROR(VLOOKUP(B157,'Coil Sheet at Plant'!$C:$J,8,FALSE),0)*G157/SUMIF(B:B,B157,G:G))</f>
        <v/>
      </c>
      <c r="I157" s="56" t="str">
        <f>IF(B157="","",IFERROR(VLOOKUP(B157,'Coil Sheet at Plant'!$C:$L,9,FALSE),""))</f>
        <v/>
      </c>
      <c r="J157" s="85" t="str">
        <f>IF(B157="","",IFERROR(VLOOKUP(B157,'Coil Sheet at Plant'!$C:$M,10,FALSE),""))</f>
        <v/>
      </c>
      <c r="K157" s="69" t="str">
        <f>IF(B157="","",SUMIF(B:B,B157,G:G))</f>
        <v/>
      </c>
      <c r="L157" s="70" t="str">
        <f>IF(B157="","",IFERROR(VLOOKUP(B157,'Coil Sheet at Plant'!$C:$I,7,FALSE),""))</f>
        <v/>
      </c>
      <c r="M157" s="71" t="str">
        <f>IF(OR(K157="",L157=""),"",IF(L157=0,"⚠ NO PARENT WIDTH",IF(K157&gt;L157,"⚠ BABY &gt; PARENT","✔ OK")))</f>
        <v/>
      </c>
      <c r="N157" s="71" t="str">
        <f>IF(D157="","",IF(COUNTIF(D$3:D157,D157)&gt;1,"⚠ DUPLICATE",""))</f>
        <v/>
      </c>
      <c r="O157" s="72" t="str">
        <f>IF(B157="","",SUMIF(B:B,B157,G:G)&amp;" / "&amp;IFERROR(VLOOKUP(B157,'Coil Sheet at Plant'!$C:$I,7,FALSE),"?")&amp;" mm")</f>
        <v/>
      </c>
    </row>
    <row r="158" spans="1:15">
      <c r="A158" s="36"/>
      <c r="B158" s="32"/>
      <c r="C158" s="39"/>
      <c r="D158" s="44" t="str">
        <f>IF(OR(B158="",C158=""),"",CONCATENATE(B158,"-",C158))</f>
        <v/>
      </c>
      <c r="E158" s="49" t="str">
        <f>IF(B158="","",IFERROR(VLOOKUP(B158,'Coil Sheet at Plant'!$C:$G,5,FALSE),"ID Not Found"))</f>
        <v/>
      </c>
      <c r="F158" s="50" t="str">
        <f>IF(B158="","",IFERROR(VLOOKUP(B158,'Coil Sheet at Plant'!$C:$H,6,FALSE),"ID Not Found"))</f>
        <v/>
      </c>
      <c r="G158" s="81">
        <v>305</v>
      </c>
      <c r="H158" s="89" t="str">
        <f>IF(OR(B158="",G158=""),"",IFERROR(VLOOKUP(B158,'Coil Sheet at Plant'!$C:$J,8,FALSE),0)*G158/SUMIF(B:B,B158,G:G))</f>
        <v/>
      </c>
      <c r="I158" s="56" t="str">
        <f>IF(B158="","",IFERROR(VLOOKUP(B158,'Coil Sheet at Plant'!$C:$L,9,FALSE),""))</f>
        <v/>
      </c>
      <c r="J158" s="85" t="str">
        <f>IF(B158="","",IFERROR(VLOOKUP(B158,'Coil Sheet at Plant'!$C:$M,10,FALSE),""))</f>
        <v/>
      </c>
      <c r="K158" s="69" t="str">
        <f>IF(B158="","",SUMIF(B:B,B158,G:G))</f>
        <v/>
      </c>
      <c r="L158" s="70" t="str">
        <f>IF(B158="","",IFERROR(VLOOKUP(B158,'Coil Sheet at Plant'!$C:$I,7,FALSE),""))</f>
        <v/>
      </c>
      <c r="M158" s="71" t="str">
        <f>IF(OR(K158="",L158=""),"",IF(L158=0,"⚠ NO PARENT WIDTH",IF(K158&gt;L158,"⚠ BABY &gt; PARENT","✔ OK")))</f>
        <v/>
      </c>
      <c r="N158" s="71" t="str">
        <f>IF(D158="","",IF(COUNTIF(D$3:D158,D158)&gt;1,"⚠ DUPLICATE",""))</f>
        <v/>
      </c>
      <c r="O158" s="72" t="str">
        <f>IF(B158="","",SUMIF(B:B,B158,G:G)&amp;" / "&amp;IFERROR(VLOOKUP(B158,'Coil Sheet at Plant'!$C:$I,7,FALSE),"?")&amp;" mm")</f>
        <v/>
      </c>
    </row>
    <row r="159" spans="1:15">
      <c r="A159" s="36"/>
      <c r="B159" s="32"/>
      <c r="C159" s="39"/>
      <c r="D159" s="44" t="str">
        <f>IF(OR(B159="",C159=""),"",CONCATENATE(B159,"-",C159))</f>
        <v/>
      </c>
      <c r="E159" s="49" t="str">
        <f>IF(B159="","",IFERROR(VLOOKUP(B159,'Coil Sheet at Plant'!$C:$G,5,FALSE),"ID Not Found"))</f>
        <v/>
      </c>
      <c r="F159" s="50" t="str">
        <f>IF(B159="","",IFERROR(VLOOKUP(B159,'Coil Sheet at Plant'!$C:$H,6,FALSE),"ID Not Found"))</f>
        <v/>
      </c>
      <c r="G159" s="81">
        <v>306</v>
      </c>
      <c r="H159" s="89" t="str">
        <f>IF(OR(B159="",G159=""),"",IFERROR(VLOOKUP(B159,'Coil Sheet at Plant'!$C:$J,8,FALSE),0)*G159/SUMIF(B:B,B159,G:G))</f>
        <v/>
      </c>
      <c r="I159" s="56" t="str">
        <f>IF(B159="","",IFERROR(VLOOKUP(B159,'Coil Sheet at Plant'!$C:$L,9,FALSE),""))</f>
        <v/>
      </c>
      <c r="J159" s="85" t="str">
        <f>IF(B159="","",IFERROR(VLOOKUP(B159,'Coil Sheet at Plant'!$C:$M,10,FALSE),""))</f>
        <v/>
      </c>
      <c r="K159" s="69" t="str">
        <f>IF(B159="","",SUMIF(B:B,B159,G:G))</f>
        <v/>
      </c>
      <c r="L159" s="70" t="str">
        <f>IF(B159="","",IFERROR(VLOOKUP(B159,'Coil Sheet at Plant'!$C:$I,7,FALSE),""))</f>
        <v/>
      </c>
      <c r="M159" s="71" t="str">
        <f>IF(OR(K159="",L159=""),"",IF(L159=0,"⚠ NO PARENT WIDTH",IF(K159&gt;L159,"⚠ BABY &gt; PARENT","✔ OK")))</f>
        <v/>
      </c>
      <c r="N159" s="71" t="str">
        <f>IF(D159="","",IF(COUNTIF(D$3:D159,D159)&gt;1,"⚠ DUPLICATE",""))</f>
        <v/>
      </c>
      <c r="O159" s="72" t="str">
        <f>IF(B159="","",SUMIF(B:B,B159,G:G)&amp;" / "&amp;IFERROR(VLOOKUP(B159,'Coil Sheet at Plant'!$C:$I,7,FALSE),"?")&amp;" mm")</f>
        <v/>
      </c>
    </row>
    <row r="160" spans="1:15">
      <c r="A160" s="36"/>
      <c r="B160" s="32"/>
      <c r="C160" s="39"/>
      <c r="D160" s="44" t="str">
        <f>IF(OR(B160="",C160=""),"",CONCATENATE(B160,"-",C160))</f>
        <v/>
      </c>
      <c r="E160" s="49" t="str">
        <f>IF(B160="","",IFERROR(VLOOKUP(B160,'Coil Sheet at Plant'!$C:$G,5,FALSE),"ID Not Found"))</f>
        <v/>
      </c>
      <c r="F160" s="50" t="str">
        <f>IF(B160="","",IFERROR(VLOOKUP(B160,'Coil Sheet at Plant'!$C:$H,6,FALSE),"ID Not Found"))</f>
        <v/>
      </c>
      <c r="G160" s="81">
        <v>307</v>
      </c>
      <c r="H160" s="89" t="str">
        <f>IF(OR(B160="",G160=""),"",IFERROR(VLOOKUP(B160,'Coil Sheet at Plant'!$C:$J,8,FALSE),0)*G160/SUMIF(B:B,B160,G:G))</f>
        <v/>
      </c>
      <c r="I160" s="56" t="str">
        <f>IF(B160="","",IFERROR(VLOOKUP(B160,'Coil Sheet at Plant'!$C:$L,9,FALSE),""))</f>
        <v/>
      </c>
      <c r="J160" s="85" t="str">
        <f>IF(B160="","",IFERROR(VLOOKUP(B160,'Coil Sheet at Plant'!$C:$M,10,FALSE),""))</f>
        <v/>
      </c>
      <c r="K160" s="69" t="str">
        <f>IF(B160="","",SUMIF(B:B,B160,G:G))</f>
        <v/>
      </c>
      <c r="L160" s="70" t="str">
        <f>IF(B160="","",IFERROR(VLOOKUP(B160,'Coil Sheet at Plant'!$C:$I,7,FALSE),""))</f>
        <v/>
      </c>
      <c r="M160" s="71" t="str">
        <f>IF(OR(K160="",L160=""),"",IF(L160=0,"⚠ NO PARENT WIDTH",IF(K160&gt;L160,"⚠ BABY &gt; PARENT","✔ OK")))</f>
        <v/>
      </c>
      <c r="N160" s="71" t="str">
        <f>IF(D160="","",IF(COUNTIF(D$3:D160,D160)&gt;1,"⚠ DUPLICATE",""))</f>
        <v/>
      </c>
      <c r="O160" s="72" t="str">
        <f>IF(B160="","",SUMIF(B:B,B160,G:G)&amp;" / "&amp;IFERROR(VLOOKUP(B160,'Coil Sheet at Plant'!$C:$I,7,FALSE),"?")&amp;" mm")</f>
        <v/>
      </c>
    </row>
    <row r="161" spans="1:15">
      <c r="A161" s="36"/>
      <c r="B161" s="32"/>
      <c r="C161" s="39"/>
      <c r="D161" s="44" t="str">
        <f>IF(OR(B161="",C161=""),"",CONCATENATE(B161,"-",C161))</f>
        <v/>
      </c>
      <c r="E161" s="49" t="str">
        <f>IF(B161="","",IFERROR(VLOOKUP(B161,'Coil Sheet at Plant'!$C:$G,5,FALSE),"ID Not Found"))</f>
        <v/>
      </c>
      <c r="F161" s="50" t="str">
        <f>IF(B161="","",IFERROR(VLOOKUP(B161,'Coil Sheet at Plant'!$C:$H,6,FALSE),"ID Not Found"))</f>
        <v/>
      </c>
      <c r="G161" s="81">
        <v>308</v>
      </c>
      <c r="H161" s="89" t="str">
        <f>IF(OR(B161="",G161=""),"",IFERROR(VLOOKUP(B161,'Coil Sheet at Plant'!$C:$J,8,FALSE),0)*G161/SUMIF(B:B,B161,G:G))</f>
        <v/>
      </c>
      <c r="I161" s="56" t="str">
        <f>IF(B161="","",IFERROR(VLOOKUP(B161,'Coil Sheet at Plant'!$C:$L,9,FALSE),""))</f>
        <v/>
      </c>
      <c r="J161" s="85" t="str">
        <f>IF(B161="","",IFERROR(VLOOKUP(B161,'Coil Sheet at Plant'!$C:$M,10,FALSE),""))</f>
        <v/>
      </c>
      <c r="K161" s="69" t="str">
        <f>IF(B161="","",SUMIF(B:B,B161,G:G))</f>
        <v/>
      </c>
      <c r="L161" s="70" t="str">
        <f>IF(B161="","",IFERROR(VLOOKUP(B161,'Coil Sheet at Plant'!$C:$I,7,FALSE),""))</f>
        <v/>
      </c>
      <c r="M161" s="71" t="str">
        <f>IF(OR(K161="",L161=""),"",IF(L161=0,"⚠ NO PARENT WIDTH",IF(K161&gt;L161,"⚠ BABY &gt; PARENT","✔ OK")))</f>
        <v/>
      </c>
      <c r="N161" s="71" t="str">
        <f>IF(D161="","",IF(COUNTIF(D$3:D161,D161)&gt;1,"⚠ DUPLICATE",""))</f>
        <v/>
      </c>
      <c r="O161" s="72" t="str">
        <f>IF(B161="","",SUMIF(B:B,B161,G:G)&amp;" / "&amp;IFERROR(VLOOKUP(B161,'Coil Sheet at Plant'!$C:$I,7,FALSE),"?")&amp;" mm")</f>
        <v/>
      </c>
    </row>
    <row r="162" spans="1:15">
      <c r="A162" s="36"/>
      <c r="B162" s="32"/>
      <c r="C162" s="39"/>
      <c r="D162" s="44" t="str">
        <f>IF(OR(B162="",C162=""),"",CONCATENATE(B162,"-",C162))</f>
        <v/>
      </c>
      <c r="E162" s="49" t="str">
        <f>IF(B162="","",IFERROR(VLOOKUP(B162,'Coil Sheet at Plant'!$C:$G,5,FALSE),"ID Not Found"))</f>
        <v/>
      </c>
      <c r="F162" s="50" t="str">
        <f>IF(B162="","",IFERROR(VLOOKUP(B162,'Coil Sheet at Plant'!$C:$H,6,FALSE),"ID Not Found"))</f>
        <v/>
      </c>
      <c r="G162" s="81">
        <v>309</v>
      </c>
      <c r="H162" s="89" t="str">
        <f>IF(OR(B162="",G162=""),"",IFERROR(VLOOKUP(B162,'Coil Sheet at Plant'!$C:$J,8,FALSE),0)*G162/SUMIF(B:B,B162,G:G))</f>
        <v/>
      </c>
      <c r="I162" s="56" t="str">
        <f>IF(B162="","",IFERROR(VLOOKUP(B162,'Coil Sheet at Plant'!$C:$L,9,FALSE),""))</f>
        <v/>
      </c>
      <c r="J162" s="85" t="str">
        <f>IF(B162="","",IFERROR(VLOOKUP(B162,'Coil Sheet at Plant'!$C:$M,10,FALSE),""))</f>
        <v/>
      </c>
      <c r="K162" s="69" t="str">
        <f>IF(B162="","",SUMIF(B:B,B162,G:G))</f>
        <v/>
      </c>
      <c r="L162" s="70" t="str">
        <f>IF(B162="","",IFERROR(VLOOKUP(B162,'Coil Sheet at Plant'!$C:$I,7,FALSE),""))</f>
        <v/>
      </c>
      <c r="M162" s="71" t="str">
        <f>IF(OR(K162="",L162=""),"",IF(L162=0,"⚠ NO PARENT WIDTH",IF(K162&gt;L162,"⚠ BABY &gt; PARENT","✔ OK")))</f>
        <v/>
      </c>
      <c r="N162" s="71" t="str">
        <f>IF(D162="","",IF(COUNTIF(D$3:D162,D162)&gt;1,"⚠ DUPLICATE",""))</f>
        <v/>
      </c>
      <c r="O162" s="72" t="str">
        <f>IF(B162="","",SUMIF(B:B,B162,G:G)&amp;" / "&amp;IFERROR(VLOOKUP(B162,'Coil Sheet at Plant'!$C:$I,7,FALSE),"?")&amp;" mm")</f>
        <v/>
      </c>
    </row>
    <row r="163" spans="1:15">
      <c r="A163" s="36"/>
      <c r="B163" s="32"/>
      <c r="C163" s="39"/>
      <c r="D163" s="44" t="str">
        <f>IF(OR(B163="",C163=""),"",CONCATENATE(B163,"-",C163))</f>
        <v/>
      </c>
      <c r="E163" s="49" t="str">
        <f>IF(B163="","",IFERROR(VLOOKUP(B163,'Coil Sheet at Plant'!$C:$G,5,FALSE),"ID Not Found"))</f>
        <v/>
      </c>
      <c r="F163" s="50" t="str">
        <f>IF(B163="","",IFERROR(VLOOKUP(B163,'Coil Sheet at Plant'!$C:$H,6,FALSE),"ID Not Found"))</f>
        <v/>
      </c>
      <c r="G163" s="81">
        <v>310</v>
      </c>
      <c r="H163" s="89" t="str">
        <f>IF(OR(B163="",G163=""),"",IFERROR(VLOOKUP(B163,'Coil Sheet at Plant'!$C:$J,8,FALSE),0)*G163/SUMIF(B:B,B163,G:G))</f>
        <v/>
      </c>
      <c r="I163" s="56" t="str">
        <f>IF(B163="","",IFERROR(VLOOKUP(B163,'Coil Sheet at Plant'!$C:$L,9,FALSE),""))</f>
        <v/>
      </c>
      <c r="J163" s="85" t="str">
        <f>IF(B163="","",IFERROR(VLOOKUP(B163,'Coil Sheet at Plant'!$C:$M,10,FALSE),""))</f>
        <v/>
      </c>
      <c r="K163" s="69" t="str">
        <f>IF(B163="","",SUMIF(B:B,B163,G:G))</f>
        <v/>
      </c>
      <c r="L163" s="70" t="str">
        <f>IF(B163="","",IFERROR(VLOOKUP(B163,'Coil Sheet at Plant'!$C:$I,7,FALSE),""))</f>
        <v/>
      </c>
      <c r="M163" s="71" t="str">
        <f>IF(OR(K163="",L163=""),"",IF(L163=0,"⚠ NO PARENT WIDTH",IF(K163&gt;L163,"⚠ BABY &gt; PARENT","✔ OK")))</f>
        <v/>
      </c>
      <c r="N163" s="71" t="str">
        <f>IF(D163="","",IF(COUNTIF(D$3:D163,D163)&gt;1,"⚠ DUPLICATE",""))</f>
        <v/>
      </c>
      <c r="O163" s="72" t="str">
        <f>IF(B163="","",SUMIF(B:B,B163,G:G)&amp;" / "&amp;IFERROR(VLOOKUP(B163,'Coil Sheet at Plant'!$C:$I,7,FALSE),"?")&amp;" mm")</f>
        <v/>
      </c>
    </row>
    <row r="164" spans="1:15">
      <c r="A164" s="36"/>
      <c r="B164" s="32"/>
      <c r="C164" s="39"/>
      <c r="D164" s="44" t="str">
        <f>IF(OR(B164="",C164=""),"",CONCATENATE(B164,"-",C164))</f>
        <v/>
      </c>
      <c r="E164" s="49" t="str">
        <f>IF(B164="","",IFERROR(VLOOKUP(B164,'Coil Sheet at Plant'!$C:$G,5,FALSE),"ID Not Found"))</f>
        <v/>
      </c>
      <c r="F164" s="50" t="str">
        <f>IF(B164="","",IFERROR(VLOOKUP(B164,'Coil Sheet at Plant'!$C:$H,6,FALSE),"ID Not Found"))</f>
        <v/>
      </c>
      <c r="G164" s="81">
        <v>311</v>
      </c>
      <c r="H164" s="89" t="str">
        <f>IF(OR(B164="",G164=""),"",IFERROR(VLOOKUP(B164,'Coil Sheet at Plant'!$C:$J,8,FALSE),0)*G164/SUMIF(B:B,B164,G:G))</f>
        <v/>
      </c>
      <c r="I164" s="56" t="str">
        <f>IF(B164="","",IFERROR(VLOOKUP(B164,'Coil Sheet at Plant'!$C:$L,9,FALSE),""))</f>
        <v/>
      </c>
      <c r="J164" s="85" t="str">
        <f>IF(B164="","",IFERROR(VLOOKUP(B164,'Coil Sheet at Plant'!$C:$M,10,FALSE),""))</f>
        <v/>
      </c>
      <c r="K164" s="69" t="str">
        <f>IF(B164="","",SUMIF(B:B,B164,G:G))</f>
        <v/>
      </c>
      <c r="L164" s="70" t="str">
        <f>IF(B164="","",IFERROR(VLOOKUP(B164,'Coil Sheet at Plant'!$C:$I,7,FALSE),""))</f>
        <v/>
      </c>
      <c r="M164" s="71" t="str">
        <f>IF(OR(K164="",L164=""),"",IF(L164=0,"⚠ NO PARENT WIDTH",IF(K164&gt;L164,"⚠ BABY &gt; PARENT","✔ OK")))</f>
        <v/>
      </c>
      <c r="N164" s="71" t="str">
        <f>IF(D164="","",IF(COUNTIF(D$3:D164,D164)&gt;1,"⚠ DUPLICATE",""))</f>
        <v/>
      </c>
      <c r="O164" s="72" t="str">
        <f>IF(B164="","",SUMIF(B:B,B164,G:G)&amp;" / "&amp;IFERROR(VLOOKUP(B164,'Coil Sheet at Plant'!$C:$I,7,FALSE),"?")&amp;" mm")</f>
        <v/>
      </c>
    </row>
    <row r="165" spans="1:15">
      <c r="A165" s="36"/>
      <c r="B165" s="32"/>
      <c r="C165" s="39"/>
      <c r="D165" s="44" t="str">
        <f>IF(OR(B165="",C165=""),"",CONCATENATE(B165,"-",C165))</f>
        <v/>
      </c>
      <c r="E165" s="49" t="str">
        <f>IF(B165="","",IFERROR(VLOOKUP(B165,'Coil Sheet at Plant'!$C:$G,5,FALSE),"ID Not Found"))</f>
        <v/>
      </c>
      <c r="F165" s="50" t="str">
        <f>IF(B165="","",IFERROR(VLOOKUP(B165,'Coil Sheet at Plant'!$C:$H,6,FALSE),"ID Not Found"))</f>
        <v/>
      </c>
      <c r="G165" s="81">
        <v>312</v>
      </c>
      <c r="H165" s="89" t="str">
        <f>IF(OR(B165="",G165=""),"",IFERROR(VLOOKUP(B165,'Coil Sheet at Plant'!$C:$J,8,FALSE),0)*G165/SUMIF(B:B,B165,G:G))</f>
        <v/>
      </c>
      <c r="I165" s="56" t="str">
        <f>IF(B165="","",IFERROR(VLOOKUP(B165,'Coil Sheet at Plant'!$C:$L,9,FALSE),""))</f>
        <v/>
      </c>
      <c r="J165" s="85" t="str">
        <f>IF(B165="","",IFERROR(VLOOKUP(B165,'Coil Sheet at Plant'!$C:$M,10,FALSE),""))</f>
        <v/>
      </c>
      <c r="K165" s="69" t="str">
        <f>IF(B165="","",SUMIF(B:B,B165,G:G))</f>
        <v/>
      </c>
      <c r="L165" s="70" t="str">
        <f>IF(B165="","",IFERROR(VLOOKUP(B165,'Coil Sheet at Plant'!$C:$I,7,FALSE),""))</f>
        <v/>
      </c>
      <c r="M165" s="71" t="str">
        <f>IF(OR(K165="",L165=""),"",IF(L165=0,"⚠ NO PARENT WIDTH",IF(K165&gt;L165,"⚠ BABY &gt; PARENT","✔ OK")))</f>
        <v/>
      </c>
      <c r="N165" s="71" t="str">
        <f>IF(D165="","",IF(COUNTIF(D$3:D165,D165)&gt;1,"⚠ DUPLICATE",""))</f>
        <v/>
      </c>
      <c r="O165" s="72" t="str">
        <f>IF(B165="","",SUMIF(B:B,B165,G:G)&amp;" / "&amp;IFERROR(VLOOKUP(B165,'Coil Sheet at Plant'!$C:$I,7,FALSE),"?")&amp;" mm")</f>
        <v/>
      </c>
    </row>
    <row r="166" spans="1:15">
      <c r="A166" s="36"/>
      <c r="B166" s="32"/>
      <c r="C166" s="39"/>
      <c r="D166" s="44" t="str">
        <f>IF(OR(B166="",C166=""),"",CONCATENATE(B166,"-",C166))</f>
        <v/>
      </c>
      <c r="E166" s="49" t="str">
        <f>IF(B166="","",IFERROR(VLOOKUP(B166,'Coil Sheet at Plant'!$C:$G,5,FALSE),"ID Not Found"))</f>
        <v/>
      </c>
      <c r="F166" s="50" t="str">
        <f>IF(B166="","",IFERROR(VLOOKUP(B166,'Coil Sheet at Plant'!$C:$H,6,FALSE),"ID Not Found"))</f>
        <v/>
      </c>
      <c r="G166" s="81">
        <v>313</v>
      </c>
      <c r="H166" s="89" t="str">
        <f>IF(OR(B166="",G166=""),"",IFERROR(VLOOKUP(B166,'Coil Sheet at Plant'!$C:$J,8,FALSE),0)*G166/SUMIF(B:B,B166,G:G))</f>
        <v/>
      </c>
      <c r="I166" s="56" t="str">
        <f>IF(B166="","",IFERROR(VLOOKUP(B166,'Coil Sheet at Plant'!$C:$L,9,FALSE),""))</f>
        <v/>
      </c>
      <c r="J166" s="85" t="str">
        <f>IF(B166="","",IFERROR(VLOOKUP(B166,'Coil Sheet at Plant'!$C:$M,10,FALSE),""))</f>
        <v/>
      </c>
      <c r="K166" s="69" t="str">
        <f>IF(B166="","",SUMIF(B:B,B166,G:G))</f>
        <v/>
      </c>
      <c r="L166" s="70" t="str">
        <f>IF(B166="","",IFERROR(VLOOKUP(B166,'Coil Sheet at Plant'!$C:$I,7,FALSE),""))</f>
        <v/>
      </c>
      <c r="M166" s="71" t="str">
        <f>IF(OR(K166="",L166=""),"",IF(L166=0,"⚠ NO PARENT WIDTH",IF(K166&gt;L166,"⚠ BABY &gt; PARENT","✔ OK")))</f>
        <v/>
      </c>
      <c r="N166" s="71" t="str">
        <f>IF(D166="","",IF(COUNTIF(D$3:D166,D166)&gt;1,"⚠ DUPLICATE",""))</f>
        <v/>
      </c>
      <c r="O166" s="72" t="str">
        <f>IF(B166="","",SUMIF(B:B,B166,G:G)&amp;" / "&amp;IFERROR(VLOOKUP(B166,'Coil Sheet at Plant'!$C:$I,7,FALSE),"?")&amp;" mm")</f>
        <v/>
      </c>
    </row>
    <row r="167" spans="1:15">
      <c r="A167" s="36"/>
      <c r="B167" s="32"/>
      <c r="C167" s="39"/>
      <c r="D167" s="44" t="str">
        <f>IF(OR(B167="",C167=""),"",CONCATENATE(B167,"-",C167))</f>
        <v/>
      </c>
      <c r="E167" s="49" t="str">
        <f>IF(B167="","",IFERROR(VLOOKUP(B167,'Coil Sheet at Plant'!$C:$G,5,FALSE),"ID Not Found"))</f>
        <v/>
      </c>
      <c r="F167" s="50" t="str">
        <f>IF(B167="","",IFERROR(VLOOKUP(B167,'Coil Sheet at Plant'!$C:$H,6,FALSE),"ID Not Found"))</f>
        <v/>
      </c>
      <c r="G167" s="81">
        <v>314</v>
      </c>
      <c r="H167" s="89" t="str">
        <f>IF(OR(B167="",G167=""),"",IFERROR(VLOOKUP(B167,'Coil Sheet at Plant'!$C:$J,8,FALSE),0)*G167/SUMIF(B:B,B167,G:G))</f>
        <v/>
      </c>
      <c r="I167" s="56" t="str">
        <f>IF(B167="","",IFERROR(VLOOKUP(B167,'Coil Sheet at Plant'!$C:$L,9,FALSE),""))</f>
        <v/>
      </c>
      <c r="J167" s="85" t="str">
        <f>IF(B167="","",IFERROR(VLOOKUP(B167,'Coil Sheet at Plant'!$C:$M,10,FALSE),""))</f>
        <v/>
      </c>
      <c r="K167" s="69" t="str">
        <f>IF(B167="","",SUMIF(B:B,B167,G:G))</f>
        <v/>
      </c>
      <c r="L167" s="70" t="str">
        <f>IF(B167="","",IFERROR(VLOOKUP(B167,'Coil Sheet at Plant'!$C:$I,7,FALSE),""))</f>
        <v/>
      </c>
      <c r="M167" s="71" t="str">
        <f>IF(OR(K167="",L167=""),"",IF(L167=0,"⚠ NO PARENT WIDTH",IF(K167&gt;L167,"⚠ BABY &gt; PARENT","✔ OK")))</f>
        <v/>
      </c>
      <c r="N167" s="71" t="str">
        <f>IF(D167="","",IF(COUNTIF(D$3:D167,D167)&gt;1,"⚠ DUPLICATE",""))</f>
        <v/>
      </c>
      <c r="O167" s="72" t="str">
        <f>IF(B167="","",SUMIF(B:B,B167,G:G)&amp;" / "&amp;IFERROR(VLOOKUP(B167,'Coil Sheet at Plant'!$C:$I,7,FALSE),"?")&amp;" mm")</f>
        <v/>
      </c>
    </row>
    <row r="168" spans="1:15">
      <c r="A168" s="36"/>
      <c r="B168" s="32"/>
      <c r="C168" s="39"/>
      <c r="D168" s="44" t="str">
        <f>IF(OR(B168="",C168=""),"",CONCATENATE(B168,"-",C168))</f>
        <v/>
      </c>
      <c r="E168" s="49" t="str">
        <f>IF(B168="","",IFERROR(VLOOKUP(B168,'Coil Sheet at Plant'!$C:$G,5,FALSE),"ID Not Found"))</f>
        <v/>
      </c>
      <c r="F168" s="50" t="str">
        <f>IF(B168="","",IFERROR(VLOOKUP(B168,'Coil Sheet at Plant'!$C:$H,6,FALSE),"ID Not Found"))</f>
        <v/>
      </c>
      <c r="G168" s="81">
        <v>315</v>
      </c>
      <c r="H168" s="89" t="str">
        <f>IF(OR(B168="",G168=""),"",IFERROR(VLOOKUP(B168,'Coil Sheet at Plant'!$C:$J,8,FALSE),0)*G168/SUMIF(B:B,B168,G:G))</f>
        <v/>
      </c>
      <c r="I168" s="56" t="str">
        <f>IF(B168="","",IFERROR(VLOOKUP(B168,'Coil Sheet at Plant'!$C:$L,9,FALSE),""))</f>
        <v/>
      </c>
      <c r="J168" s="85" t="str">
        <f>IF(B168="","",IFERROR(VLOOKUP(B168,'Coil Sheet at Plant'!$C:$M,10,FALSE),""))</f>
        <v/>
      </c>
      <c r="K168" s="69" t="str">
        <f>IF(B168="","",SUMIF(B:B,B168,G:G))</f>
        <v/>
      </c>
      <c r="L168" s="70" t="str">
        <f>IF(B168="","",IFERROR(VLOOKUP(B168,'Coil Sheet at Plant'!$C:$I,7,FALSE),""))</f>
        <v/>
      </c>
      <c r="M168" s="71" t="str">
        <f>IF(OR(K168="",L168=""),"",IF(L168=0,"⚠ NO PARENT WIDTH",IF(K168&gt;L168,"⚠ BABY &gt; PARENT","✔ OK")))</f>
        <v/>
      </c>
      <c r="N168" s="71" t="str">
        <f>IF(D168="","",IF(COUNTIF(D$3:D168,D168)&gt;1,"⚠ DUPLICATE",""))</f>
        <v/>
      </c>
      <c r="O168" s="72" t="str">
        <f>IF(B168="","",SUMIF(B:B,B168,G:G)&amp;" / "&amp;IFERROR(VLOOKUP(B168,'Coil Sheet at Plant'!$C:$I,7,FALSE),"?")&amp;" mm")</f>
        <v/>
      </c>
    </row>
    <row r="169" spans="1:15">
      <c r="A169" s="36"/>
      <c r="B169" s="32"/>
      <c r="C169" s="39"/>
      <c r="D169" s="44" t="str">
        <f>IF(OR(B169="",C169=""),"",CONCATENATE(B169,"-",C169))</f>
        <v/>
      </c>
      <c r="E169" s="49" t="str">
        <f>IF(B169="","",IFERROR(VLOOKUP(B169,'Coil Sheet at Plant'!$C:$G,5,FALSE),"ID Not Found"))</f>
        <v/>
      </c>
      <c r="F169" s="50" t="str">
        <f>IF(B169="","",IFERROR(VLOOKUP(B169,'Coil Sheet at Plant'!$C:$H,6,FALSE),"ID Not Found"))</f>
        <v/>
      </c>
      <c r="G169" s="81">
        <v>316</v>
      </c>
      <c r="H169" s="89" t="str">
        <f>IF(OR(B169="",G169=""),"",IFERROR(VLOOKUP(B169,'Coil Sheet at Plant'!$C:$J,8,FALSE),0)*G169/SUMIF(B:B,B169,G:G))</f>
        <v/>
      </c>
      <c r="I169" s="56" t="str">
        <f>IF(B169="","",IFERROR(VLOOKUP(B169,'Coil Sheet at Plant'!$C:$L,9,FALSE),""))</f>
        <v/>
      </c>
      <c r="J169" s="85" t="str">
        <f>IF(B169="","",IFERROR(VLOOKUP(B169,'Coil Sheet at Plant'!$C:$M,10,FALSE),""))</f>
        <v/>
      </c>
      <c r="K169" s="69" t="str">
        <f>IF(B169="","",SUMIF(B:B,B169,G:G))</f>
        <v/>
      </c>
      <c r="L169" s="70" t="str">
        <f>IF(B169="","",IFERROR(VLOOKUP(B169,'Coil Sheet at Plant'!$C:$I,7,FALSE),""))</f>
        <v/>
      </c>
      <c r="M169" s="71" t="str">
        <f>IF(OR(K169="",L169=""),"",IF(L169=0,"⚠ NO PARENT WIDTH",IF(K169&gt;L169,"⚠ BABY &gt; PARENT","✔ OK")))</f>
        <v/>
      </c>
      <c r="N169" s="71" t="str">
        <f>IF(D169="","",IF(COUNTIF(D$3:D169,D169)&gt;1,"⚠ DUPLICATE",""))</f>
        <v/>
      </c>
      <c r="O169" s="72" t="str">
        <f>IF(B169="","",SUMIF(B:B,B169,G:G)&amp;" / "&amp;IFERROR(VLOOKUP(B169,'Coil Sheet at Plant'!$C:$I,7,FALSE),"?")&amp;" mm")</f>
        <v/>
      </c>
    </row>
    <row r="170" spans="1:15">
      <c r="A170" s="36"/>
      <c r="B170" s="32"/>
      <c r="C170" s="39"/>
      <c r="D170" s="44" t="str">
        <f>IF(OR(B170="",C170=""),"",CONCATENATE(B170,"-",C170))</f>
        <v/>
      </c>
      <c r="E170" s="49" t="str">
        <f>IF(B170="","",IFERROR(VLOOKUP(B170,'Coil Sheet at Plant'!$C:$G,5,FALSE),"ID Not Found"))</f>
        <v/>
      </c>
      <c r="F170" s="50" t="str">
        <f>IF(B170="","",IFERROR(VLOOKUP(B170,'Coil Sheet at Plant'!$C:$H,6,FALSE),"ID Not Found"))</f>
        <v/>
      </c>
      <c r="G170" s="81">
        <v>317</v>
      </c>
      <c r="H170" s="89" t="str">
        <f>IF(OR(B170="",G170=""),"",IFERROR(VLOOKUP(B170,'Coil Sheet at Plant'!$C:$J,8,FALSE),0)*G170/SUMIF(B:B,B170,G:G))</f>
        <v/>
      </c>
      <c r="I170" s="56" t="str">
        <f>IF(B170="","",IFERROR(VLOOKUP(B170,'Coil Sheet at Plant'!$C:$L,9,FALSE),""))</f>
        <v/>
      </c>
      <c r="J170" s="85" t="str">
        <f>IF(B170="","",IFERROR(VLOOKUP(B170,'Coil Sheet at Plant'!$C:$M,10,FALSE),""))</f>
        <v/>
      </c>
      <c r="K170" s="69" t="str">
        <f>IF(B170="","",SUMIF(B:B,B170,G:G))</f>
        <v/>
      </c>
      <c r="L170" s="70" t="str">
        <f>IF(B170="","",IFERROR(VLOOKUP(B170,'Coil Sheet at Plant'!$C:$I,7,FALSE),""))</f>
        <v/>
      </c>
      <c r="M170" s="71" t="str">
        <f>IF(OR(K170="",L170=""),"",IF(L170=0,"⚠ NO PARENT WIDTH",IF(K170&gt;L170,"⚠ BABY &gt; PARENT","✔ OK")))</f>
        <v/>
      </c>
      <c r="N170" s="71" t="str">
        <f>IF(D170="","",IF(COUNTIF(D$3:D170,D170)&gt;1,"⚠ DUPLICATE",""))</f>
        <v/>
      </c>
      <c r="O170" s="72" t="str">
        <f>IF(B170="","",SUMIF(B:B,B170,G:G)&amp;" / "&amp;IFERROR(VLOOKUP(B170,'Coil Sheet at Plant'!$C:$I,7,FALSE),"?")&amp;" mm")</f>
        <v/>
      </c>
    </row>
    <row r="171" spans="1:15">
      <c r="A171" s="36"/>
      <c r="B171" s="32"/>
      <c r="C171" s="39"/>
      <c r="D171" s="44" t="str">
        <f>IF(OR(B171="",C171=""),"",CONCATENATE(B171,"-",C171))</f>
        <v/>
      </c>
      <c r="E171" s="49" t="str">
        <f>IF(B171="","",IFERROR(VLOOKUP(B171,'Coil Sheet at Plant'!$C:$G,5,FALSE),"ID Not Found"))</f>
        <v/>
      </c>
      <c r="F171" s="50" t="str">
        <f>IF(B171="","",IFERROR(VLOOKUP(B171,'Coil Sheet at Plant'!$C:$H,6,FALSE),"ID Not Found"))</f>
        <v/>
      </c>
      <c r="G171" s="81">
        <v>318</v>
      </c>
      <c r="H171" s="89" t="str">
        <f>IF(OR(B171="",G171=""),"",IFERROR(VLOOKUP(B171,'Coil Sheet at Plant'!$C:$J,8,FALSE),0)*G171/SUMIF(B:B,B171,G:G))</f>
        <v/>
      </c>
      <c r="I171" s="56" t="str">
        <f>IF(B171="","",IFERROR(VLOOKUP(B171,'Coil Sheet at Plant'!$C:$L,9,FALSE),""))</f>
        <v/>
      </c>
      <c r="J171" s="85" t="str">
        <f>IF(B171="","",IFERROR(VLOOKUP(B171,'Coil Sheet at Plant'!$C:$M,10,FALSE),""))</f>
        <v/>
      </c>
      <c r="K171" s="69" t="str">
        <f>IF(B171="","",SUMIF(B:B,B171,G:G))</f>
        <v/>
      </c>
      <c r="L171" s="70" t="str">
        <f>IF(B171="","",IFERROR(VLOOKUP(B171,'Coil Sheet at Plant'!$C:$I,7,FALSE),""))</f>
        <v/>
      </c>
      <c r="M171" s="71" t="str">
        <f>IF(OR(K171="",L171=""),"",IF(L171=0,"⚠ NO PARENT WIDTH",IF(K171&gt;L171,"⚠ BABY &gt; PARENT","✔ OK")))</f>
        <v/>
      </c>
      <c r="N171" s="71" t="str">
        <f>IF(D171="","",IF(COUNTIF(D$3:D171,D171)&gt;1,"⚠ DUPLICATE",""))</f>
        <v/>
      </c>
      <c r="O171" s="72" t="str">
        <f>IF(B171="","",SUMIF(B:B,B171,G:G)&amp;" / "&amp;IFERROR(VLOOKUP(B171,'Coil Sheet at Plant'!$C:$I,7,FALSE),"?")&amp;" mm")</f>
        <v/>
      </c>
    </row>
    <row r="172" spans="1:15">
      <c r="A172" s="36"/>
      <c r="B172" s="32"/>
      <c r="C172" s="39"/>
      <c r="D172" s="44" t="str">
        <f>IF(OR(B172="",C172=""),"",CONCATENATE(B172,"-",C172))</f>
        <v/>
      </c>
      <c r="E172" s="49" t="str">
        <f>IF(B172="","",IFERROR(VLOOKUP(B172,'Coil Sheet at Plant'!$C:$G,5,FALSE),"ID Not Found"))</f>
        <v/>
      </c>
      <c r="F172" s="50" t="str">
        <f>IF(B172="","",IFERROR(VLOOKUP(B172,'Coil Sheet at Plant'!$C:$H,6,FALSE),"ID Not Found"))</f>
        <v/>
      </c>
      <c r="G172" s="81">
        <v>319</v>
      </c>
      <c r="H172" s="89" t="str">
        <f>IF(OR(B172="",G172=""),"",IFERROR(VLOOKUP(B172,'Coil Sheet at Plant'!$C:$J,8,FALSE),0)*G172/SUMIF(B:B,B172,G:G))</f>
        <v/>
      </c>
      <c r="I172" s="56" t="str">
        <f>IF(B172="","",IFERROR(VLOOKUP(B172,'Coil Sheet at Plant'!$C:$L,9,FALSE),""))</f>
        <v/>
      </c>
      <c r="J172" s="85" t="str">
        <f>IF(B172="","",IFERROR(VLOOKUP(B172,'Coil Sheet at Plant'!$C:$M,10,FALSE),""))</f>
        <v/>
      </c>
      <c r="K172" s="69" t="str">
        <f>IF(B172="","",SUMIF(B:B,B172,G:G))</f>
        <v/>
      </c>
      <c r="L172" s="70" t="str">
        <f>IF(B172="","",IFERROR(VLOOKUP(B172,'Coil Sheet at Plant'!$C:$I,7,FALSE),""))</f>
        <v/>
      </c>
      <c r="M172" s="71" t="str">
        <f>IF(OR(K172="",L172=""),"",IF(L172=0,"⚠ NO PARENT WIDTH",IF(K172&gt;L172,"⚠ BABY &gt; PARENT","✔ OK")))</f>
        <v/>
      </c>
      <c r="N172" s="71" t="str">
        <f>IF(D172="","",IF(COUNTIF(D$3:D172,D172)&gt;1,"⚠ DUPLICATE",""))</f>
        <v/>
      </c>
      <c r="O172" s="72" t="str">
        <f>IF(B172="","",SUMIF(B:B,B172,G:G)&amp;" / "&amp;IFERROR(VLOOKUP(B172,'Coil Sheet at Plant'!$C:$I,7,FALSE),"?")&amp;" mm")</f>
        <v/>
      </c>
    </row>
    <row r="173" spans="1:15">
      <c r="A173" s="36"/>
      <c r="B173" s="32"/>
      <c r="C173" s="39"/>
      <c r="D173" s="44" t="str">
        <f>IF(OR(B173="",C173=""),"",CONCATENATE(B173,"-",C173))</f>
        <v/>
      </c>
      <c r="E173" s="49" t="str">
        <f>IF(B173="","",IFERROR(VLOOKUP(B173,'Coil Sheet at Plant'!$C:$G,5,FALSE),"ID Not Found"))</f>
        <v/>
      </c>
      <c r="F173" s="50" t="str">
        <f>IF(B173="","",IFERROR(VLOOKUP(B173,'Coil Sheet at Plant'!$C:$H,6,FALSE),"ID Not Found"))</f>
        <v/>
      </c>
      <c r="G173" s="81">
        <v>320</v>
      </c>
      <c r="H173" s="89" t="str">
        <f>IF(OR(B173="",G173=""),"",IFERROR(VLOOKUP(B173,'Coil Sheet at Plant'!$C:$J,8,FALSE),0)*G173/SUMIF(B:B,B173,G:G))</f>
        <v/>
      </c>
      <c r="I173" s="56" t="str">
        <f>IF(B173="","",IFERROR(VLOOKUP(B173,'Coil Sheet at Plant'!$C:$L,9,FALSE),""))</f>
        <v/>
      </c>
      <c r="J173" s="85" t="str">
        <f>IF(B173="","",IFERROR(VLOOKUP(B173,'Coil Sheet at Plant'!$C:$M,10,FALSE),""))</f>
        <v/>
      </c>
      <c r="K173" s="69" t="str">
        <f>IF(B173="","",SUMIF(B:B,B173,G:G))</f>
        <v/>
      </c>
      <c r="L173" s="70" t="str">
        <f>IF(B173="","",IFERROR(VLOOKUP(B173,'Coil Sheet at Plant'!$C:$I,7,FALSE),""))</f>
        <v/>
      </c>
      <c r="M173" s="71" t="str">
        <f>IF(OR(K173="",L173=""),"",IF(L173=0,"⚠ NO PARENT WIDTH",IF(K173&gt;L173,"⚠ BABY &gt; PARENT","✔ OK")))</f>
        <v/>
      </c>
      <c r="N173" s="71" t="str">
        <f>IF(D173="","",IF(COUNTIF(D$3:D173,D173)&gt;1,"⚠ DUPLICATE",""))</f>
        <v/>
      </c>
      <c r="O173" s="72" t="str">
        <f>IF(B173="","",SUMIF(B:B,B173,G:G)&amp;" / "&amp;IFERROR(VLOOKUP(B173,'Coil Sheet at Plant'!$C:$I,7,FALSE),"?")&amp;" mm")</f>
        <v/>
      </c>
    </row>
    <row r="174" spans="1:15">
      <c r="A174" s="36"/>
      <c r="B174" s="32"/>
      <c r="C174" s="39"/>
      <c r="D174" s="44" t="str">
        <f>IF(OR(B174="",C174=""),"",CONCATENATE(B174,"-",C174))</f>
        <v/>
      </c>
      <c r="E174" s="49" t="str">
        <f>IF(B174="","",IFERROR(VLOOKUP(B174,'Coil Sheet at Plant'!$C:$G,5,FALSE),"ID Not Found"))</f>
        <v/>
      </c>
      <c r="F174" s="50" t="str">
        <f>IF(B174="","",IFERROR(VLOOKUP(B174,'Coil Sheet at Plant'!$C:$H,6,FALSE),"ID Not Found"))</f>
        <v/>
      </c>
      <c r="G174" s="81">
        <v>321</v>
      </c>
      <c r="H174" s="89" t="str">
        <f>IF(OR(B174="",G174=""),"",IFERROR(VLOOKUP(B174,'Coil Sheet at Plant'!$C:$J,8,FALSE),0)*G174/SUMIF(B:B,B174,G:G))</f>
        <v/>
      </c>
      <c r="I174" s="56" t="str">
        <f>IF(B174="","",IFERROR(VLOOKUP(B174,'Coil Sheet at Plant'!$C:$L,9,FALSE),""))</f>
        <v/>
      </c>
      <c r="J174" s="85" t="str">
        <f>IF(B174="","",IFERROR(VLOOKUP(B174,'Coil Sheet at Plant'!$C:$M,10,FALSE),""))</f>
        <v/>
      </c>
      <c r="K174" s="69" t="str">
        <f>IF(B174="","",SUMIF(B:B,B174,G:G))</f>
        <v/>
      </c>
      <c r="L174" s="70" t="str">
        <f>IF(B174="","",IFERROR(VLOOKUP(B174,'Coil Sheet at Plant'!$C:$I,7,FALSE),""))</f>
        <v/>
      </c>
      <c r="M174" s="71" t="str">
        <f>IF(OR(K174="",L174=""),"",IF(L174=0,"⚠ NO PARENT WIDTH",IF(K174&gt;L174,"⚠ BABY &gt; PARENT","✔ OK")))</f>
        <v/>
      </c>
      <c r="N174" s="71" t="str">
        <f>IF(D174="","",IF(COUNTIF(D$3:D174,D174)&gt;1,"⚠ DUPLICATE",""))</f>
        <v/>
      </c>
      <c r="O174" s="72" t="str">
        <f>IF(B174="","",SUMIF(B:B,B174,G:G)&amp;" / "&amp;IFERROR(VLOOKUP(B174,'Coil Sheet at Plant'!$C:$I,7,FALSE),"?")&amp;" mm")</f>
        <v/>
      </c>
    </row>
    <row r="175" spans="1:15">
      <c r="A175" s="36"/>
      <c r="B175" s="32"/>
      <c r="C175" s="39"/>
      <c r="D175" s="44" t="str">
        <f>IF(OR(B175="",C175=""),"",CONCATENATE(B175,"-",C175))</f>
        <v/>
      </c>
      <c r="E175" s="49" t="str">
        <f>IF(B175="","",IFERROR(VLOOKUP(B175,'Coil Sheet at Plant'!$C:$G,5,FALSE),"ID Not Found"))</f>
        <v/>
      </c>
      <c r="F175" s="50" t="str">
        <f>IF(B175="","",IFERROR(VLOOKUP(B175,'Coil Sheet at Plant'!$C:$H,6,FALSE),"ID Not Found"))</f>
        <v/>
      </c>
      <c r="G175" s="81">
        <v>322</v>
      </c>
      <c r="H175" s="89" t="str">
        <f>IF(OR(B175="",G175=""),"",IFERROR(VLOOKUP(B175,'Coil Sheet at Plant'!$C:$J,8,FALSE),0)*G175/SUMIF(B:B,B175,G:G))</f>
        <v/>
      </c>
      <c r="I175" s="56" t="str">
        <f>IF(B175="","",IFERROR(VLOOKUP(B175,'Coil Sheet at Plant'!$C:$L,9,FALSE),""))</f>
        <v/>
      </c>
      <c r="J175" s="85" t="str">
        <f>IF(B175="","",IFERROR(VLOOKUP(B175,'Coil Sheet at Plant'!$C:$M,10,FALSE),""))</f>
        <v/>
      </c>
      <c r="K175" s="69" t="str">
        <f>IF(B175="","",SUMIF(B:B,B175,G:G))</f>
        <v/>
      </c>
      <c r="L175" s="70" t="str">
        <f>IF(B175="","",IFERROR(VLOOKUP(B175,'Coil Sheet at Plant'!$C:$I,7,FALSE),""))</f>
        <v/>
      </c>
      <c r="M175" s="71" t="str">
        <f>IF(OR(K175="",L175=""),"",IF(L175=0,"⚠ NO PARENT WIDTH",IF(K175&gt;L175,"⚠ BABY &gt; PARENT","✔ OK")))</f>
        <v/>
      </c>
      <c r="N175" s="71" t="str">
        <f>IF(D175="","",IF(COUNTIF(D$3:D175,D175)&gt;1,"⚠ DUPLICATE",""))</f>
        <v/>
      </c>
      <c r="O175" s="72" t="str">
        <f>IF(B175="","",SUMIF(B:B,B175,G:G)&amp;" / "&amp;IFERROR(VLOOKUP(B175,'Coil Sheet at Plant'!$C:$I,7,FALSE),"?")&amp;" mm")</f>
        <v/>
      </c>
    </row>
    <row r="176" spans="1:15">
      <c r="A176" s="36"/>
      <c r="B176" s="32"/>
      <c r="C176" s="39"/>
      <c r="D176" s="44" t="str">
        <f>IF(OR(B176="",C176=""),"",CONCATENATE(B176,"-",C176))</f>
        <v/>
      </c>
      <c r="E176" s="49" t="str">
        <f>IF(B176="","",IFERROR(VLOOKUP(B176,'Coil Sheet at Plant'!$C:$G,5,FALSE),"ID Not Found"))</f>
        <v/>
      </c>
      <c r="F176" s="50" t="str">
        <f>IF(B176="","",IFERROR(VLOOKUP(B176,'Coil Sheet at Plant'!$C:$H,6,FALSE),"ID Not Found"))</f>
        <v/>
      </c>
      <c r="G176" s="81">
        <v>323</v>
      </c>
      <c r="H176" s="89" t="str">
        <f>IF(OR(B176="",G176=""),"",IFERROR(VLOOKUP(B176,'Coil Sheet at Plant'!$C:$J,8,FALSE),0)*G176/SUMIF(B:B,B176,G:G))</f>
        <v/>
      </c>
      <c r="I176" s="56" t="str">
        <f>IF(B176="","",IFERROR(VLOOKUP(B176,'Coil Sheet at Plant'!$C:$L,9,FALSE),""))</f>
        <v/>
      </c>
      <c r="J176" s="85" t="str">
        <f>IF(B176="","",IFERROR(VLOOKUP(B176,'Coil Sheet at Plant'!$C:$M,10,FALSE),""))</f>
        <v/>
      </c>
      <c r="K176" s="69" t="str">
        <f>IF(B176="","",SUMIF(B:B,B176,G:G))</f>
        <v/>
      </c>
      <c r="L176" s="70" t="str">
        <f>IF(B176="","",IFERROR(VLOOKUP(B176,'Coil Sheet at Plant'!$C:$I,7,FALSE),""))</f>
        <v/>
      </c>
      <c r="M176" s="71" t="str">
        <f>IF(OR(K176="",L176=""),"",IF(L176=0,"⚠ NO PARENT WIDTH",IF(K176&gt;L176,"⚠ BABY &gt; PARENT","✔ OK")))</f>
        <v/>
      </c>
      <c r="N176" s="71" t="str">
        <f>IF(D176="","",IF(COUNTIF(D$3:D176,D176)&gt;1,"⚠ DUPLICATE",""))</f>
        <v/>
      </c>
      <c r="O176" s="72" t="str">
        <f>IF(B176="","",SUMIF(B:B,B176,G:G)&amp;" / "&amp;IFERROR(VLOOKUP(B176,'Coil Sheet at Plant'!$C:$I,7,FALSE),"?")&amp;" mm")</f>
        <v/>
      </c>
    </row>
    <row r="177" spans="1:15">
      <c r="A177" s="36"/>
      <c r="B177" s="32"/>
      <c r="C177" s="39"/>
      <c r="D177" s="44" t="str">
        <f>IF(OR(B177="",C177=""),"",CONCATENATE(B177,"-",C177))</f>
        <v/>
      </c>
      <c r="E177" s="49" t="str">
        <f>IF(B177="","",IFERROR(VLOOKUP(B177,'Coil Sheet at Plant'!$C:$G,5,FALSE),"ID Not Found"))</f>
        <v/>
      </c>
      <c r="F177" s="50" t="str">
        <f>IF(B177="","",IFERROR(VLOOKUP(B177,'Coil Sheet at Plant'!$C:$H,6,FALSE),"ID Not Found"))</f>
        <v/>
      </c>
      <c r="G177" s="81">
        <v>324</v>
      </c>
      <c r="H177" s="89" t="str">
        <f>IF(OR(B177="",G177=""),"",IFERROR(VLOOKUP(B177,'Coil Sheet at Plant'!$C:$J,8,FALSE),0)*G177/SUMIF(B:B,B177,G:G))</f>
        <v/>
      </c>
      <c r="I177" s="56" t="str">
        <f>IF(B177="","",IFERROR(VLOOKUP(B177,'Coil Sheet at Plant'!$C:$L,9,FALSE),""))</f>
        <v/>
      </c>
      <c r="J177" s="85" t="str">
        <f>IF(B177="","",IFERROR(VLOOKUP(B177,'Coil Sheet at Plant'!$C:$M,10,FALSE),""))</f>
        <v/>
      </c>
      <c r="K177" s="69" t="str">
        <f>IF(B177="","",SUMIF(B:B,B177,G:G))</f>
        <v/>
      </c>
      <c r="L177" s="70" t="str">
        <f>IF(B177="","",IFERROR(VLOOKUP(B177,'Coil Sheet at Plant'!$C:$I,7,FALSE),""))</f>
        <v/>
      </c>
      <c r="M177" s="71" t="str">
        <f>IF(OR(K177="",L177=""),"",IF(L177=0,"⚠ NO PARENT WIDTH",IF(K177&gt;L177,"⚠ BABY &gt; PARENT","✔ OK")))</f>
        <v/>
      </c>
      <c r="N177" s="71" t="str">
        <f>IF(D177="","",IF(COUNTIF(D$3:D177,D177)&gt;1,"⚠ DUPLICATE",""))</f>
        <v/>
      </c>
      <c r="O177" s="72" t="str">
        <f>IF(B177="","",SUMIF(B:B,B177,G:G)&amp;" / "&amp;IFERROR(VLOOKUP(B177,'Coil Sheet at Plant'!$C:$I,7,FALSE),"?")&amp;" mm")</f>
        <v/>
      </c>
    </row>
    <row r="178" spans="1:15">
      <c r="A178" s="36"/>
      <c r="B178" s="32"/>
      <c r="C178" s="39"/>
      <c r="D178" s="44" t="str">
        <f>IF(OR(B178="",C178=""),"",CONCATENATE(B178,"-",C178))</f>
        <v/>
      </c>
      <c r="E178" s="49" t="str">
        <f>IF(B178="","",IFERROR(VLOOKUP(B178,'Coil Sheet at Plant'!$C:$G,5,FALSE),"ID Not Found"))</f>
        <v/>
      </c>
      <c r="F178" s="50" t="str">
        <f>IF(B178="","",IFERROR(VLOOKUP(B178,'Coil Sheet at Plant'!$C:$H,6,FALSE),"ID Not Found"))</f>
        <v/>
      </c>
      <c r="G178" s="81">
        <v>325</v>
      </c>
      <c r="H178" s="89" t="str">
        <f>IF(OR(B178="",G178=""),"",IFERROR(VLOOKUP(B178,'Coil Sheet at Plant'!$C:$J,8,FALSE),0)*G178/SUMIF(B:B,B178,G:G))</f>
        <v/>
      </c>
      <c r="I178" s="56" t="str">
        <f>IF(B178="","",IFERROR(VLOOKUP(B178,'Coil Sheet at Plant'!$C:$L,9,FALSE),""))</f>
        <v/>
      </c>
      <c r="J178" s="85" t="str">
        <f>IF(B178="","",IFERROR(VLOOKUP(B178,'Coil Sheet at Plant'!$C:$M,10,FALSE),""))</f>
        <v/>
      </c>
      <c r="K178" s="69" t="str">
        <f>IF(B178="","",SUMIF(B:B,B178,G:G))</f>
        <v/>
      </c>
      <c r="L178" s="70" t="str">
        <f>IF(B178="","",IFERROR(VLOOKUP(B178,'Coil Sheet at Plant'!$C:$I,7,FALSE),""))</f>
        <v/>
      </c>
      <c r="M178" s="71" t="str">
        <f>IF(OR(K178="",L178=""),"",IF(L178=0,"⚠ NO PARENT WIDTH",IF(K178&gt;L178,"⚠ BABY &gt; PARENT","✔ OK")))</f>
        <v/>
      </c>
      <c r="N178" s="71" t="str">
        <f>IF(D178="","",IF(COUNTIF(D$3:D178,D178)&gt;1,"⚠ DUPLICATE",""))</f>
        <v/>
      </c>
      <c r="O178" s="72" t="str">
        <f>IF(B178="","",SUMIF(B:B,B178,G:G)&amp;" / "&amp;IFERROR(VLOOKUP(B178,'Coil Sheet at Plant'!$C:$I,7,FALSE),"?")&amp;" mm")</f>
        <v/>
      </c>
    </row>
    <row r="179" spans="1:15">
      <c r="A179" s="36"/>
      <c r="B179" s="32"/>
      <c r="C179" s="39"/>
      <c r="D179" s="44" t="str">
        <f>IF(OR(B179="",C179=""),"",CONCATENATE(B179,"-",C179))</f>
        <v/>
      </c>
      <c r="E179" s="49" t="str">
        <f>IF(B179="","",IFERROR(VLOOKUP(B179,'Coil Sheet at Plant'!$C:$G,5,FALSE),"ID Not Found"))</f>
        <v/>
      </c>
      <c r="F179" s="50" t="str">
        <f>IF(B179="","",IFERROR(VLOOKUP(B179,'Coil Sheet at Plant'!$C:$H,6,FALSE),"ID Not Found"))</f>
        <v/>
      </c>
      <c r="G179" s="81">
        <v>326</v>
      </c>
      <c r="H179" s="89" t="str">
        <f>IF(OR(B179="",G179=""),"",IFERROR(VLOOKUP(B179,'Coil Sheet at Plant'!$C:$J,8,FALSE),0)*G179/SUMIF(B:B,B179,G:G))</f>
        <v/>
      </c>
      <c r="I179" s="56" t="str">
        <f>IF(B179="","",IFERROR(VLOOKUP(B179,'Coil Sheet at Plant'!$C:$L,9,FALSE),""))</f>
        <v/>
      </c>
      <c r="J179" s="85" t="str">
        <f>IF(B179="","",IFERROR(VLOOKUP(B179,'Coil Sheet at Plant'!$C:$M,10,FALSE),""))</f>
        <v/>
      </c>
      <c r="K179" s="69" t="str">
        <f>IF(B179="","",SUMIF(B:B,B179,G:G))</f>
        <v/>
      </c>
      <c r="L179" s="70" t="str">
        <f>IF(B179="","",IFERROR(VLOOKUP(B179,'Coil Sheet at Plant'!$C:$I,7,FALSE),""))</f>
        <v/>
      </c>
      <c r="M179" s="71" t="str">
        <f>IF(OR(K179="",L179=""),"",IF(L179=0,"⚠ NO PARENT WIDTH",IF(K179&gt;L179,"⚠ BABY &gt; PARENT","✔ OK")))</f>
        <v/>
      </c>
      <c r="N179" s="71" t="str">
        <f>IF(D179="","",IF(COUNTIF(D$3:D179,D179)&gt;1,"⚠ DUPLICATE",""))</f>
        <v/>
      </c>
      <c r="O179" s="72" t="str">
        <f>IF(B179="","",SUMIF(B:B,B179,G:G)&amp;" / "&amp;IFERROR(VLOOKUP(B179,'Coil Sheet at Plant'!$C:$I,7,FALSE),"?")&amp;" mm")</f>
        <v/>
      </c>
    </row>
    <row r="180" spans="1:15">
      <c r="A180" s="36"/>
      <c r="B180" s="32"/>
      <c r="C180" s="39"/>
      <c r="D180" s="44" t="str">
        <f>IF(OR(B180="",C180=""),"",CONCATENATE(B180,"-",C180))</f>
        <v/>
      </c>
      <c r="E180" s="49" t="str">
        <f>IF(B180="","",IFERROR(VLOOKUP(B180,'Coil Sheet at Plant'!$C:$G,5,FALSE),"ID Not Found"))</f>
        <v/>
      </c>
      <c r="F180" s="50" t="str">
        <f>IF(B180="","",IFERROR(VLOOKUP(B180,'Coil Sheet at Plant'!$C:$H,6,FALSE),"ID Not Found"))</f>
        <v/>
      </c>
      <c r="G180" s="81">
        <v>327</v>
      </c>
      <c r="H180" s="89" t="str">
        <f>IF(OR(B180="",G180=""),"",IFERROR(VLOOKUP(B180,'Coil Sheet at Plant'!$C:$J,8,FALSE),0)*G180/SUMIF(B:B,B180,G:G))</f>
        <v/>
      </c>
      <c r="I180" s="56" t="str">
        <f>IF(B180="","",IFERROR(VLOOKUP(B180,'Coil Sheet at Plant'!$C:$L,9,FALSE),""))</f>
        <v/>
      </c>
      <c r="J180" s="85" t="str">
        <f>IF(B180="","",IFERROR(VLOOKUP(B180,'Coil Sheet at Plant'!$C:$M,10,FALSE),""))</f>
        <v/>
      </c>
      <c r="K180" s="69" t="str">
        <f>IF(B180="","",SUMIF(B:B,B180,G:G))</f>
        <v/>
      </c>
      <c r="L180" s="70" t="str">
        <f>IF(B180="","",IFERROR(VLOOKUP(B180,'Coil Sheet at Plant'!$C:$I,7,FALSE),""))</f>
        <v/>
      </c>
      <c r="M180" s="71" t="str">
        <f>IF(OR(K180="",L180=""),"",IF(L180=0,"⚠ NO PARENT WIDTH",IF(K180&gt;L180,"⚠ BABY &gt; PARENT","✔ OK")))</f>
        <v/>
      </c>
      <c r="N180" s="71" t="str">
        <f>IF(D180="","",IF(COUNTIF(D$3:D180,D180)&gt;1,"⚠ DUPLICATE",""))</f>
        <v/>
      </c>
      <c r="O180" s="72" t="str">
        <f>IF(B180="","",SUMIF(B:B,B180,G:G)&amp;" / "&amp;IFERROR(VLOOKUP(B180,'Coil Sheet at Plant'!$C:$I,7,FALSE),"?")&amp;" mm")</f>
        <v/>
      </c>
    </row>
    <row r="181" spans="1:15">
      <c r="A181" s="36"/>
      <c r="B181" s="32"/>
      <c r="C181" s="39"/>
      <c r="D181" s="44" t="str">
        <f>IF(OR(B181="",C181=""),"",CONCATENATE(B181,"-",C181))</f>
        <v/>
      </c>
      <c r="E181" s="49" t="str">
        <f>IF(B181="","",IFERROR(VLOOKUP(B181,'Coil Sheet at Plant'!$C:$G,5,FALSE),"ID Not Found"))</f>
        <v/>
      </c>
      <c r="F181" s="50" t="str">
        <f>IF(B181="","",IFERROR(VLOOKUP(B181,'Coil Sheet at Plant'!$C:$H,6,FALSE),"ID Not Found"))</f>
        <v/>
      </c>
      <c r="G181" s="81">
        <v>328</v>
      </c>
      <c r="H181" s="89" t="str">
        <f>IF(OR(B181="",G181=""),"",IFERROR(VLOOKUP(B181,'Coil Sheet at Plant'!$C:$J,8,FALSE),0)*G181/SUMIF(B:B,B181,G:G))</f>
        <v/>
      </c>
      <c r="I181" s="56" t="str">
        <f>IF(B181="","",IFERROR(VLOOKUP(B181,'Coil Sheet at Plant'!$C:$L,9,FALSE),""))</f>
        <v/>
      </c>
      <c r="J181" s="85" t="str">
        <f>IF(B181="","",IFERROR(VLOOKUP(B181,'Coil Sheet at Plant'!$C:$M,10,FALSE),""))</f>
        <v/>
      </c>
      <c r="K181" s="69" t="str">
        <f>IF(B181="","",SUMIF(B:B,B181,G:G))</f>
        <v/>
      </c>
      <c r="L181" s="70" t="str">
        <f>IF(B181="","",IFERROR(VLOOKUP(B181,'Coil Sheet at Plant'!$C:$I,7,FALSE),""))</f>
        <v/>
      </c>
      <c r="M181" s="71" t="str">
        <f>IF(OR(K181="",L181=""),"",IF(L181=0,"⚠ NO PARENT WIDTH",IF(K181&gt;L181,"⚠ BABY &gt; PARENT","✔ OK")))</f>
        <v/>
      </c>
      <c r="N181" s="71" t="str">
        <f>IF(D181="","",IF(COUNTIF(D$3:D181,D181)&gt;1,"⚠ DUPLICATE",""))</f>
        <v/>
      </c>
      <c r="O181" s="72" t="str">
        <f>IF(B181="","",SUMIF(B:B,B181,G:G)&amp;" / "&amp;IFERROR(VLOOKUP(B181,'Coil Sheet at Plant'!$C:$I,7,FALSE),"?")&amp;" mm")</f>
        <v/>
      </c>
    </row>
    <row r="182" spans="1:15">
      <c r="A182" s="36"/>
      <c r="B182" s="32"/>
      <c r="C182" s="39"/>
      <c r="D182" s="44" t="str">
        <f>IF(OR(B182="",C182=""),"",CONCATENATE(B182,"-",C182))</f>
        <v/>
      </c>
      <c r="E182" s="49" t="str">
        <f>IF(B182="","",IFERROR(VLOOKUP(B182,'Coil Sheet at Plant'!$C:$G,5,FALSE),"ID Not Found"))</f>
        <v/>
      </c>
      <c r="F182" s="50" t="str">
        <f>IF(B182="","",IFERROR(VLOOKUP(B182,'Coil Sheet at Plant'!$C:$H,6,FALSE),"ID Not Found"))</f>
        <v/>
      </c>
      <c r="G182" s="81">
        <v>329</v>
      </c>
      <c r="H182" s="89" t="str">
        <f>IF(OR(B182="",G182=""),"",IFERROR(VLOOKUP(B182,'Coil Sheet at Plant'!$C:$J,8,FALSE),0)*G182/SUMIF(B:B,B182,G:G))</f>
        <v/>
      </c>
      <c r="I182" s="56" t="str">
        <f>IF(B182="","",IFERROR(VLOOKUP(B182,'Coil Sheet at Plant'!$C:$L,9,FALSE),""))</f>
        <v/>
      </c>
      <c r="J182" s="85" t="str">
        <f>IF(B182="","",IFERROR(VLOOKUP(B182,'Coil Sheet at Plant'!$C:$M,10,FALSE),""))</f>
        <v/>
      </c>
      <c r="K182" s="69" t="str">
        <f>IF(B182="","",SUMIF(B:B,B182,G:G))</f>
        <v/>
      </c>
      <c r="L182" s="70" t="str">
        <f>IF(B182="","",IFERROR(VLOOKUP(B182,'Coil Sheet at Plant'!$C:$I,7,FALSE),""))</f>
        <v/>
      </c>
      <c r="M182" s="71" t="str">
        <f>IF(OR(K182="",L182=""),"",IF(L182=0,"⚠ NO PARENT WIDTH",IF(K182&gt;L182,"⚠ BABY &gt; PARENT","✔ OK")))</f>
        <v/>
      </c>
      <c r="N182" s="71" t="str">
        <f>IF(D182="","",IF(COUNTIF(D$3:D182,D182)&gt;1,"⚠ DUPLICATE",""))</f>
        <v/>
      </c>
      <c r="O182" s="72" t="str">
        <f>IF(B182="","",SUMIF(B:B,B182,G:G)&amp;" / "&amp;IFERROR(VLOOKUP(B182,'Coil Sheet at Plant'!$C:$I,7,FALSE),"?")&amp;" mm")</f>
        <v/>
      </c>
    </row>
    <row r="183" spans="1:15">
      <c r="A183" s="36"/>
      <c r="B183" s="32"/>
      <c r="C183" s="39"/>
      <c r="D183" s="44" t="str">
        <f>IF(OR(B183="",C183=""),"",CONCATENATE(B183,"-",C183))</f>
        <v/>
      </c>
      <c r="E183" s="49" t="str">
        <f>IF(B183="","",IFERROR(VLOOKUP(B183,'Coil Sheet at Plant'!$C:$G,5,FALSE),"ID Not Found"))</f>
        <v/>
      </c>
      <c r="F183" s="50" t="str">
        <f>IF(B183="","",IFERROR(VLOOKUP(B183,'Coil Sheet at Plant'!$C:$H,6,FALSE),"ID Not Found"))</f>
        <v/>
      </c>
      <c r="G183" s="81">
        <v>330</v>
      </c>
      <c r="H183" s="89" t="str">
        <f>IF(OR(B183="",G183=""),"",IFERROR(VLOOKUP(B183,'Coil Sheet at Plant'!$C:$J,8,FALSE),0)*G183/SUMIF(B:B,B183,G:G))</f>
        <v/>
      </c>
      <c r="I183" s="56" t="str">
        <f>IF(B183="","",IFERROR(VLOOKUP(B183,'Coil Sheet at Plant'!$C:$L,9,FALSE),""))</f>
        <v/>
      </c>
      <c r="J183" s="85" t="str">
        <f>IF(B183="","",IFERROR(VLOOKUP(B183,'Coil Sheet at Plant'!$C:$M,10,FALSE),""))</f>
        <v/>
      </c>
      <c r="K183" s="69" t="str">
        <f>IF(B183="","",SUMIF(B:B,B183,G:G))</f>
        <v/>
      </c>
      <c r="L183" s="70" t="str">
        <f>IF(B183="","",IFERROR(VLOOKUP(B183,'Coil Sheet at Plant'!$C:$I,7,FALSE),""))</f>
        <v/>
      </c>
      <c r="M183" s="71" t="str">
        <f>IF(OR(K183="",L183=""),"",IF(L183=0,"⚠ NO PARENT WIDTH",IF(K183&gt;L183,"⚠ BABY &gt; PARENT","✔ OK")))</f>
        <v/>
      </c>
      <c r="N183" s="71" t="str">
        <f>IF(D183="","",IF(COUNTIF(D$3:D183,D183)&gt;1,"⚠ DUPLICATE",""))</f>
        <v/>
      </c>
      <c r="O183" s="72" t="str">
        <f>IF(B183="","",SUMIF(B:B,B183,G:G)&amp;" / "&amp;IFERROR(VLOOKUP(B183,'Coil Sheet at Plant'!$C:$I,7,FALSE),"?")&amp;" mm")</f>
        <v/>
      </c>
    </row>
    <row r="184" spans="1:15">
      <c r="A184" s="36"/>
      <c r="B184" s="32"/>
      <c r="C184" s="39"/>
      <c r="D184" s="44" t="str">
        <f>IF(OR(B184="",C184=""),"",CONCATENATE(B184,"-",C184))</f>
        <v/>
      </c>
      <c r="E184" s="49" t="str">
        <f>IF(B184="","",IFERROR(VLOOKUP(B184,'Coil Sheet at Plant'!$C:$G,5,FALSE),"ID Not Found"))</f>
        <v/>
      </c>
      <c r="F184" s="50" t="str">
        <f>IF(B184="","",IFERROR(VLOOKUP(B184,'Coil Sheet at Plant'!$C:$H,6,FALSE),"ID Not Found"))</f>
        <v/>
      </c>
      <c r="G184" s="81">
        <v>331</v>
      </c>
      <c r="H184" s="89" t="str">
        <f>IF(OR(B184="",G184=""),"",IFERROR(VLOOKUP(B184,'Coil Sheet at Plant'!$C:$J,8,FALSE),0)*G184/SUMIF(B:B,B184,G:G))</f>
        <v/>
      </c>
      <c r="I184" s="56" t="str">
        <f>IF(B184="","",IFERROR(VLOOKUP(B184,'Coil Sheet at Plant'!$C:$L,9,FALSE),""))</f>
        <v/>
      </c>
      <c r="J184" s="85" t="str">
        <f>IF(B184="","",IFERROR(VLOOKUP(B184,'Coil Sheet at Plant'!$C:$M,10,FALSE),""))</f>
        <v/>
      </c>
      <c r="K184" s="69" t="str">
        <f>IF(B184="","",SUMIF(B:B,B184,G:G))</f>
        <v/>
      </c>
      <c r="L184" s="70" t="str">
        <f>IF(B184="","",IFERROR(VLOOKUP(B184,'Coil Sheet at Plant'!$C:$I,7,FALSE),""))</f>
        <v/>
      </c>
      <c r="M184" s="71" t="str">
        <f>IF(OR(K184="",L184=""),"",IF(L184=0,"⚠ NO PARENT WIDTH",IF(K184&gt;L184,"⚠ BABY &gt; PARENT","✔ OK")))</f>
        <v/>
      </c>
      <c r="N184" s="71" t="str">
        <f>IF(D184="","",IF(COUNTIF(D$3:D184,D184)&gt;1,"⚠ DUPLICATE",""))</f>
        <v/>
      </c>
      <c r="O184" s="72" t="str">
        <f>IF(B184="","",SUMIF(B:B,B184,G:G)&amp;" / "&amp;IFERROR(VLOOKUP(B184,'Coil Sheet at Plant'!$C:$I,7,FALSE),"?")&amp;" mm")</f>
        <v/>
      </c>
    </row>
    <row r="185" spans="1:15">
      <c r="A185" s="36"/>
      <c r="B185" s="32"/>
      <c r="C185" s="39"/>
      <c r="D185" s="44" t="str">
        <f>IF(OR(B185="",C185=""),"",CONCATENATE(B185,"-",C185))</f>
        <v/>
      </c>
      <c r="E185" s="49" t="str">
        <f>IF(B185="","",IFERROR(VLOOKUP(B185,'Coil Sheet at Plant'!$C:$G,5,FALSE),"ID Not Found"))</f>
        <v/>
      </c>
      <c r="F185" s="50" t="str">
        <f>IF(B185="","",IFERROR(VLOOKUP(B185,'Coil Sheet at Plant'!$C:$H,6,FALSE),"ID Not Found"))</f>
        <v/>
      </c>
      <c r="G185" s="81">
        <v>332</v>
      </c>
      <c r="H185" s="89" t="str">
        <f>IF(OR(B185="",G185=""),"",IFERROR(VLOOKUP(B185,'Coil Sheet at Plant'!$C:$J,8,FALSE),0)*G185/SUMIF(B:B,B185,G:G))</f>
        <v/>
      </c>
      <c r="I185" s="56" t="str">
        <f>IF(B185="","",IFERROR(VLOOKUP(B185,'Coil Sheet at Plant'!$C:$L,9,FALSE),""))</f>
        <v/>
      </c>
      <c r="J185" s="85" t="str">
        <f>IF(B185="","",IFERROR(VLOOKUP(B185,'Coil Sheet at Plant'!$C:$M,10,FALSE),""))</f>
        <v/>
      </c>
      <c r="K185" s="69" t="str">
        <f>IF(B185="","",SUMIF(B:B,B185,G:G))</f>
        <v/>
      </c>
      <c r="L185" s="70" t="str">
        <f>IF(B185="","",IFERROR(VLOOKUP(B185,'Coil Sheet at Plant'!$C:$I,7,FALSE),""))</f>
        <v/>
      </c>
      <c r="M185" s="71" t="str">
        <f>IF(OR(K185="",L185=""),"",IF(L185=0,"⚠ NO PARENT WIDTH",IF(K185&gt;L185,"⚠ BABY &gt; PARENT","✔ OK")))</f>
        <v/>
      </c>
      <c r="N185" s="71" t="str">
        <f>IF(D185="","",IF(COUNTIF(D$3:D185,D185)&gt;1,"⚠ DUPLICATE",""))</f>
        <v/>
      </c>
      <c r="O185" s="72" t="str">
        <f>IF(B185="","",SUMIF(B:B,B185,G:G)&amp;" / "&amp;IFERROR(VLOOKUP(B185,'Coil Sheet at Plant'!$C:$I,7,FALSE),"?")&amp;" mm")</f>
        <v/>
      </c>
    </row>
    <row r="186" spans="1:15">
      <c r="A186" s="36"/>
      <c r="B186" s="32"/>
      <c r="C186" s="39"/>
      <c r="D186" s="44" t="str">
        <f>IF(OR(B186="",C186=""),"",CONCATENATE(B186,"-",C186))</f>
        <v/>
      </c>
      <c r="E186" s="49" t="str">
        <f>IF(B186="","",IFERROR(VLOOKUP(B186,'Coil Sheet at Plant'!$C:$G,5,FALSE),"ID Not Found"))</f>
        <v/>
      </c>
      <c r="F186" s="50" t="str">
        <f>IF(B186="","",IFERROR(VLOOKUP(B186,'Coil Sheet at Plant'!$C:$H,6,FALSE),"ID Not Found"))</f>
        <v/>
      </c>
      <c r="G186" s="81">
        <v>333</v>
      </c>
      <c r="H186" s="89" t="str">
        <f>IF(OR(B186="",G186=""),"",IFERROR(VLOOKUP(B186,'Coil Sheet at Plant'!$C:$J,8,FALSE),0)*G186/SUMIF(B:B,B186,G:G))</f>
        <v/>
      </c>
      <c r="I186" s="56" t="str">
        <f>IF(B186="","",IFERROR(VLOOKUP(B186,'Coil Sheet at Plant'!$C:$L,9,FALSE),""))</f>
        <v/>
      </c>
      <c r="J186" s="85" t="str">
        <f>IF(B186="","",IFERROR(VLOOKUP(B186,'Coil Sheet at Plant'!$C:$M,10,FALSE),""))</f>
        <v/>
      </c>
      <c r="K186" s="69" t="str">
        <f>IF(B186="","",SUMIF(B:B,B186,G:G))</f>
        <v/>
      </c>
      <c r="L186" s="70" t="str">
        <f>IF(B186="","",IFERROR(VLOOKUP(B186,'Coil Sheet at Plant'!$C:$I,7,FALSE),""))</f>
        <v/>
      </c>
      <c r="M186" s="71" t="str">
        <f>IF(OR(K186="",L186=""),"",IF(L186=0,"⚠ NO PARENT WIDTH",IF(K186&gt;L186,"⚠ BABY &gt; PARENT","✔ OK")))</f>
        <v/>
      </c>
      <c r="N186" s="71" t="str">
        <f>IF(D186="","",IF(COUNTIF(D$3:D186,D186)&gt;1,"⚠ DUPLICATE",""))</f>
        <v/>
      </c>
      <c r="O186" s="72" t="str">
        <f>IF(B186="","",SUMIF(B:B,B186,G:G)&amp;" / "&amp;IFERROR(VLOOKUP(B186,'Coil Sheet at Plant'!$C:$I,7,FALSE),"?")&amp;" mm")</f>
        <v/>
      </c>
    </row>
    <row r="187" spans="1:15">
      <c r="A187" s="36"/>
      <c r="B187" s="32"/>
      <c r="C187" s="39"/>
      <c r="D187" s="44" t="str">
        <f>IF(OR(B187="",C187=""),"",CONCATENATE(B187,"-",C187))</f>
        <v/>
      </c>
      <c r="E187" s="49" t="str">
        <f>IF(B187="","",IFERROR(VLOOKUP(B187,'Coil Sheet at Plant'!$C:$G,5,FALSE),"ID Not Found"))</f>
        <v/>
      </c>
      <c r="F187" s="50" t="str">
        <f>IF(B187="","",IFERROR(VLOOKUP(B187,'Coil Sheet at Plant'!$C:$H,6,FALSE),"ID Not Found"))</f>
        <v/>
      </c>
      <c r="G187" s="81">
        <v>334</v>
      </c>
      <c r="H187" s="89" t="str">
        <f>IF(OR(B187="",G187=""),"",IFERROR(VLOOKUP(B187,'Coil Sheet at Plant'!$C:$J,8,FALSE),0)*G187/SUMIF(B:B,B187,G:G))</f>
        <v/>
      </c>
      <c r="I187" s="56" t="str">
        <f>IF(B187="","",IFERROR(VLOOKUP(B187,'Coil Sheet at Plant'!$C:$L,9,FALSE),""))</f>
        <v/>
      </c>
      <c r="J187" s="85" t="str">
        <f>IF(B187="","",IFERROR(VLOOKUP(B187,'Coil Sheet at Plant'!$C:$M,10,FALSE),""))</f>
        <v/>
      </c>
      <c r="K187" s="69" t="str">
        <f>IF(B187="","",SUMIF(B:B,B187,G:G))</f>
        <v/>
      </c>
      <c r="L187" s="70" t="str">
        <f>IF(B187="","",IFERROR(VLOOKUP(B187,'Coil Sheet at Plant'!$C:$I,7,FALSE),""))</f>
        <v/>
      </c>
      <c r="M187" s="71" t="str">
        <f>IF(OR(K187="",L187=""),"",IF(L187=0,"⚠ NO PARENT WIDTH",IF(K187&gt;L187,"⚠ BABY &gt; PARENT","✔ OK")))</f>
        <v/>
      </c>
      <c r="N187" s="71" t="str">
        <f>IF(D187="","",IF(COUNTIF(D$3:D187,D187)&gt;1,"⚠ DUPLICATE",""))</f>
        <v/>
      </c>
      <c r="O187" s="72" t="str">
        <f>IF(B187="","",SUMIF(B:B,B187,G:G)&amp;" / "&amp;IFERROR(VLOOKUP(B187,'Coil Sheet at Plant'!$C:$I,7,FALSE),"?")&amp;" mm")</f>
        <v/>
      </c>
    </row>
    <row r="188" spans="1:15">
      <c r="A188" s="36"/>
      <c r="B188" s="32"/>
      <c r="C188" s="39"/>
      <c r="D188" s="44" t="str">
        <f>IF(OR(B188="",C188=""),"",CONCATENATE(B188,"-",C188))</f>
        <v/>
      </c>
      <c r="E188" s="49" t="str">
        <f>IF(B188="","",IFERROR(VLOOKUP(B188,'Coil Sheet at Plant'!$C:$G,5,FALSE),"ID Not Found"))</f>
        <v/>
      </c>
      <c r="F188" s="50" t="str">
        <f>IF(B188="","",IFERROR(VLOOKUP(B188,'Coil Sheet at Plant'!$C:$H,6,FALSE),"ID Not Found"))</f>
        <v/>
      </c>
      <c r="G188" s="81">
        <v>335</v>
      </c>
      <c r="H188" s="89" t="str">
        <f>IF(OR(B188="",G188=""),"",IFERROR(VLOOKUP(B188,'Coil Sheet at Plant'!$C:$J,8,FALSE),0)*G188/SUMIF(B:B,B188,G:G))</f>
        <v/>
      </c>
      <c r="I188" s="56" t="str">
        <f>IF(B188="","",IFERROR(VLOOKUP(B188,'Coil Sheet at Plant'!$C:$L,9,FALSE),""))</f>
        <v/>
      </c>
      <c r="J188" s="85" t="str">
        <f>IF(B188="","",IFERROR(VLOOKUP(B188,'Coil Sheet at Plant'!$C:$M,10,FALSE),""))</f>
        <v/>
      </c>
      <c r="K188" s="69" t="str">
        <f>IF(B188="","",SUMIF(B:B,B188,G:G))</f>
        <v/>
      </c>
      <c r="L188" s="70" t="str">
        <f>IF(B188="","",IFERROR(VLOOKUP(B188,'Coil Sheet at Plant'!$C:$I,7,FALSE),""))</f>
        <v/>
      </c>
      <c r="M188" s="71" t="str">
        <f>IF(OR(K188="",L188=""),"",IF(L188=0,"⚠ NO PARENT WIDTH",IF(K188&gt;L188,"⚠ BABY &gt; PARENT","✔ OK")))</f>
        <v/>
      </c>
      <c r="N188" s="71" t="str">
        <f>IF(D188="","",IF(COUNTIF(D$3:D188,D188)&gt;1,"⚠ DUPLICATE",""))</f>
        <v/>
      </c>
      <c r="O188" s="72" t="str">
        <f>IF(B188="","",SUMIF(B:B,B188,G:G)&amp;" / "&amp;IFERROR(VLOOKUP(B188,'Coil Sheet at Plant'!$C:$I,7,FALSE),"?")&amp;" mm")</f>
        <v/>
      </c>
    </row>
    <row r="189" spans="1:15">
      <c r="A189" s="36"/>
      <c r="B189" s="32"/>
      <c r="C189" s="39"/>
      <c r="D189" s="44" t="str">
        <f>IF(OR(B189="",C189=""),"",CONCATENATE(B189,"-",C189))</f>
        <v/>
      </c>
      <c r="E189" s="49" t="str">
        <f>IF(B189="","",IFERROR(VLOOKUP(B189,'Coil Sheet at Plant'!$C:$G,5,FALSE),"ID Not Found"))</f>
        <v/>
      </c>
      <c r="F189" s="50" t="str">
        <f>IF(B189="","",IFERROR(VLOOKUP(B189,'Coil Sheet at Plant'!$C:$H,6,FALSE),"ID Not Found"))</f>
        <v/>
      </c>
      <c r="G189" s="81">
        <v>336</v>
      </c>
      <c r="H189" s="89" t="str">
        <f>IF(OR(B189="",G189=""),"",IFERROR(VLOOKUP(B189,'Coil Sheet at Plant'!$C:$J,8,FALSE),0)*G189/SUMIF(B:B,B189,G:G))</f>
        <v/>
      </c>
      <c r="I189" s="56" t="str">
        <f>IF(B189="","",IFERROR(VLOOKUP(B189,'Coil Sheet at Plant'!$C:$L,9,FALSE),""))</f>
        <v/>
      </c>
      <c r="J189" s="85" t="str">
        <f>IF(B189="","",IFERROR(VLOOKUP(B189,'Coil Sheet at Plant'!$C:$M,10,FALSE),""))</f>
        <v/>
      </c>
      <c r="K189" s="69" t="str">
        <f>IF(B189="","",SUMIF(B:B,B189,G:G))</f>
        <v/>
      </c>
      <c r="L189" s="70" t="str">
        <f>IF(B189="","",IFERROR(VLOOKUP(B189,'Coil Sheet at Plant'!$C:$I,7,FALSE),""))</f>
        <v/>
      </c>
      <c r="M189" s="71" t="str">
        <f>IF(OR(K189="",L189=""),"",IF(L189=0,"⚠ NO PARENT WIDTH",IF(K189&gt;L189,"⚠ BABY &gt; PARENT","✔ OK")))</f>
        <v/>
      </c>
      <c r="N189" s="71" t="str">
        <f>IF(D189="","",IF(COUNTIF(D$3:D189,D189)&gt;1,"⚠ DUPLICATE",""))</f>
        <v/>
      </c>
      <c r="O189" s="72" t="str">
        <f>IF(B189="","",SUMIF(B:B,B189,G:G)&amp;" / "&amp;IFERROR(VLOOKUP(B189,'Coil Sheet at Plant'!$C:$I,7,FALSE),"?")&amp;" mm")</f>
        <v/>
      </c>
    </row>
    <row r="190" spans="1:15">
      <c r="A190" s="36"/>
      <c r="B190" s="32"/>
      <c r="C190" s="39"/>
      <c r="D190" s="44" t="str">
        <f>IF(OR(B190="",C190=""),"",CONCATENATE(B190,"-",C190))</f>
        <v/>
      </c>
      <c r="E190" s="49" t="str">
        <f>IF(B190="","",IFERROR(VLOOKUP(B190,'Coil Sheet at Plant'!$C:$G,5,FALSE),"ID Not Found"))</f>
        <v/>
      </c>
      <c r="F190" s="50" t="str">
        <f>IF(B190="","",IFERROR(VLOOKUP(B190,'Coil Sheet at Plant'!$C:$H,6,FALSE),"ID Not Found"))</f>
        <v/>
      </c>
      <c r="G190" s="81">
        <v>337</v>
      </c>
      <c r="H190" s="89" t="str">
        <f>IF(OR(B190="",G190=""),"",IFERROR(VLOOKUP(B190,'Coil Sheet at Plant'!$C:$J,8,FALSE),0)*G190/SUMIF(B:B,B190,G:G))</f>
        <v/>
      </c>
      <c r="I190" s="56" t="str">
        <f>IF(B190="","",IFERROR(VLOOKUP(B190,'Coil Sheet at Plant'!$C:$L,9,FALSE),""))</f>
        <v/>
      </c>
      <c r="J190" s="85" t="str">
        <f>IF(B190="","",IFERROR(VLOOKUP(B190,'Coil Sheet at Plant'!$C:$M,10,FALSE),""))</f>
        <v/>
      </c>
      <c r="K190" s="69" t="str">
        <f>IF(B190="","",SUMIF(B:B,B190,G:G))</f>
        <v/>
      </c>
      <c r="L190" s="70" t="str">
        <f>IF(B190="","",IFERROR(VLOOKUP(B190,'Coil Sheet at Plant'!$C:$I,7,FALSE),""))</f>
        <v/>
      </c>
      <c r="M190" s="71" t="str">
        <f>IF(OR(K190="",L190=""),"",IF(L190=0,"⚠ NO PARENT WIDTH",IF(K190&gt;L190,"⚠ BABY &gt; PARENT","✔ OK")))</f>
        <v/>
      </c>
      <c r="N190" s="71" t="str">
        <f>IF(D190="","",IF(COUNTIF(D$3:D190,D190)&gt;1,"⚠ DUPLICATE",""))</f>
        <v/>
      </c>
      <c r="O190" s="72" t="str">
        <f>IF(B190="","",SUMIF(B:B,B190,G:G)&amp;" / "&amp;IFERROR(VLOOKUP(B190,'Coil Sheet at Plant'!$C:$I,7,FALSE),"?")&amp;" mm")</f>
        <v/>
      </c>
    </row>
    <row r="191" spans="1:15">
      <c r="A191" s="36"/>
      <c r="B191" s="32"/>
      <c r="C191" s="39"/>
      <c r="D191" s="44" t="str">
        <f>IF(OR(B191="",C191=""),"",CONCATENATE(B191,"-",C191))</f>
        <v/>
      </c>
      <c r="E191" s="49" t="str">
        <f>IF(B191="","",IFERROR(VLOOKUP(B191,'Coil Sheet at Plant'!$C:$G,5,FALSE),"ID Not Found"))</f>
        <v/>
      </c>
      <c r="F191" s="50" t="str">
        <f>IF(B191="","",IFERROR(VLOOKUP(B191,'Coil Sheet at Plant'!$C:$H,6,FALSE),"ID Not Found"))</f>
        <v/>
      </c>
      <c r="G191" s="81">
        <v>338</v>
      </c>
      <c r="H191" s="89" t="str">
        <f>IF(OR(B191="",G191=""),"",IFERROR(VLOOKUP(B191,'Coil Sheet at Plant'!$C:$J,8,FALSE),0)*G191/SUMIF(B:B,B191,G:G))</f>
        <v/>
      </c>
      <c r="I191" s="56" t="str">
        <f>IF(B191="","",IFERROR(VLOOKUP(B191,'Coil Sheet at Plant'!$C:$L,9,FALSE),""))</f>
        <v/>
      </c>
      <c r="J191" s="85" t="str">
        <f>IF(B191="","",IFERROR(VLOOKUP(B191,'Coil Sheet at Plant'!$C:$M,10,FALSE),""))</f>
        <v/>
      </c>
      <c r="K191" s="69" t="str">
        <f>IF(B191="","",SUMIF(B:B,B191,G:G))</f>
        <v/>
      </c>
      <c r="L191" s="70" t="str">
        <f>IF(B191="","",IFERROR(VLOOKUP(B191,'Coil Sheet at Plant'!$C:$I,7,FALSE),""))</f>
        <v/>
      </c>
      <c r="M191" s="71" t="str">
        <f>IF(OR(K191="",L191=""),"",IF(L191=0,"⚠ NO PARENT WIDTH",IF(K191&gt;L191,"⚠ BABY &gt; PARENT","✔ OK")))</f>
        <v/>
      </c>
      <c r="N191" s="71" t="str">
        <f>IF(D191="","",IF(COUNTIF(D$3:D191,D191)&gt;1,"⚠ DUPLICATE",""))</f>
        <v/>
      </c>
      <c r="O191" s="72" t="str">
        <f>IF(B191="","",SUMIF(B:B,B191,G:G)&amp;" / "&amp;IFERROR(VLOOKUP(B191,'Coil Sheet at Plant'!$C:$I,7,FALSE),"?")&amp;" mm")</f>
        <v/>
      </c>
    </row>
    <row r="192" spans="1:15">
      <c r="A192" s="36"/>
      <c r="B192" s="32"/>
      <c r="C192" s="39"/>
      <c r="D192" s="44" t="str">
        <f>IF(OR(B192="",C192=""),"",CONCATENATE(B192,"-",C192))</f>
        <v/>
      </c>
      <c r="E192" s="49" t="str">
        <f>IF(B192="","",IFERROR(VLOOKUP(B192,'Coil Sheet at Plant'!$C:$G,5,FALSE),"ID Not Found"))</f>
        <v/>
      </c>
      <c r="F192" s="50" t="str">
        <f>IF(B192="","",IFERROR(VLOOKUP(B192,'Coil Sheet at Plant'!$C:$H,6,FALSE),"ID Not Found"))</f>
        <v/>
      </c>
      <c r="G192" s="81">
        <v>339</v>
      </c>
      <c r="H192" s="89" t="str">
        <f>IF(OR(B192="",G192=""),"",IFERROR(VLOOKUP(B192,'Coil Sheet at Plant'!$C:$J,8,FALSE),0)*G192/SUMIF(B:B,B192,G:G))</f>
        <v/>
      </c>
      <c r="I192" s="56" t="str">
        <f>IF(B192="","",IFERROR(VLOOKUP(B192,'Coil Sheet at Plant'!$C:$L,9,FALSE),""))</f>
        <v/>
      </c>
      <c r="J192" s="85" t="str">
        <f>IF(B192="","",IFERROR(VLOOKUP(B192,'Coil Sheet at Plant'!$C:$M,10,FALSE),""))</f>
        <v/>
      </c>
      <c r="K192" s="69" t="str">
        <f>IF(B192="","",SUMIF(B:B,B192,G:G))</f>
        <v/>
      </c>
      <c r="L192" s="70" t="str">
        <f>IF(B192="","",IFERROR(VLOOKUP(B192,'Coil Sheet at Plant'!$C:$I,7,FALSE),""))</f>
        <v/>
      </c>
      <c r="M192" s="71" t="str">
        <f>IF(OR(K192="",L192=""),"",IF(L192=0,"⚠ NO PARENT WIDTH",IF(K192&gt;L192,"⚠ BABY &gt; PARENT","✔ OK")))</f>
        <v/>
      </c>
      <c r="N192" s="71" t="str">
        <f>IF(D192="","",IF(COUNTIF(D$3:D192,D192)&gt;1,"⚠ DUPLICATE",""))</f>
        <v/>
      </c>
      <c r="O192" s="72" t="str">
        <f>IF(B192="","",SUMIF(B:B,B192,G:G)&amp;" / "&amp;IFERROR(VLOOKUP(B192,'Coil Sheet at Plant'!$C:$I,7,FALSE),"?")&amp;" mm")</f>
        <v/>
      </c>
    </row>
    <row r="193" spans="1:15">
      <c r="A193" s="36"/>
      <c r="B193" s="32"/>
      <c r="C193" s="39"/>
      <c r="D193" s="44" t="str">
        <f>IF(OR(B193="",C193=""),"",CONCATENATE(B193,"-",C193))</f>
        <v/>
      </c>
      <c r="E193" s="49" t="str">
        <f>IF(B193="","",IFERROR(VLOOKUP(B193,'Coil Sheet at Plant'!$C:$G,5,FALSE),"ID Not Found"))</f>
        <v/>
      </c>
      <c r="F193" s="50" t="str">
        <f>IF(B193="","",IFERROR(VLOOKUP(B193,'Coil Sheet at Plant'!$C:$H,6,FALSE),"ID Not Found"))</f>
        <v/>
      </c>
      <c r="G193" s="81">
        <v>340</v>
      </c>
      <c r="H193" s="89" t="str">
        <f>IF(OR(B193="",G193=""),"",IFERROR(VLOOKUP(B193,'Coil Sheet at Plant'!$C:$J,8,FALSE),0)*G193/SUMIF(B:B,B193,G:G))</f>
        <v/>
      </c>
      <c r="I193" s="56" t="str">
        <f>IF(B193="","",IFERROR(VLOOKUP(B193,'Coil Sheet at Plant'!$C:$L,9,FALSE),""))</f>
        <v/>
      </c>
      <c r="J193" s="85" t="str">
        <f>IF(B193="","",IFERROR(VLOOKUP(B193,'Coil Sheet at Plant'!$C:$M,10,FALSE),""))</f>
        <v/>
      </c>
      <c r="K193" s="69" t="str">
        <f>IF(B193="","",SUMIF(B:B,B193,G:G))</f>
        <v/>
      </c>
      <c r="L193" s="70" t="str">
        <f>IF(B193="","",IFERROR(VLOOKUP(B193,'Coil Sheet at Plant'!$C:$I,7,FALSE),""))</f>
        <v/>
      </c>
      <c r="M193" s="71" t="str">
        <f>IF(OR(K193="",L193=""),"",IF(L193=0,"⚠ NO PARENT WIDTH",IF(K193&gt;L193,"⚠ BABY &gt; PARENT","✔ OK")))</f>
        <v/>
      </c>
      <c r="N193" s="71" t="str">
        <f>IF(D193="","",IF(COUNTIF(D$3:D193,D193)&gt;1,"⚠ DUPLICATE",""))</f>
        <v/>
      </c>
      <c r="O193" s="72" t="str">
        <f>IF(B193="","",SUMIF(B:B,B193,G:G)&amp;" / "&amp;IFERROR(VLOOKUP(B193,'Coil Sheet at Plant'!$C:$I,7,FALSE),"?")&amp;" mm")</f>
        <v/>
      </c>
    </row>
    <row r="194" spans="1:15">
      <c r="A194" s="36"/>
      <c r="B194" s="32"/>
      <c r="C194" s="39"/>
      <c r="D194" s="44" t="str">
        <f>IF(OR(B194="",C194=""),"",CONCATENATE(B194,"-",C194))</f>
        <v/>
      </c>
      <c r="E194" s="49" t="str">
        <f>IF(B194="","",IFERROR(VLOOKUP(B194,'Coil Sheet at Plant'!$C:$G,5,FALSE),"ID Not Found"))</f>
        <v/>
      </c>
      <c r="F194" s="50" t="str">
        <f>IF(B194="","",IFERROR(VLOOKUP(B194,'Coil Sheet at Plant'!$C:$H,6,FALSE),"ID Not Found"))</f>
        <v/>
      </c>
      <c r="G194" s="81">
        <v>341</v>
      </c>
      <c r="H194" s="89" t="str">
        <f>IF(OR(B194="",G194=""),"",IFERROR(VLOOKUP(B194,'Coil Sheet at Plant'!$C:$J,8,FALSE),0)*G194/SUMIF(B:B,B194,G:G))</f>
        <v/>
      </c>
      <c r="I194" s="56" t="str">
        <f>IF(B194="","",IFERROR(VLOOKUP(B194,'Coil Sheet at Plant'!$C:$L,9,FALSE),""))</f>
        <v/>
      </c>
      <c r="J194" s="85" t="str">
        <f>IF(B194="","",IFERROR(VLOOKUP(B194,'Coil Sheet at Plant'!$C:$M,10,FALSE),""))</f>
        <v/>
      </c>
      <c r="K194" s="69" t="str">
        <f>IF(B194="","",SUMIF(B:B,B194,G:G))</f>
        <v/>
      </c>
      <c r="L194" s="70" t="str">
        <f>IF(B194="","",IFERROR(VLOOKUP(B194,'Coil Sheet at Plant'!$C:$I,7,FALSE),""))</f>
        <v/>
      </c>
      <c r="M194" s="71" t="str">
        <f>IF(OR(K194="",L194=""),"",IF(L194=0,"⚠ NO PARENT WIDTH",IF(K194&gt;L194,"⚠ BABY &gt; PARENT","✔ OK")))</f>
        <v/>
      </c>
      <c r="N194" s="71" t="str">
        <f>IF(D194="","",IF(COUNTIF(D$3:D194,D194)&gt;1,"⚠ DUPLICATE",""))</f>
        <v/>
      </c>
      <c r="O194" s="72" t="str">
        <f>IF(B194="","",SUMIF(B:B,B194,G:G)&amp;" / "&amp;IFERROR(VLOOKUP(B194,'Coil Sheet at Plant'!$C:$I,7,FALSE),"?")&amp;" mm")</f>
        <v/>
      </c>
    </row>
    <row r="195" spans="1:15">
      <c r="A195" s="36"/>
      <c r="B195" s="32"/>
      <c r="C195" s="39"/>
      <c r="D195" s="44" t="str">
        <f>IF(OR(B195="",C195=""),"",CONCATENATE(B195,"-",C195))</f>
        <v/>
      </c>
      <c r="E195" s="49" t="str">
        <f>IF(B195="","",IFERROR(VLOOKUP(B195,'Coil Sheet at Plant'!$C:$G,5,FALSE),"ID Not Found"))</f>
        <v/>
      </c>
      <c r="F195" s="50" t="str">
        <f>IF(B195="","",IFERROR(VLOOKUP(B195,'Coil Sheet at Plant'!$C:$H,6,FALSE),"ID Not Found"))</f>
        <v/>
      </c>
      <c r="G195" s="81">
        <v>342</v>
      </c>
      <c r="H195" s="89" t="str">
        <f>IF(OR(B195="",G195=""),"",IFERROR(VLOOKUP(B195,'Coil Sheet at Plant'!$C:$J,8,FALSE),0)*G195/SUMIF(B:B,B195,G:G))</f>
        <v/>
      </c>
      <c r="I195" s="56" t="str">
        <f>IF(B195="","",IFERROR(VLOOKUP(B195,'Coil Sheet at Plant'!$C:$L,9,FALSE),""))</f>
        <v/>
      </c>
      <c r="J195" s="85" t="str">
        <f>IF(B195="","",IFERROR(VLOOKUP(B195,'Coil Sheet at Plant'!$C:$M,10,FALSE),""))</f>
        <v/>
      </c>
      <c r="K195" s="69" t="str">
        <f>IF(B195="","",SUMIF(B:B,B195,G:G))</f>
        <v/>
      </c>
      <c r="L195" s="70" t="str">
        <f>IF(B195="","",IFERROR(VLOOKUP(B195,'Coil Sheet at Plant'!$C:$I,7,FALSE),""))</f>
        <v/>
      </c>
      <c r="M195" s="71" t="str">
        <f>IF(OR(K195="",L195=""),"",IF(L195=0,"⚠ NO PARENT WIDTH",IF(K195&gt;L195,"⚠ BABY &gt; PARENT","✔ OK")))</f>
        <v/>
      </c>
      <c r="N195" s="71" t="str">
        <f>IF(D195="","",IF(COUNTIF(D$3:D195,D195)&gt;1,"⚠ DUPLICATE",""))</f>
        <v/>
      </c>
      <c r="O195" s="72" t="str">
        <f>IF(B195="","",SUMIF(B:B,B195,G:G)&amp;" / "&amp;IFERROR(VLOOKUP(B195,'Coil Sheet at Plant'!$C:$I,7,FALSE),"?")&amp;" mm")</f>
        <v/>
      </c>
    </row>
    <row r="196" spans="1:15">
      <c r="A196" s="36"/>
      <c r="B196" s="32"/>
      <c r="C196" s="39"/>
      <c r="D196" s="44" t="str">
        <f>IF(OR(B196="",C196=""),"",CONCATENATE(B196,"-",C196))</f>
        <v/>
      </c>
      <c r="E196" s="49" t="str">
        <f>IF(B196="","",IFERROR(VLOOKUP(B196,'Coil Sheet at Plant'!$C:$G,5,FALSE),"ID Not Found"))</f>
        <v/>
      </c>
      <c r="F196" s="50" t="str">
        <f>IF(B196="","",IFERROR(VLOOKUP(B196,'Coil Sheet at Plant'!$C:$H,6,FALSE),"ID Not Found"))</f>
        <v/>
      </c>
      <c r="G196" s="81">
        <v>343</v>
      </c>
      <c r="H196" s="89" t="str">
        <f>IF(OR(B196="",G196=""),"",IFERROR(VLOOKUP(B196,'Coil Sheet at Plant'!$C:$J,8,FALSE),0)*G196/SUMIF(B:B,B196,G:G))</f>
        <v/>
      </c>
      <c r="I196" s="56" t="str">
        <f>IF(B196="","",IFERROR(VLOOKUP(B196,'Coil Sheet at Plant'!$C:$L,9,FALSE),""))</f>
        <v/>
      </c>
      <c r="J196" s="85" t="str">
        <f>IF(B196="","",IFERROR(VLOOKUP(B196,'Coil Sheet at Plant'!$C:$M,10,FALSE),""))</f>
        <v/>
      </c>
      <c r="K196" s="69" t="str">
        <f>IF(B196="","",SUMIF(B:B,B196,G:G))</f>
        <v/>
      </c>
      <c r="L196" s="70" t="str">
        <f>IF(B196="","",IFERROR(VLOOKUP(B196,'Coil Sheet at Plant'!$C:$I,7,FALSE),""))</f>
        <v/>
      </c>
      <c r="M196" s="71" t="str">
        <f>IF(OR(K196="",L196=""),"",IF(L196=0,"⚠ NO PARENT WIDTH",IF(K196&gt;L196,"⚠ BABY &gt; PARENT","✔ OK")))</f>
        <v/>
      </c>
      <c r="N196" s="71" t="str">
        <f>IF(D196="","",IF(COUNTIF(D$3:D196,D196)&gt;1,"⚠ DUPLICATE",""))</f>
        <v/>
      </c>
      <c r="O196" s="72" t="str">
        <f>IF(B196="","",SUMIF(B:B,B196,G:G)&amp;" / "&amp;IFERROR(VLOOKUP(B196,'Coil Sheet at Plant'!$C:$I,7,FALSE),"?")&amp;" mm")</f>
        <v/>
      </c>
    </row>
    <row r="197" spans="1:15">
      <c r="A197" s="36"/>
      <c r="B197" s="32"/>
      <c r="C197" s="39"/>
      <c r="D197" s="44" t="str">
        <f>IF(OR(B197="",C197=""),"",CONCATENATE(B197,"-",C197))</f>
        <v/>
      </c>
      <c r="E197" s="49" t="str">
        <f>IF(B197="","",IFERROR(VLOOKUP(B197,'Coil Sheet at Plant'!$C:$G,5,FALSE),"ID Not Found"))</f>
        <v/>
      </c>
      <c r="F197" s="50" t="str">
        <f>IF(B197="","",IFERROR(VLOOKUP(B197,'Coil Sheet at Plant'!$C:$H,6,FALSE),"ID Not Found"))</f>
        <v/>
      </c>
      <c r="G197" s="81">
        <v>344</v>
      </c>
      <c r="H197" s="89" t="str">
        <f>IF(OR(B197="",G197=""),"",IFERROR(VLOOKUP(B197,'Coil Sheet at Plant'!$C:$J,8,FALSE),0)*G197/SUMIF(B:B,B197,G:G))</f>
        <v/>
      </c>
      <c r="I197" s="56" t="str">
        <f>IF(B197="","",IFERROR(VLOOKUP(B197,'Coil Sheet at Plant'!$C:$L,9,FALSE),""))</f>
        <v/>
      </c>
      <c r="J197" s="85" t="str">
        <f>IF(B197="","",IFERROR(VLOOKUP(B197,'Coil Sheet at Plant'!$C:$M,10,FALSE),""))</f>
        <v/>
      </c>
      <c r="K197" s="69" t="str">
        <f>IF(B197="","",SUMIF(B:B,B197,G:G))</f>
        <v/>
      </c>
      <c r="L197" s="70" t="str">
        <f>IF(B197="","",IFERROR(VLOOKUP(B197,'Coil Sheet at Plant'!$C:$I,7,FALSE),""))</f>
        <v/>
      </c>
      <c r="M197" s="71" t="str">
        <f>IF(OR(K197="",L197=""),"",IF(L197=0,"⚠ NO PARENT WIDTH",IF(K197&gt;L197,"⚠ BABY &gt; PARENT","✔ OK")))</f>
        <v/>
      </c>
      <c r="N197" s="71" t="str">
        <f>IF(D197="","",IF(COUNTIF(D$3:D197,D197)&gt;1,"⚠ DUPLICATE",""))</f>
        <v/>
      </c>
      <c r="O197" s="72" t="str">
        <f>IF(B197="","",SUMIF(B:B,B197,G:G)&amp;" / "&amp;IFERROR(VLOOKUP(B197,'Coil Sheet at Plant'!$C:$I,7,FALSE),"?")&amp;" mm")</f>
        <v/>
      </c>
    </row>
    <row r="198" spans="1:15">
      <c r="A198" s="36"/>
      <c r="B198" s="32"/>
      <c r="C198" s="39"/>
      <c r="D198" s="44" t="str">
        <f>IF(OR(B198="",C198=""),"",CONCATENATE(B198,"-",C198))</f>
        <v/>
      </c>
      <c r="E198" s="49" t="str">
        <f>IF(B198="","",IFERROR(VLOOKUP(B198,'Coil Sheet at Plant'!$C:$G,5,FALSE),"ID Not Found"))</f>
        <v/>
      </c>
      <c r="F198" s="50" t="str">
        <f>IF(B198="","",IFERROR(VLOOKUP(B198,'Coil Sheet at Plant'!$C:$H,6,FALSE),"ID Not Found"))</f>
        <v/>
      </c>
      <c r="G198" s="81">
        <v>345</v>
      </c>
      <c r="H198" s="89" t="str">
        <f>IF(OR(B198="",G198=""),"",IFERROR(VLOOKUP(B198,'Coil Sheet at Plant'!$C:$J,8,FALSE),0)*G198/SUMIF(B:B,B198,G:G))</f>
        <v/>
      </c>
      <c r="I198" s="56" t="str">
        <f>IF(B198="","",IFERROR(VLOOKUP(B198,'Coil Sheet at Plant'!$C:$L,9,FALSE),""))</f>
        <v/>
      </c>
      <c r="J198" s="85" t="str">
        <f>IF(B198="","",IFERROR(VLOOKUP(B198,'Coil Sheet at Plant'!$C:$M,10,FALSE),""))</f>
        <v/>
      </c>
      <c r="K198" s="69" t="str">
        <f>IF(B198="","",SUMIF(B:B,B198,G:G))</f>
        <v/>
      </c>
      <c r="L198" s="70" t="str">
        <f>IF(B198="","",IFERROR(VLOOKUP(B198,'Coil Sheet at Plant'!$C:$I,7,FALSE),""))</f>
        <v/>
      </c>
      <c r="M198" s="71" t="str">
        <f>IF(OR(K198="",L198=""),"",IF(L198=0,"⚠ NO PARENT WIDTH",IF(K198&gt;L198,"⚠ BABY &gt; PARENT","✔ OK")))</f>
        <v/>
      </c>
      <c r="N198" s="71" t="str">
        <f>IF(D198="","",IF(COUNTIF(D$3:D198,D198)&gt;1,"⚠ DUPLICATE",""))</f>
        <v/>
      </c>
      <c r="O198" s="72" t="str">
        <f>IF(B198="","",SUMIF(B:B,B198,G:G)&amp;" / "&amp;IFERROR(VLOOKUP(B198,'Coil Sheet at Plant'!$C:$I,7,FALSE),"?")&amp;" mm")</f>
        <v/>
      </c>
    </row>
    <row r="199" spans="1:15">
      <c r="A199" s="36"/>
      <c r="B199" s="32"/>
      <c r="C199" s="39"/>
      <c r="D199" s="44" t="str">
        <f>IF(OR(B199="",C199=""),"",CONCATENATE(B199,"-",C199))</f>
        <v/>
      </c>
      <c r="E199" s="49" t="str">
        <f>IF(B199="","",IFERROR(VLOOKUP(B199,'Coil Sheet at Plant'!$C:$G,5,FALSE),"ID Not Found"))</f>
        <v/>
      </c>
      <c r="F199" s="50" t="str">
        <f>IF(B199="","",IFERROR(VLOOKUP(B199,'Coil Sheet at Plant'!$C:$H,6,FALSE),"ID Not Found"))</f>
        <v/>
      </c>
      <c r="G199" s="81">
        <v>346</v>
      </c>
      <c r="H199" s="89" t="str">
        <f>IF(OR(B199="",G199=""),"",IFERROR(VLOOKUP(B199,'Coil Sheet at Plant'!$C:$J,8,FALSE),0)*G199/SUMIF(B:B,B199,G:G))</f>
        <v/>
      </c>
      <c r="I199" s="56" t="str">
        <f>IF(B199="","",IFERROR(VLOOKUP(B199,'Coil Sheet at Plant'!$C:$L,9,FALSE),""))</f>
        <v/>
      </c>
      <c r="J199" s="85" t="str">
        <f>IF(B199="","",IFERROR(VLOOKUP(B199,'Coil Sheet at Plant'!$C:$M,10,FALSE),""))</f>
        <v/>
      </c>
      <c r="K199" s="69" t="str">
        <f>IF(B199="","",SUMIF(B:B,B199,G:G))</f>
        <v/>
      </c>
      <c r="L199" s="70" t="str">
        <f>IF(B199="","",IFERROR(VLOOKUP(B199,'Coil Sheet at Plant'!$C:$I,7,FALSE),""))</f>
        <v/>
      </c>
      <c r="M199" s="71" t="str">
        <f>IF(OR(K199="",L199=""),"",IF(L199=0,"⚠ NO PARENT WIDTH",IF(K199&gt;L199,"⚠ BABY &gt; PARENT","✔ OK")))</f>
        <v/>
      </c>
      <c r="N199" s="71" t="str">
        <f>IF(D199="","",IF(COUNTIF(D$3:D199,D199)&gt;1,"⚠ DUPLICATE",""))</f>
        <v/>
      </c>
      <c r="O199" s="72" t="str">
        <f>IF(B199="","",SUMIF(B:B,B199,G:G)&amp;" / "&amp;IFERROR(VLOOKUP(B199,'Coil Sheet at Plant'!$C:$I,7,FALSE),"?")&amp;" mm")</f>
        <v/>
      </c>
    </row>
    <row r="200" spans="1:15">
      <c r="A200" s="36"/>
      <c r="B200" s="32"/>
      <c r="C200" s="39"/>
      <c r="D200" s="44" t="str">
        <f>IF(OR(B200="",C200=""),"",CONCATENATE(B200,"-",C200))</f>
        <v/>
      </c>
      <c r="E200" s="49" t="str">
        <f>IF(B200="","",IFERROR(VLOOKUP(B200,'Coil Sheet at Plant'!$C:$G,5,FALSE),"ID Not Found"))</f>
        <v/>
      </c>
      <c r="F200" s="50" t="str">
        <f>IF(B200="","",IFERROR(VLOOKUP(B200,'Coil Sheet at Plant'!$C:$H,6,FALSE),"ID Not Found"))</f>
        <v/>
      </c>
      <c r="G200" s="81">
        <v>347</v>
      </c>
      <c r="H200" s="89" t="str">
        <f>IF(OR(B200="",G200=""),"",IFERROR(VLOOKUP(B200,'Coil Sheet at Plant'!$C:$J,8,FALSE),0)*G200/SUMIF(B:B,B200,G:G))</f>
        <v/>
      </c>
      <c r="I200" s="56" t="str">
        <f>IF(B200="","",IFERROR(VLOOKUP(B200,'Coil Sheet at Plant'!$C:$L,9,FALSE),""))</f>
        <v/>
      </c>
      <c r="J200" s="85" t="str">
        <f>IF(B200="","",IFERROR(VLOOKUP(B200,'Coil Sheet at Plant'!$C:$M,10,FALSE),""))</f>
        <v/>
      </c>
      <c r="K200" s="69" t="str">
        <f>IF(B200="","",SUMIF(B:B,B200,G:G))</f>
        <v/>
      </c>
      <c r="L200" s="70" t="str">
        <f>IF(B200="","",IFERROR(VLOOKUP(B200,'Coil Sheet at Plant'!$C:$I,7,FALSE),""))</f>
        <v/>
      </c>
      <c r="M200" s="71" t="str">
        <f>IF(OR(K200="",L200=""),"",IF(L200=0,"⚠ NO PARENT WIDTH",IF(K200&gt;L200,"⚠ BABY &gt; PARENT","✔ OK")))</f>
        <v/>
      </c>
      <c r="N200" s="71" t="str">
        <f>IF(D200="","",IF(COUNTIF(D$3:D200,D200)&gt;1,"⚠ DUPLICATE",""))</f>
        <v/>
      </c>
      <c r="O200" s="72" t="str">
        <f>IF(B200="","",SUMIF(B:B,B200,G:G)&amp;" / "&amp;IFERROR(VLOOKUP(B200,'Coil Sheet at Plant'!$C:$I,7,FALSE),"?")&amp;" mm")</f>
        <v/>
      </c>
    </row>
    <row r="201" spans="1:15">
      <c r="A201" s="36"/>
      <c r="B201" s="32"/>
      <c r="C201" s="39"/>
      <c r="D201" s="44" t="str">
        <f>IF(OR(B201="",C201=""),"",CONCATENATE(B201,"-",C201))</f>
        <v/>
      </c>
      <c r="E201" s="49" t="str">
        <f>IF(B201="","",IFERROR(VLOOKUP(B201,'Coil Sheet at Plant'!$C:$G,5,FALSE),"ID Not Found"))</f>
        <v/>
      </c>
      <c r="F201" s="50" t="str">
        <f>IF(B201="","",IFERROR(VLOOKUP(B201,'Coil Sheet at Plant'!$C:$H,6,FALSE),"ID Not Found"))</f>
        <v/>
      </c>
      <c r="G201" s="81">
        <v>348</v>
      </c>
      <c r="H201" s="89" t="str">
        <f>IF(OR(B201="",G201=""),"",IFERROR(VLOOKUP(B201,'Coil Sheet at Plant'!$C:$J,8,FALSE),0)*G201/SUMIF(B:B,B201,G:G))</f>
        <v/>
      </c>
      <c r="I201" s="56" t="str">
        <f>IF(B201="","",IFERROR(VLOOKUP(B201,'Coil Sheet at Plant'!$C:$L,9,FALSE),""))</f>
        <v/>
      </c>
      <c r="J201" s="85" t="str">
        <f>IF(B201="","",IFERROR(VLOOKUP(B201,'Coil Sheet at Plant'!$C:$M,10,FALSE),""))</f>
        <v/>
      </c>
      <c r="K201" s="69" t="str">
        <f>IF(B201="","",SUMIF(B:B,B201,G:G))</f>
        <v/>
      </c>
      <c r="L201" s="70" t="str">
        <f>IF(B201="","",IFERROR(VLOOKUP(B201,'Coil Sheet at Plant'!$C:$I,7,FALSE),""))</f>
        <v/>
      </c>
      <c r="M201" s="71" t="str">
        <f>IF(OR(K201="",L201=""),"",IF(L201=0,"⚠ NO PARENT WIDTH",IF(K201&gt;L201,"⚠ BABY &gt; PARENT","✔ OK")))</f>
        <v/>
      </c>
      <c r="N201" s="71" t="str">
        <f>IF(D201="","",IF(COUNTIF(D$3:D201,D201)&gt;1,"⚠ DUPLICATE",""))</f>
        <v/>
      </c>
      <c r="O201" s="72" t="str">
        <f>IF(B201="","",SUMIF(B:B,B201,G:G)&amp;" / "&amp;IFERROR(VLOOKUP(B201,'Coil Sheet at Plant'!$C:$I,7,FALSE),"?")&amp;" mm")</f>
        <v/>
      </c>
    </row>
    <row r="202" spans="1:15">
      <c r="A202" s="36"/>
      <c r="B202" s="32"/>
      <c r="C202" s="39"/>
      <c r="D202" s="44" t="str">
        <f>IF(OR(B202="",C202=""),"",CONCATENATE(B202,"-",C202))</f>
        <v/>
      </c>
      <c r="E202" s="49" t="str">
        <f>IF(B202="","",IFERROR(VLOOKUP(B202,'Coil Sheet at Plant'!$C:$G,5,FALSE),"ID Not Found"))</f>
        <v/>
      </c>
      <c r="F202" s="50" t="str">
        <f>IF(B202="","",IFERROR(VLOOKUP(B202,'Coil Sheet at Plant'!$C:$H,6,FALSE),"ID Not Found"))</f>
        <v/>
      </c>
      <c r="G202" s="81">
        <v>349</v>
      </c>
      <c r="H202" s="89" t="str">
        <f>IF(OR(B202="",G202=""),"",IFERROR(VLOOKUP(B202,'Coil Sheet at Plant'!$C:$J,8,FALSE),0)*G202/SUMIF(B:B,B202,G:G))</f>
        <v/>
      </c>
      <c r="I202" s="56" t="str">
        <f>IF(B202="","",IFERROR(VLOOKUP(B202,'Coil Sheet at Plant'!$C:$L,9,FALSE),""))</f>
        <v/>
      </c>
      <c r="J202" s="85" t="str">
        <f>IF(B202="","",IFERROR(VLOOKUP(B202,'Coil Sheet at Plant'!$C:$M,10,FALSE),""))</f>
        <v/>
      </c>
      <c r="K202" s="69" t="str">
        <f>IF(B202="","",SUMIF(B:B,B202,G:G))</f>
        <v/>
      </c>
      <c r="L202" s="70" t="str">
        <f>IF(B202="","",IFERROR(VLOOKUP(B202,'Coil Sheet at Plant'!$C:$I,7,FALSE),""))</f>
        <v/>
      </c>
      <c r="M202" s="71" t="str">
        <f>IF(OR(K202="",L202=""),"",IF(L202=0,"⚠ NO PARENT WIDTH",IF(K202&gt;L202,"⚠ BABY &gt; PARENT","✔ OK")))</f>
        <v/>
      </c>
      <c r="N202" s="71" t="str">
        <f>IF(D202="","",IF(COUNTIF(D$3:D202,D202)&gt;1,"⚠ DUPLICATE",""))</f>
        <v/>
      </c>
      <c r="O202" s="72" t="str">
        <f>IF(B202="","",SUMIF(B:B,B202,G:G)&amp;" / "&amp;IFERROR(VLOOKUP(B202,'Coil Sheet at Plant'!$C:$I,7,FALSE),"?")&amp;" mm")</f>
        <v/>
      </c>
    </row>
    <row r="203" spans="1:15">
      <c r="A203" s="36"/>
      <c r="B203" s="32"/>
      <c r="C203" s="39"/>
      <c r="D203" s="44" t="str">
        <f>IF(OR(B203="",C203=""),"",CONCATENATE(B203,"-",C203))</f>
        <v/>
      </c>
      <c r="E203" s="49" t="str">
        <f>IF(B203="","",IFERROR(VLOOKUP(B203,'Coil Sheet at Plant'!$C:$G,5,FALSE),"ID Not Found"))</f>
        <v/>
      </c>
      <c r="F203" s="50" t="str">
        <f>IF(B203="","",IFERROR(VLOOKUP(B203,'Coil Sheet at Plant'!$C:$H,6,FALSE),"ID Not Found"))</f>
        <v/>
      </c>
      <c r="G203" s="81">
        <v>350</v>
      </c>
      <c r="H203" s="89" t="str">
        <f>IF(OR(B203="",G203=""),"",IFERROR(VLOOKUP(B203,'Coil Sheet at Plant'!$C:$J,8,FALSE),0)*G203/SUMIF(B:B,B203,G:G))</f>
        <v/>
      </c>
      <c r="I203" s="56" t="str">
        <f>IF(B203="","",IFERROR(VLOOKUP(B203,'Coil Sheet at Plant'!$C:$L,9,FALSE),""))</f>
        <v/>
      </c>
      <c r="J203" s="85" t="str">
        <f>IF(B203="","",IFERROR(VLOOKUP(B203,'Coil Sheet at Plant'!$C:$M,10,FALSE),""))</f>
        <v/>
      </c>
      <c r="K203" s="69" t="str">
        <f>IF(B203="","",SUMIF(B:B,B203,G:G))</f>
        <v/>
      </c>
      <c r="L203" s="70" t="str">
        <f>IF(B203="","",IFERROR(VLOOKUP(B203,'Coil Sheet at Plant'!$C:$I,7,FALSE),""))</f>
        <v/>
      </c>
      <c r="M203" s="71" t="str">
        <f>IF(OR(K203="",L203=""),"",IF(L203=0,"⚠ NO PARENT WIDTH",IF(K203&gt;L203,"⚠ BABY &gt; PARENT","✔ OK")))</f>
        <v/>
      </c>
      <c r="N203" s="71" t="str">
        <f>IF(D203="","",IF(COUNTIF(D$3:D203,D203)&gt;1,"⚠ DUPLICATE",""))</f>
        <v/>
      </c>
      <c r="O203" s="72" t="str">
        <f>IF(B203="","",SUMIF(B:B,B203,G:G)&amp;" / "&amp;IFERROR(VLOOKUP(B203,'Coil Sheet at Plant'!$C:$I,7,FALSE),"?")&amp;" mm")</f>
        <v/>
      </c>
    </row>
    <row r="204" spans="1:15">
      <c r="A204" s="36"/>
      <c r="B204" s="32"/>
      <c r="C204" s="39"/>
      <c r="D204" s="44" t="str">
        <f>IF(OR(B204="",C204=""),"",CONCATENATE(B204,"-",C204))</f>
        <v/>
      </c>
      <c r="E204" s="49" t="str">
        <f>IF(B204="","",IFERROR(VLOOKUP(B204,'Coil Sheet at Plant'!$C:$G,5,FALSE),"ID Not Found"))</f>
        <v/>
      </c>
      <c r="F204" s="50" t="str">
        <f>IF(B204="","",IFERROR(VLOOKUP(B204,'Coil Sheet at Plant'!$C:$H,6,FALSE),"ID Not Found"))</f>
        <v/>
      </c>
      <c r="G204" s="81">
        <v>351</v>
      </c>
      <c r="H204" s="89" t="str">
        <f>IF(OR(B204="",G204=""),"",IFERROR(VLOOKUP(B204,'Coil Sheet at Plant'!$C:$J,8,FALSE),0)*G204/SUMIF(B:B,B204,G:G))</f>
        <v/>
      </c>
      <c r="I204" s="56" t="str">
        <f>IF(B204="","",IFERROR(VLOOKUP(B204,'Coil Sheet at Plant'!$C:$L,9,FALSE),""))</f>
        <v/>
      </c>
      <c r="J204" s="85" t="str">
        <f>IF(B204="","",IFERROR(VLOOKUP(B204,'Coil Sheet at Plant'!$C:$M,10,FALSE),""))</f>
        <v/>
      </c>
      <c r="K204" s="69" t="str">
        <f>IF(B204="","",SUMIF(B:B,B204,G:G))</f>
        <v/>
      </c>
      <c r="L204" s="70" t="str">
        <f>IF(B204="","",IFERROR(VLOOKUP(B204,'Coil Sheet at Plant'!$C:$I,7,FALSE),""))</f>
        <v/>
      </c>
      <c r="M204" s="71" t="str">
        <f>IF(OR(K204="",L204=""),"",IF(L204=0,"⚠ NO PARENT WIDTH",IF(K204&gt;L204,"⚠ BABY &gt; PARENT","✔ OK")))</f>
        <v/>
      </c>
      <c r="N204" s="71" t="str">
        <f>IF(D204="","",IF(COUNTIF(D$3:D204,D204)&gt;1,"⚠ DUPLICATE",""))</f>
        <v/>
      </c>
      <c r="O204" s="72" t="str">
        <f>IF(B204="","",SUMIF(B:B,B204,G:G)&amp;" / "&amp;IFERROR(VLOOKUP(B204,'Coil Sheet at Plant'!$C:$I,7,FALSE),"?")&amp;" mm")</f>
        <v/>
      </c>
    </row>
    <row r="205" spans="1:15">
      <c r="A205" s="36"/>
      <c r="B205" s="32"/>
      <c r="C205" s="39"/>
      <c r="D205" s="44" t="str">
        <f>IF(OR(B205="",C205=""),"",CONCATENATE(B205,"-",C205))</f>
        <v/>
      </c>
      <c r="E205" s="49" t="str">
        <f>IF(B205="","",IFERROR(VLOOKUP(B205,'Coil Sheet at Plant'!$C:$G,5,FALSE),"ID Not Found"))</f>
        <v/>
      </c>
      <c r="F205" s="50" t="str">
        <f>IF(B205="","",IFERROR(VLOOKUP(B205,'Coil Sheet at Plant'!$C:$H,6,FALSE),"ID Not Found"))</f>
        <v/>
      </c>
      <c r="G205" s="81">
        <v>352</v>
      </c>
      <c r="H205" s="89" t="str">
        <f>IF(OR(B205="",G205=""),"",IFERROR(VLOOKUP(B205,'Coil Sheet at Plant'!$C:$J,8,FALSE),0)*G205/SUMIF(B:B,B205,G:G))</f>
        <v/>
      </c>
      <c r="I205" s="56" t="str">
        <f>IF(B205="","",IFERROR(VLOOKUP(B205,'Coil Sheet at Plant'!$C:$L,9,FALSE),""))</f>
        <v/>
      </c>
      <c r="J205" s="85" t="str">
        <f>IF(B205="","",IFERROR(VLOOKUP(B205,'Coil Sheet at Plant'!$C:$M,10,FALSE),""))</f>
        <v/>
      </c>
      <c r="K205" s="69" t="str">
        <f>IF(B205="","",SUMIF(B:B,B205,G:G))</f>
        <v/>
      </c>
      <c r="L205" s="70" t="str">
        <f>IF(B205="","",IFERROR(VLOOKUP(B205,'Coil Sheet at Plant'!$C:$I,7,FALSE),""))</f>
        <v/>
      </c>
      <c r="M205" s="71" t="str">
        <f>IF(OR(K205="",L205=""),"",IF(L205=0,"⚠ NO PARENT WIDTH",IF(K205&gt;L205,"⚠ BABY &gt; PARENT","✔ OK")))</f>
        <v/>
      </c>
      <c r="N205" s="71" t="str">
        <f>IF(D205="","",IF(COUNTIF(D$3:D205,D205)&gt;1,"⚠ DUPLICATE",""))</f>
        <v/>
      </c>
      <c r="O205" s="72" t="str">
        <f>IF(B205="","",SUMIF(B:B,B205,G:G)&amp;" / "&amp;IFERROR(VLOOKUP(B205,'Coil Sheet at Plant'!$C:$I,7,FALSE),"?")&amp;" mm")</f>
        <v/>
      </c>
    </row>
    <row r="206" spans="1:15">
      <c r="A206" s="36"/>
      <c r="B206" s="32"/>
      <c r="C206" s="39"/>
      <c r="D206" s="44" t="str">
        <f>IF(OR(B206="",C206=""),"",CONCATENATE(B206,"-",C206))</f>
        <v/>
      </c>
      <c r="E206" s="49" t="str">
        <f>IF(B206="","",IFERROR(VLOOKUP(B206,'Coil Sheet at Plant'!$C:$G,5,FALSE),"ID Not Found"))</f>
        <v/>
      </c>
      <c r="F206" s="50" t="str">
        <f>IF(B206="","",IFERROR(VLOOKUP(B206,'Coil Sheet at Plant'!$C:$H,6,FALSE),"ID Not Found"))</f>
        <v/>
      </c>
      <c r="G206" s="81">
        <v>353</v>
      </c>
      <c r="H206" s="89" t="str">
        <f>IF(OR(B206="",G206=""),"",IFERROR(VLOOKUP(B206,'Coil Sheet at Plant'!$C:$J,8,FALSE),0)*G206/SUMIF(B:B,B206,G:G))</f>
        <v/>
      </c>
      <c r="I206" s="56" t="str">
        <f>IF(B206="","",IFERROR(VLOOKUP(B206,'Coil Sheet at Plant'!$C:$L,9,FALSE),""))</f>
        <v/>
      </c>
      <c r="J206" s="85" t="str">
        <f>IF(B206="","",IFERROR(VLOOKUP(B206,'Coil Sheet at Plant'!$C:$M,10,FALSE),""))</f>
        <v/>
      </c>
      <c r="K206" s="69" t="str">
        <f>IF(B206="","",SUMIF(B:B,B206,G:G))</f>
        <v/>
      </c>
      <c r="L206" s="70" t="str">
        <f>IF(B206="","",IFERROR(VLOOKUP(B206,'Coil Sheet at Plant'!$C:$I,7,FALSE),""))</f>
        <v/>
      </c>
      <c r="M206" s="71" t="str">
        <f>IF(OR(K206="",L206=""),"",IF(L206=0,"⚠ NO PARENT WIDTH",IF(K206&gt;L206,"⚠ BABY &gt; PARENT","✔ OK")))</f>
        <v/>
      </c>
      <c r="N206" s="71" t="str">
        <f>IF(D206="","",IF(COUNTIF(D$3:D206,D206)&gt;1,"⚠ DUPLICATE",""))</f>
        <v/>
      </c>
      <c r="O206" s="72" t="str">
        <f>IF(B206="","",SUMIF(B:B,B206,G:G)&amp;" / "&amp;IFERROR(VLOOKUP(B206,'Coil Sheet at Plant'!$C:$I,7,FALSE),"?")&amp;" mm")</f>
        <v/>
      </c>
    </row>
    <row r="207" spans="1:15">
      <c r="A207" s="36"/>
      <c r="B207" s="32"/>
      <c r="C207" s="39"/>
      <c r="D207" s="44" t="str">
        <f>IF(OR(B207="",C207=""),"",CONCATENATE(B207,"-",C207))</f>
        <v/>
      </c>
      <c r="E207" s="49" t="str">
        <f>IF(B207="","",IFERROR(VLOOKUP(B207,'Coil Sheet at Plant'!$C:$G,5,FALSE),"ID Not Found"))</f>
        <v/>
      </c>
      <c r="F207" s="50" t="str">
        <f>IF(B207="","",IFERROR(VLOOKUP(B207,'Coil Sheet at Plant'!$C:$H,6,FALSE),"ID Not Found"))</f>
        <v/>
      </c>
      <c r="G207" s="81">
        <v>354</v>
      </c>
      <c r="H207" s="89" t="str">
        <f>IF(OR(B207="",G207=""),"",IFERROR(VLOOKUP(B207,'Coil Sheet at Plant'!$C:$J,8,FALSE),0)*G207/SUMIF(B:B,B207,G:G))</f>
        <v/>
      </c>
      <c r="I207" s="56" t="str">
        <f>IF(B207="","",IFERROR(VLOOKUP(B207,'Coil Sheet at Plant'!$C:$L,9,FALSE),""))</f>
        <v/>
      </c>
      <c r="J207" s="85" t="str">
        <f>IF(B207="","",IFERROR(VLOOKUP(B207,'Coil Sheet at Plant'!$C:$M,10,FALSE),""))</f>
        <v/>
      </c>
      <c r="K207" s="69" t="str">
        <f>IF(B207="","",SUMIF(B:B,B207,G:G))</f>
        <v/>
      </c>
      <c r="L207" s="70" t="str">
        <f>IF(B207="","",IFERROR(VLOOKUP(B207,'Coil Sheet at Plant'!$C:$I,7,FALSE),""))</f>
        <v/>
      </c>
      <c r="M207" s="71" t="str">
        <f>IF(OR(K207="",L207=""),"",IF(L207=0,"⚠ NO PARENT WIDTH",IF(K207&gt;L207,"⚠ BABY &gt; PARENT","✔ OK")))</f>
        <v/>
      </c>
      <c r="N207" s="71" t="str">
        <f>IF(D207="","",IF(COUNTIF(D$3:D207,D207)&gt;1,"⚠ DUPLICATE",""))</f>
        <v/>
      </c>
      <c r="O207" s="72" t="str">
        <f>IF(B207="","",SUMIF(B:B,B207,G:G)&amp;" / "&amp;IFERROR(VLOOKUP(B207,'Coil Sheet at Plant'!$C:$I,7,FALSE),"?")&amp;" mm")</f>
        <v/>
      </c>
    </row>
    <row r="208" spans="1:15">
      <c r="A208" s="36"/>
      <c r="B208" s="32"/>
      <c r="C208" s="39"/>
      <c r="D208" s="44" t="str">
        <f>IF(OR(B208="",C208=""),"",CONCATENATE(B208,"-",C208))</f>
        <v/>
      </c>
      <c r="E208" s="49" t="str">
        <f>IF(B208="","",IFERROR(VLOOKUP(B208,'Coil Sheet at Plant'!$C:$G,5,FALSE),"ID Not Found"))</f>
        <v/>
      </c>
      <c r="F208" s="50" t="str">
        <f>IF(B208="","",IFERROR(VLOOKUP(B208,'Coil Sheet at Plant'!$C:$H,6,FALSE),"ID Not Found"))</f>
        <v/>
      </c>
      <c r="G208" s="81">
        <v>355</v>
      </c>
      <c r="H208" s="89" t="str">
        <f>IF(OR(B208="",G208=""),"",IFERROR(VLOOKUP(B208,'Coil Sheet at Plant'!$C:$J,8,FALSE),0)*G208/SUMIF(B:B,B208,G:G))</f>
        <v/>
      </c>
      <c r="I208" s="56" t="str">
        <f>IF(B208="","",IFERROR(VLOOKUP(B208,'Coil Sheet at Plant'!$C:$L,9,FALSE),""))</f>
        <v/>
      </c>
      <c r="J208" s="85" t="str">
        <f>IF(B208="","",IFERROR(VLOOKUP(B208,'Coil Sheet at Plant'!$C:$M,10,FALSE),""))</f>
        <v/>
      </c>
      <c r="K208" s="69" t="str">
        <f>IF(B208="","",SUMIF(B:B,B208,G:G))</f>
        <v/>
      </c>
      <c r="L208" s="70" t="str">
        <f>IF(B208="","",IFERROR(VLOOKUP(B208,'Coil Sheet at Plant'!$C:$I,7,FALSE),""))</f>
        <v/>
      </c>
      <c r="M208" s="71" t="str">
        <f>IF(OR(K208="",L208=""),"",IF(L208=0,"⚠ NO PARENT WIDTH",IF(K208&gt;L208,"⚠ BABY &gt; PARENT","✔ OK")))</f>
        <v/>
      </c>
      <c r="N208" s="71" t="str">
        <f>IF(D208="","",IF(COUNTIF(D$3:D208,D208)&gt;1,"⚠ DUPLICATE",""))</f>
        <v/>
      </c>
      <c r="O208" s="72" t="str">
        <f>IF(B208="","",SUMIF(B:B,B208,G:G)&amp;" / "&amp;IFERROR(VLOOKUP(B208,'Coil Sheet at Plant'!$C:$I,7,FALSE),"?")&amp;" mm")</f>
        <v/>
      </c>
    </row>
    <row r="209" spans="1:15">
      <c r="A209" s="36"/>
      <c r="B209" s="32"/>
      <c r="C209" s="39"/>
      <c r="D209" s="44" t="str">
        <f>IF(OR(B209="",C209=""),"",CONCATENATE(B209,"-",C209))</f>
        <v/>
      </c>
      <c r="E209" s="49" t="str">
        <f>IF(B209="","",IFERROR(VLOOKUP(B209,'Coil Sheet at Plant'!$C:$G,5,FALSE),"ID Not Found"))</f>
        <v/>
      </c>
      <c r="F209" s="50" t="str">
        <f>IF(B209="","",IFERROR(VLOOKUP(B209,'Coil Sheet at Plant'!$C:$H,6,FALSE),"ID Not Found"))</f>
        <v/>
      </c>
      <c r="G209" s="81">
        <v>356</v>
      </c>
      <c r="H209" s="89" t="str">
        <f>IF(OR(B209="",G209=""),"",IFERROR(VLOOKUP(B209,'Coil Sheet at Plant'!$C:$J,8,FALSE),0)*G209/SUMIF(B:B,B209,G:G))</f>
        <v/>
      </c>
      <c r="I209" s="56" t="str">
        <f>IF(B209="","",IFERROR(VLOOKUP(B209,'Coil Sheet at Plant'!$C:$L,9,FALSE),""))</f>
        <v/>
      </c>
      <c r="J209" s="85" t="str">
        <f>IF(B209="","",IFERROR(VLOOKUP(B209,'Coil Sheet at Plant'!$C:$M,10,FALSE),""))</f>
        <v/>
      </c>
      <c r="K209" s="69" t="str">
        <f>IF(B209="","",SUMIF(B:B,B209,G:G))</f>
        <v/>
      </c>
      <c r="L209" s="70" t="str">
        <f>IF(B209="","",IFERROR(VLOOKUP(B209,'Coil Sheet at Plant'!$C:$I,7,FALSE),""))</f>
        <v/>
      </c>
      <c r="M209" s="71" t="str">
        <f>IF(OR(K209="",L209=""),"",IF(L209=0,"⚠ NO PARENT WIDTH",IF(K209&gt;L209,"⚠ BABY &gt; PARENT","✔ OK")))</f>
        <v/>
      </c>
      <c r="N209" s="71" t="str">
        <f>IF(D209="","",IF(COUNTIF(D$3:D209,D209)&gt;1,"⚠ DUPLICATE",""))</f>
        <v/>
      </c>
      <c r="O209" s="72" t="str">
        <f>IF(B209="","",SUMIF(B:B,B209,G:G)&amp;" / "&amp;IFERROR(VLOOKUP(B209,'Coil Sheet at Plant'!$C:$I,7,FALSE),"?")&amp;" mm")</f>
        <v/>
      </c>
    </row>
    <row r="210" spans="1:15">
      <c r="A210" s="36"/>
      <c r="B210" s="32"/>
      <c r="C210" s="39"/>
      <c r="D210" s="44" t="str">
        <f>IF(OR(B210="",C210=""),"",CONCATENATE(B210,"-",C210))</f>
        <v/>
      </c>
      <c r="E210" s="49" t="str">
        <f>IF(B210="","",IFERROR(VLOOKUP(B210,'Coil Sheet at Plant'!$C:$G,5,FALSE),"ID Not Found"))</f>
        <v/>
      </c>
      <c r="F210" s="50" t="str">
        <f>IF(B210="","",IFERROR(VLOOKUP(B210,'Coil Sheet at Plant'!$C:$H,6,FALSE),"ID Not Found"))</f>
        <v/>
      </c>
      <c r="G210" s="81">
        <v>357</v>
      </c>
      <c r="H210" s="89" t="str">
        <f>IF(OR(B210="",G210=""),"",IFERROR(VLOOKUP(B210,'Coil Sheet at Plant'!$C:$J,8,FALSE),0)*G210/SUMIF(B:B,B210,G:G))</f>
        <v/>
      </c>
      <c r="I210" s="56" t="str">
        <f>IF(B210="","",IFERROR(VLOOKUP(B210,'Coil Sheet at Plant'!$C:$L,9,FALSE),""))</f>
        <v/>
      </c>
      <c r="J210" s="85" t="str">
        <f>IF(B210="","",IFERROR(VLOOKUP(B210,'Coil Sheet at Plant'!$C:$M,10,FALSE),""))</f>
        <v/>
      </c>
      <c r="K210" s="69" t="str">
        <f>IF(B210="","",SUMIF(B:B,B210,G:G))</f>
        <v/>
      </c>
      <c r="L210" s="70" t="str">
        <f>IF(B210="","",IFERROR(VLOOKUP(B210,'Coil Sheet at Plant'!$C:$I,7,FALSE),""))</f>
        <v/>
      </c>
      <c r="M210" s="71" t="str">
        <f>IF(OR(K210="",L210=""),"",IF(L210=0,"⚠ NO PARENT WIDTH",IF(K210&gt;L210,"⚠ BABY &gt; PARENT","✔ OK")))</f>
        <v/>
      </c>
      <c r="N210" s="71" t="str">
        <f>IF(D210="","",IF(COUNTIF(D$3:D210,D210)&gt;1,"⚠ DUPLICATE",""))</f>
        <v/>
      </c>
      <c r="O210" s="72" t="str">
        <f>IF(B210="","",SUMIF(B:B,B210,G:G)&amp;" / "&amp;IFERROR(VLOOKUP(B210,'Coil Sheet at Plant'!$C:$I,7,FALSE),"?")&amp;" mm")</f>
        <v/>
      </c>
    </row>
    <row r="211" spans="1:15">
      <c r="A211" s="36"/>
      <c r="B211" s="32"/>
      <c r="C211" s="39"/>
      <c r="D211" s="44" t="str">
        <f>IF(OR(B211="",C211=""),"",CONCATENATE(B211,"-",C211))</f>
        <v/>
      </c>
      <c r="E211" s="49" t="str">
        <f>IF(B211="","",IFERROR(VLOOKUP(B211,'Coil Sheet at Plant'!$C:$G,5,FALSE),"ID Not Found"))</f>
        <v/>
      </c>
      <c r="F211" s="50" t="str">
        <f>IF(B211="","",IFERROR(VLOOKUP(B211,'Coil Sheet at Plant'!$C:$H,6,FALSE),"ID Not Found"))</f>
        <v/>
      </c>
      <c r="G211" s="81">
        <v>358</v>
      </c>
      <c r="H211" s="89" t="str">
        <f>IF(OR(B211="",G211=""),"",IFERROR(VLOOKUP(B211,'Coil Sheet at Plant'!$C:$J,8,FALSE),0)*G211/SUMIF(B:B,B211,G:G))</f>
        <v/>
      </c>
      <c r="I211" s="56" t="str">
        <f>IF(B211="","",IFERROR(VLOOKUP(B211,'Coil Sheet at Plant'!$C:$L,9,FALSE),""))</f>
        <v/>
      </c>
      <c r="J211" s="85" t="str">
        <f>IF(B211="","",IFERROR(VLOOKUP(B211,'Coil Sheet at Plant'!$C:$M,10,FALSE),""))</f>
        <v/>
      </c>
      <c r="K211" s="69" t="str">
        <f>IF(B211="","",SUMIF(B:B,B211,G:G))</f>
        <v/>
      </c>
      <c r="L211" s="70" t="str">
        <f>IF(B211="","",IFERROR(VLOOKUP(B211,'Coil Sheet at Plant'!$C:$I,7,FALSE),""))</f>
        <v/>
      </c>
      <c r="M211" s="71" t="str">
        <f>IF(OR(K211="",L211=""),"",IF(L211=0,"⚠ NO PARENT WIDTH",IF(K211&gt;L211,"⚠ BABY &gt; PARENT","✔ OK")))</f>
        <v/>
      </c>
      <c r="N211" s="71" t="str">
        <f>IF(D211="","",IF(COUNTIF(D$3:D211,D211)&gt;1,"⚠ DUPLICATE",""))</f>
        <v/>
      </c>
      <c r="O211" s="72" t="str">
        <f>IF(B211="","",SUMIF(B:B,B211,G:G)&amp;" / "&amp;IFERROR(VLOOKUP(B211,'Coil Sheet at Plant'!$C:$I,7,FALSE),"?")&amp;" mm")</f>
        <v/>
      </c>
    </row>
    <row r="212" spans="1:15">
      <c r="A212" s="36"/>
      <c r="B212" s="32"/>
      <c r="C212" s="39"/>
      <c r="D212" s="44" t="str">
        <f>IF(OR(B212="",C212=""),"",CONCATENATE(B212,"-",C212))</f>
        <v/>
      </c>
      <c r="E212" s="49" t="str">
        <f>IF(B212="","",IFERROR(VLOOKUP(B212,'Coil Sheet at Plant'!$C:$G,5,FALSE),"ID Not Found"))</f>
        <v/>
      </c>
      <c r="F212" s="50" t="str">
        <f>IF(B212="","",IFERROR(VLOOKUP(B212,'Coil Sheet at Plant'!$C:$H,6,FALSE),"ID Not Found"))</f>
        <v/>
      </c>
      <c r="G212" s="81">
        <v>359</v>
      </c>
      <c r="H212" s="89" t="str">
        <f>IF(OR(B212="",G212=""),"",IFERROR(VLOOKUP(B212,'Coil Sheet at Plant'!$C:$J,8,FALSE),0)*G212/SUMIF(B:B,B212,G:G))</f>
        <v/>
      </c>
      <c r="I212" s="56" t="str">
        <f>IF(B212="","",IFERROR(VLOOKUP(B212,'Coil Sheet at Plant'!$C:$L,9,FALSE),""))</f>
        <v/>
      </c>
      <c r="J212" s="85" t="str">
        <f>IF(B212="","",IFERROR(VLOOKUP(B212,'Coil Sheet at Plant'!$C:$M,10,FALSE),""))</f>
        <v/>
      </c>
      <c r="K212" s="69" t="str">
        <f>IF(B212="","",SUMIF(B:B,B212,G:G))</f>
        <v/>
      </c>
      <c r="L212" s="70" t="str">
        <f>IF(B212="","",IFERROR(VLOOKUP(B212,'Coil Sheet at Plant'!$C:$I,7,FALSE),""))</f>
        <v/>
      </c>
      <c r="M212" s="71" t="str">
        <f>IF(OR(K212="",L212=""),"",IF(L212=0,"⚠ NO PARENT WIDTH",IF(K212&gt;L212,"⚠ BABY &gt; PARENT","✔ OK")))</f>
        <v/>
      </c>
      <c r="N212" s="71" t="str">
        <f>IF(D212="","",IF(COUNTIF(D$3:D212,D212)&gt;1,"⚠ DUPLICATE",""))</f>
        <v/>
      </c>
      <c r="O212" s="72" t="str">
        <f>IF(B212="","",SUMIF(B:B,B212,G:G)&amp;" / "&amp;IFERROR(VLOOKUP(B212,'Coil Sheet at Plant'!$C:$I,7,FALSE),"?")&amp;" mm")</f>
        <v/>
      </c>
    </row>
    <row r="213" spans="1:15">
      <c r="A213" s="36"/>
      <c r="B213" s="32"/>
      <c r="C213" s="39"/>
      <c r="D213" s="44" t="str">
        <f>IF(OR(B213="",C213=""),"",CONCATENATE(B213,"-",C213))</f>
        <v/>
      </c>
      <c r="E213" s="49" t="str">
        <f>IF(B213="","",IFERROR(VLOOKUP(B213,'Coil Sheet at Plant'!$C:$G,5,FALSE),"ID Not Found"))</f>
        <v/>
      </c>
      <c r="F213" s="50" t="str">
        <f>IF(B213="","",IFERROR(VLOOKUP(B213,'Coil Sheet at Plant'!$C:$H,6,FALSE),"ID Not Found"))</f>
        <v/>
      </c>
      <c r="G213" s="81">
        <v>360</v>
      </c>
      <c r="H213" s="89" t="str">
        <f>IF(OR(B213="",G213=""),"",IFERROR(VLOOKUP(B213,'Coil Sheet at Plant'!$C:$J,8,FALSE),0)*G213/SUMIF(B:B,B213,G:G))</f>
        <v/>
      </c>
      <c r="I213" s="56" t="str">
        <f>IF(B213="","",IFERROR(VLOOKUP(B213,'Coil Sheet at Plant'!$C:$L,9,FALSE),""))</f>
        <v/>
      </c>
      <c r="J213" s="85" t="str">
        <f>IF(B213="","",IFERROR(VLOOKUP(B213,'Coil Sheet at Plant'!$C:$M,10,FALSE),""))</f>
        <v/>
      </c>
      <c r="K213" s="69" t="str">
        <f>IF(B213="","",SUMIF(B:B,B213,G:G))</f>
        <v/>
      </c>
      <c r="L213" s="70" t="str">
        <f>IF(B213="","",IFERROR(VLOOKUP(B213,'Coil Sheet at Plant'!$C:$I,7,FALSE),""))</f>
        <v/>
      </c>
      <c r="M213" s="71" t="str">
        <f>IF(OR(K213="",L213=""),"",IF(L213=0,"⚠ NO PARENT WIDTH",IF(K213&gt;L213,"⚠ BABY &gt; PARENT","✔ OK")))</f>
        <v/>
      </c>
      <c r="N213" s="71" t="str">
        <f>IF(D213="","",IF(COUNTIF(D$3:D213,D213)&gt;1,"⚠ DUPLICATE",""))</f>
        <v/>
      </c>
      <c r="O213" s="72" t="str">
        <f>IF(B213="","",SUMIF(B:B,B213,G:G)&amp;" / "&amp;IFERROR(VLOOKUP(B213,'Coil Sheet at Plant'!$C:$I,7,FALSE),"?")&amp;" mm")</f>
        <v/>
      </c>
    </row>
    <row r="214" spans="1:15">
      <c r="A214" s="36"/>
      <c r="B214" s="32"/>
      <c r="C214" s="39"/>
      <c r="D214" s="44" t="str">
        <f>IF(OR(B214="",C214=""),"",CONCATENATE(B214,"-",C214))</f>
        <v/>
      </c>
      <c r="E214" s="49" t="str">
        <f>IF(B214="","",IFERROR(VLOOKUP(B214,'Coil Sheet at Plant'!$C:$G,5,FALSE),"ID Not Found"))</f>
        <v/>
      </c>
      <c r="F214" s="50" t="str">
        <f>IF(B214="","",IFERROR(VLOOKUP(B214,'Coil Sheet at Plant'!$C:$H,6,FALSE),"ID Not Found"))</f>
        <v/>
      </c>
      <c r="G214" s="81">
        <v>361</v>
      </c>
      <c r="H214" s="89" t="str">
        <f>IF(OR(B214="",G214=""),"",IFERROR(VLOOKUP(B214,'Coil Sheet at Plant'!$C:$J,8,FALSE),0)*G214/SUMIF(B:B,B214,G:G))</f>
        <v/>
      </c>
      <c r="I214" s="56" t="str">
        <f>IF(B214="","",IFERROR(VLOOKUP(B214,'Coil Sheet at Plant'!$C:$L,9,FALSE),""))</f>
        <v/>
      </c>
      <c r="J214" s="85" t="str">
        <f>IF(B214="","",IFERROR(VLOOKUP(B214,'Coil Sheet at Plant'!$C:$M,10,FALSE),""))</f>
        <v/>
      </c>
      <c r="K214" s="69" t="str">
        <f>IF(B214="","",SUMIF(B:B,B214,G:G))</f>
        <v/>
      </c>
      <c r="L214" s="70" t="str">
        <f>IF(B214="","",IFERROR(VLOOKUP(B214,'Coil Sheet at Plant'!$C:$I,7,FALSE),""))</f>
        <v/>
      </c>
      <c r="M214" s="71" t="str">
        <f>IF(OR(K214="",L214=""),"",IF(L214=0,"⚠ NO PARENT WIDTH",IF(K214&gt;L214,"⚠ BABY &gt; PARENT","✔ OK")))</f>
        <v/>
      </c>
      <c r="N214" s="71" t="str">
        <f>IF(D214="","",IF(COUNTIF(D$3:D214,D214)&gt;1,"⚠ DUPLICATE",""))</f>
        <v/>
      </c>
      <c r="O214" s="72" t="str">
        <f>IF(B214="","",SUMIF(B:B,B214,G:G)&amp;" / "&amp;IFERROR(VLOOKUP(B214,'Coil Sheet at Plant'!$C:$I,7,FALSE),"?")&amp;" mm")</f>
        <v/>
      </c>
    </row>
    <row r="215" spans="1:15">
      <c r="A215" s="36"/>
      <c r="B215" s="32"/>
      <c r="C215" s="39"/>
      <c r="D215" s="44" t="str">
        <f>IF(OR(B215="",C215=""),"",CONCATENATE(B215,"-",C215))</f>
        <v/>
      </c>
      <c r="E215" s="49" t="str">
        <f>IF(B215="","",IFERROR(VLOOKUP(B215,'Coil Sheet at Plant'!$C:$G,5,FALSE),"ID Not Found"))</f>
        <v/>
      </c>
      <c r="F215" s="50" t="str">
        <f>IF(B215="","",IFERROR(VLOOKUP(B215,'Coil Sheet at Plant'!$C:$H,6,FALSE),"ID Not Found"))</f>
        <v/>
      </c>
      <c r="G215" s="81">
        <v>362</v>
      </c>
      <c r="H215" s="89" t="str">
        <f>IF(OR(B215="",G215=""),"",IFERROR(VLOOKUP(B215,'Coil Sheet at Plant'!$C:$J,8,FALSE),0)*G215/SUMIF(B:B,B215,G:G))</f>
        <v/>
      </c>
      <c r="I215" s="56" t="str">
        <f>IF(B215="","",IFERROR(VLOOKUP(B215,'Coil Sheet at Plant'!$C:$L,9,FALSE),""))</f>
        <v/>
      </c>
      <c r="J215" s="85" t="str">
        <f>IF(B215="","",IFERROR(VLOOKUP(B215,'Coil Sheet at Plant'!$C:$M,10,FALSE),""))</f>
        <v/>
      </c>
      <c r="K215" s="69" t="str">
        <f>IF(B215="","",SUMIF(B:B,B215,G:G))</f>
        <v/>
      </c>
      <c r="L215" s="70" t="str">
        <f>IF(B215="","",IFERROR(VLOOKUP(B215,'Coil Sheet at Plant'!$C:$I,7,FALSE),""))</f>
        <v/>
      </c>
      <c r="M215" s="71" t="str">
        <f>IF(OR(K215="",L215=""),"",IF(L215=0,"⚠ NO PARENT WIDTH",IF(K215&gt;L215,"⚠ BABY &gt; PARENT","✔ OK")))</f>
        <v/>
      </c>
      <c r="N215" s="71" t="str">
        <f>IF(D215="","",IF(COUNTIF(D$3:D215,D215)&gt;1,"⚠ DUPLICATE",""))</f>
        <v/>
      </c>
      <c r="O215" s="72" t="str">
        <f>IF(B215="","",SUMIF(B:B,B215,G:G)&amp;" / "&amp;IFERROR(VLOOKUP(B215,'Coil Sheet at Plant'!$C:$I,7,FALSE),"?")&amp;" mm")</f>
        <v/>
      </c>
    </row>
    <row r="216" spans="1:15">
      <c r="A216" s="36"/>
      <c r="B216" s="32"/>
      <c r="C216" s="39"/>
      <c r="D216" s="44" t="str">
        <f>IF(OR(B216="",C216=""),"",CONCATENATE(B216,"-",C216))</f>
        <v/>
      </c>
      <c r="E216" s="49" t="str">
        <f>IF(B216="","",IFERROR(VLOOKUP(B216,'Coil Sheet at Plant'!$C:$G,5,FALSE),"ID Not Found"))</f>
        <v/>
      </c>
      <c r="F216" s="50" t="str">
        <f>IF(B216="","",IFERROR(VLOOKUP(B216,'Coil Sheet at Plant'!$C:$H,6,FALSE),"ID Not Found"))</f>
        <v/>
      </c>
      <c r="G216" s="81">
        <v>363</v>
      </c>
      <c r="H216" s="89" t="str">
        <f>IF(OR(B216="",G216=""),"",IFERROR(VLOOKUP(B216,'Coil Sheet at Plant'!$C:$J,8,FALSE),0)*G216/SUMIF(B:B,B216,G:G))</f>
        <v/>
      </c>
      <c r="I216" s="56" t="str">
        <f>IF(B216="","",IFERROR(VLOOKUP(B216,'Coil Sheet at Plant'!$C:$L,9,FALSE),""))</f>
        <v/>
      </c>
      <c r="J216" s="85" t="str">
        <f>IF(B216="","",IFERROR(VLOOKUP(B216,'Coil Sheet at Plant'!$C:$M,10,FALSE),""))</f>
        <v/>
      </c>
      <c r="K216" s="69" t="str">
        <f>IF(B216="","",SUMIF(B:B,B216,G:G))</f>
        <v/>
      </c>
      <c r="L216" s="70" t="str">
        <f>IF(B216="","",IFERROR(VLOOKUP(B216,'Coil Sheet at Plant'!$C:$I,7,FALSE),""))</f>
        <v/>
      </c>
      <c r="M216" s="71" t="str">
        <f>IF(OR(K216="",L216=""),"",IF(L216=0,"⚠ NO PARENT WIDTH",IF(K216&gt;L216,"⚠ BABY &gt; PARENT","✔ OK")))</f>
        <v/>
      </c>
      <c r="N216" s="71" t="str">
        <f>IF(D216="","",IF(COUNTIF(D$3:D216,D216)&gt;1,"⚠ DUPLICATE",""))</f>
        <v/>
      </c>
      <c r="O216" s="72" t="str">
        <f>IF(B216="","",SUMIF(B:B,B216,G:G)&amp;" / "&amp;IFERROR(VLOOKUP(B216,'Coil Sheet at Plant'!$C:$I,7,FALSE),"?")&amp;" mm")</f>
        <v/>
      </c>
    </row>
    <row r="217" spans="1:15">
      <c r="A217" s="36"/>
      <c r="B217" s="32"/>
      <c r="C217" s="39"/>
      <c r="D217" s="44" t="str">
        <f>IF(OR(B217="",C217=""),"",CONCATENATE(B217,"-",C217))</f>
        <v/>
      </c>
      <c r="E217" s="49" t="str">
        <f>IF(B217="","",IFERROR(VLOOKUP(B217,'Coil Sheet at Plant'!$C:$G,5,FALSE),"ID Not Found"))</f>
        <v/>
      </c>
      <c r="F217" s="50" t="str">
        <f>IF(B217="","",IFERROR(VLOOKUP(B217,'Coil Sheet at Plant'!$C:$H,6,FALSE),"ID Not Found"))</f>
        <v/>
      </c>
      <c r="G217" s="81">
        <v>364</v>
      </c>
      <c r="H217" s="89" t="str">
        <f>IF(OR(B217="",G217=""),"",IFERROR(VLOOKUP(B217,'Coil Sheet at Plant'!$C:$J,8,FALSE),0)*G217/SUMIF(B:B,B217,G:G))</f>
        <v/>
      </c>
      <c r="I217" s="56" t="str">
        <f>IF(B217="","",IFERROR(VLOOKUP(B217,'Coil Sheet at Plant'!$C:$L,9,FALSE),""))</f>
        <v/>
      </c>
      <c r="J217" s="85" t="str">
        <f>IF(B217="","",IFERROR(VLOOKUP(B217,'Coil Sheet at Plant'!$C:$M,10,FALSE),""))</f>
        <v/>
      </c>
      <c r="K217" s="69" t="str">
        <f>IF(B217="","",SUMIF(B:B,B217,G:G))</f>
        <v/>
      </c>
      <c r="L217" s="70" t="str">
        <f>IF(B217="","",IFERROR(VLOOKUP(B217,'Coil Sheet at Plant'!$C:$I,7,FALSE),""))</f>
        <v/>
      </c>
      <c r="M217" s="71" t="str">
        <f>IF(OR(K217="",L217=""),"",IF(L217=0,"⚠ NO PARENT WIDTH",IF(K217&gt;L217,"⚠ BABY &gt; PARENT","✔ OK")))</f>
        <v/>
      </c>
      <c r="N217" s="71" t="str">
        <f>IF(D217="","",IF(COUNTIF(D$3:D217,D217)&gt;1,"⚠ DUPLICATE",""))</f>
        <v/>
      </c>
      <c r="O217" s="72" t="str">
        <f>IF(B217="","",SUMIF(B:B,B217,G:G)&amp;" / "&amp;IFERROR(VLOOKUP(B217,'Coil Sheet at Plant'!$C:$I,7,FALSE),"?")&amp;" mm")</f>
        <v/>
      </c>
    </row>
    <row r="218" spans="1:15">
      <c r="A218" s="36"/>
      <c r="B218" s="32"/>
      <c r="C218" s="39"/>
      <c r="D218" s="44" t="str">
        <f>IF(OR(B218="",C218=""),"",CONCATENATE(B218,"-",C218))</f>
        <v/>
      </c>
      <c r="E218" s="49" t="str">
        <f>IF(B218="","",IFERROR(VLOOKUP(B218,'Coil Sheet at Plant'!$C:$G,5,FALSE),"ID Not Found"))</f>
        <v/>
      </c>
      <c r="F218" s="50" t="str">
        <f>IF(B218="","",IFERROR(VLOOKUP(B218,'Coil Sheet at Plant'!$C:$H,6,FALSE),"ID Not Found"))</f>
        <v/>
      </c>
      <c r="G218" s="81">
        <v>365</v>
      </c>
      <c r="H218" s="89" t="str">
        <f>IF(OR(B218="",G218=""),"",IFERROR(VLOOKUP(B218,'Coil Sheet at Plant'!$C:$J,8,FALSE),0)*G218/SUMIF(B:B,B218,G:G))</f>
        <v/>
      </c>
      <c r="I218" s="56" t="str">
        <f>IF(B218="","",IFERROR(VLOOKUP(B218,'Coil Sheet at Plant'!$C:$L,9,FALSE),""))</f>
        <v/>
      </c>
      <c r="J218" s="85" t="str">
        <f>IF(B218="","",IFERROR(VLOOKUP(B218,'Coil Sheet at Plant'!$C:$M,10,FALSE),""))</f>
        <v/>
      </c>
      <c r="K218" s="69" t="str">
        <f>IF(B218="","",SUMIF(B:B,B218,G:G))</f>
        <v/>
      </c>
      <c r="L218" s="70" t="str">
        <f>IF(B218="","",IFERROR(VLOOKUP(B218,'Coil Sheet at Plant'!$C:$I,7,FALSE),""))</f>
        <v/>
      </c>
      <c r="M218" s="71" t="str">
        <f>IF(OR(K218="",L218=""),"",IF(L218=0,"⚠ NO PARENT WIDTH",IF(K218&gt;L218,"⚠ BABY &gt; PARENT","✔ OK")))</f>
        <v/>
      </c>
      <c r="N218" s="71" t="str">
        <f>IF(D218="","",IF(COUNTIF(D$3:D218,D218)&gt;1,"⚠ DUPLICATE",""))</f>
        <v/>
      </c>
      <c r="O218" s="72" t="str">
        <f>IF(B218="","",SUMIF(B:B,B218,G:G)&amp;" / "&amp;IFERROR(VLOOKUP(B218,'Coil Sheet at Plant'!$C:$I,7,FALSE),"?")&amp;" mm")</f>
        <v/>
      </c>
    </row>
    <row r="219" spans="1:15">
      <c r="A219" s="36"/>
      <c r="B219" s="32"/>
      <c r="C219" s="39"/>
      <c r="D219" s="44" t="str">
        <f>IF(OR(B219="",C219=""),"",CONCATENATE(B219,"-",C219))</f>
        <v/>
      </c>
      <c r="E219" s="49" t="str">
        <f>IF(B219="","",IFERROR(VLOOKUP(B219,'Coil Sheet at Plant'!$C:$G,5,FALSE),"ID Not Found"))</f>
        <v/>
      </c>
      <c r="F219" s="50" t="str">
        <f>IF(B219="","",IFERROR(VLOOKUP(B219,'Coil Sheet at Plant'!$C:$H,6,FALSE),"ID Not Found"))</f>
        <v/>
      </c>
      <c r="G219" s="81">
        <v>366</v>
      </c>
      <c r="H219" s="89" t="str">
        <f>IF(OR(B219="",G219=""),"",IFERROR(VLOOKUP(B219,'Coil Sheet at Plant'!$C:$J,8,FALSE),0)*G219/SUMIF(B:B,B219,G:G))</f>
        <v/>
      </c>
      <c r="I219" s="56" t="str">
        <f>IF(B219="","",IFERROR(VLOOKUP(B219,'Coil Sheet at Plant'!$C:$L,9,FALSE),""))</f>
        <v/>
      </c>
      <c r="J219" s="85" t="str">
        <f>IF(B219="","",IFERROR(VLOOKUP(B219,'Coil Sheet at Plant'!$C:$M,10,FALSE),""))</f>
        <v/>
      </c>
      <c r="K219" s="69" t="str">
        <f>IF(B219="","",SUMIF(B:B,B219,G:G))</f>
        <v/>
      </c>
      <c r="L219" s="70" t="str">
        <f>IF(B219="","",IFERROR(VLOOKUP(B219,'Coil Sheet at Plant'!$C:$I,7,FALSE),""))</f>
        <v/>
      </c>
      <c r="M219" s="71" t="str">
        <f>IF(OR(K219="",L219=""),"",IF(L219=0,"⚠ NO PARENT WIDTH",IF(K219&gt;L219,"⚠ BABY &gt; PARENT","✔ OK")))</f>
        <v/>
      </c>
      <c r="N219" s="71" t="str">
        <f>IF(D219="","",IF(COUNTIF(D$3:D219,D219)&gt;1,"⚠ DUPLICATE",""))</f>
        <v/>
      </c>
      <c r="O219" s="72" t="str">
        <f>IF(B219="","",SUMIF(B:B,B219,G:G)&amp;" / "&amp;IFERROR(VLOOKUP(B219,'Coil Sheet at Plant'!$C:$I,7,FALSE),"?")&amp;" mm")</f>
        <v/>
      </c>
    </row>
    <row r="220" spans="1:15">
      <c r="A220" s="36"/>
      <c r="B220" s="32"/>
      <c r="C220" s="39"/>
      <c r="D220" s="44" t="str">
        <f>IF(OR(B220="",C220=""),"",CONCATENATE(B220,"-",C220))</f>
        <v/>
      </c>
      <c r="E220" s="49" t="str">
        <f>IF(B220="","",IFERROR(VLOOKUP(B220,'Coil Sheet at Plant'!$C:$G,5,FALSE),"ID Not Found"))</f>
        <v/>
      </c>
      <c r="F220" s="50" t="str">
        <f>IF(B220="","",IFERROR(VLOOKUP(B220,'Coil Sheet at Plant'!$C:$H,6,FALSE),"ID Not Found"))</f>
        <v/>
      </c>
      <c r="G220" s="81">
        <v>367</v>
      </c>
      <c r="H220" s="89" t="str">
        <f>IF(OR(B220="",G220=""),"",IFERROR(VLOOKUP(B220,'Coil Sheet at Plant'!$C:$J,8,FALSE),0)*G220/SUMIF(B:B,B220,G:G))</f>
        <v/>
      </c>
      <c r="I220" s="56" t="str">
        <f>IF(B220="","",IFERROR(VLOOKUP(B220,'Coil Sheet at Plant'!$C:$L,9,FALSE),""))</f>
        <v/>
      </c>
      <c r="J220" s="85" t="str">
        <f>IF(B220="","",IFERROR(VLOOKUP(B220,'Coil Sheet at Plant'!$C:$M,10,FALSE),""))</f>
        <v/>
      </c>
      <c r="K220" s="69" t="str">
        <f>IF(B220="","",SUMIF(B:B,B220,G:G))</f>
        <v/>
      </c>
      <c r="L220" s="70" t="str">
        <f>IF(B220="","",IFERROR(VLOOKUP(B220,'Coil Sheet at Plant'!$C:$I,7,FALSE),""))</f>
        <v/>
      </c>
      <c r="M220" s="71" t="str">
        <f>IF(OR(K220="",L220=""),"",IF(L220=0,"⚠ NO PARENT WIDTH",IF(K220&gt;L220,"⚠ BABY &gt; PARENT","✔ OK")))</f>
        <v/>
      </c>
      <c r="N220" s="71" t="str">
        <f>IF(D220="","",IF(COUNTIF(D$3:D220,D220)&gt;1,"⚠ DUPLICATE",""))</f>
        <v/>
      </c>
      <c r="O220" s="72" t="str">
        <f>IF(B220="","",SUMIF(B:B,B220,G:G)&amp;" / "&amp;IFERROR(VLOOKUP(B220,'Coil Sheet at Plant'!$C:$I,7,FALSE),"?")&amp;" mm")</f>
        <v/>
      </c>
    </row>
    <row r="221" spans="1:15">
      <c r="A221" s="36"/>
      <c r="B221" s="32"/>
      <c r="C221" s="39"/>
      <c r="D221" s="44" t="str">
        <f>IF(OR(B221="",C221=""),"",CONCATENATE(B221,"-",C221))</f>
        <v/>
      </c>
      <c r="E221" s="49" t="str">
        <f>IF(B221="","",IFERROR(VLOOKUP(B221,'Coil Sheet at Plant'!$C:$G,5,FALSE),"ID Not Found"))</f>
        <v/>
      </c>
      <c r="F221" s="50" t="str">
        <f>IF(B221="","",IFERROR(VLOOKUP(B221,'Coil Sheet at Plant'!$C:$H,6,FALSE),"ID Not Found"))</f>
        <v/>
      </c>
      <c r="G221" s="81">
        <v>368</v>
      </c>
      <c r="H221" s="89" t="str">
        <f>IF(OR(B221="",G221=""),"",IFERROR(VLOOKUP(B221,'Coil Sheet at Plant'!$C:$J,8,FALSE),0)*G221/SUMIF(B:B,B221,G:G))</f>
        <v/>
      </c>
      <c r="I221" s="56" t="str">
        <f>IF(B221="","",IFERROR(VLOOKUP(B221,'Coil Sheet at Plant'!$C:$L,9,FALSE),""))</f>
        <v/>
      </c>
      <c r="J221" s="85" t="str">
        <f>IF(B221="","",IFERROR(VLOOKUP(B221,'Coil Sheet at Plant'!$C:$M,10,FALSE),""))</f>
        <v/>
      </c>
      <c r="K221" s="69" t="str">
        <f>IF(B221="","",SUMIF(B:B,B221,G:G))</f>
        <v/>
      </c>
      <c r="L221" s="70" t="str">
        <f>IF(B221="","",IFERROR(VLOOKUP(B221,'Coil Sheet at Plant'!$C:$I,7,FALSE),""))</f>
        <v/>
      </c>
      <c r="M221" s="71" t="str">
        <f>IF(OR(K221="",L221=""),"",IF(L221=0,"⚠ NO PARENT WIDTH",IF(K221&gt;L221,"⚠ BABY &gt; PARENT","✔ OK")))</f>
        <v/>
      </c>
      <c r="N221" s="71" t="str">
        <f>IF(D221="","",IF(COUNTIF(D$3:D221,D221)&gt;1,"⚠ DUPLICATE",""))</f>
        <v/>
      </c>
      <c r="O221" s="72" t="str">
        <f>IF(B221="","",SUMIF(B:B,B221,G:G)&amp;" / "&amp;IFERROR(VLOOKUP(B221,'Coil Sheet at Plant'!$C:$I,7,FALSE),"?")&amp;" mm")</f>
        <v/>
      </c>
    </row>
    <row r="222" spans="1:15">
      <c r="A222" s="36"/>
      <c r="B222" s="32"/>
      <c r="C222" s="39"/>
      <c r="D222" s="44" t="str">
        <f>IF(OR(B222="",C222=""),"",CONCATENATE(B222,"-",C222))</f>
        <v/>
      </c>
      <c r="E222" s="49" t="str">
        <f>IF(B222="","",IFERROR(VLOOKUP(B222,'Coil Sheet at Plant'!$C:$G,5,FALSE),"ID Not Found"))</f>
        <v/>
      </c>
      <c r="F222" s="50" t="str">
        <f>IF(B222="","",IFERROR(VLOOKUP(B222,'Coil Sheet at Plant'!$C:$H,6,FALSE),"ID Not Found"))</f>
        <v/>
      </c>
      <c r="G222" s="81">
        <v>369</v>
      </c>
      <c r="H222" s="89" t="str">
        <f>IF(OR(B222="",G222=""),"",IFERROR(VLOOKUP(B222,'Coil Sheet at Plant'!$C:$J,8,FALSE),0)*G222/SUMIF(B:B,B222,G:G))</f>
        <v/>
      </c>
      <c r="I222" s="56" t="str">
        <f>IF(B222="","",IFERROR(VLOOKUP(B222,'Coil Sheet at Plant'!$C:$L,9,FALSE),""))</f>
        <v/>
      </c>
      <c r="J222" s="85" t="str">
        <f>IF(B222="","",IFERROR(VLOOKUP(B222,'Coil Sheet at Plant'!$C:$M,10,FALSE),""))</f>
        <v/>
      </c>
      <c r="K222" s="69" t="str">
        <f>IF(B222="","",SUMIF(B:B,B222,G:G))</f>
        <v/>
      </c>
      <c r="L222" s="70" t="str">
        <f>IF(B222="","",IFERROR(VLOOKUP(B222,'Coil Sheet at Plant'!$C:$I,7,FALSE),""))</f>
        <v/>
      </c>
      <c r="M222" s="71" t="str">
        <f>IF(OR(K222="",L222=""),"",IF(L222=0,"⚠ NO PARENT WIDTH",IF(K222&gt;L222,"⚠ BABY &gt; PARENT","✔ OK")))</f>
        <v/>
      </c>
      <c r="N222" s="71" t="str">
        <f>IF(D222="","",IF(COUNTIF(D$3:D222,D222)&gt;1,"⚠ DUPLICATE",""))</f>
        <v/>
      </c>
      <c r="O222" s="72" t="str">
        <f>IF(B222="","",SUMIF(B:B,B222,G:G)&amp;" / "&amp;IFERROR(VLOOKUP(B222,'Coil Sheet at Plant'!$C:$I,7,FALSE),"?")&amp;" mm")</f>
        <v/>
      </c>
    </row>
    <row r="223" spans="1:15">
      <c r="A223" s="36"/>
      <c r="B223" s="32"/>
      <c r="C223" s="39"/>
      <c r="D223" s="44" t="str">
        <f>IF(OR(B223="",C223=""),"",CONCATENATE(B223,"-",C223))</f>
        <v/>
      </c>
      <c r="E223" s="49" t="str">
        <f>IF(B223="","",IFERROR(VLOOKUP(B223,'Coil Sheet at Plant'!$C:$G,5,FALSE),"ID Not Found"))</f>
        <v/>
      </c>
      <c r="F223" s="50" t="str">
        <f>IF(B223="","",IFERROR(VLOOKUP(B223,'Coil Sheet at Plant'!$C:$H,6,FALSE),"ID Not Found"))</f>
        <v/>
      </c>
      <c r="G223" s="81">
        <v>370</v>
      </c>
      <c r="H223" s="89" t="str">
        <f>IF(OR(B223="",G223=""),"",IFERROR(VLOOKUP(B223,'Coil Sheet at Plant'!$C:$J,8,FALSE),0)*G223/SUMIF(B:B,B223,G:G))</f>
        <v/>
      </c>
      <c r="I223" s="56" t="str">
        <f>IF(B223="","",IFERROR(VLOOKUP(B223,'Coil Sheet at Plant'!$C:$L,9,FALSE),""))</f>
        <v/>
      </c>
      <c r="J223" s="85" t="str">
        <f>IF(B223="","",IFERROR(VLOOKUP(B223,'Coil Sheet at Plant'!$C:$M,10,FALSE),""))</f>
        <v/>
      </c>
      <c r="K223" s="69" t="str">
        <f>IF(B223="","",SUMIF(B:B,B223,G:G))</f>
        <v/>
      </c>
      <c r="L223" s="70" t="str">
        <f>IF(B223="","",IFERROR(VLOOKUP(B223,'Coil Sheet at Plant'!$C:$I,7,FALSE),""))</f>
        <v/>
      </c>
      <c r="M223" s="71" t="str">
        <f>IF(OR(K223="",L223=""),"",IF(L223=0,"⚠ NO PARENT WIDTH",IF(K223&gt;L223,"⚠ BABY &gt; PARENT","✔ OK")))</f>
        <v/>
      </c>
      <c r="N223" s="71" t="str">
        <f>IF(D223="","",IF(COUNTIF(D$3:D223,D223)&gt;1,"⚠ DUPLICATE",""))</f>
        <v/>
      </c>
      <c r="O223" s="72" t="str">
        <f>IF(B223="","",SUMIF(B:B,B223,G:G)&amp;" / "&amp;IFERROR(VLOOKUP(B223,'Coil Sheet at Plant'!$C:$I,7,FALSE),"?")&amp;" mm")</f>
        <v/>
      </c>
    </row>
    <row r="224" spans="1:15">
      <c r="A224" s="36"/>
      <c r="B224" s="32"/>
      <c r="C224" s="39"/>
      <c r="D224" s="44" t="str">
        <f>IF(OR(B224="",C224=""),"",CONCATENATE(B224,"-",C224))</f>
        <v/>
      </c>
      <c r="E224" s="49" t="str">
        <f>IF(B224="","",IFERROR(VLOOKUP(B224,'Coil Sheet at Plant'!$C:$G,5,FALSE),"ID Not Found"))</f>
        <v/>
      </c>
      <c r="F224" s="50" t="str">
        <f>IF(B224="","",IFERROR(VLOOKUP(B224,'Coil Sheet at Plant'!$C:$H,6,FALSE),"ID Not Found"))</f>
        <v/>
      </c>
      <c r="G224" s="81">
        <v>371</v>
      </c>
      <c r="H224" s="89" t="str">
        <f>IF(OR(B224="",G224=""),"",IFERROR(VLOOKUP(B224,'Coil Sheet at Plant'!$C:$J,8,FALSE),0)*G224/SUMIF(B:B,B224,G:G))</f>
        <v/>
      </c>
      <c r="I224" s="56" t="str">
        <f>IF(B224="","",IFERROR(VLOOKUP(B224,'Coil Sheet at Plant'!$C:$L,9,FALSE),""))</f>
        <v/>
      </c>
      <c r="J224" s="85" t="str">
        <f>IF(B224="","",IFERROR(VLOOKUP(B224,'Coil Sheet at Plant'!$C:$M,10,FALSE),""))</f>
        <v/>
      </c>
      <c r="K224" s="69" t="str">
        <f>IF(B224="","",SUMIF(B:B,B224,G:G))</f>
        <v/>
      </c>
      <c r="L224" s="70" t="str">
        <f>IF(B224="","",IFERROR(VLOOKUP(B224,'Coil Sheet at Plant'!$C:$I,7,FALSE),""))</f>
        <v/>
      </c>
      <c r="M224" s="71" t="str">
        <f>IF(OR(K224="",L224=""),"",IF(L224=0,"⚠ NO PARENT WIDTH",IF(K224&gt;L224,"⚠ BABY &gt; PARENT","✔ OK")))</f>
        <v/>
      </c>
      <c r="N224" s="71" t="str">
        <f>IF(D224="","",IF(COUNTIF(D$3:D224,D224)&gt;1,"⚠ DUPLICATE",""))</f>
        <v/>
      </c>
      <c r="O224" s="72" t="str">
        <f>IF(B224="","",SUMIF(B:B,B224,G:G)&amp;" / "&amp;IFERROR(VLOOKUP(B224,'Coil Sheet at Plant'!$C:$I,7,FALSE),"?")&amp;" mm")</f>
        <v/>
      </c>
    </row>
    <row r="225" spans="1:15">
      <c r="A225" s="36"/>
      <c r="B225" s="32"/>
      <c r="C225" s="39"/>
      <c r="D225" s="44" t="str">
        <f>IF(OR(B225="",C225=""),"",CONCATENATE(B225,"-",C225))</f>
        <v/>
      </c>
      <c r="E225" s="49" t="str">
        <f>IF(B225="","",IFERROR(VLOOKUP(B225,'Coil Sheet at Plant'!$C:$G,5,FALSE),"ID Not Found"))</f>
        <v/>
      </c>
      <c r="F225" s="50" t="str">
        <f>IF(B225="","",IFERROR(VLOOKUP(B225,'Coil Sheet at Plant'!$C:$H,6,FALSE),"ID Not Found"))</f>
        <v/>
      </c>
      <c r="G225" s="81">
        <v>372</v>
      </c>
      <c r="H225" s="89" t="str">
        <f>IF(OR(B225="",G225=""),"",IFERROR(VLOOKUP(B225,'Coil Sheet at Plant'!$C:$J,8,FALSE),0)*G225/SUMIF(B:B,B225,G:G))</f>
        <v/>
      </c>
      <c r="I225" s="56" t="str">
        <f>IF(B225="","",IFERROR(VLOOKUP(B225,'Coil Sheet at Plant'!$C:$L,9,FALSE),""))</f>
        <v/>
      </c>
      <c r="J225" s="85" t="str">
        <f>IF(B225="","",IFERROR(VLOOKUP(B225,'Coil Sheet at Plant'!$C:$M,10,FALSE),""))</f>
        <v/>
      </c>
      <c r="K225" s="69" t="str">
        <f>IF(B225="","",SUMIF(B:B,B225,G:G))</f>
        <v/>
      </c>
      <c r="L225" s="70" t="str">
        <f>IF(B225="","",IFERROR(VLOOKUP(B225,'Coil Sheet at Plant'!$C:$I,7,FALSE),""))</f>
        <v/>
      </c>
      <c r="M225" s="71" t="str">
        <f>IF(OR(K225="",L225=""),"",IF(L225=0,"⚠ NO PARENT WIDTH",IF(K225&gt;L225,"⚠ BABY &gt; PARENT","✔ OK")))</f>
        <v/>
      </c>
      <c r="N225" s="71" t="str">
        <f>IF(D225="","",IF(COUNTIF(D$3:D225,D225)&gt;1,"⚠ DUPLICATE",""))</f>
        <v/>
      </c>
      <c r="O225" s="72" t="str">
        <f>IF(B225="","",SUMIF(B:B,B225,G:G)&amp;" / "&amp;IFERROR(VLOOKUP(B225,'Coil Sheet at Plant'!$C:$I,7,FALSE),"?")&amp;" mm")</f>
        <v/>
      </c>
    </row>
    <row r="226" spans="1:15">
      <c r="A226" s="36"/>
      <c r="B226" s="32"/>
      <c r="C226" s="39"/>
      <c r="D226" s="44" t="str">
        <f>IF(OR(B226="",C226=""),"",CONCATENATE(B226,"-",C226))</f>
        <v/>
      </c>
      <c r="E226" s="49" t="str">
        <f>IF(B226="","",IFERROR(VLOOKUP(B226,'Coil Sheet at Plant'!$C:$G,5,FALSE),"ID Not Found"))</f>
        <v/>
      </c>
      <c r="F226" s="50" t="str">
        <f>IF(B226="","",IFERROR(VLOOKUP(B226,'Coil Sheet at Plant'!$C:$H,6,FALSE),"ID Not Found"))</f>
        <v/>
      </c>
      <c r="G226" s="81">
        <v>373</v>
      </c>
      <c r="H226" s="89" t="str">
        <f>IF(OR(B226="",G226=""),"",IFERROR(VLOOKUP(B226,'Coil Sheet at Plant'!$C:$J,8,FALSE),0)*G226/SUMIF(B:B,B226,G:G))</f>
        <v/>
      </c>
      <c r="I226" s="56" t="str">
        <f>IF(B226="","",IFERROR(VLOOKUP(B226,'Coil Sheet at Plant'!$C:$L,9,FALSE),""))</f>
        <v/>
      </c>
      <c r="J226" s="85" t="str">
        <f>IF(B226="","",IFERROR(VLOOKUP(B226,'Coil Sheet at Plant'!$C:$M,10,FALSE),""))</f>
        <v/>
      </c>
      <c r="K226" s="69" t="str">
        <f>IF(B226="","",SUMIF(B:B,B226,G:G))</f>
        <v/>
      </c>
      <c r="L226" s="70" t="str">
        <f>IF(B226="","",IFERROR(VLOOKUP(B226,'Coil Sheet at Plant'!$C:$I,7,FALSE),""))</f>
        <v/>
      </c>
      <c r="M226" s="71" t="str">
        <f>IF(OR(K226="",L226=""),"",IF(L226=0,"⚠ NO PARENT WIDTH",IF(K226&gt;L226,"⚠ BABY &gt; PARENT","✔ OK")))</f>
        <v/>
      </c>
      <c r="N226" s="71" t="str">
        <f>IF(D226="","",IF(COUNTIF(D$3:D226,D226)&gt;1,"⚠ DUPLICATE",""))</f>
        <v/>
      </c>
      <c r="O226" s="72" t="str">
        <f>IF(B226="","",SUMIF(B:B,B226,G:G)&amp;" / "&amp;IFERROR(VLOOKUP(B226,'Coil Sheet at Plant'!$C:$I,7,FALSE),"?")&amp;" mm")</f>
        <v/>
      </c>
    </row>
    <row r="227" spans="1:15">
      <c r="A227" s="36"/>
      <c r="B227" s="32"/>
      <c r="C227" s="39"/>
      <c r="D227" s="44" t="str">
        <f>IF(OR(B227="",C227=""),"",CONCATENATE(B227,"-",C227))</f>
        <v/>
      </c>
      <c r="E227" s="49" t="str">
        <f>IF(B227="","",IFERROR(VLOOKUP(B227,'Coil Sheet at Plant'!$C:$G,5,FALSE),"ID Not Found"))</f>
        <v/>
      </c>
      <c r="F227" s="50" t="str">
        <f>IF(B227="","",IFERROR(VLOOKUP(B227,'Coil Sheet at Plant'!$C:$H,6,FALSE),"ID Not Found"))</f>
        <v/>
      </c>
      <c r="G227" s="81">
        <v>374</v>
      </c>
      <c r="H227" s="89" t="str">
        <f>IF(OR(B227="",G227=""),"",IFERROR(VLOOKUP(B227,'Coil Sheet at Plant'!$C:$J,8,FALSE),0)*G227/SUMIF(B:B,B227,G:G))</f>
        <v/>
      </c>
      <c r="I227" s="56" t="str">
        <f>IF(B227="","",IFERROR(VLOOKUP(B227,'Coil Sheet at Plant'!$C:$L,9,FALSE),""))</f>
        <v/>
      </c>
      <c r="J227" s="85" t="str">
        <f>IF(B227="","",IFERROR(VLOOKUP(B227,'Coil Sheet at Plant'!$C:$M,10,FALSE),""))</f>
        <v/>
      </c>
      <c r="K227" s="69" t="str">
        <f>IF(B227="","",SUMIF(B:B,B227,G:G))</f>
        <v/>
      </c>
      <c r="L227" s="70" t="str">
        <f>IF(B227="","",IFERROR(VLOOKUP(B227,'Coil Sheet at Plant'!$C:$I,7,FALSE),""))</f>
        <v/>
      </c>
      <c r="M227" s="71" t="str">
        <f>IF(OR(K227="",L227=""),"",IF(L227=0,"⚠ NO PARENT WIDTH",IF(K227&gt;L227,"⚠ BABY &gt; PARENT","✔ OK")))</f>
        <v/>
      </c>
      <c r="N227" s="71" t="str">
        <f>IF(D227="","",IF(COUNTIF(D$3:D227,D227)&gt;1,"⚠ DUPLICATE",""))</f>
        <v/>
      </c>
      <c r="O227" s="72" t="str">
        <f>IF(B227="","",SUMIF(B:B,B227,G:G)&amp;" / "&amp;IFERROR(VLOOKUP(B227,'Coil Sheet at Plant'!$C:$I,7,FALSE),"?")&amp;" mm")</f>
        <v/>
      </c>
    </row>
    <row r="228" spans="1:15">
      <c r="A228" s="36"/>
      <c r="B228" s="32"/>
      <c r="C228" s="39"/>
      <c r="D228" s="44" t="str">
        <f>IF(OR(B228="",C228=""),"",CONCATENATE(B228,"-",C228))</f>
        <v/>
      </c>
      <c r="E228" s="49" t="str">
        <f>IF(B228="","",IFERROR(VLOOKUP(B228,'Coil Sheet at Plant'!$C:$G,5,FALSE),"ID Not Found"))</f>
        <v/>
      </c>
      <c r="F228" s="50" t="str">
        <f>IF(B228="","",IFERROR(VLOOKUP(B228,'Coil Sheet at Plant'!$C:$H,6,FALSE),"ID Not Found"))</f>
        <v/>
      </c>
      <c r="G228" s="81">
        <v>375</v>
      </c>
      <c r="H228" s="89" t="str">
        <f>IF(OR(B228="",G228=""),"",IFERROR(VLOOKUP(B228,'Coil Sheet at Plant'!$C:$J,8,FALSE),0)*G228/SUMIF(B:B,B228,G:G))</f>
        <v/>
      </c>
      <c r="I228" s="56" t="str">
        <f>IF(B228="","",IFERROR(VLOOKUP(B228,'Coil Sheet at Plant'!$C:$L,9,FALSE),""))</f>
        <v/>
      </c>
      <c r="J228" s="85" t="str">
        <f>IF(B228="","",IFERROR(VLOOKUP(B228,'Coil Sheet at Plant'!$C:$M,10,FALSE),""))</f>
        <v/>
      </c>
      <c r="K228" s="69" t="str">
        <f>IF(B228="","",SUMIF(B:B,B228,G:G))</f>
        <v/>
      </c>
      <c r="L228" s="70" t="str">
        <f>IF(B228="","",IFERROR(VLOOKUP(B228,'Coil Sheet at Plant'!$C:$I,7,FALSE),""))</f>
        <v/>
      </c>
      <c r="M228" s="71" t="str">
        <f>IF(OR(K228="",L228=""),"",IF(L228=0,"⚠ NO PARENT WIDTH",IF(K228&gt;L228,"⚠ BABY &gt; PARENT","✔ OK")))</f>
        <v/>
      </c>
      <c r="N228" s="71" t="str">
        <f>IF(D228="","",IF(COUNTIF(D$3:D228,D228)&gt;1,"⚠ DUPLICATE",""))</f>
        <v/>
      </c>
      <c r="O228" s="72" t="str">
        <f>IF(B228="","",SUMIF(B:B,B228,G:G)&amp;" / "&amp;IFERROR(VLOOKUP(B228,'Coil Sheet at Plant'!$C:$I,7,FALSE),"?")&amp;" mm")</f>
        <v/>
      </c>
    </row>
    <row r="229" spans="1:15">
      <c r="A229" s="36"/>
      <c r="B229" s="32"/>
      <c r="C229" s="39"/>
      <c r="D229" s="44" t="str">
        <f>IF(OR(B229="",C229=""),"",CONCATENATE(B229,"-",C229))</f>
        <v/>
      </c>
      <c r="E229" s="49" t="str">
        <f>IF(B229="","",IFERROR(VLOOKUP(B229,'Coil Sheet at Plant'!$C:$G,5,FALSE),"ID Not Found"))</f>
        <v/>
      </c>
      <c r="F229" s="50" t="str">
        <f>IF(B229="","",IFERROR(VLOOKUP(B229,'Coil Sheet at Plant'!$C:$H,6,FALSE),"ID Not Found"))</f>
        <v/>
      </c>
      <c r="G229" s="81">
        <v>376</v>
      </c>
      <c r="H229" s="89" t="str">
        <f>IF(OR(B229="",G229=""),"",IFERROR(VLOOKUP(B229,'Coil Sheet at Plant'!$C:$J,8,FALSE),0)*G229/SUMIF(B:B,B229,G:G))</f>
        <v/>
      </c>
      <c r="I229" s="56" t="str">
        <f>IF(B229="","",IFERROR(VLOOKUP(B229,'Coil Sheet at Plant'!$C:$L,9,FALSE),""))</f>
        <v/>
      </c>
      <c r="J229" s="85" t="str">
        <f>IF(B229="","",IFERROR(VLOOKUP(B229,'Coil Sheet at Plant'!$C:$M,10,FALSE),""))</f>
        <v/>
      </c>
      <c r="K229" s="69" t="str">
        <f>IF(B229="","",SUMIF(B:B,B229,G:G))</f>
        <v/>
      </c>
      <c r="L229" s="70" t="str">
        <f>IF(B229="","",IFERROR(VLOOKUP(B229,'Coil Sheet at Plant'!$C:$I,7,FALSE),""))</f>
        <v/>
      </c>
      <c r="M229" s="71" t="str">
        <f>IF(OR(K229="",L229=""),"",IF(L229=0,"⚠ NO PARENT WIDTH",IF(K229&gt;L229,"⚠ BABY &gt; PARENT","✔ OK")))</f>
        <v/>
      </c>
      <c r="N229" s="71" t="str">
        <f>IF(D229="","",IF(COUNTIF(D$3:D229,D229)&gt;1,"⚠ DUPLICATE",""))</f>
        <v/>
      </c>
      <c r="O229" s="72" t="str">
        <f>IF(B229="","",SUMIF(B:B,B229,G:G)&amp;" / "&amp;IFERROR(VLOOKUP(B229,'Coil Sheet at Plant'!$C:$I,7,FALSE),"?")&amp;" mm")</f>
        <v/>
      </c>
    </row>
    <row r="230" spans="1:15">
      <c r="A230" s="36"/>
      <c r="B230" s="32"/>
      <c r="C230" s="39"/>
      <c r="D230" s="44" t="str">
        <f>IF(OR(B230="",C230=""),"",CONCATENATE(B230,"-",C230))</f>
        <v/>
      </c>
      <c r="E230" s="49" t="str">
        <f>IF(B230="","",IFERROR(VLOOKUP(B230,'Coil Sheet at Plant'!$C:$G,5,FALSE),"ID Not Found"))</f>
        <v/>
      </c>
      <c r="F230" s="50" t="str">
        <f>IF(B230="","",IFERROR(VLOOKUP(B230,'Coil Sheet at Plant'!$C:$H,6,FALSE),"ID Not Found"))</f>
        <v/>
      </c>
      <c r="G230" s="81">
        <v>377</v>
      </c>
      <c r="H230" s="89" t="str">
        <f>IF(OR(B230="",G230=""),"",IFERROR(VLOOKUP(B230,'Coil Sheet at Plant'!$C:$J,8,FALSE),0)*G230/SUMIF(B:B,B230,G:G))</f>
        <v/>
      </c>
      <c r="I230" s="56" t="str">
        <f>IF(B230="","",IFERROR(VLOOKUP(B230,'Coil Sheet at Plant'!$C:$L,9,FALSE),""))</f>
        <v/>
      </c>
      <c r="J230" s="85" t="str">
        <f>IF(B230="","",IFERROR(VLOOKUP(B230,'Coil Sheet at Plant'!$C:$M,10,FALSE),""))</f>
        <v/>
      </c>
      <c r="K230" s="69" t="str">
        <f>IF(B230="","",SUMIF(B:B,B230,G:G))</f>
        <v/>
      </c>
      <c r="L230" s="70" t="str">
        <f>IF(B230="","",IFERROR(VLOOKUP(B230,'Coil Sheet at Plant'!$C:$I,7,FALSE),""))</f>
        <v/>
      </c>
      <c r="M230" s="71" t="str">
        <f>IF(OR(K230="",L230=""),"",IF(L230=0,"⚠ NO PARENT WIDTH",IF(K230&gt;L230,"⚠ BABY &gt; PARENT","✔ OK")))</f>
        <v/>
      </c>
      <c r="N230" s="71" t="str">
        <f>IF(D230="","",IF(COUNTIF(D$3:D230,D230)&gt;1,"⚠ DUPLICATE",""))</f>
        <v/>
      </c>
      <c r="O230" s="72" t="str">
        <f>IF(B230="","",SUMIF(B:B,B230,G:G)&amp;" / "&amp;IFERROR(VLOOKUP(B230,'Coil Sheet at Plant'!$C:$I,7,FALSE),"?")&amp;" mm")</f>
        <v/>
      </c>
    </row>
    <row r="231" spans="1:15">
      <c r="A231" s="36"/>
      <c r="B231" s="32"/>
      <c r="C231" s="39"/>
      <c r="D231" s="44" t="str">
        <f>IF(OR(B231="",C231=""),"",CONCATENATE(B231,"-",C231))</f>
        <v/>
      </c>
      <c r="E231" s="49" t="str">
        <f>IF(B231="","",IFERROR(VLOOKUP(B231,'Coil Sheet at Plant'!$C:$G,5,FALSE),"ID Not Found"))</f>
        <v/>
      </c>
      <c r="F231" s="50" t="str">
        <f>IF(B231="","",IFERROR(VLOOKUP(B231,'Coil Sheet at Plant'!$C:$H,6,FALSE),"ID Not Found"))</f>
        <v/>
      </c>
      <c r="G231" s="81">
        <v>378</v>
      </c>
      <c r="H231" s="89" t="str">
        <f>IF(OR(B231="",G231=""),"",IFERROR(VLOOKUP(B231,'Coil Sheet at Plant'!$C:$J,8,FALSE),0)*G231/SUMIF(B:B,B231,G:G))</f>
        <v/>
      </c>
      <c r="I231" s="56" t="str">
        <f>IF(B231="","",IFERROR(VLOOKUP(B231,'Coil Sheet at Plant'!$C:$L,9,FALSE),""))</f>
        <v/>
      </c>
      <c r="J231" s="85" t="str">
        <f>IF(B231="","",IFERROR(VLOOKUP(B231,'Coil Sheet at Plant'!$C:$M,10,FALSE),""))</f>
        <v/>
      </c>
      <c r="K231" s="69" t="str">
        <f>IF(B231="","",SUMIF(B:B,B231,G:G))</f>
        <v/>
      </c>
      <c r="L231" s="70" t="str">
        <f>IF(B231="","",IFERROR(VLOOKUP(B231,'Coil Sheet at Plant'!$C:$I,7,FALSE),""))</f>
        <v/>
      </c>
      <c r="M231" s="71" t="str">
        <f>IF(OR(K231="",L231=""),"",IF(L231=0,"⚠ NO PARENT WIDTH",IF(K231&gt;L231,"⚠ BABY &gt; PARENT","✔ OK")))</f>
        <v/>
      </c>
      <c r="N231" s="71" t="str">
        <f>IF(D231="","",IF(COUNTIF(D$3:D231,D231)&gt;1,"⚠ DUPLICATE",""))</f>
        <v/>
      </c>
      <c r="O231" s="72" t="str">
        <f>IF(B231="","",SUMIF(B:B,B231,G:G)&amp;" / "&amp;IFERROR(VLOOKUP(B231,'Coil Sheet at Plant'!$C:$I,7,FALSE),"?")&amp;" mm")</f>
        <v/>
      </c>
    </row>
    <row r="232" spans="1:15">
      <c r="A232" s="36"/>
      <c r="B232" s="32"/>
      <c r="C232" s="39"/>
      <c r="D232" s="44" t="str">
        <f>IF(OR(B232="",C232=""),"",CONCATENATE(B232,"-",C232))</f>
        <v/>
      </c>
      <c r="E232" s="49" t="str">
        <f>IF(B232="","",IFERROR(VLOOKUP(B232,'Coil Sheet at Plant'!$C:$G,5,FALSE),"ID Not Found"))</f>
        <v/>
      </c>
      <c r="F232" s="50" t="str">
        <f>IF(B232="","",IFERROR(VLOOKUP(B232,'Coil Sheet at Plant'!$C:$H,6,FALSE),"ID Not Found"))</f>
        <v/>
      </c>
      <c r="G232" s="81">
        <v>379</v>
      </c>
      <c r="H232" s="89" t="str">
        <f>IF(OR(B232="",G232=""),"",IFERROR(VLOOKUP(B232,'Coil Sheet at Plant'!$C:$J,8,FALSE),0)*G232/SUMIF(B:B,B232,G:G))</f>
        <v/>
      </c>
      <c r="I232" s="56" t="str">
        <f>IF(B232="","",IFERROR(VLOOKUP(B232,'Coil Sheet at Plant'!$C:$L,9,FALSE),""))</f>
        <v/>
      </c>
      <c r="J232" s="85" t="str">
        <f>IF(B232="","",IFERROR(VLOOKUP(B232,'Coil Sheet at Plant'!$C:$M,10,FALSE),""))</f>
        <v/>
      </c>
      <c r="K232" s="69" t="str">
        <f>IF(B232="","",SUMIF(B:B,B232,G:G))</f>
        <v/>
      </c>
      <c r="L232" s="70" t="str">
        <f>IF(B232="","",IFERROR(VLOOKUP(B232,'Coil Sheet at Plant'!$C:$I,7,FALSE),""))</f>
        <v/>
      </c>
      <c r="M232" s="71" t="str">
        <f>IF(OR(K232="",L232=""),"",IF(L232=0,"⚠ NO PARENT WIDTH",IF(K232&gt;L232,"⚠ BABY &gt; PARENT","✔ OK")))</f>
        <v/>
      </c>
      <c r="N232" s="71" t="str">
        <f>IF(D232="","",IF(COUNTIF(D$3:D232,D232)&gt;1,"⚠ DUPLICATE",""))</f>
        <v/>
      </c>
      <c r="O232" s="72" t="str">
        <f>IF(B232="","",SUMIF(B:B,B232,G:G)&amp;" / "&amp;IFERROR(VLOOKUP(B232,'Coil Sheet at Plant'!$C:$I,7,FALSE),"?")&amp;" mm")</f>
        <v/>
      </c>
    </row>
    <row r="233" spans="1:15">
      <c r="A233" s="36"/>
      <c r="B233" s="32"/>
      <c r="C233" s="39"/>
      <c r="D233" s="44" t="str">
        <f>IF(OR(B233="",C233=""),"",CONCATENATE(B233,"-",C233))</f>
        <v/>
      </c>
      <c r="E233" s="49" t="str">
        <f>IF(B233="","",IFERROR(VLOOKUP(B233,'Coil Sheet at Plant'!$C:$G,5,FALSE),"ID Not Found"))</f>
        <v/>
      </c>
      <c r="F233" s="50" t="str">
        <f>IF(B233="","",IFERROR(VLOOKUP(B233,'Coil Sheet at Plant'!$C:$H,6,FALSE),"ID Not Found"))</f>
        <v/>
      </c>
      <c r="G233" s="81">
        <v>380</v>
      </c>
      <c r="H233" s="89" t="str">
        <f>IF(OR(B233="",G233=""),"",IFERROR(VLOOKUP(B233,'Coil Sheet at Plant'!$C:$J,8,FALSE),0)*G233/SUMIF(B:B,B233,G:G))</f>
        <v/>
      </c>
      <c r="I233" s="56" t="str">
        <f>IF(B233="","",IFERROR(VLOOKUP(B233,'Coil Sheet at Plant'!$C:$L,9,FALSE),""))</f>
        <v/>
      </c>
      <c r="J233" s="85" t="str">
        <f>IF(B233="","",IFERROR(VLOOKUP(B233,'Coil Sheet at Plant'!$C:$M,10,FALSE),""))</f>
        <v/>
      </c>
      <c r="K233" s="69" t="str">
        <f>IF(B233="","",SUMIF(B:B,B233,G:G))</f>
        <v/>
      </c>
      <c r="L233" s="70" t="str">
        <f>IF(B233="","",IFERROR(VLOOKUP(B233,'Coil Sheet at Plant'!$C:$I,7,FALSE),""))</f>
        <v/>
      </c>
      <c r="M233" s="71" t="str">
        <f>IF(OR(K233="",L233=""),"",IF(L233=0,"⚠ NO PARENT WIDTH",IF(K233&gt;L233,"⚠ BABY &gt; PARENT","✔ OK")))</f>
        <v/>
      </c>
      <c r="N233" s="71" t="str">
        <f>IF(D233="","",IF(COUNTIF(D$3:D233,D233)&gt;1,"⚠ DUPLICATE",""))</f>
        <v/>
      </c>
      <c r="O233" s="72" t="str">
        <f>IF(B233="","",SUMIF(B:B,B233,G:G)&amp;" / "&amp;IFERROR(VLOOKUP(B233,'Coil Sheet at Plant'!$C:$I,7,FALSE),"?")&amp;" mm")</f>
        <v/>
      </c>
    </row>
    <row r="234" spans="1:15">
      <c r="A234" s="36"/>
      <c r="B234" s="32"/>
      <c r="C234" s="39"/>
      <c r="D234" s="44" t="str">
        <f>IF(OR(B234="",C234=""),"",CONCATENATE(B234,"-",C234))</f>
        <v/>
      </c>
      <c r="E234" s="49" t="str">
        <f>IF(B234="","",IFERROR(VLOOKUP(B234,'Coil Sheet at Plant'!$C:$G,5,FALSE),"ID Not Found"))</f>
        <v/>
      </c>
      <c r="F234" s="50" t="str">
        <f>IF(B234="","",IFERROR(VLOOKUP(B234,'Coil Sheet at Plant'!$C:$H,6,FALSE),"ID Not Found"))</f>
        <v/>
      </c>
      <c r="G234" s="81">
        <v>381</v>
      </c>
      <c r="H234" s="89" t="str">
        <f>IF(OR(B234="",G234=""),"",IFERROR(VLOOKUP(B234,'Coil Sheet at Plant'!$C:$J,8,FALSE),0)*G234/SUMIF(B:B,B234,G:G))</f>
        <v/>
      </c>
      <c r="I234" s="56" t="str">
        <f>IF(B234="","",IFERROR(VLOOKUP(B234,'Coil Sheet at Plant'!$C:$L,9,FALSE),""))</f>
        <v/>
      </c>
      <c r="J234" s="85" t="str">
        <f>IF(B234="","",IFERROR(VLOOKUP(B234,'Coil Sheet at Plant'!$C:$M,10,FALSE),""))</f>
        <v/>
      </c>
      <c r="K234" s="69" t="str">
        <f>IF(B234="","",SUMIF(B:B,B234,G:G))</f>
        <v/>
      </c>
      <c r="L234" s="70" t="str">
        <f>IF(B234="","",IFERROR(VLOOKUP(B234,'Coil Sheet at Plant'!$C:$I,7,FALSE),""))</f>
        <v/>
      </c>
      <c r="M234" s="71" t="str">
        <f>IF(OR(K234="",L234=""),"",IF(L234=0,"⚠ NO PARENT WIDTH",IF(K234&gt;L234,"⚠ BABY &gt; PARENT","✔ OK")))</f>
        <v/>
      </c>
      <c r="N234" s="71" t="str">
        <f>IF(D234="","",IF(COUNTIF(D$3:D234,D234)&gt;1,"⚠ DUPLICATE",""))</f>
        <v/>
      </c>
      <c r="O234" s="72" t="str">
        <f>IF(B234="","",SUMIF(B:B,B234,G:G)&amp;" / "&amp;IFERROR(VLOOKUP(B234,'Coil Sheet at Plant'!$C:$I,7,FALSE),"?")&amp;" mm")</f>
        <v/>
      </c>
    </row>
    <row r="235" spans="1:15">
      <c r="A235" s="36"/>
      <c r="B235" s="32"/>
      <c r="C235" s="39"/>
      <c r="D235" s="44" t="str">
        <f>IF(OR(B235="",C235=""),"",CONCATENATE(B235,"-",C235))</f>
        <v/>
      </c>
      <c r="E235" s="49" t="str">
        <f>IF(B235="","",IFERROR(VLOOKUP(B235,'Coil Sheet at Plant'!$C:$G,5,FALSE),"ID Not Found"))</f>
        <v/>
      </c>
      <c r="F235" s="50" t="str">
        <f>IF(B235="","",IFERROR(VLOOKUP(B235,'Coil Sheet at Plant'!$C:$H,6,FALSE),"ID Not Found"))</f>
        <v/>
      </c>
      <c r="G235" s="81">
        <v>382</v>
      </c>
      <c r="H235" s="89" t="str">
        <f>IF(OR(B235="",G235=""),"",IFERROR(VLOOKUP(B235,'Coil Sheet at Plant'!$C:$J,8,FALSE),0)*G235/SUMIF(B:B,B235,G:G))</f>
        <v/>
      </c>
      <c r="I235" s="56" t="str">
        <f>IF(B235="","",IFERROR(VLOOKUP(B235,'Coil Sheet at Plant'!$C:$L,9,FALSE),""))</f>
        <v/>
      </c>
      <c r="J235" s="85" t="str">
        <f>IF(B235="","",IFERROR(VLOOKUP(B235,'Coil Sheet at Plant'!$C:$M,10,FALSE),""))</f>
        <v/>
      </c>
      <c r="K235" s="69" t="str">
        <f>IF(B235="","",SUMIF(B:B,B235,G:G))</f>
        <v/>
      </c>
      <c r="L235" s="70" t="str">
        <f>IF(B235="","",IFERROR(VLOOKUP(B235,'Coil Sheet at Plant'!$C:$I,7,FALSE),""))</f>
        <v/>
      </c>
      <c r="M235" s="71" t="str">
        <f>IF(OR(K235="",L235=""),"",IF(L235=0,"⚠ NO PARENT WIDTH",IF(K235&gt;L235,"⚠ BABY &gt; PARENT","✔ OK")))</f>
        <v/>
      </c>
      <c r="N235" s="71" t="str">
        <f>IF(D235="","",IF(COUNTIF(D$3:D235,D235)&gt;1,"⚠ DUPLICATE",""))</f>
        <v/>
      </c>
      <c r="O235" s="72" t="str">
        <f>IF(B235="","",SUMIF(B:B,B235,G:G)&amp;" / "&amp;IFERROR(VLOOKUP(B235,'Coil Sheet at Plant'!$C:$I,7,FALSE),"?")&amp;" mm")</f>
        <v/>
      </c>
    </row>
    <row r="236" spans="1:15">
      <c r="A236" s="36"/>
      <c r="B236" s="32"/>
      <c r="C236" s="39"/>
      <c r="D236" s="44" t="str">
        <f>IF(OR(B236="",C236=""),"",CONCATENATE(B236,"-",C236))</f>
        <v/>
      </c>
      <c r="E236" s="49" t="str">
        <f>IF(B236="","",IFERROR(VLOOKUP(B236,'Coil Sheet at Plant'!$C:$G,5,FALSE),"ID Not Found"))</f>
        <v/>
      </c>
      <c r="F236" s="50" t="str">
        <f>IF(B236="","",IFERROR(VLOOKUP(B236,'Coil Sheet at Plant'!$C:$H,6,FALSE),"ID Not Found"))</f>
        <v/>
      </c>
      <c r="G236" s="81">
        <v>383</v>
      </c>
      <c r="H236" s="89" t="str">
        <f>IF(OR(B236="",G236=""),"",IFERROR(VLOOKUP(B236,'Coil Sheet at Plant'!$C:$J,8,FALSE),0)*G236/SUMIF(B:B,B236,G:G))</f>
        <v/>
      </c>
      <c r="I236" s="56" t="str">
        <f>IF(B236="","",IFERROR(VLOOKUP(B236,'Coil Sheet at Plant'!$C:$L,9,FALSE),""))</f>
        <v/>
      </c>
      <c r="J236" s="85" t="str">
        <f>IF(B236="","",IFERROR(VLOOKUP(B236,'Coil Sheet at Plant'!$C:$M,10,FALSE),""))</f>
        <v/>
      </c>
      <c r="K236" s="69" t="str">
        <f>IF(B236="","",SUMIF(B:B,B236,G:G))</f>
        <v/>
      </c>
      <c r="L236" s="70" t="str">
        <f>IF(B236="","",IFERROR(VLOOKUP(B236,'Coil Sheet at Plant'!$C:$I,7,FALSE),""))</f>
        <v/>
      </c>
      <c r="M236" s="71" t="str">
        <f>IF(OR(K236="",L236=""),"",IF(L236=0,"⚠ NO PARENT WIDTH",IF(K236&gt;L236,"⚠ BABY &gt; PARENT","✔ OK")))</f>
        <v/>
      </c>
      <c r="N236" s="71" t="str">
        <f>IF(D236="","",IF(COUNTIF(D$3:D236,D236)&gt;1,"⚠ DUPLICATE",""))</f>
        <v/>
      </c>
      <c r="O236" s="72" t="str">
        <f>IF(B236="","",SUMIF(B:B,B236,G:G)&amp;" / "&amp;IFERROR(VLOOKUP(B236,'Coil Sheet at Plant'!$C:$I,7,FALSE),"?")&amp;" mm")</f>
        <v/>
      </c>
    </row>
    <row r="237" spans="1:15">
      <c r="A237" s="36"/>
      <c r="B237" s="32"/>
      <c r="C237" s="39"/>
      <c r="D237" s="44" t="str">
        <f>IF(OR(B237="",C237=""),"",CONCATENATE(B237,"-",C237))</f>
        <v/>
      </c>
      <c r="E237" s="49" t="str">
        <f>IF(B237="","",IFERROR(VLOOKUP(B237,'Coil Sheet at Plant'!$C:$G,5,FALSE),"ID Not Found"))</f>
        <v/>
      </c>
      <c r="F237" s="50" t="str">
        <f>IF(B237="","",IFERROR(VLOOKUP(B237,'Coil Sheet at Plant'!$C:$H,6,FALSE),"ID Not Found"))</f>
        <v/>
      </c>
      <c r="G237" s="81">
        <v>384</v>
      </c>
      <c r="H237" s="89" t="str">
        <f>IF(OR(B237="",G237=""),"",IFERROR(VLOOKUP(B237,'Coil Sheet at Plant'!$C:$J,8,FALSE),0)*G237/SUMIF(B:B,B237,G:G))</f>
        <v/>
      </c>
      <c r="I237" s="56" t="str">
        <f>IF(B237="","",IFERROR(VLOOKUP(B237,'Coil Sheet at Plant'!$C:$L,9,FALSE),""))</f>
        <v/>
      </c>
      <c r="J237" s="85" t="str">
        <f>IF(B237="","",IFERROR(VLOOKUP(B237,'Coil Sheet at Plant'!$C:$M,10,FALSE),""))</f>
        <v/>
      </c>
      <c r="K237" s="69" t="str">
        <f>IF(B237="","",SUMIF(B:B,B237,G:G))</f>
        <v/>
      </c>
      <c r="L237" s="70" t="str">
        <f>IF(B237="","",IFERROR(VLOOKUP(B237,'Coil Sheet at Plant'!$C:$I,7,FALSE),""))</f>
        <v/>
      </c>
      <c r="M237" s="71" t="str">
        <f>IF(OR(K237="",L237=""),"",IF(L237=0,"⚠ NO PARENT WIDTH",IF(K237&gt;L237,"⚠ BABY &gt; PARENT","✔ OK")))</f>
        <v/>
      </c>
      <c r="N237" s="71" t="str">
        <f>IF(D237="","",IF(COUNTIF(D$3:D237,D237)&gt;1,"⚠ DUPLICATE",""))</f>
        <v/>
      </c>
      <c r="O237" s="72" t="str">
        <f>IF(B237="","",SUMIF(B:B,B237,G:G)&amp;" / "&amp;IFERROR(VLOOKUP(B237,'Coil Sheet at Plant'!$C:$I,7,FALSE),"?")&amp;" mm")</f>
        <v/>
      </c>
    </row>
    <row r="238" spans="1:15">
      <c r="A238" s="36"/>
      <c r="B238" s="32"/>
      <c r="C238" s="39"/>
      <c r="D238" s="44" t="str">
        <f>IF(OR(B238="",C238=""),"",CONCATENATE(B238,"-",C238))</f>
        <v/>
      </c>
      <c r="E238" s="49" t="str">
        <f>IF(B238="","",IFERROR(VLOOKUP(B238,'Coil Sheet at Plant'!$C:$G,5,FALSE),"ID Not Found"))</f>
        <v/>
      </c>
      <c r="F238" s="50" t="str">
        <f>IF(B238="","",IFERROR(VLOOKUP(B238,'Coil Sheet at Plant'!$C:$H,6,FALSE),"ID Not Found"))</f>
        <v/>
      </c>
      <c r="G238" s="81">
        <v>385</v>
      </c>
      <c r="H238" s="89" t="str">
        <f>IF(OR(B238="",G238=""),"",IFERROR(VLOOKUP(B238,'Coil Sheet at Plant'!$C:$J,8,FALSE),0)*G238/SUMIF(B:B,B238,G:G))</f>
        <v/>
      </c>
      <c r="I238" s="56" t="str">
        <f>IF(B238="","",IFERROR(VLOOKUP(B238,'Coil Sheet at Plant'!$C:$L,9,FALSE),""))</f>
        <v/>
      </c>
      <c r="J238" s="85" t="str">
        <f>IF(B238="","",IFERROR(VLOOKUP(B238,'Coil Sheet at Plant'!$C:$M,10,FALSE),""))</f>
        <v/>
      </c>
      <c r="K238" s="69" t="str">
        <f>IF(B238="","",SUMIF(B:B,B238,G:G))</f>
        <v/>
      </c>
      <c r="L238" s="70" t="str">
        <f>IF(B238="","",IFERROR(VLOOKUP(B238,'Coil Sheet at Plant'!$C:$I,7,FALSE),""))</f>
        <v/>
      </c>
      <c r="M238" s="71" t="str">
        <f>IF(OR(K238="",L238=""),"",IF(L238=0,"⚠ NO PARENT WIDTH",IF(K238&gt;L238,"⚠ BABY &gt; PARENT","✔ OK")))</f>
        <v/>
      </c>
      <c r="N238" s="71" t="str">
        <f>IF(D238="","",IF(COUNTIF(D$3:D238,D238)&gt;1,"⚠ DUPLICATE",""))</f>
        <v/>
      </c>
      <c r="O238" s="72" t="str">
        <f>IF(B238="","",SUMIF(B:B,B238,G:G)&amp;" / "&amp;IFERROR(VLOOKUP(B238,'Coil Sheet at Plant'!$C:$I,7,FALSE),"?")&amp;" mm")</f>
        <v/>
      </c>
    </row>
    <row r="239" spans="1:15">
      <c r="A239" s="36"/>
      <c r="B239" s="32"/>
      <c r="C239" s="39"/>
      <c r="D239" s="44" t="str">
        <f>IF(OR(B239="",C239=""),"",CONCATENATE(B239,"-",C239))</f>
        <v/>
      </c>
      <c r="E239" s="49" t="str">
        <f>IF(B239="","",IFERROR(VLOOKUP(B239,'Coil Sheet at Plant'!$C:$G,5,FALSE),"ID Not Found"))</f>
        <v/>
      </c>
      <c r="F239" s="50" t="str">
        <f>IF(B239="","",IFERROR(VLOOKUP(B239,'Coil Sheet at Plant'!$C:$H,6,FALSE),"ID Not Found"))</f>
        <v/>
      </c>
      <c r="G239" s="81">
        <v>386</v>
      </c>
      <c r="H239" s="89" t="str">
        <f>IF(OR(B239="",G239=""),"",IFERROR(VLOOKUP(B239,'Coil Sheet at Plant'!$C:$J,8,FALSE),0)*G239/SUMIF(B:B,B239,G:G))</f>
        <v/>
      </c>
      <c r="I239" s="56" t="str">
        <f>IF(B239="","",IFERROR(VLOOKUP(B239,'Coil Sheet at Plant'!$C:$L,9,FALSE),""))</f>
        <v/>
      </c>
      <c r="J239" s="85" t="str">
        <f>IF(B239="","",IFERROR(VLOOKUP(B239,'Coil Sheet at Plant'!$C:$M,10,FALSE),""))</f>
        <v/>
      </c>
      <c r="K239" s="69" t="str">
        <f>IF(B239="","",SUMIF(B:B,B239,G:G))</f>
        <v/>
      </c>
      <c r="L239" s="70" t="str">
        <f>IF(B239="","",IFERROR(VLOOKUP(B239,'Coil Sheet at Plant'!$C:$I,7,FALSE),""))</f>
        <v/>
      </c>
      <c r="M239" s="71" t="str">
        <f>IF(OR(K239="",L239=""),"",IF(L239=0,"⚠ NO PARENT WIDTH",IF(K239&gt;L239,"⚠ BABY &gt; PARENT","✔ OK")))</f>
        <v/>
      </c>
      <c r="N239" s="71" t="str">
        <f>IF(D239="","",IF(COUNTIF(D$3:D239,D239)&gt;1,"⚠ DUPLICATE",""))</f>
        <v/>
      </c>
      <c r="O239" s="72" t="str">
        <f>IF(B239="","",SUMIF(B:B,B239,G:G)&amp;" / "&amp;IFERROR(VLOOKUP(B239,'Coil Sheet at Plant'!$C:$I,7,FALSE),"?")&amp;" mm")</f>
        <v/>
      </c>
    </row>
    <row r="240" spans="1:15">
      <c r="A240" s="36"/>
      <c r="B240" s="32"/>
      <c r="C240" s="39"/>
      <c r="D240" s="44" t="str">
        <f>IF(OR(B240="",C240=""),"",CONCATENATE(B240,"-",C240))</f>
        <v/>
      </c>
      <c r="E240" s="49" t="str">
        <f>IF(B240="","",IFERROR(VLOOKUP(B240,'Coil Sheet at Plant'!$C:$G,5,FALSE),"ID Not Found"))</f>
        <v/>
      </c>
      <c r="F240" s="50" t="str">
        <f>IF(B240="","",IFERROR(VLOOKUP(B240,'Coil Sheet at Plant'!$C:$H,6,FALSE),"ID Not Found"))</f>
        <v/>
      </c>
      <c r="G240" s="81">
        <v>387</v>
      </c>
      <c r="H240" s="89" t="str">
        <f>IF(OR(B240="",G240=""),"",IFERROR(VLOOKUP(B240,'Coil Sheet at Plant'!$C:$J,8,FALSE),0)*G240/SUMIF(B:B,B240,G:G))</f>
        <v/>
      </c>
      <c r="I240" s="56" t="str">
        <f>IF(B240="","",IFERROR(VLOOKUP(B240,'Coil Sheet at Plant'!$C:$L,9,FALSE),""))</f>
        <v/>
      </c>
      <c r="J240" s="85" t="str">
        <f>IF(B240="","",IFERROR(VLOOKUP(B240,'Coil Sheet at Plant'!$C:$M,10,FALSE),""))</f>
        <v/>
      </c>
      <c r="K240" s="69" t="str">
        <f>IF(B240="","",SUMIF(B:B,B240,G:G))</f>
        <v/>
      </c>
      <c r="L240" s="70" t="str">
        <f>IF(B240="","",IFERROR(VLOOKUP(B240,'Coil Sheet at Plant'!$C:$I,7,FALSE),""))</f>
        <v/>
      </c>
      <c r="M240" s="71" t="str">
        <f>IF(OR(K240="",L240=""),"",IF(L240=0,"⚠ NO PARENT WIDTH",IF(K240&gt;L240,"⚠ BABY &gt; PARENT","✔ OK")))</f>
        <v/>
      </c>
      <c r="N240" s="71" t="str">
        <f>IF(D240="","",IF(COUNTIF(D$3:D240,D240)&gt;1,"⚠ DUPLICATE",""))</f>
        <v/>
      </c>
      <c r="O240" s="72" t="str">
        <f>IF(B240="","",SUMIF(B:B,B240,G:G)&amp;" / "&amp;IFERROR(VLOOKUP(B240,'Coil Sheet at Plant'!$C:$I,7,FALSE),"?")&amp;" mm")</f>
        <v/>
      </c>
    </row>
    <row r="241" spans="1:15">
      <c r="A241" s="36"/>
      <c r="B241" s="32"/>
      <c r="C241" s="39"/>
      <c r="D241" s="44" t="str">
        <f>IF(OR(B241="",C241=""),"",CONCATENATE(B241,"-",C241))</f>
        <v/>
      </c>
      <c r="E241" s="49" t="str">
        <f>IF(B241="","",IFERROR(VLOOKUP(B241,'Coil Sheet at Plant'!$C:$G,5,FALSE),"ID Not Found"))</f>
        <v/>
      </c>
      <c r="F241" s="50" t="str">
        <f>IF(B241="","",IFERROR(VLOOKUP(B241,'Coil Sheet at Plant'!$C:$H,6,FALSE),"ID Not Found"))</f>
        <v/>
      </c>
      <c r="G241" s="81">
        <v>388</v>
      </c>
      <c r="H241" s="89" t="str">
        <f>IF(OR(B241="",G241=""),"",IFERROR(VLOOKUP(B241,'Coil Sheet at Plant'!$C:$J,8,FALSE),0)*G241/SUMIF(B:B,B241,G:G))</f>
        <v/>
      </c>
      <c r="I241" s="56" t="str">
        <f>IF(B241="","",IFERROR(VLOOKUP(B241,'Coil Sheet at Plant'!$C:$L,9,FALSE),""))</f>
        <v/>
      </c>
      <c r="J241" s="85" t="str">
        <f>IF(B241="","",IFERROR(VLOOKUP(B241,'Coil Sheet at Plant'!$C:$M,10,FALSE),""))</f>
        <v/>
      </c>
      <c r="K241" s="69" t="str">
        <f>IF(B241="","",SUMIF(B:B,B241,G:G))</f>
        <v/>
      </c>
      <c r="L241" s="70" t="str">
        <f>IF(B241="","",IFERROR(VLOOKUP(B241,'Coil Sheet at Plant'!$C:$I,7,FALSE),""))</f>
        <v/>
      </c>
      <c r="M241" s="71" t="str">
        <f>IF(OR(K241="",L241=""),"",IF(L241=0,"⚠ NO PARENT WIDTH",IF(K241&gt;L241,"⚠ BABY &gt; PARENT","✔ OK")))</f>
        <v/>
      </c>
      <c r="N241" s="71" t="str">
        <f>IF(D241="","",IF(COUNTIF(D$3:D241,D241)&gt;1,"⚠ DUPLICATE",""))</f>
        <v/>
      </c>
      <c r="O241" s="72" t="str">
        <f>IF(B241="","",SUMIF(B:B,B241,G:G)&amp;" / "&amp;IFERROR(VLOOKUP(B241,'Coil Sheet at Plant'!$C:$I,7,FALSE),"?")&amp;" mm")</f>
        <v/>
      </c>
    </row>
    <row r="242" spans="1:15">
      <c r="A242" s="36"/>
      <c r="B242" s="32"/>
      <c r="C242" s="39"/>
      <c r="D242" s="44" t="str">
        <f>IF(OR(B242="",C242=""),"",CONCATENATE(B242,"-",C242))</f>
        <v/>
      </c>
      <c r="E242" s="49" t="str">
        <f>IF(B242="","",IFERROR(VLOOKUP(B242,'Coil Sheet at Plant'!$C:$G,5,FALSE),"ID Not Found"))</f>
        <v/>
      </c>
      <c r="F242" s="50" t="str">
        <f>IF(B242="","",IFERROR(VLOOKUP(B242,'Coil Sheet at Plant'!$C:$H,6,FALSE),"ID Not Found"))</f>
        <v/>
      </c>
      <c r="G242" s="81">
        <v>389</v>
      </c>
      <c r="H242" s="89" t="str">
        <f>IF(OR(B242="",G242=""),"",IFERROR(VLOOKUP(B242,'Coil Sheet at Plant'!$C:$J,8,FALSE),0)*G242/SUMIF(B:B,B242,G:G))</f>
        <v/>
      </c>
      <c r="I242" s="56" t="str">
        <f>IF(B242="","",IFERROR(VLOOKUP(B242,'Coil Sheet at Plant'!$C:$L,9,FALSE),""))</f>
        <v/>
      </c>
      <c r="J242" s="85" t="str">
        <f>IF(B242="","",IFERROR(VLOOKUP(B242,'Coil Sheet at Plant'!$C:$M,10,FALSE),""))</f>
        <v/>
      </c>
      <c r="K242" s="69" t="str">
        <f>IF(B242="","",SUMIF(B:B,B242,G:G))</f>
        <v/>
      </c>
      <c r="L242" s="70" t="str">
        <f>IF(B242="","",IFERROR(VLOOKUP(B242,'Coil Sheet at Plant'!$C:$I,7,FALSE),""))</f>
        <v/>
      </c>
      <c r="M242" s="71" t="str">
        <f>IF(OR(K242="",L242=""),"",IF(L242=0,"⚠ NO PARENT WIDTH",IF(K242&gt;L242,"⚠ BABY &gt; PARENT","✔ OK")))</f>
        <v/>
      </c>
      <c r="N242" s="71" t="str">
        <f>IF(D242="","",IF(COUNTIF(D$3:D242,D242)&gt;1,"⚠ DUPLICATE",""))</f>
        <v/>
      </c>
      <c r="O242" s="72" t="str">
        <f>IF(B242="","",SUMIF(B:B,B242,G:G)&amp;" / "&amp;IFERROR(VLOOKUP(B242,'Coil Sheet at Plant'!$C:$I,7,FALSE),"?")&amp;" mm")</f>
        <v/>
      </c>
    </row>
    <row r="243" spans="1:15">
      <c r="A243" s="36"/>
      <c r="B243" s="32"/>
      <c r="C243" s="39"/>
      <c r="D243" s="44" t="str">
        <f>IF(OR(B243="",C243=""),"",CONCATENATE(B243,"-",C243))</f>
        <v/>
      </c>
      <c r="E243" s="49" t="str">
        <f>IF(B243="","",IFERROR(VLOOKUP(B243,'Coil Sheet at Plant'!$C:$G,5,FALSE),"ID Not Found"))</f>
        <v/>
      </c>
      <c r="F243" s="50" t="str">
        <f>IF(B243="","",IFERROR(VLOOKUP(B243,'Coil Sheet at Plant'!$C:$H,6,FALSE),"ID Not Found"))</f>
        <v/>
      </c>
      <c r="G243" s="81">
        <v>390</v>
      </c>
      <c r="H243" s="89" t="str">
        <f>IF(OR(B243="",G243=""),"",IFERROR(VLOOKUP(B243,'Coil Sheet at Plant'!$C:$J,8,FALSE),0)*G243/SUMIF(B:B,B243,G:G))</f>
        <v/>
      </c>
      <c r="I243" s="56" t="str">
        <f>IF(B243="","",IFERROR(VLOOKUP(B243,'Coil Sheet at Plant'!$C:$L,9,FALSE),""))</f>
        <v/>
      </c>
      <c r="J243" s="85" t="str">
        <f>IF(B243="","",IFERROR(VLOOKUP(B243,'Coil Sheet at Plant'!$C:$M,10,FALSE),""))</f>
        <v/>
      </c>
      <c r="K243" s="69" t="str">
        <f>IF(B243="","",SUMIF(B:B,B243,G:G))</f>
        <v/>
      </c>
      <c r="L243" s="70" t="str">
        <f>IF(B243="","",IFERROR(VLOOKUP(B243,'Coil Sheet at Plant'!$C:$I,7,FALSE),""))</f>
        <v/>
      </c>
      <c r="M243" s="71" t="str">
        <f>IF(OR(K243="",L243=""),"",IF(L243=0,"⚠ NO PARENT WIDTH",IF(K243&gt;L243,"⚠ BABY &gt; PARENT","✔ OK")))</f>
        <v/>
      </c>
      <c r="N243" s="71" t="str">
        <f>IF(D243="","",IF(COUNTIF(D$3:D243,D243)&gt;1,"⚠ DUPLICATE",""))</f>
        <v/>
      </c>
      <c r="O243" s="72" t="str">
        <f>IF(B243="","",SUMIF(B:B,B243,G:G)&amp;" / "&amp;IFERROR(VLOOKUP(B243,'Coil Sheet at Plant'!$C:$I,7,FALSE),"?")&amp;" mm")</f>
        <v/>
      </c>
    </row>
    <row r="244" spans="1:15">
      <c r="A244" s="36"/>
      <c r="B244" s="32"/>
      <c r="C244" s="39"/>
      <c r="D244" s="44" t="str">
        <f>IF(OR(B244="",C244=""),"",CONCATENATE(B244,"-",C244))</f>
        <v/>
      </c>
      <c r="E244" s="49" t="str">
        <f>IF(B244="","",IFERROR(VLOOKUP(B244,'Coil Sheet at Plant'!$C:$G,5,FALSE),"ID Not Found"))</f>
        <v/>
      </c>
      <c r="F244" s="50" t="str">
        <f>IF(B244="","",IFERROR(VLOOKUP(B244,'Coil Sheet at Plant'!$C:$H,6,FALSE),"ID Not Found"))</f>
        <v/>
      </c>
      <c r="G244" s="81">
        <v>391</v>
      </c>
      <c r="H244" s="89" t="str">
        <f>IF(OR(B244="",G244=""),"",IFERROR(VLOOKUP(B244,'Coil Sheet at Plant'!$C:$J,8,FALSE),0)*G244/SUMIF(B:B,B244,G:G))</f>
        <v/>
      </c>
      <c r="I244" s="56" t="str">
        <f>IF(B244="","",IFERROR(VLOOKUP(B244,'Coil Sheet at Plant'!$C:$L,9,FALSE),""))</f>
        <v/>
      </c>
      <c r="J244" s="85" t="str">
        <f>IF(B244="","",IFERROR(VLOOKUP(B244,'Coil Sheet at Plant'!$C:$M,10,FALSE),""))</f>
        <v/>
      </c>
      <c r="K244" s="69" t="str">
        <f>IF(B244="","",SUMIF(B:B,B244,G:G))</f>
        <v/>
      </c>
      <c r="L244" s="70" t="str">
        <f>IF(B244="","",IFERROR(VLOOKUP(B244,'Coil Sheet at Plant'!$C:$I,7,FALSE),""))</f>
        <v/>
      </c>
      <c r="M244" s="71" t="str">
        <f>IF(OR(K244="",L244=""),"",IF(L244=0,"⚠ NO PARENT WIDTH",IF(K244&gt;L244,"⚠ BABY &gt; PARENT","✔ OK")))</f>
        <v/>
      </c>
      <c r="N244" s="71" t="str">
        <f>IF(D244="","",IF(COUNTIF(D$3:D244,D244)&gt;1,"⚠ DUPLICATE",""))</f>
        <v/>
      </c>
      <c r="O244" s="72" t="str">
        <f>IF(B244="","",SUMIF(B:B,B244,G:G)&amp;" / "&amp;IFERROR(VLOOKUP(B244,'Coil Sheet at Plant'!$C:$I,7,FALSE),"?")&amp;" mm")</f>
        <v/>
      </c>
    </row>
    <row r="245" spans="1:15">
      <c r="A245" s="36"/>
      <c r="B245" s="32"/>
      <c r="C245" s="39"/>
      <c r="D245" s="44" t="str">
        <f>IF(OR(B245="",C245=""),"",CONCATENATE(B245,"-",C245))</f>
        <v/>
      </c>
      <c r="E245" s="49" t="str">
        <f>IF(B245="","",IFERROR(VLOOKUP(B245,'Coil Sheet at Plant'!$C:$G,5,FALSE),"ID Not Found"))</f>
        <v/>
      </c>
      <c r="F245" s="50" t="str">
        <f>IF(B245="","",IFERROR(VLOOKUP(B245,'Coil Sheet at Plant'!$C:$H,6,FALSE),"ID Not Found"))</f>
        <v/>
      </c>
      <c r="G245" s="81">
        <v>392</v>
      </c>
      <c r="H245" s="89" t="str">
        <f>IF(OR(B245="",G245=""),"",IFERROR(VLOOKUP(B245,'Coil Sheet at Plant'!$C:$J,8,FALSE),0)*G245/SUMIF(B:B,B245,G:G))</f>
        <v/>
      </c>
      <c r="I245" s="56" t="str">
        <f>IF(B245="","",IFERROR(VLOOKUP(B245,'Coil Sheet at Plant'!$C:$L,9,FALSE),""))</f>
        <v/>
      </c>
      <c r="J245" s="85" t="str">
        <f>IF(B245="","",IFERROR(VLOOKUP(B245,'Coil Sheet at Plant'!$C:$M,10,FALSE),""))</f>
        <v/>
      </c>
      <c r="K245" s="69" t="str">
        <f>IF(B245="","",SUMIF(B:B,B245,G:G))</f>
        <v/>
      </c>
      <c r="L245" s="70" t="str">
        <f>IF(B245="","",IFERROR(VLOOKUP(B245,'Coil Sheet at Plant'!$C:$I,7,FALSE),""))</f>
        <v/>
      </c>
      <c r="M245" s="71" t="str">
        <f>IF(OR(K245="",L245=""),"",IF(L245=0,"⚠ NO PARENT WIDTH",IF(K245&gt;L245,"⚠ BABY &gt; PARENT","✔ OK")))</f>
        <v/>
      </c>
      <c r="N245" s="71" t="str">
        <f>IF(D245="","",IF(COUNTIF(D$3:D245,D245)&gt;1,"⚠ DUPLICATE",""))</f>
        <v/>
      </c>
      <c r="O245" s="72" t="str">
        <f>IF(B245="","",SUMIF(B:B,B245,G:G)&amp;" / "&amp;IFERROR(VLOOKUP(B245,'Coil Sheet at Plant'!$C:$I,7,FALSE),"?")&amp;" mm")</f>
        <v/>
      </c>
    </row>
    <row r="246" spans="1:15">
      <c r="A246" s="36"/>
      <c r="B246" s="32"/>
      <c r="C246" s="39"/>
      <c r="D246" s="44" t="str">
        <f>IF(OR(B246="",C246=""),"",CONCATENATE(B246,"-",C246))</f>
        <v/>
      </c>
      <c r="E246" s="49" t="str">
        <f>IF(B246="","",IFERROR(VLOOKUP(B246,'Coil Sheet at Plant'!$C:$G,5,FALSE),"ID Not Found"))</f>
        <v/>
      </c>
      <c r="F246" s="50" t="str">
        <f>IF(B246="","",IFERROR(VLOOKUP(B246,'Coil Sheet at Plant'!$C:$H,6,FALSE),"ID Not Found"))</f>
        <v/>
      </c>
      <c r="G246" s="81">
        <v>393</v>
      </c>
      <c r="H246" s="89" t="str">
        <f>IF(OR(B246="",G246=""),"",IFERROR(VLOOKUP(B246,'Coil Sheet at Plant'!$C:$J,8,FALSE),0)*G246/SUMIF(B:B,B246,G:G))</f>
        <v/>
      </c>
      <c r="I246" s="56" t="str">
        <f>IF(B246="","",IFERROR(VLOOKUP(B246,'Coil Sheet at Plant'!$C:$L,9,FALSE),""))</f>
        <v/>
      </c>
      <c r="J246" s="85" t="str">
        <f>IF(B246="","",IFERROR(VLOOKUP(B246,'Coil Sheet at Plant'!$C:$M,10,FALSE),""))</f>
        <v/>
      </c>
      <c r="K246" s="69" t="str">
        <f>IF(B246="","",SUMIF(B:B,B246,G:G))</f>
        <v/>
      </c>
      <c r="L246" s="70" t="str">
        <f>IF(B246="","",IFERROR(VLOOKUP(B246,'Coil Sheet at Plant'!$C:$I,7,FALSE),""))</f>
        <v/>
      </c>
      <c r="M246" s="71" t="str">
        <f>IF(OR(K246="",L246=""),"",IF(L246=0,"⚠ NO PARENT WIDTH",IF(K246&gt;L246,"⚠ BABY &gt; PARENT","✔ OK")))</f>
        <v/>
      </c>
      <c r="N246" s="71" t="str">
        <f>IF(D246="","",IF(COUNTIF(D$3:D246,D246)&gt;1,"⚠ DUPLICATE",""))</f>
        <v/>
      </c>
      <c r="O246" s="72" t="str">
        <f>IF(B246="","",SUMIF(B:B,B246,G:G)&amp;" / "&amp;IFERROR(VLOOKUP(B246,'Coil Sheet at Plant'!$C:$I,7,FALSE),"?")&amp;" mm")</f>
        <v/>
      </c>
    </row>
    <row r="247" spans="1:15">
      <c r="A247" s="36"/>
      <c r="B247" s="32"/>
      <c r="C247" s="39"/>
      <c r="D247" s="44" t="str">
        <f>IF(OR(B247="",C247=""),"",CONCATENATE(B247,"-",C247))</f>
        <v/>
      </c>
      <c r="E247" s="49" t="str">
        <f>IF(B247="","",IFERROR(VLOOKUP(B247,'Coil Sheet at Plant'!$C:$G,5,FALSE),"ID Not Found"))</f>
        <v/>
      </c>
      <c r="F247" s="50" t="str">
        <f>IF(B247="","",IFERROR(VLOOKUP(B247,'Coil Sheet at Plant'!$C:$H,6,FALSE),"ID Not Found"))</f>
        <v/>
      </c>
      <c r="G247" s="81">
        <v>394</v>
      </c>
      <c r="H247" s="89" t="str">
        <f>IF(OR(B247="",G247=""),"",IFERROR(VLOOKUP(B247,'Coil Sheet at Plant'!$C:$J,8,FALSE),0)*G247/SUMIF(B:B,B247,G:G))</f>
        <v/>
      </c>
      <c r="I247" s="56" t="str">
        <f>IF(B247="","",IFERROR(VLOOKUP(B247,'Coil Sheet at Plant'!$C:$L,9,FALSE),""))</f>
        <v/>
      </c>
      <c r="J247" s="85" t="str">
        <f>IF(B247="","",IFERROR(VLOOKUP(B247,'Coil Sheet at Plant'!$C:$M,10,FALSE),""))</f>
        <v/>
      </c>
      <c r="K247" s="69" t="str">
        <f>IF(B247="","",SUMIF(B:B,B247,G:G))</f>
        <v/>
      </c>
      <c r="L247" s="70" t="str">
        <f>IF(B247="","",IFERROR(VLOOKUP(B247,'Coil Sheet at Plant'!$C:$I,7,FALSE),""))</f>
        <v/>
      </c>
      <c r="M247" s="71" t="str">
        <f>IF(OR(K247="",L247=""),"",IF(L247=0,"⚠ NO PARENT WIDTH",IF(K247&gt;L247,"⚠ BABY &gt; PARENT","✔ OK")))</f>
        <v/>
      </c>
      <c r="N247" s="71" t="str">
        <f>IF(D247="","",IF(COUNTIF(D$3:D247,D247)&gt;1,"⚠ DUPLICATE",""))</f>
        <v/>
      </c>
      <c r="O247" s="72" t="str">
        <f>IF(B247="","",SUMIF(B:B,B247,G:G)&amp;" / "&amp;IFERROR(VLOOKUP(B247,'Coil Sheet at Plant'!$C:$I,7,FALSE),"?")&amp;" mm")</f>
        <v/>
      </c>
    </row>
    <row r="248" spans="1:15">
      <c r="A248" s="36"/>
      <c r="B248" s="32"/>
      <c r="C248" s="39"/>
      <c r="D248" s="44" t="str">
        <f>IF(OR(B248="",C248=""),"",CONCATENATE(B248,"-",C248))</f>
        <v/>
      </c>
      <c r="E248" s="49" t="str">
        <f>IF(B248="","",IFERROR(VLOOKUP(B248,'Coil Sheet at Plant'!$C:$G,5,FALSE),"ID Not Found"))</f>
        <v/>
      </c>
      <c r="F248" s="50" t="str">
        <f>IF(B248="","",IFERROR(VLOOKUP(B248,'Coil Sheet at Plant'!$C:$H,6,FALSE),"ID Not Found"))</f>
        <v/>
      </c>
      <c r="G248" s="81">
        <v>395</v>
      </c>
      <c r="H248" s="89" t="str">
        <f>IF(OR(B248="",G248=""),"",IFERROR(VLOOKUP(B248,'Coil Sheet at Plant'!$C:$J,8,FALSE),0)*G248/SUMIF(B:B,B248,G:G))</f>
        <v/>
      </c>
      <c r="I248" s="56" t="str">
        <f>IF(B248="","",IFERROR(VLOOKUP(B248,'Coil Sheet at Plant'!$C:$L,9,FALSE),""))</f>
        <v/>
      </c>
      <c r="J248" s="85" t="str">
        <f>IF(B248="","",IFERROR(VLOOKUP(B248,'Coil Sheet at Plant'!$C:$M,10,FALSE),""))</f>
        <v/>
      </c>
      <c r="K248" s="69" t="str">
        <f>IF(B248="","",SUMIF(B:B,B248,G:G))</f>
        <v/>
      </c>
      <c r="L248" s="70" t="str">
        <f>IF(B248="","",IFERROR(VLOOKUP(B248,'Coil Sheet at Plant'!$C:$I,7,FALSE),""))</f>
        <v/>
      </c>
      <c r="M248" s="71" t="str">
        <f>IF(OR(K248="",L248=""),"",IF(L248=0,"⚠ NO PARENT WIDTH",IF(K248&gt;L248,"⚠ BABY &gt; PARENT","✔ OK")))</f>
        <v/>
      </c>
      <c r="N248" s="71" t="str">
        <f>IF(D248="","",IF(COUNTIF(D$3:D248,D248)&gt;1,"⚠ DUPLICATE",""))</f>
        <v/>
      </c>
      <c r="O248" s="72" t="str">
        <f>IF(B248="","",SUMIF(B:B,B248,G:G)&amp;" / "&amp;IFERROR(VLOOKUP(B248,'Coil Sheet at Plant'!$C:$I,7,FALSE),"?")&amp;" mm")</f>
        <v/>
      </c>
    </row>
    <row r="249" spans="1:15">
      <c r="A249" s="36"/>
      <c r="B249" s="32"/>
      <c r="C249" s="39"/>
      <c r="D249" s="44" t="str">
        <f>IF(OR(B249="",C249=""),"",CONCATENATE(B249,"-",C249))</f>
        <v/>
      </c>
      <c r="E249" s="49" t="str">
        <f>IF(B249="","",IFERROR(VLOOKUP(B249,'Coil Sheet at Plant'!$C:$G,5,FALSE),"ID Not Found"))</f>
        <v/>
      </c>
      <c r="F249" s="50" t="str">
        <f>IF(B249="","",IFERROR(VLOOKUP(B249,'Coil Sheet at Plant'!$C:$H,6,FALSE),"ID Not Found"))</f>
        <v/>
      </c>
      <c r="G249" s="81">
        <v>396</v>
      </c>
      <c r="H249" s="89" t="str">
        <f>IF(OR(B249="",G249=""),"",IFERROR(VLOOKUP(B249,'Coil Sheet at Plant'!$C:$J,8,FALSE),0)*G249/SUMIF(B:B,B249,G:G))</f>
        <v/>
      </c>
      <c r="I249" s="56" t="str">
        <f>IF(B249="","",IFERROR(VLOOKUP(B249,'Coil Sheet at Plant'!$C:$L,9,FALSE),""))</f>
        <v/>
      </c>
      <c r="J249" s="85" t="str">
        <f>IF(B249="","",IFERROR(VLOOKUP(B249,'Coil Sheet at Plant'!$C:$M,10,FALSE),""))</f>
        <v/>
      </c>
      <c r="K249" s="69" t="str">
        <f>IF(B249="","",SUMIF(B:B,B249,G:G))</f>
        <v/>
      </c>
      <c r="L249" s="70" t="str">
        <f>IF(B249="","",IFERROR(VLOOKUP(B249,'Coil Sheet at Plant'!$C:$I,7,FALSE),""))</f>
        <v/>
      </c>
      <c r="M249" s="71" t="str">
        <f>IF(OR(K249="",L249=""),"",IF(L249=0,"⚠ NO PARENT WIDTH",IF(K249&gt;L249,"⚠ BABY &gt; PARENT","✔ OK")))</f>
        <v/>
      </c>
      <c r="N249" s="71" t="str">
        <f>IF(D249="","",IF(COUNTIF(D$3:D249,D249)&gt;1,"⚠ DUPLICATE",""))</f>
        <v/>
      </c>
      <c r="O249" s="72" t="str">
        <f>IF(B249="","",SUMIF(B:B,B249,G:G)&amp;" / "&amp;IFERROR(VLOOKUP(B249,'Coil Sheet at Plant'!$C:$I,7,FALSE),"?")&amp;" mm")</f>
        <v/>
      </c>
    </row>
    <row r="250" spans="1:15">
      <c r="A250" s="36"/>
      <c r="B250" s="32"/>
      <c r="C250" s="39"/>
      <c r="D250" s="44" t="str">
        <f>IF(OR(B250="",C250=""),"",CONCATENATE(B250,"-",C250))</f>
        <v/>
      </c>
      <c r="E250" s="49" t="str">
        <f>IF(B250="","",IFERROR(VLOOKUP(B250,'Coil Sheet at Plant'!$C:$G,5,FALSE),"ID Not Found"))</f>
        <v/>
      </c>
      <c r="F250" s="50" t="str">
        <f>IF(B250="","",IFERROR(VLOOKUP(B250,'Coil Sheet at Plant'!$C:$H,6,FALSE),"ID Not Found"))</f>
        <v/>
      </c>
      <c r="G250" s="81">
        <v>397</v>
      </c>
      <c r="H250" s="89" t="str">
        <f>IF(OR(B250="",G250=""),"",IFERROR(VLOOKUP(B250,'Coil Sheet at Plant'!$C:$J,8,FALSE),0)*G250/SUMIF(B:B,B250,G:G))</f>
        <v/>
      </c>
      <c r="I250" s="56" t="str">
        <f>IF(B250="","",IFERROR(VLOOKUP(B250,'Coil Sheet at Plant'!$C:$L,9,FALSE),""))</f>
        <v/>
      </c>
      <c r="J250" s="85" t="str">
        <f>IF(B250="","",IFERROR(VLOOKUP(B250,'Coil Sheet at Plant'!$C:$M,10,FALSE),""))</f>
        <v/>
      </c>
      <c r="K250" s="69" t="str">
        <f>IF(B250="","",SUMIF(B:B,B250,G:G))</f>
        <v/>
      </c>
      <c r="L250" s="70" t="str">
        <f>IF(B250="","",IFERROR(VLOOKUP(B250,'Coil Sheet at Plant'!$C:$I,7,FALSE),""))</f>
        <v/>
      </c>
      <c r="M250" s="71" t="str">
        <f>IF(OR(K250="",L250=""),"",IF(L250=0,"⚠ NO PARENT WIDTH",IF(K250&gt;L250,"⚠ BABY &gt; PARENT","✔ OK")))</f>
        <v/>
      </c>
      <c r="N250" s="71" t="str">
        <f>IF(D250="","",IF(COUNTIF(D$3:D250,D250)&gt;1,"⚠ DUPLICATE",""))</f>
        <v/>
      </c>
      <c r="O250" s="72" t="str">
        <f>IF(B250="","",SUMIF(B:B,B250,G:G)&amp;" / "&amp;IFERROR(VLOOKUP(B250,'Coil Sheet at Plant'!$C:$I,7,FALSE),"?")&amp;" mm")</f>
        <v/>
      </c>
    </row>
    <row r="251" spans="1:15">
      <c r="A251" s="36"/>
      <c r="B251" s="32"/>
      <c r="C251" s="39"/>
      <c r="D251" s="44" t="str">
        <f>IF(OR(B251="",C251=""),"",CONCATENATE(B251,"-",C251))</f>
        <v/>
      </c>
      <c r="E251" s="49" t="str">
        <f>IF(B251="","",IFERROR(VLOOKUP(B251,'Coil Sheet at Plant'!$C:$G,5,FALSE),"ID Not Found"))</f>
        <v/>
      </c>
      <c r="F251" s="50" t="str">
        <f>IF(B251="","",IFERROR(VLOOKUP(B251,'Coil Sheet at Plant'!$C:$H,6,FALSE),"ID Not Found"))</f>
        <v/>
      </c>
      <c r="G251" s="81">
        <v>398</v>
      </c>
      <c r="H251" s="89" t="str">
        <f>IF(OR(B251="",G251=""),"",IFERROR(VLOOKUP(B251,'Coil Sheet at Plant'!$C:$J,8,FALSE),0)*G251/SUMIF(B:B,B251,G:G))</f>
        <v/>
      </c>
      <c r="I251" s="56" t="str">
        <f>IF(B251="","",IFERROR(VLOOKUP(B251,'Coil Sheet at Plant'!$C:$L,9,FALSE),""))</f>
        <v/>
      </c>
      <c r="J251" s="85" t="str">
        <f>IF(B251="","",IFERROR(VLOOKUP(B251,'Coil Sheet at Plant'!$C:$M,10,FALSE),""))</f>
        <v/>
      </c>
      <c r="K251" s="69" t="str">
        <f>IF(B251="","",SUMIF(B:B,B251,G:G))</f>
        <v/>
      </c>
      <c r="L251" s="70" t="str">
        <f>IF(B251="","",IFERROR(VLOOKUP(B251,'Coil Sheet at Plant'!$C:$I,7,FALSE),""))</f>
        <v/>
      </c>
      <c r="M251" s="71" t="str">
        <f>IF(OR(K251="",L251=""),"",IF(L251=0,"⚠ NO PARENT WIDTH",IF(K251&gt;L251,"⚠ BABY &gt; PARENT","✔ OK")))</f>
        <v/>
      </c>
      <c r="N251" s="71" t="str">
        <f>IF(D251="","",IF(COUNTIF(D$3:D251,D251)&gt;1,"⚠ DUPLICATE",""))</f>
        <v/>
      </c>
      <c r="O251" s="72" t="str">
        <f>IF(B251="","",SUMIF(B:B,B251,G:G)&amp;" / "&amp;IFERROR(VLOOKUP(B251,'Coil Sheet at Plant'!$C:$I,7,FALSE),"?")&amp;" mm")</f>
        <v/>
      </c>
    </row>
    <row r="252" spans="1:15">
      <c r="A252" s="36"/>
      <c r="B252" s="32"/>
      <c r="C252" s="39"/>
      <c r="D252" s="44" t="str">
        <f>IF(OR(B252="",C252=""),"",CONCATENATE(B252,"-",C252))</f>
        <v/>
      </c>
      <c r="E252" s="49" t="str">
        <f>IF(B252="","",IFERROR(VLOOKUP(B252,'Coil Sheet at Plant'!$C:$G,5,FALSE),"ID Not Found"))</f>
        <v/>
      </c>
      <c r="F252" s="50" t="str">
        <f>IF(B252="","",IFERROR(VLOOKUP(B252,'Coil Sheet at Plant'!$C:$H,6,FALSE),"ID Not Found"))</f>
        <v/>
      </c>
      <c r="G252" s="81">
        <v>399</v>
      </c>
      <c r="H252" s="89" t="str">
        <f>IF(OR(B252="",G252=""),"",IFERROR(VLOOKUP(B252,'Coil Sheet at Plant'!$C:$J,8,FALSE),0)*G252/SUMIF(B:B,B252,G:G))</f>
        <v/>
      </c>
      <c r="I252" s="56" t="str">
        <f>IF(B252="","",IFERROR(VLOOKUP(B252,'Coil Sheet at Plant'!$C:$L,9,FALSE),""))</f>
        <v/>
      </c>
      <c r="J252" s="85" t="str">
        <f>IF(B252="","",IFERROR(VLOOKUP(B252,'Coil Sheet at Plant'!$C:$M,10,FALSE),""))</f>
        <v/>
      </c>
      <c r="K252" s="69" t="str">
        <f>IF(B252="","",SUMIF(B:B,B252,G:G))</f>
        <v/>
      </c>
      <c r="L252" s="70" t="str">
        <f>IF(B252="","",IFERROR(VLOOKUP(B252,'Coil Sheet at Plant'!$C:$I,7,FALSE),""))</f>
        <v/>
      </c>
      <c r="M252" s="71" t="str">
        <f>IF(OR(K252="",L252=""),"",IF(L252=0,"⚠ NO PARENT WIDTH",IF(K252&gt;L252,"⚠ BABY &gt; PARENT","✔ OK")))</f>
        <v/>
      </c>
      <c r="N252" s="71" t="str">
        <f>IF(D252="","",IF(COUNTIF(D$3:D252,D252)&gt;1,"⚠ DUPLICATE",""))</f>
        <v/>
      </c>
      <c r="O252" s="72" t="str">
        <f>IF(B252="","",SUMIF(B:B,B252,G:G)&amp;" / "&amp;IFERROR(VLOOKUP(B252,'Coil Sheet at Plant'!$C:$I,7,FALSE),"?")&amp;" mm")</f>
        <v/>
      </c>
    </row>
    <row r="253" spans="1:15">
      <c r="A253" s="36"/>
      <c r="B253" s="32"/>
      <c r="C253" s="39"/>
      <c r="D253" s="44" t="str">
        <f>IF(OR(B253="",C253=""),"",CONCATENATE(B253,"-",C253))</f>
        <v/>
      </c>
      <c r="E253" s="49" t="str">
        <f>IF(B253="","",IFERROR(VLOOKUP(B253,'Coil Sheet at Plant'!$C:$G,5,FALSE),"ID Not Found"))</f>
        <v/>
      </c>
      <c r="F253" s="50" t="str">
        <f>IF(B253="","",IFERROR(VLOOKUP(B253,'Coil Sheet at Plant'!$C:$H,6,FALSE),"ID Not Found"))</f>
        <v/>
      </c>
      <c r="G253" s="81">
        <v>400</v>
      </c>
      <c r="H253" s="89" t="str">
        <f>IF(OR(B253="",G253=""),"",IFERROR(VLOOKUP(B253,'Coil Sheet at Plant'!$C:$J,8,FALSE),0)*G253/SUMIF(B:B,B253,G:G))</f>
        <v/>
      </c>
      <c r="I253" s="56" t="str">
        <f>IF(B253="","",IFERROR(VLOOKUP(B253,'Coil Sheet at Plant'!$C:$L,9,FALSE),""))</f>
        <v/>
      </c>
      <c r="J253" s="85" t="str">
        <f>IF(B253="","",IFERROR(VLOOKUP(B253,'Coil Sheet at Plant'!$C:$M,10,FALSE),""))</f>
        <v/>
      </c>
      <c r="K253" s="69" t="str">
        <f>IF(B253="","",SUMIF(B:B,B253,G:G))</f>
        <v/>
      </c>
      <c r="L253" s="70" t="str">
        <f>IF(B253="","",IFERROR(VLOOKUP(B253,'Coil Sheet at Plant'!$C:$I,7,FALSE),""))</f>
        <v/>
      </c>
      <c r="M253" s="71" t="str">
        <f>IF(OR(K253="",L253=""),"",IF(L253=0,"⚠ NO PARENT WIDTH",IF(K253&gt;L253,"⚠ BABY &gt; PARENT","✔ OK")))</f>
        <v/>
      </c>
      <c r="N253" s="71" t="str">
        <f>IF(D253="","",IF(COUNTIF(D$3:D253,D253)&gt;1,"⚠ DUPLICATE",""))</f>
        <v/>
      </c>
      <c r="O253" s="72" t="str">
        <f>IF(B253="","",SUMIF(B:B,B253,G:G)&amp;" / "&amp;IFERROR(VLOOKUP(B253,'Coil Sheet at Plant'!$C:$I,7,FALSE),"?")&amp;" mm")</f>
        <v/>
      </c>
    </row>
    <row r="254" spans="1:15">
      <c r="A254" s="36"/>
      <c r="B254" s="32"/>
      <c r="C254" s="39"/>
      <c r="D254" s="44" t="str">
        <f>IF(OR(B254="",C254=""),"",CONCATENATE(B254,"-",C254))</f>
        <v/>
      </c>
      <c r="E254" s="49" t="str">
        <f>IF(B254="","",IFERROR(VLOOKUP(B254,'Coil Sheet at Plant'!$C:$G,5,FALSE),"ID Not Found"))</f>
        <v/>
      </c>
      <c r="F254" s="50" t="str">
        <f>IF(B254="","",IFERROR(VLOOKUP(B254,'Coil Sheet at Plant'!$C:$H,6,FALSE),"ID Not Found"))</f>
        <v/>
      </c>
      <c r="G254" s="81">
        <v>401</v>
      </c>
      <c r="H254" s="89" t="str">
        <f>IF(OR(B254="",G254=""),"",IFERROR(VLOOKUP(B254,'Coil Sheet at Plant'!$C:$J,8,FALSE),0)*G254/SUMIF(B:B,B254,G:G))</f>
        <v/>
      </c>
      <c r="I254" s="56" t="str">
        <f>IF(B254="","",IFERROR(VLOOKUP(B254,'Coil Sheet at Plant'!$C:$L,9,FALSE),""))</f>
        <v/>
      </c>
      <c r="J254" s="85" t="str">
        <f>IF(B254="","",IFERROR(VLOOKUP(B254,'Coil Sheet at Plant'!$C:$M,10,FALSE),""))</f>
        <v/>
      </c>
      <c r="K254" s="69" t="str">
        <f>IF(B254="","",SUMIF(B:B,B254,G:G))</f>
        <v/>
      </c>
      <c r="L254" s="70" t="str">
        <f>IF(B254="","",IFERROR(VLOOKUP(B254,'Coil Sheet at Plant'!$C:$I,7,FALSE),""))</f>
        <v/>
      </c>
      <c r="M254" s="71" t="str">
        <f>IF(OR(K254="",L254=""),"",IF(L254=0,"⚠ NO PARENT WIDTH",IF(K254&gt;L254,"⚠ BABY &gt; PARENT","✔ OK")))</f>
        <v/>
      </c>
      <c r="N254" s="71" t="str">
        <f>IF(D254="","",IF(COUNTIF(D$3:D254,D254)&gt;1,"⚠ DUPLICATE",""))</f>
        <v/>
      </c>
      <c r="O254" s="72" t="str">
        <f>IF(B254="","",SUMIF(B:B,B254,G:G)&amp;" / "&amp;IFERROR(VLOOKUP(B254,'Coil Sheet at Plant'!$C:$I,7,FALSE),"?")&amp;" mm")</f>
        <v/>
      </c>
    </row>
    <row r="255" spans="1:15">
      <c r="A255" s="36"/>
      <c r="B255" s="32"/>
      <c r="C255" s="39"/>
      <c r="D255" s="44" t="str">
        <f>IF(OR(B255="",C255=""),"",CONCATENATE(B255,"-",C255))</f>
        <v/>
      </c>
      <c r="E255" s="49" t="str">
        <f>IF(B255="","",IFERROR(VLOOKUP(B255,'Coil Sheet at Plant'!$C:$G,5,FALSE),"ID Not Found"))</f>
        <v/>
      </c>
      <c r="F255" s="50" t="str">
        <f>IF(B255="","",IFERROR(VLOOKUP(B255,'Coil Sheet at Plant'!$C:$H,6,FALSE),"ID Not Found"))</f>
        <v/>
      </c>
      <c r="G255" s="81">
        <v>402</v>
      </c>
      <c r="H255" s="89" t="str">
        <f>IF(OR(B255="",G255=""),"",IFERROR(VLOOKUP(B255,'Coil Sheet at Plant'!$C:$J,8,FALSE),0)*G255/SUMIF(B:B,B255,G:G))</f>
        <v/>
      </c>
      <c r="I255" s="56" t="str">
        <f>IF(B255="","",IFERROR(VLOOKUP(B255,'Coil Sheet at Plant'!$C:$L,9,FALSE),""))</f>
        <v/>
      </c>
      <c r="J255" s="85" t="str">
        <f>IF(B255="","",IFERROR(VLOOKUP(B255,'Coil Sheet at Plant'!$C:$M,10,FALSE),""))</f>
        <v/>
      </c>
      <c r="K255" s="69" t="str">
        <f>IF(B255="","",SUMIF(B:B,B255,G:G))</f>
        <v/>
      </c>
      <c r="L255" s="70" t="str">
        <f>IF(B255="","",IFERROR(VLOOKUP(B255,'Coil Sheet at Plant'!$C:$I,7,FALSE),""))</f>
        <v/>
      </c>
      <c r="M255" s="71" t="str">
        <f>IF(OR(K255="",L255=""),"",IF(L255=0,"⚠ NO PARENT WIDTH",IF(K255&gt;L255,"⚠ BABY &gt; PARENT","✔ OK")))</f>
        <v/>
      </c>
      <c r="N255" s="71" t="str">
        <f>IF(D255="","",IF(COUNTIF(D$3:D255,D255)&gt;1,"⚠ DUPLICATE",""))</f>
        <v/>
      </c>
      <c r="O255" s="72" t="str">
        <f>IF(B255="","",SUMIF(B:B,B255,G:G)&amp;" / "&amp;IFERROR(VLOOKUP(B255,'Coil Sheet at Plant'!$C:$I,7,FALSE),"?")&amp;" mm")</f>
        <v/>
      </c>
    </row>
    <row r="256" spans="1:15">
      <c r="A256" s="36"/>
      <c r="B256" s="32"/>
      <c r="C256" s="39"/>
      <c r="D256" s="44" t="str">
        <f>IF(OR(B256="",C256=""),"",CONCATENATE(B256,"-",C256))</f>
        <v/>
      </c>
      <c r="E256" s="49" t="str">
        <f>IF(B256="","",IFERROR(VLOOKUP(B256,'Coil Sheet at Plant'!$C:$G,5,FALSE),"ID Not Found"))</f>
        <v/>
      </c>
      <c r="F256" s="50" t="str">
        <f>IF(B256="","",IFERROR(VLOOKUP(B256,'Coil Sheet at Plant'!$C:$H,6,FALSE),"ID Not Found"))</f>
        <v/>
      </c>
      <c r="G256" s="81">
        <v>403</v>
      </c>
      <c r="H256" s="89" t="str">
        <f>IF(OR(B256="",G256=""),"",IFERROR(VLOOKUP(B256,'Coil Sheet at Plant'!$C:$J,8,FALSE),0)*G256/SUMIF(B:B,B256,G:G))</f>
        <v/>
      </c>
      <c r="I256" s="56" t="str">
        <f>IF(B256="","",IFERROR(VLOOKUP(B256,'Coil Sheet at Plant'!$C:$L,9,FALSE),""))</f>
        <v/>
      </c>
      <c r="J256" s="85" t="str">
        <f>IF(B256="","",IFERROR(VLOOKUP(B256,'Coil Sheet at Plant'!$C:$M,10,FALSE),""))</f>
        <v/>
      </c>
      <c r="K256" s="69" t="str">
        <f>IF(B256="","",SUMIF(B:B,B256,G:G))</f>
        <v/>
      </c>
      <c r="L256" s="70" t="str">
        <f>IF(B256="","",IFERROR(VLOOKUP(B256,'Coil Sheet at Plant'!$C:$I,7,FALSE),""))</f>
        <v/>
      </c>
      <c r="M256" s="71" t="str">
        <f>IF(OR(K256="",L256=""),"",IF(L256=0,"⚠ NO PARENT WIDTH",IF(K256&gt;L256,"⚠ BABY &gt; PARENT","✔ OK")))</f>
        <v/>
      </c>
      <c r="N256" s="71" t="str">
        <f>IF(D256="","",IF(COUNTIF(D$3:D256,D256)&gt;1,"⚠ DUPLICATE",""))</f>
        <v/>
      </c>
      <c r="O256" s="72" t="str">
        <f>IF(B256="","",SUMIF(B:B,B256,G:G)&amp;" / "&amp;IFERROR(VLOOKUP(B256,'Coil Sheet at Plant'!$C:$I,7,FALSE),"?")&amp;" mm")</f>
        <v/>
      </c>
    </row>
    <row r="257" spans="1:15">
      <c r="A257" s="36"/>
      <c r="B257" s="32"/>
      <c r="C257" s="39"/>
      <c r="D257" s="44" t="str">
        <f>IF(OR(B257="",C257=""),"",CONCATENATE(B257,"-",C257))</f>
        <v/>
      </c>
      <c r="E257" s="49" t="str">
        <f>IF(B257="","",IFERROR(VLOOKUP(B257,'Coil Sheet at Plant'!$C:$G,5,FALSE),"ID Not Found"))</f>
        <v/>
      </c>
      <c r="F257" s="50" t="str">
        <f>IF(B257="","",IFERROR(VLOOKUP(B257,'Coil Sheet at Plant'!$C:$H,6,FALSE),"ID Not Found"))</f>
        <v/>
      </c>
      <c r="G257" s="81">
        <v>404</v>
      </c>
      <c r="H257" s="89" t="str">
        <f>IF(OR(B257="",G257=""),"",IFERROR(VLOOKUP(B257,'Coil Sheet at Plant'!$C:$J,8,FALSE),0)*G257/SUMIF(B:B,B257,G:G))</f>
        <v/>
      </c>
      <c r="I257" s="56" t="str">
        <f>IF(B257="","",IFERROR(VLOOKUP(B257,'Coil Sheet at Plant'!$C:$L,9,FALSE),""))</f>
        <v/>
      </c>
      <c r="J257" s="85" t="str">
        <f>IF(B257="","",IFERROR(VLOOKUP(B257,'Coil Sheet at Plant'!$C:$M,10,FALSE),""))</f>
        <v/>
      </c>
      <c r="K257" s="69" t="str">
        <f>IF(B257="","",SUMIF(B:B,B257,G:G))</f>
        <v/>
      </c>
      <c r="L257" s="70" t="str">
        <f>IF(B257="","",IFERROR(VLOOKUP(B257,'Coil Sheet at Plant'!$C:$I,7,FALSE),""))</f>
        <v/>
      </c>
      <c r="M257" s="71" t="str">
        <f>IF(OR(K257="",L257=""),"",IF(L257=0,"⚠ NO PARENT WIDTH",IF(K257&gt;L257,"⚠ BABY &gt; PARENT","✔ OK")))</f>
        <v/>
      </c>
      <c r="N257" s="71" t="str">
        <f>IF(D257="","",IF(COUNTIF(D$3:D257,D257)&gt;1,"⚠ DUPLICATE",""))</f>
        <v/>
      </c>
      <c r="O257" s="72" t="str">
        <f>IF(B257="","",SUMIF(B:B,B257,G:G)&amp;" / "&amp;IFERROR(VLOOKUP(B257,'Coil Sheet at Plant'!$C:$I,7,FALSE),"?")&amp;" mm")</f>
        <v/>
      </c>
    </row>
    <row r="258" spans="1:15">
      <c r="A258" s="36"/>
      <c r="B258" s="32"/>
      <c r="C258" s="39"/>
      <c r="D258" s="44" t="str">
        <f>IF(OR(B258="",C258=""),"",CONCATENATE(B258,"-",C258))</f>
        <v/>
      </c>
      <c r="E258" s="49" t="str">
        <f>IF(B258="","",IFERROR(VLOOKUP(B258,'Coil Sheet at Plant'!$C:$G,5,FALSE),"ID Not Found"))</f>
        <v/>
      </c>
      <c r="F258" s="50" t="str">
        <f>IF(B258="","",IFERROR(VLOOKUP(B258,'Coil Sheet at Plant'!$C:$H,6,FALSE),"ID Not Found"))</f>
        <v/>
      </c>
      <c r="G258" s="81">
        <v>405</v>
      </c>
      <c r="H258" s="89" t="str">
        <f>IF(OR(B258="",G258=""),"",IFERROR(VLOOKUP(B258,'Coil Sheet at Plant'!$C:$J,8,FALSE),0)*G258/SUMIF(B:B,B258,G:G))</f>
        <v/>
      </c>
      <c r="I258" s="56" t="str">
        <f>IF(B258="","",IFERROR(VLOOKUP(B258,'Coil Sheet at Plant'!$C:$L,9,FALSE),""))</f>
        <v/>
      </c>
      <c r="J258" s="85" t="str">
        <f>IF(B258="","",IFERROR(VLOOKUP(B258,'Coil Sheet at Plant'!$C:$M,10,FALSE),""))</f>
        <v/>
      </c>
      <c r="K258" s="69" t="str">
        <f>IF(B258="","",SUMIF(B:B,B258,G:G))</f>
        <v/>
      </c>
      <c r="L258" s="70" t="str">
        <f>IF(B258="","",IFERROR(VLOOKUP(B258,'Coil Sheet at Plant'!$C:$I,7,FALSE),""))</f>
        <v/>
      </c>
      <c r="M258" s="71" t="str">
        <f>IF(OR(K258="",L258=""),"",IF(L258=0,"⚠ NO PARENT WIDTH",IF(K258&gt;L258,"⚠ BABY &gt; PARENT","✔ OK")))</f>
        <v/>
      </c>
      <c r="N258" s="71" t="str">
        <f>IF(D258="","",IF(COUNTIF(D$3:D258,D258)&gt;1,"⚠ DUPLICATE",""))</f>
        <v/>
      </c>
      <c r="O258" s="72" t="str">
        <f>IF(B258="","",SUMIF(B:B,B258,G:G)&amp;" / "&amp;IFERROR(VLOOKUP(B258,'Coil Sheet at Plant'!$C:$I,7,FALSE),"?")&amp;" mm")</f>
        <v/>
      </c>
    </row>
    <row r="259" spans="1:15">
      <c r="A259" s="36"/>
      <c r="B259" s="32"/>
      <c r="C259" s="39"/>
      <c r="D259" s="44" t="str">
        <f>IF(OR(B259="",C259=""),"",CONCATENATE(B259,"-",C259))</f>
        <v/>
      </c>
      <c r="E259" s="49" t="str">
        <f>IF(B259="","",IFERROR(VLOOKUP(B259,'Coil Sheet at Plant'!$C:$G,5,FALSE),"ID Not Found"))</f>
        <v/>
      </c>
      <c r="F259" s="50" t="str">
        <f>IF(B259="","",IFERROR(VLOOKUP(B259,'Coil Sheet at Plant'!$C:$H,6,FALSE),"ID Not Found"))</f>
        <v/>
      </c>
      <c r="G259" s="81">
        <v>406</v>
      </c>
      <c r="H259" s="89" t="str">
        <f>IF(OR(B259="",G259=""),"",IFERROR(VLOOKUP(B259,'Coil Sheet at Plant'!$C:$J,8,FALSE),0)*G259/SUMIF(B:B,B259,G:G))</f>
        <v/>
      </c>
      <c r="I259" s="56" t="str">
        <f>IF(B259="","",IFERROR(VLOOKUP(B259,'Coil Sheet at Plant'!$C:$L,9,FALSE),""))</f>
        <v/>
      </c>
      <c r="J259" s="85" t="str">
        <f>IF(B259="","",IFERROR(VLOOKUP(B259,'Coil Sheet at Plant'!$C:$M,10,FALSE),""))</f>
        <v/>
      </c>
      <c r="K259" s="69" t="str">
        <f>IF(B259="","",SUMIF(B:B,B259,G:G))</f>
        <v/>
      </c>
      <c r="L259" s="70" t="str">
        <f>IF(B259="","",IFERROR(VLOOKUP(B259,'Coil Sheet at Plant'!$C:$I,7,FALSE),""))</f>
        <v/>
      </c>
      <c r="M259" s="71" t="str">
        <f>IF(OR(K259="",L259=""),"",IF(L259=0,"⚠ NO PARENT WIDTH",IF(K259&gt;L259,"⚠ BABY &gt; PARENT","✔ OK")))</f>
        <v/>
      </c>
      <c r="N259" s="71" t="str">
        <f>IF(D259="","",IF(COUNTIF(D$3:D259,D259)&gt;1,"⚠ DUPLICATE",""))</f>
        <v/>
      </c>
      <c r="O259" s="72" t="str">
        <f>IF(B259="","",SUMIF(B:B,B259,G:G)&amp;" / "&amp;IFERROR(VLOOKUP(B259,'Coil Sheet at Plant'!$C:$I,7,FALSE),"?")&amp;" mm")</f>
        <v/>
      </c>
    </row>
    <row r="260" spans="1:15">
      <c r="A260" s="36"/>
      <c r="B260" s="32"/>
      <c r="C260" s="39"/>
      <c r="D260" s="44" t="str">
        <f>IF(OR(B260="",C260=""),"",CONCATENATE(B260,"-",C260))</f>
        <v/>
      </c>
      <c r="E260" s="49" t="str">
        <f>IF(B260="","",IFERROR(VLOOKUP(B260,'Coil Sheet at Plant'!$C:$G,5,FALSE),"ID Not Found"))</f>
        <v/>
      </c>
      <c r="F260" s="50" t="str">
        <f>IF(B260="","",IFERROR(VLOOKUP(B260,'Coil Sheet at Plant'!$C:$H,6,FALSE),"ID Not Found"))</f>
        <v/>
      </c>
      <c r="G260" s="81">
        <v>407</v>
      </c>
      <c r="H260" s="89" t="str">
        <f>IF(OR(B260="",G260=""),"",IFERROR(VLOOKUP(B260,'Coil Sheet at Plant'!$C:$J,8,FALSE),0)*G260/SUMIF(B:B,B260,G:G))</f>
        <v/>
      </c>
      <c r="I260" s="56" t="str">
        <f>IF(B260="","",IFERROR(VLOOKUP(B260,'Coil Sheet at Plant'!$C:$L,9,FALSE),""))</f>
        <v/>
      </c>
      <c r="J260" s="85" t="str">
        <f>IF(B260="","",IFERROR(VLOOKUP(B260,'Coil Sheet at Plant'!$C:$M,10,FALSE),""))</f>
        <v/>
      </c>
      <c r="K260" s="69" t="str">
        <f>IF(B260="","",SUMIF(B:B,B260,G:G))</f>
        <v/>
      </c>
      <c r="L260" s="70" t="str">
        <f>IF(B260="","",IFERROR(VLOOKUP(B260,'Coil Sheet at Plant'!$C:$I,7,FALSE),""))</f>
        <v/>
      </c>
      <c r="M260" s="71" t="str">
        <f>IF(OR(K260="",L260=""),"",IF(L260=0,"⚠ NO PARENT WIDTH",IF(K260&gt;L260,"⚠ BABY &gt; PARENT","✔ OK")))</f>
        <v/>
      </c>
      <c r="N260" s="71" t="str">
        <f>IF(D260="","",IF(COUNTIF(D$3:D260,D260)&gt;1,"⚠ DUPLICATE",""))</f>
        <v/>
      </c>
      <c r="O260" s="72" t="str">
        <f>IF(B260="","",SUMIF(B:B,B260,G:G)&amp;" / "&amp;IFERROR(VLOOKUP(B260,'Coil Sheet at Plant'!$C:$I,7,FALSE),"?")&amp;" mm")</f>
        <v/>
      </c>
    </row>
    <row r="261" spans="1:15">
      <c r="A261" s="36"/>
      <c r="B261" s="32"/>
      <c r="C261" s="39"/>
      <c r="D261" s="44" t="str">
        <f>IF(OR(B261="",C261=""),"",CONCATENATE(B261,"-",C261))</f>
        <v/>
      </c>
      <c r="E261" s="49" t="str">
        <f>IF(B261="","",IFERROR(VLOOKUP(B261,'Coil Sheet at Plant'!$C:$G,5,FALSE),"ID Not Found"))</f>
        <v/>
      </c>
      <c r="F261" s="50" t="str">
        <f>IF(B261="","",IFERROR(VLOOKUP(B261,'Coil Sheet at Plant'!$C:$H,6,FALSE),"ID Not Found"))</f>
        <v/>
      </c>
      <c r="G261" s="81">
        <v>408</v>
      </c>
      <c r="H261" s="89" t="str">
        <f>IF(OR(B261="",G261=""),"",IFERROR(VLOOKUP(B261,'Coil Sheet at Plant'!$C:$J,8,FALSE),0)*G261/SUMIF(B:B,B261,G:G))</f>
        <v/>
      </c>
      <c r="I261" s="56" t="str">
        <f>IF(B261="","",IFERROR(VLOOKUP(B261,'Coil Sheet at Plant'!$C:$L,9,FALSE),""))</f>
        <v/>
      </c>
      <c r="J261" s="85" t="str">
        <f>IF(B261="","",IFERROR(VLOOKUP(B261,'Coil Sheet at Plant'!$C:$M,10,FALSE),""))</f>
        <v/>
      </c>
      <c r="K261" s="69" t="str">
        <f>IF(B261="","",SUMIF(B:B,B261,G:G))</f>
        <v/>
      </c>
      <c r="L261" s="70" t="str">
        <f>IF(B261="","",IFERROR(VLOOKUP(B261,'Coil Sheet at Plant'!$C:$I,7,FALSE),""))</f>
        <v/>
      </c>
      <c r="M261" s="71" t="str">
        <f>IF(OR(K261="",L261=""),"",IF(L261=0,"⚠ NO PARENT WIDTH",IF(K261&gt;L261,"⚠ BABY &gt; PARENT","✔ OK")))</f>
        <v/>
      </c>
      <c r="N261" s="71" t="str">
        <f>IF(D261="","",IF(COUNTIF(D$3:D261,D261)&gt;1,"⚠ DUPLICATE",""))</f>
        <v/>
      </c>
      <c r="O261" s="72" t="str">
        <f>IF(B261="","",SUMIF(B:B,B261,G:G)&amp;" / "&amp;IFERROR(VLOOKUP(B261,'Coil Sheet at Plant'!$C:$I,7,FALSE),"?")&amp;" mm")</f>
        <v/>
      </c>
    </row>
    <row r="262" spans="1:15">
      <c r="A262" s="36"/>
      <c r="B262" s="32"/>
      <c r="C262" s="39"/>
      <c r="D262" s="44" t="str">
        <f>IF(OR(B262="",C262=""),"",CONCATENATE(B262,"-",C262))</f>
        <v/>
      </c>
      <c r="E262" s="49" t="str">
        <f>IF(B262="","",IFERROR(VLOOKUP(B262,'Coil Sheet at Plant'!$C:$G,5,FALSE),"ID Not Found"))</f>
        <v/>
      </c>
      <c r="F262" s="50" t="str">
        <f>IF(B262="","",IFERROR(VLOOKUP(B262,'Coil Sheet at Plant'!$C:$H,6,FALSE),"ID Not Found"))</f>
        <v/>
      </c>
      <c r="G262" s="81">
        <v>409</v>
      </c>
      <c r="H262" s="89" t="str">
        <f>IF(OR(B262="",G262=""),"",IFERROR(VLOOKUP(B262,'Coil Sheet at Plant'!$C:$J,8,FALSE),0)*G262/SUMIF(B:B,B262,G:G))</f>
        <v/>
      </c>
      <c r="I262" s="56" t="str">
        <f>IF(B262="","",IFERROR(VLOOKUP(B262,'Coil Sheet at Plant'!$C:$L,9,FALSE),""))</f>
        <v/>
      </c>
      <c r="J262" s="85" t="str">
        <f>IF(B262="","",IFERROR(VLOOKUP(B262,'Coil Sheet at Plant'!$C:$M,10,FALSE),""))</f>
        <v/>
      </c>
      <c r="K262" s="69" t="str">
        <f>IF(B262="","",SUMIF(B:B,B262,G:G))</f>
        <v/>
      </c>
      <c r="L262" s="70" t="str">
        <f>IF(B262="","",IFERROR(VLOOKUP(B262,'Coil Sheet at Plant'!$C:$I,7,FALSE),""))</f>
        <v/>
      </c>
      <c r="M262" s="71" t="str">
        <f>IF(OR(K262="",L262=""),"",IF(L262=0,"⚠ NO PARENT WIDTH",IF(K262&gt;L262,"⚠ BABY &gt; PARENT","✔ OK")))</f>
        <v/>
      </c>
      <c r="N262" s="71" t="str">
        <f>IF(D262="","",IF(COUNTIF(D$3:D262,D262)&gt;1,"⚠ DUPLICATE",""))</f>
        <v/>
      </c>
      <c r="O262" s="72" t="str">
        <f>IF(B262="","",SUMIF(B:B,B262,G:G)&amp;" / "&amp;IFERROR(VLOOKUP(B262,'Coil Sheet at Plant'!$C:$I,7,FALSE),"?")&amp;" mm")</f>
        <v/>
      </c>
    </row>
    <row r="263" spans="1:15">
      <c r="A263" s="36"/>
      <c r="B263" s="32"/>
      <c r="C263" s="39"/>
      <c r="D263" s="44" t="str">
        <f>IF(OR(B263="",C263=""),"",CONCATENATE(B263,"-",C263))</f>
        <v/>
      </c>
      <c r="E263" s="49" t="str">
        <f>IF(B263="","",IFERROR(VLOOKUP(B263,'Coil Sheet at Plant'!$C:$G,5,FALSE),"ID Not Found"))</f>
        <v/>
      </c>
      <c r="F263" s="50" t="str">
        <f>IF(B263="","",IFERROR(VLOOKUP(B263,'Coil Sheet at Plant'!$C:$H,6,FALSE),"ID Not Found"))</f>
        <v/>
      </c>
      <c r="G263" s="81">
        <v>410</v>
      </c>
      <c r="H263" s="89" t="str">
        <f>IF(OR(B263="",G263=""),"",IFERROR(VLOOKUP(B263,'Coil Sheet at Plant'!$C:$J,8,FALSE),0)*G263/SUMIF(B:B,B263,G:G))</f>
        <v/>
      </c>
      <c r="I263" s="56" t="str">
        <f>IF(B263="","",IFERROR(VLOOKUP(B263,'Coil Sheet at Plant'!$C:$L,9,FALSE),""))</f>
        <v/>
      </c>
      <c r="J263" s="85" t="str">
        <f>IF(B263="","",IFERROR(VLOOKUP(B263,'Coil Sheet at Plant'!$C:$M,10,FALSE),""))</f>
        <v/>
      </c>
      <c r="K263" s="69" t="str">
        <f>IF(B263="","",SUMIF(B:B,B263,G:G))</f>
        <v/>
      </c>
      <c r="L263" s="70" t="str">
        <f>IF(B263="","",IFERROR(VLOOKUP(B263,'Coil Sheet at Plant'!$C:$I,7,FALSE),""))</f>
        <v/>
      </c>
      <c r="M263" s="71" t="str">
        <f>IF(OR(K263="",L263=""),"",IF(L263=0,"⚠ NO PARENT WIDTH",IF(K263&gt;L263,"⚠ BABY &gt; PARENT","✔ OK")))</f>
        <v/>
      </c>
      <c r="N263" s="71" t="str">
        <f>IF(D263="","",IF(COUNTIF(D$3:D263,D263)&gt;1,"⚠ DUPLICATE",""))</f>
        <v/>
      </c>
      <c r="O263" s="72" t="str">
        <f>IF(B263="","",SUMIF(B:B,B263,G:G)&amp;" / "&amp;IFERROR(VLOOKUP(B263,'Coil Sheet at Plant'!$C:$I,7,FALSE),"?")&amp;" mm")</f>
        <v/>
      </c>
    </row>
    <row r="264" spans="1:15">
      <c r="A264" s="36"/>
      <c r="B264" s="32"/>
      <c r="C264" s="39"/>
      <c r="D264" s="44" t="str">
        <f>IF(OR(B264="",C264=""),"",CONCATENATE(B264,"-",C264))</f>
        <v/>
      </c>
      <c r="E264" s="49" t="str">
        <f>IF(B264="","",IFERROR(VLOOKUP(B264,'Coil Sheet at Plant'!$C:$G,5,FALSE),"ID Not Found"))</f>
        <v/>
      </c>
      <c r="F264" s="50" t="str">
        <f>IF(B264="","",IFERROR(VLOOKUP(B264,'Coil Sheet at Plant'!$C:$H,6,FALSE),"ID Not Found"))</f>
        <v/>
      </c>
      <c r="G264" s="81">
        <v>411</v>
      </c>
      <c r="H264" s="89" t="str">
        <f>IF(OR(B264="",G264=""),"",IFERROR(VLOOKUP(B264,'Coil Sheet at Plant'!$C:$J,8,FALSE),0)*G264/SUMIF(B:B,B264,G:G))</f>
        <v/>
      </c>
      <c r="I264" s="56" t="str">
        <f>IF(B264="","",IFERROR(VLOOKUP(B264,'Coil Sheet at Plant'!$C:$L,9,FALSE),""))</f>
        <v/>
      </c>
      <c r="J264" s="85" t="str">
        <f>IF(B264="","",IFERROR(VLOOKUP(B264,'Coil Sheet at Plant'!$C:$M,10,FALSE),""))</f>
        <v/>
      </c>
      <c r="K264" s="69" t="str">
        <f>IF(B264="","",SUMIF(B:B,B264,G:G))</f>
        <v/>
      </c>
      <c r="L264" s="70" t="str">
        <f>IF(B264="","",IFERROR(VLOOKUP(B264,'Coil Sheet at Plant'!$C:$I,7,FALSE),""))</f>
        <v/>
      </c>
      <c r="M264" s="71" t="str">
        <f>IF(OR(K264="",L264=""),"",IF(L264=0,"⚠ NO PARENT WIDTH",IF(K264&gt;L264,"⚠ BABY &gt; PARENT","✔ OK")))</f>
        <v/>
      </c>
      <c r="N264" s="71" t="str">
        <f>IF(D264="","",IF(COUNTIF(D$3:D264,D264)&gt;1,"⚠ DUPLICATE",""))</f>
        <v/>
      </c>
      <c r="O264" s="72" t="str">
        <f>IF(B264="","",SUMIF(B:B,B264,G:G)&amp;" / "&amp;IFERROR(VLOOKUP(B264,'Coil Sheet at Plant'!$C:$I,7,FALSE),"?")&amp;" mm")</f>
        <v/>
      </c>
    </row>
    <row r="265" spans="1:15">
      <c r="A265" s="36"/>
      <c r="B265" s="32"/>
      <c r="C265" s="39"/>
      <c r="D265" s="44" t="str">
        <f>IF(OR(B265="",C265=""),"",CONCATENATE(B265,"-",C265))</f>
        <v/>
      </c>
      <c r="E265" s="49" t="str">
        <f>IF(B265="","",IFERROR(VLOOKUP(B265,'Coil Sheet at Plant'!$C:$G,5,FALSE),"ID Not Found"))</f>
        <v/>
      </c>
      <c r="F265" s="50" t="str">
        <f>IF(B265="","",IFERROR(VLOOKUP(B265,'Coil Sheet at Plant'!$C:$H,6,FALSE),"ID Not Found"))</f>
        <v/>
      </c>
      <c r="G265" s="81">
        <v>412</v>
      </c>
      <c r="H265" s="89" t="str">
        <f>IF(OR(B265="",G265=""),"",IFERROR(VLOOKUP(B265,'Coil Sheet at Plant'!$C:$J,8,FALSE),0)*G265/SUMIF(B:B,B265,G:G))</f>
        <v/>
      </c>
      <c r="I265" s="56" t="str">
        <f>IF(B265="","",IFERROR(VLOOKUP(B265,'Coil Sheet at Plant'!$C:$L,9,FALSE),""))</f>
        <v/>
      </c>
      <c r="J265" s="85" t="str">
        <f>IF(B265="","",IFERROR(VLOOKUP(B265,'Coil Sheet at Plant'!$C:$M,10,FALSE),""))</f>
        <v/>
      </c>
      <c r="K265" s="69" t="str">
        <f>IF(B265="","",SUMIF(B:B,B265,G:G))</f>
        <v/>
      </c>
      <c r="L265" s="70" t="str">
        <f>IF(B265="","",IFERROR(VLOOKUP(B265,'Coil Sheet at Plant'!$C:$I,7,FALSE),""))</f>
        <v/>
      </c>
      <c r="M265" s="71" t="str">
        <f>IF(OR(K265="",L265=""),"",IF(L265=0,"⚠ NO PARENT WIDTH",IF(K265&gt;L265,"⚠ BABY &gt; PARENT","✔ OK")))</f>
        <v/>
      </c>
      <c r="N265" s="71" t="str">
        <f>IF(D265="","",IF(COUNTIF(D$3:D265,D265)&gt;1,"⚠ DUPLICATE",""))</f>
        <v/>
      </c>
      <c r="O265" s="72" t="str">
        <f>IF(B265="","",SUMIF(B:B,B265,G:G)&amp;" / "&amp;IFERROR(VLOOKUP(B265,'Coil Sheet at Plant'!$C:$I,7,FALSE),"?")&amp;" mm")</f>
        <v/>
      </c>
    </row>
    <row r="266" spans="1:15">
      <c r="A266" s="36"/>
      <c r="B266" s="32"/>
      <c r="C266" s="39"/>
      <c r="D266" s="44" t="str">
        <f>IF(OR(B266="",C266=""),"",CONCATENATE(B266,"-",C266))</f>
        <v/>
      </c>
      <c r="E266" s="49" t="str">
        <f>IF(B266="","",IFERROR(VLOOKUP(B266,'Coil Sheet at Plant'!$C:$G,5,FALSE),"ID Not Found"))</f>
        <v/>
      </c>
      <c r="F266" s="50" t="str">
        <f>IF(B266="","",IFERROR(VLOOKUP(B266,'Coil Sheet at Plant'!$C:$H,6,FALSE),"ID Not Found"))</f>
        <v/>
      </c>
      <c r="G266" s="81">
        <v>413</v>
      </c>
      <c r="H266" s="89" t="str">
        <f>IF(OR(B266="",G266=""),"",IFERROR(VLOOKUP(B266,'Coil Sheet at Plant'!$C:$J,8,FALSE),0)*G266/SUMIF(B:B,B266,G:G))</f>
        <v/>
      </c>
      <c r="I266" s="56" t="str">
        <f>IF(B266="","",IFERROR(VLOOKUP(B266,'Coil Sheet at Plant'!$C:$L,9,FALSE),""))</f>
        <v/>
      </c>
      <c r="J266" s="85" t="str">
        <f>IF(B266="","",IFERROR(VLOOKUP(B266,'Coil Sheet at Plant'!$C:$M,10,FALSE),""))</f>
        <v/>
      </c>
      <c r="K266" s="69" t="str">
        <f>IF(B266="","",SUMIF(B:B,B266,G:G))</f>
        <v/>
      </c>
      <c r="L266" s="70" t="str">
        <f>IF(B266="","",IFERROR(VLOOKUP(B266,'Coil Sheet at Plant'!$C:$I,7,FALSE),""))</f>
        <v/>
      </c>
      <c r="M266" s="71" t="str">
        <f>IF(OR(K266="",L266=""),"",IF(L266=0,"⚠ NO PARENT WIDTH",IF(K266&gt;L266,"⚠ BABY &gt; PARENT","✔ OK")))</f>
        <v/>
      </c>
      <c r="N266" s="71" t="str">
        <f>IF(D266="","",IF(COUNTIF(D$3:D266,D266)&gt;1,"⚠ DUPLICATE",""))</f>
        <v/>
      </c>
      <c r="O266" s="72" t="str">
        <f>IF(B266="","",SUMIF(B:B,B266,G:G)&amp;" / "&amp;IFERROR(VLOOKUP(B266,'Coil Sheet at Plant'!$C:$I,7,FALSE),"?")&amp;" mm")</f>
        <v/>
      </c>
    </row>
    <row r="267" spans="1:15">
      <c r="A267" s="36"/>
      <c r="B267" s="32"/>
      <c r="C267" s="39"/>
      <c r="D267" s="44" t="str">
        <f>IF(OR(B267="",C267=""),"",CONCATENATE(B267,"-",C267))</f>
        <v/>
      </c>
      <c r="E267" s="49" t="str">
        <f>IF(B267="","",IFERROR(VLOOKUP(B267,'Coil Sheet at Plant'!$C:$G,5,FALSE),"ID Not Found"))</f>
        <v/>
      </c>
      <c r="F267" s="50" t="str">
        <f>IF(B267="","",IFERROR(VLOOKUP(B267,'Coil Sheet at Plant'!$C:$H,6,FALSE),"ID Not Found"))</f>
        <v/>
      </c>
      <c r="G267" s="81">
        <v>414</v>
      </c>
      <c r="H267" s="89" t="str">
        <f>IF(OR(B267="",G267=""),"",IFERROR(VLOOKUP(B267,'Coil Sheet at Plant'!$C:$J,8,FALSE),0)*G267/SUMIF(B:B,B267,G:G))</f>
        <v/>
      </c>
      <c r="I267" s="56" t="str">
        <f>IF(B267="","",IFERROR(VLOOKUP(B267,'Coil Sheet at Plant'!$C:$L,9,FALSE),""))</f>
        <v/>
      </c>
      <c r="J267" s="85" t="str">
        <f>IF(B267="","",IFERROR(VLOOKUP(B267,'Coil Sheet at Plant'!$C:$M,10,FALSE),""))</f>
        <v/>
      </c>
      <c r="K267" s="69" t="str">
        <f>IF(B267="","",SUMIF(B:B,B267,G:G))</f>
        <v/>
      </c>
      <c r="L267" s="70" t="str">
        <f>IF(B267="","",IFERROR(VLOOKUP(B267,'Coil Sheet at Plant'!$C:$I,7,FALSE),""))</f>
        <v/>
      </c>
      <c r="M267" s="71" t="str">
        <f>IF(OR(K267="",L267=""),"",IF(L267=0,"⚠ NO PARENT WIDTH",IF(K267&gt;L267,"⚠ BABY &gt; PARENT","✔ OK")))</f>
        <v/>
      </c>
      <c r="N267" s="71" t="str">
        <f>IF(D267="","",IF(COUNTIF(D$3:D267,D267)&gt;1,"⚠ DUPLICATE",""))</f>
        <v/>
      </c>
      <c r="O267" s="72" t="str">
        <f>IF(B267="","",SUMIF(B:B,B267,G:G)&amp;" / "&amp;IFERROR(VLOOKUP(B267,'Coil Sheet at Plant'!$C:$I,7,FALSE),"?")&amp;" mm")</f>
        <v/>
      </c>
    </row>
    <row r="268" spans="1:15">
      <c r="A268" s="36"/>
      <c r="B268" s="32"/>
      <c r="C268" s="39"/>
      <c r="D268" s="44" t="str">
        <f>IF(OR(B268="",C268=""),"",CONCATENATE(B268,"-",C268))</f>
        <v/>
      </c>
      <c r="E268" s="49" t="str">
        <f>IF(B268="","",IFERROR(VLOOKUP(B268,'Coil Sheet at Plant'!$C:$G,5,FALSE),"ID Not Found"))</f>
        <v/>
      </c>
      <c r="F268" s="50" t="str">
        <f>IF(B268="","",IFERROR(VLOOKUP(B268,'Coil Sheet at Plant'!$C:$H,6,FALSE),"ID Not Found"))</f>
        <v/>
      </c>
      <c r="G268" s="81">
        <v>415</v>
      </c>
      <c r="H268" s="89" t="str">
        <f>IF(OR(B268="",G268=""),"",IFERROR(VLOOKUP(B268,'Coil Sheet at Plant'!$C:$J,8,FALSE),0)*G268/SUMIF(B:B,B268,G:G))</f>
        <v/>
      </c>
      <c r="I268" s="56" t="str">
        <f>IF(B268="","",IFERROR(VLOOKUP(B268,'Coil Sheet at Plant'!$C:$L,9,FALSE),""))</f>
        <v/>
      </c>
      <c r="J268" s="85" t="str">
        <f>IF(B268="","",IFERROR(VLOOKUP(B268,'Coil Sheet at Plant'!$C:$M,10,FALSE),""))</f>
        <v/>
      </c>
      <c r="K268" s="69" t="str">
        <f>IF(B268="","",SUMIF(B:B,B268,G:G))</f>
        <v/>
      </c>
      <c r="L268" s="70" t="str">
        <f>IF(B268="","",IFERROR(VLOOKUP(B268,'Coil Sheet at Plant'!$C:$I,7,FALSE),""))</f>
        <v/>
      </c>
      <c r="M268" s="71" t="str">
        <f>IF(OR(K268="",L268=""),"",IF(L268=0,"⚠ NO PARENT WIDTH",IF(K268&gt;L268,"⚠ BABY &gt; PARENT","✔ OK")))</f>
        <v/>
      </c>
      <c r="N268" s="71" t="str">
        <f>IF(D268="","",IF(COUNTIF(D$3:D268,D268)&gt;1,"⚠ DUPLICATE",""))</f>
        <v/>
      </c>
      <c r="O268" s="72" t="str">
        <f>IF(B268="","",SUMIF(B:B,B268,G:G)&amp;" / "&amp;IFERROR(VLOOKUP(B268,'Coil Sheet at Plant'!$C:$I,7,FALSE),"?")&amp;" mm")</f>
        <v/>
      </c>
    </row>
    <row r="269" spans="1:15">
      <c r="A269" s="36"/>
      <c r="B269" s="32"/>
      <c r="C269" s="39"/>
      <c r="D269" s="44" t="str">
        <f>IF(OR(B269="",C269=""),"",CONCATENATE(B269,"-",C269))</f>
        <v/>
      </c>
      <c r="E269" s="49" t="str">
        <f>IF(B269="","",IFERROR(VLOOKUP(B269,'Coil Sheet at Plant'!$C:$G,5,FALSE),"ID Not Found"))</f>
        <v/>
      </c>
      <c r="F269" s="50" t="str">
        <f>IF(B269="","",IFERROR(VLOOKUP(B269,'Coil Sheet at Plant'!$C:$H,6,FALSE),"ID Not Found"))</f>
        <v/>
      </c>
      <c r="G269" s="81">
        <v>416</v>
      </c>
      <c r="H269" s="89" t="str">
        <f>IF(OR(B269="",G269=""),"",IFERROR(VLOOKUP(B269,'Coil Sheet at Plant'!$C:$J,8,FALSE),0)*G269/SUMIF(B:B,B269,G:G))</f>
        <v/>
      </c>
      <c r="I269" s="56" t="str">
        <f>IF(B269="","",IFERROR(VLOOKUP(B269,'Coil Sheet at Plant'!$C:$L,9,FALSE),""))</f>
        <v/>
      </c>
      <c r="J269" s="85" t="str">
        <f>IF(B269="","",IFERROR(VLOOKUP(B269,'Coil Sheet at Plant'!$C:$M,10,FALSE),""))</f>
        <v/>
      </c>
      <c r="K269" s="69" t="str">
        <f>IF(B269="","",SUMIF(B:B,B269,G:G))</f>
        <v/>
      </c>
      <c r="L269" s="70" t="str">
        <f>IF(B269="","",IFERROR(VLOOKUP(B269,'Coil Sheet at Plant'!$C:$I,7,FALSE),""))</f>
        <v/>
      </c>
      <c r="M269" s="71" t="str">
        <f>IF(OR(K269="",L269=""),"",IF(L269=0,"⚠ NO PARENT WIDTH",IF(K269&gt;L269,"⚠ BABY &gt; PARENT","✔ OK")))</f>
        <v/>
      </c>
      <c r="N269" s="71" t="str">
        <f>IF(D269="","",IF(COUNTIF(D$3:D269,D269)&gt;1,"⚠ DUPLICATE",""))</f>
        <v/>
      </c>
      <c r="O269" s="72" t="str">
        <f>IF(B269="","",SUMIF(B:B,B269,G:G)&amp;" / "&amp;IFERROR(VLOOKUP(B269,'Coil Sheet at Plant'!$C:$I,7,FALSE),"?")&amp;" mm")</f>
        <v/>
      </c>
    </row>
    <row r="270" spans="1:15">
      <c r="A270" s="36"/>
      <c r="B270" s="32"/>
      <c r="C270" s="39"/>
      <c r="D270" s="44" t="str">
        <f>IF(OR(B270="",C270=""),"",CONCATENATE(B270,"-",C270))</f>
        <v/>
      </c>
      <c r="E270" s="49" t="str">
        <f>IF(B270="","",IFERROR(VLOOKUP(B270,'Coil Sheet at Plant'!$C:$G,5,FALSE),"ID Not Found"))</f>
        <v/>
      </c>
      <c r="F270" s="50" t="str">
        <f>IF(B270="","",IFERROR(VLOOKUP(B270,'Coil Sheet at Plant'!$C:$H,6,FALSE),"ID Not Found"))</f>
        <v/>
      </c>
      <c r="G270" s="81">
        <v>417</v>
      </c>
      <c r="H270" s="89" t="str">
        <f>IF(OR(B270="",G270=""),"",IFERROR(VLOOKUP(B270,'Coil Sheet at Plant'!$C:$J,8,FALSE),0)*G270/SUMIF(B:B,B270,G:G))</f>
        <v/>
      </c>
      <c r="I270" s="56" t="str">
        <f>IF(B270="","",IFERROR(VLOOKUP(B270,'Coil Sheet at Plant'!$C:$L,9,FALSE),""))</f>
        <v/>
      </c>
      <c r="J270" s="85" t="str">
        <f>IF(B270="","",IFERROR(VLOOKUP(B270,'Coil Sheet at Plant'!$C:$M,10,FALSE),""))</f>
        <v/>
      </c>
      <c r="K270" s="69" t="str">
        <f>IF(B270="","",SUMIF(B:B,B270,G:G))</f>
        <v/>
      </c>
      <c r="L270" s="70" t="str">
        <f>IF(B270="","",IFERROR(VLOOKUP(B270,'Coil Sheet at Plant'!$C:$I,7,FALSE),""))</f>
        <v/>
      </c>
      <c r="M270" s="71" t="str">
        <f>IF(OR(K270="",L270=""),"",IF(L270=0,"⚠ NO PARENT WIDTH",IF(K270&gt;L270,"⚠ BABY &gt; PARENT","✔ OK")))</f>
        <v/>
      </c>
      <c r="N270" s="71" t="str">
        <f>IF(D270="","",IF(COUNTIF(D$3:D270,D270)&gt;1,"⚠ DUPLICATE",""))</f>
        <v/>
      </c>
      <c r="O270" s="72" t="str">
        <f>IF(B270="","",SUMIF(B:B,B270,G:G)&amp;" / "&amp;IFERROR(VLOOKUP(B270,'Coil Sheet at Plant'!$C:$I,7,FALSE),"?")&amp;" mm")</f>
        <v/>
      </c>
    </row>
    <row r="271" spans="1:15">
      <c r="A271" s="36"/>
      <c r="B271" s="32"/>
      <c r="C271" s="39"/>
      <c r="D271" s="44" t="str">
        <f>IF(OR(B271="",C271=""),"",CONCATENATE(B271,"-",C271))</f>
        <v/>
      </c>
      <c r="E271" s="49" t="str">
        <f>IF(B271="","",IFERROR(VLOOKUP(B271,'Coil Sheet at Plant'!$C:$G,5,FALSE),"ID Not Found"))</f>
        <v/>
      </c>
      <c r="F271" s="50" t="str">
        <f>IF(B271="","",IFERROR(VLOOKUP(B271,'Coil Sheet at Plant'!$C:$H,6,FALSE),"ID Not Found"))</f>
        <v/>
      </c>
      <c r="G271" s="81">
        <v>418</v>
      </c>
      <c r="H271" s="89" t="str">
        <f>IF(OR(B271="",G271=""),"",IFERROR(VLOOKUP(B271,'Coil Sheet at Plant'!$C:$J,8,FALSE),0)*G271/SUMIF(B:B,B271,G:G))</f>
        <v/>
      </c>
      <c r="I271" s="56" t="str">
        <f>IF(B271="","",IFERROR(VLOOKUP(B271,'Coil Sheet at Plant'!$C:$L,9,FALSE),""))</f>
        <v/>
      </c>
      <c r="J271" s="85" t="str">
        <f>IF(B271="","",IFERROR(VLOOKUP(B271,'Coil Sheet at Plant'!$C:$M,10,FALSE),""))</f>
        <v/>
      </c>
      <c r="K271" s="69" t="str">
        <f>IF(B271="","",SUMIF(B:B,B271,G:G))</f>
        <v/>
      </c>
      <c r="L271" s="70" t="str">
        <f>IF(B271="","",IFERROR(VLOOKUP(B271,'Coil Sheet at Plant'!$C:$I,7,FALSE),""))</f>
        <v/>
      </c>
      <c r="M271" s="71" t="str">
        <f>IF(OR(K271="",L271=""),"",IF(L271=0,"⚠ NO PARENT WIDTH",IF(K271&gt;L271,"⚠ BABY &gt; PARENT","✔ OK")))</f>
        <v/>
      </c>
      <c r="N271" s="71" t="str">
        <f>IF(D271="","",IF(COUNTIF(D$3:D271,D271)&gt;1,"⚠ DUPLICATE",""))</f>
        <v/>
      </c>
      <c r="O271" s="72" t="str">
        <f>IF(B271="","",SUMIF(B:B,B271,G:G)&amp;" / "&amp;IFERROR(VLOOKUP(B271,'Coil Sheet at Plant'!$C:$I,7,FALSE),"?")&amp;" mm")</f>
        <v/>
      </c>
    </row>
    <row r="272" spans="1:15">
      <c r="A272" s="36"/>
      <c r="B272" s="32"/>
      <c r="C272" s="39"/>
      <c r="D272" s="44" t="str">
        <f>IF(OR(B272="",C272=""),"",CONCATENATE(B272,"-",C272))</f>
        <v/>
      </c>
      <c r="E272" s="49" t="str">
        <f>IF(B272="","",IFERROR(VLOOKUP(B272,'Coil Sheet at Plant'!$C:$G,5,FALSE),"ID Not Found"))</f>
        <v/>
      </c>
      <c r="F272" s="50" t="str">
        <f>IF(B272="","",IFERROR(VLOOKUP(B272,'Coil Sheet at Plant'!$C:$H,6,FALSE),"ID Not Found"))</f>
        <v/>
      </c>
      <c r="G272" s="81">
        <v>419</v>
      </c>
      <c r="H272" s="89" t="str">
        <f>IF(OR(B272="",G272=""),"",IFERROR(VLOOKUP(B272,'Coil Sheet at Plant'!$C:$J,8,FALSE),0)*G272/SUMIF(B:B,B272,G:G))</f>
        <v/>
      </c>
      <c r="I272" s="56" t="str">
        <f>IF(B272="","",IFERROR(VLOOKUP(B272,'Coil Sheet at Plant'!$C:$L,9,FALSE),""))</f>
        <v/>
      </c>
      <c r="J272" s="85" t="str">
        <f>IF(B272="","",IFERROR(VLOOKUP(B272,'Coil Sheet at Plant'!$C:$M,10,FALSE),""))</f>
        <v/>
      </c>
      <c r="K272" s="69" t="str">
        <f>IF(B272="","",SUMIF(B:B,B272,G:G))</f>
        <v/>
      </c>
      <c r="L272" s="70" t="str">
        <f>IF(B272="","",IFERROR(VLOOKUP(B272,'Coil Sheet at Plant'!$C:$I,7,FALSE),""))</f>
        <v/>
      </c>
      <c r="M272" s="71" t="str">
        <f>IF(OR(K272="",L272=""),"",IF(L272=0,"⚠ NO PARENT WIDTH",IF(K272&gt;L272,"⚠ BABY &gt; PARENT","✔ OK")))</f>
        <v/>
      </c>
      <c r="N272" s="71" t="str">
        <f>IF(D272="","",IF(COUNTIF(D$3:D272,D272)&gt;1,"⚠ DUPLICATE",""))</f>
        <v/>
      </c>
      <c r="O272" s="72" t="str">
        <f>IF(B272="","",SUMIF(B:B,B272,G:G)&amp;" / "&amp;IFERROR(VLOOKUP(B272,'Coil Sheet at Plant'!$C:$I,7,FALSE),"?")&amp;" mm")</f>
        <v/>
      </c>
    </row>
    <row r="273" spans="1:15">
      <c r="A273" s="36"/>
      <c r="B273" s="32"/>
      <c r="C273" s="39"/>
      <c r="D273" s="44" t="str">
        <f>IF(OR(B273="",C273=""),"",CONCATENATE(B273,"-",C273))</f>
        <v/>
      </c>
      <c r="E273" s="49" t="str">
        <f>IF(B273="","",IFERROR(VLOOKUP(B273,'Coil Sheet at Plant'!$C:$G,5,FALSE),"ID Not Found"))</f>
        <v/>
      </c>
      <c r="F273" s="50" t="str">
        <f>IF(B273="","",IFERROR(VLOOKUP(B273,'Coil Sheet at Plant'!$C:$H,6,FALSE),"ID Not Found"))</f>
        <v/>
      </c>
      <c r="G273" s="81">
        <v>420</v>
      </c>
      <c r="H273" s="89" t="str">
        <f>IF(OR(B273="",G273=""),"",IFERROR(VLOOKUP(B273,'Coil Sheet at Plant'!$C:$J,8,FALSE),0)*G273/SUMIF(B:B,B273,G:G))</f>
        <v/>
      </c>
      <c r="I273" s="56" t="str">
        <f>IF(B273="","",IFERROR(VLOOKUP(B273,'Coil Sheet at Plant'!$C:$L,9,FALSE),""))</f>
        <v/>
      </c>
      <c r="J273" s="85" t="str">
        <f>IF(B273="","",IFERROR(VLOOKUP(B273,'Coil Sheet at Plant'!$C:$M,10,FALSE),""))</f>
        <v/>
      </c>
      <c r="K273" s="69" t="str">
        <f>IF(B273="","",SUMIF(B:B,B273,G:G))</f>
        <v/>
      </c>
      <c r="L273" s="70" t="str">
        <f>IF(B273="","",IFERROR(VLOOKUP(B273,'Coil Sheet at Plant'!$C:$I,7,FALSE),""))</f>
        <v/>
      </c>
      <c r="M273" s="71" t="str">
        <f>IF(OR(K273="",L273=""),"",IF(L273=0,"⚠ NO PARENT WIDTH",IF(K273&gt;L273,"⚠ BABY &gt; PARENT","✔ OK")))</f>
        <v/>
      </c>
      <c r="N273" s="71" t="str">
        <f>IF(D273="","",IF(COUNTIF(D$3:D273,D273)&gt;1,"⚠ DUPLICATE",""))</f>
        <v/>
      </c>
      <c r="O273" s="72" t="str">
        <f>IF(B273="","",SUMIF(B:B,B273,G:G)&amp;" / "&amp;IFERROR(VLOOKUP(B273,'Coil Sheet at Plant'!$C:$I,7,FALSE),"?")&amp;" mm")</f>
        <v/>
      </c>
    </row>
    <row r="274" spans="1:15">
      <c r="A274" s="36"/>
      <c r="B274" s="32"/>
      <c r="C274" s="39"/>
      <c r="D274" s="44" t="str">
        <f>IF(OR(B274="",C274=""),"",CONCATENATE(B274,"-",C274))</f>
        <v/>
      </c>
      <c r="E274" s="49" t="str">
        <f>IF(B274="","",IFERROR(VLOOKUP(B274,'Coil Sheet at Plant'!$C:$G,5,FALSE),"ID Not Found"))</f>
        <v/>
      </c>
      <c r="F274" s="50" t="str">
        <f>IF(B274="","",IFERROR(VLOOKUP(B274,'Coil Sheet at Plant'!$C:$H,6,FALSE),"ID Not Found"))</f>
        <v/>
      </c>
      <c r="G274" s="81">
        <v>421</v>
      </c>
      <c r="H274" s="89" t="str">
        <f>IF(OR(B274="",G274=""),"",IFERROR(VLOOKUP(B274,'Coil Sheet at Plant'!$C:$J,8,FALSE),0)*G274/SUMIF(B:B,B274,G:G))</f>
        <v/>
      </c>
      <c r="I274" s="56" t="str">
        <f>IF(B274="","",IFERROR(VLOOKUP(B274,'Coil Sheet at Plant'!$C:$L,9,FALSE),""))</f>
        <v/>
      </c>
      <c r="J274" s="85" t="str">
        <f>IF(B274="","",IFERROR(VLOOKUP(B274,'Coil Sheet at Plant'!$C:$M,10,FALSE),""))</f>
        <v/>
      </c>
      <c r="K274" s="69" t="str">
        <f>IF(B274="","",SUMIF(B:B,B274,G:G))</f>
        <v/>
      </c>
      <c r="L274" s="70" t="str">
        <f>IF(B274="","",IFERROR(VLOOKUP(B274,'Coil Sheet at Plant'!$C:$I,7,FALSE),""))</f>
        <v/>
      </c>
      <c r="M274" s="71" t="str">
        <f>IF(OR(K274="",L274=""),"",IF(L274=0,"⚠ NO PARENT WIDTH",IF(K274&gt;L274,"⚠ BABY &gt; PARENT","✔ OK")))</f>
        <v/>
      </c>
      <c r="N274" s="71" t="str">
        <f>IF(D274="","",IF(COUNTIF(D$3:D274,D274)&gt;1,"⚠ DUPLICATE",""))</f>
        <v/>
      </c>
      <c r="O274" s="72" t="str">
        <f>IF(B274="","",SUMIF(B:B,B274,G:G)&amp;" / "&amp;IFERROR(VLOOKUP(B274,'Coil Sheet at Plant'!$C:$I,7,FALSE),"?")&amp;" mm")</f>
        <v/>
      </c>
    </row>
    <row r="275" spans="1:15">
      <c r="A275" s="36"/>
      <c r="B275" s="32"/>
      <c r="C275" s="39"/>
      <c r="D275" s="44" t="str">
        <f>IF(OR(B275="",C275=""),"",CONCATENATE(B275,"-",C275))</f>
        <v/>
      </c>
      <c r="E275" s="49" t="str">
        <f>IF(B275="","",IFERROR(VLOOKUP(B275,'Coil Sheet at Plant'!$C:$G,5,FALSE),"ID Not Found"))</f>
        <v/>
      </c>
      <c r="F275" s="50" t="str">
        <f>IF(B275="","",IFERROR(VLOOKUP(B275,'Coil Sheet at Plant'!$C:$H,6,FALSE),"ID Not Found"))</f>
        <v/>
      </c>
      <c r="G275" s="81">
        <v>422</v>
      </c>
      <c r="H275" s="89" t="str">
        <f>IF(OR(B275="",G275=""),"",IFERROR(VLOOKUP(B275,'Coil Sheet at Plant'!$C:$J,8,FALSE),0)*G275/SUMIF(B:B,B275,G:G))</f>
        <v/>
      </c>
      <c r="I275" s="56" t="str">
        <f>IF(B275="","",IFERROR(VLOOKUP(B275,'Coil Sheet at Plant'!$C:$L,9,FALSE),""))</f>
        <v/>
      </c>
      <c r="J275" s="85" t="str">
        <f>IF(B275="","",IFERROR(VLOOKUP(B275,'Coil Sheet at Plant'!$C:$M,10,FALSE),""))</f>
        <v/>
      </c>
      <c r="K275" s="69" t="str">
        <f>IF(B275="","",SUMIF(B:B,B275,G:G))</f>
        <v/>
      </c>
      <c r="L275" s="70" t="str">
        <f>IF(B275="","",IFERROR(VLOOKUP(B275,'Coil Sheet at Plant'!$C:$I,7,FALSE),""))</f>
        <v/>
      </c>
      <c r="M275" s="71" t="str">
        <f>IF(OR(K275="",L275=""),"",IF(L275=0,"⚠ NO PARENT WIDTH",IF(K275&gt;L275,"⚠ BABY &gt; PARENT","✔ OK")))</f>
        <v/>
      </c>
      <c r="N275" s="71" t="str">
        <f>IF(D275="","",IF(COUNTIF(D$3:D275,D275)&gt;1,"⚠ DUPLICATE",""))</f>
        <v/>
      </c>
      <c r="O275" s="72" t="str">
        <f>IF(B275="","",SUMIF(B:B,B275,G:G)&amp;" / "&amp;IFERROR(VLOOKUP(B275,'Coil Sheet at Plant'!$C:$I,7,FALSE),"?")&amp;" mm")</f>
        <v/>
      </c>
    </row>
    <row r="276" spans="1:15">
      <c r="A276" s="36"/>
      <c r="B276" s="32"/>
      <c r="C276" s="39"/>
      <c r="D276" s="44" t="str">
        <f>IF(OR(B276="",C276=""),"",CONCATENATE(B276,"-",C276))</f>
        <v/>
      </c>
      <c r="E276" s="49" t="str">
        <f>IF(B276="","",IFERROR(VLOOKUP(B276,'Coil Sheet at Plant'!$C:$G,5,FALSE),"ID Not Found"))</f>
        <v/>
      </c>
      <c r="F276" s="50" t="str">
        <f>IF(B276="","",IFERROR(VLOOKUP(B276,'Coil Sheet at Plant'!$C:$H,6,FALSE),"ID Not Found"))</f>
        <v/>
      </c>
      <c r="G276" s="81">
        <v>423</v>
      </c>
      <c r="H276" s="89" t="str">
        <f>IF(OR(B276="",G276=""),"",IFERROR(VLOOKUP(B276,'Coil Sheet at Plant'!$C:$J,8,FALSE),0)*G276/SUMIF(B:B,B276,G:G))</f>
        <v/>
      </c>
      <c r="I276" s="56" t="str">
        <f>IF(B276="","",IFERROR(VLOOKUP(B276,'Coil Sheet at Plant'!$C:$L,9,FALSE),""))</f>
        <v/>
      </c>
      <c r="J276" s="85" t="str">
        <f>IF(B276="","",IFERROR(VLOOKUP(B276,'Coil Sheet at Plant'!$C:$M,10,FALSE),""))</f>
        <v/>
      </c>
      <c r="K276" s="69" t="str">
        <f>IF(B276="","",SUMIF(B:B,B276,G:G))</f>
        <v/>
      </c>
      <c r="L276" s="70" t="str">
        <f>IF(B276="","",IFERROR(VLOOKUP(B276,'Coil Sheet at Plant'!$C:$I,7,FALSE),""))</f>
        <v/>
      </c>
      <c r="M276" s="71" t="str">
        <f>IF(OR(K276="",L276=""),"",IF(L276=0,"⚠ NO PARENT WIDTH",IF(K276&gt;L276,"⚠ BABY &gt; PARENT","✔ OK")))</f>
        <v/>
      </c>
      <c r="N276" s="71" t="str">
        <f>IF(D276="","",IF(COUNTIF(D$3:D276,D276)&gt;1,"⚠ DUPLICATE",""))</f>
        <v/>
      </c>
      <c r="O276" s="72" t="str">
        <f>IF(B276="","",SUMIF(B:B,B276,G:G)&amp;" / "&amp;IFERROR(VLOOKUP(B276,'Coil Sheet at Plant'!$C:$I,7,FALSE),"?")&amp;" mm")</f>
        <v/>
      </c>
    </row>
    <row r="277" spans="1:15">
      <c r="A277" s="36"/>
      <c r="B277" s="32"/>
      <c r="C277" s="39"/>
      <c r="D277" s="44" t="str">
        <f>IF(OR(B277="",C277=""),"",CONCATENATE(B277,"-",C277))</f>
        <v/>
      </c>
      <c r="E277" s="49" t="str">
        <f>IF(B277="","",IFERROR(VLOOKUP(B277,'Coil Sheet at Plant'!$C:$G,5,FALSE),"ID Not Found"))</f>
        <v/>
      </c>
      <c r="F277" s="50" t="str">
        <f>IF(B277="","",IFERROR(VLOOKUP(B277,'Coil Sheet at Plant'!$C:$H,6,FALSE),"ID Not Found"))</f>
        <v/>
      </c>
      <c r="G277" s="81">
        <v>424</v>
      </c>
      <c r="H277" s="89" t="str">
        <f>IF(OR(B277="",G277=""),"",IFERROR(VLOOKUP(B277,'Coil Sheet at Plant'!$C:$J,8,FALSE),0)*G277/SUMIF(B:B,B277,G:G))</f>
        <v/>
      </c>
      <c r="I277" s="56" t="str">
        <f>IF(B277="","",IFERROR(VLOOKUP(B277,'Coil Sheet at Plant'!$C:$L,9,FALSE),""))</f>
        <v/>
      </c>
      <c r="J277" s="85" t="str">
        <f>IF(B277="","",IFERROR(VLOOKUP(B277,'Coil Sheet at Plant'!$C:$M,10,FALSE),""))</f>
        <v/>
      </c>
      <c r="K277" s="69" t="str">
        <f>IF(B277="","",SUMIF(B:B,B277,G:G))</f>
        <v/>
      </c>
      <c r="L277" s="70" t="str">
        <f>IF(B277="","",IFERROR(VLOOKUP(B277,'Coil Sheet at Plant'!$C:$I,7,FALSE),""))</f>
        <v/>
      </c>
      <c r="M277" s="71" t="str">
        <f>IF(OR(K277="",L277=""),"",IF(L277=0,"⚠ NO PARENT WIDTH",IF(K277&gt;L277,"⚠ BABY &gt; PARENT","✔ OK")))</f>
        <v/>
      </c>
      <c r="N277" s="71" t="str">
        <f>IF(D277="","",IF(COUNTIF(D$3:D277,D277)&gt;1,"⚠ DUPLICATE",""))</f>
        <v/>
      </c>
      <c r="O277" s="72" t="str">
        <f>IF(B277="","",SUMIF(B:B,B277,G:G)&amp;" / "&amp;IFERROR(VLOOKUP(B277,'Coil Sheet at Plant'!$C:$I,7,FALSE),"?")&amp;" mm")</f>
        <v/>
      </c>
    </row>
    <row r="278" spans="1:15">
      <c r="A278" s="36"/>
      <c r="B278" s="32"/>
      <c r="C278" s="39"/>
      <c r="D278" s="44" t="str">
        <f>IF(OR(B278="",C278=""),"",CONCATENATE(B278,"-",C278))</f>
        <v/>
      </c>
      <c r="E278" s="49" t="str">
        <f>IF(B278="","",IFERROR(VLOOKUP(B278,'Coil Sheet at Plant'!$C:$G,5,FALSE),"ID Not Found"))</f>
        <v/>
      </c>
      <c r="F278" s="50" t="str">
        <f>IF(B278="","",IFERROR(VLOOKUP(B278,'Coil Sheet at Plant'!$C:$H,6,FALSE),"ID Not Found"))</f>
        <v/>
      </c>
      <c r="G278" s="81">
        <v>425</v>
      </c>
      <c r="H278" s="89" t="str">
        <f>IF(OR(B278="",G278=""),"",IFERROR(VLOOKUP(B278,'Coil Sheet at Plant'!$C:$J,8,FALSE),0)*G278/SUMIF(B:B,B278,G:G))</f>
        <v/>
      </c>
      <c r="I278" s="56" t="str">
        <f>IF(B278="","",IFERROR(VLOOKUP(B278,'Coil Sheet at Plant'!$C:$L,9,FALSE),""))</f>
        <v/>
      </c>
      <c r="J278" s="85" t="str">
        <f>IF(B278="","",IFERROR(VLOOKUP(B278,'Coil Sheet at Plant'!$C:$M,10,FALSE),""))</f>
        <v/>
      </c>
      <c r="K278" s="69" t="str">
        <f>IF(B278="","",SUMIF(B:B,B278,G:G))</f>
        <v/>
      </c>
      <c r="L278" s="70" t="str">
        <f>IF(B278="","",IFERROR(VLOOKUP(B278,'Coil Sheet at Plant'!$C:$I,7,FALSE),""))</f>
        <v/>
      </c>
      <c r="M278" s="71" t="str">
        <f>IF(OR(K278="",L278=""),"",IF(L278=0,"⚠ NO PARENT WIDTH",IF(K278&gt;L278,"⚠ BABY &gt; PARENT","✔ OK")))</f>
        <v/>
      </c>
      <c r="N278" s="71" t="str">
        <f>IF(D278="","",IF(COUNTIF(D$3:D278,D278)&gt;1,"⚠ DUPLICATE",""))</f>
        <v/>
      </c>
      <c r="O278" s="72" t="str">
        <f>IF(B278="","",SUMIF(B:B,B278,G:G)&amp;" / "&amp;IFERROR(VLOOKUP(B278,'Coil Sheet at Plant'!$C:$I,7,FALSE),"?")&amp;" mm")</f>
        <v/>
      </c>
    </row>
    <row r="279" spans="1:15">
      <c r="A279" s="36"/>
      <c r="B279" s="32"/>
      <c r="C279" s="39"/>
      <c r="D279" s="44" t="str">
        <f>IF(OR(B279="",C279=""),"",CONCATENATE(B279,"-",C279))</f>
        <v/>
      </c>
      <c r="E279" s="49" t="str">
        <f>IF(B279="","",IFERROR(VLOOKUP(B279,'Coil Sheet at Plant'!$C:$G,5,FALSE),"ID Not Found"))</f>
        <v/>
      </c>
      <c r="F279" s="50" t="str">
        <f>IF(B279="","",IFERROR(VLOOKUP(B279,'Coil Sheet at Plant'!$C:$H,6,FALSE),"ID Not Found"))</f>
        <v/>
      </c>
      <c r="G279" s="81">
        <v>426</v>
      </c>
      <c r="H279" s="89" t="str">
        <f>IF(OR(B279="",G279=""),"",IFERROR(VLOOKUP(B279,'Coil Sheet at Plant'!$C:$J,8,FALSE),0)*G279/SUMIF(B:B,B279,G:G))</f>
        <v/>
      </c>
      <c r="I279" s="56" t="str">
        <f>IF(B279="","",IFERROR(VLOOKUP(B279,'Coil Sheet at Plant'!$C:$L,9,FALSE),""))</f>
        <v/>
      </c>
      <c r="J279" s="85" t="str">
        <f>IF(B279="","",IFERROR(VLOOKUP(B279,'Coil Sheet at Plant'!$C:$M,10,FALSE),""))</f>
        <v/>
      </c>
      <c r="K279" s="69" t="str">
        <f>IF(B279="","",SUMIF(B:B,B279,G:G))</f>
        <v/>
      </c>
      <c r="L279" s="70" t="str">
        <f>IF(B279="","",IFERROR(VLOOKUP(B279,'Coil Sheet at Plant'!$C:$I,7,FALSE),""))</f>
        <v/>
      </c>
      <c r="M279" s="71" t="str">
        <f>IF(OR(K279="",L279=""),"",IF(L279=0,"⚠ NO PARENT WIDTH",IF(K279&gt;L279,"⚠ BABY &gt; PARENT","✔ OK")))</f>
        <v/>
      </c>
      <c r="N279" s="71" t="str">
        <f>IF(D279="","",IF(COUNTIF(D$3:D279,D279)&gt;1,"⚠ DUPLICATE",""))</f>
        <v/>
      </c>
      <c r="O279" s="72" t="str">
        <f>IF(B279="","",SUMIF(B:B,B279,G:G)&amp;" / "&amp;IFERROR(VLOOKUP(B279,'Coil Sheet at Plant'!$C:$I,7,FALSE),"?")&amp;" mm")</f>
        <v/>
      </c>
    </row>
    <row r="280" spans="1:15">
      <c r="A280" s="36"/>
      <c r="B280" s="32"/>
      <c r="C280" s="39"/>
      <c r="D280" s="44" t="str">
        <f>IF(OR(B280="",C280=""),"",CONCATENATE(B280,"-",C280))</f>
        <v/>
      </c>
      <c r="E280" s="49" t="str">
        <f>IF(B280="","",IFERROR(VLOOKUP(B280,'Coil Sheet at Plant'!$C:$G,5,FALSE),"ID Not Found"))</f>
        <v/>
      </c>
      <c r="F280" s="50" t="str">
        <f>IF(B280="","",IFERROR(VLOOKUP(B280,'Coil Sheet at Plant'!$C:$H,6,FALSE),"ID Not Found"))</f>
        <v/>
      </c>
      <c r="G280" s="81">
        <v>427</v>
      </c>
      <c r="H280" s="89" t="str">
        <f>IF(OR(B280="",G280=""),"",IFERROR(VLOOKUP(B280,'Coil Sheet at Plant'!$C:$J,8,FALSE),0)*G280/SUMIF(B:B,B280,G:G))</f>
        <v/>
      </c>
      <c r="I280" s="56" t="str">
        <f>IF(B280="","",IFERROR(VLOOKUP(B280,'Coil Sheet at Plant'!$C:$L,9,FALSE),""))</f>
        <v/>
      </c>
      <c r="J280" s="85" t="str">
        <f>IF(B280="","",IFERROR(VLOOKUP(B280,'Coil Sheet at Plant'!$C:$M,10,FALSE),""))</f>
        <v/>
      </c>
      <c r="K280" s="69" t="str">
        <f>IF(B280="","",SUMIF(B:B,B280,G:G))</f>
        <v/>
      </c>
      <c r="L280" s="70" t="str">
        <f>IF(B280="","",IFERROR(VLOOKUP(B280,'Coil Sheet at Plant'!$C:$I,7,FALSE),""))</f>
        <v/>
      </c>
      <c r="M280" s="71" t="str">
        <f>IF(OR(K280="",L280=""),"",IF(L280=0,"⚠ NO PARENT WIDTH",IF(K280&gt;L280,"⚠ BABY &gt; PARENT","✔ OK")))</f>
        <v/>
      </c>
      <c r="N280" s="71" t="str">
        <f>IF(D280="","",IF(COUNTIF(D$3:D280,D280)&gt;1,"⚠ DUPLICATE",""))</f>
        <v/>
      </c>
      <c r="O280" s="72" t="str">
        <f>IF(B280="","",SUMIF(B:B,B280,G:G)&amp;" / "&amp;IFERROR(VLOOKUP(B280,'Coil Sheet at Plant'!$C:$I,7,FALSE),"?")&amp;" mm")</f>
        <v/>
      </c>
    </row>
    <row r="281" spans="1:15">
      <c r="A281" s="36"/>
      <c r="B281" s="32"/>
      <c r="C281" s="39"/>
      <c r="D281" s="44" t="str">
        <f>IF(OR(B281="",C281=""),"",CONCATENATE(B281,"-",C281))</f>
        <v/>
      </c>
      <c r="E281" s="49" t="str">
        <f>IF(B281="","",IFERROR(VLOOKUP(B281,'Coil Sheet at Plant'!$C:$G,5,FALSE),"ID Not Found"))</f>
        <v/>
      </c>
      <c r="F281" s="50" t="str">
        <f>IF(B281="","",IFERROR(VLOOKUP(B281,'Coil Sheet at Plant'!$C:$H,6,FALSE),"ID Not Found"))</f>
        <v/>
      </c>
      <c r="G281" s="81">
        <v>428</v>
      </c>
      <c r="H281" s="89" t="str">
        <f>IF(OR(B281="",G281=""),"",IFERROR(VLOOKUP(B281,'Coil Sheet at Plant'!$C:$J,8,FALSE),0)*G281/SUMIF(B:B,B281,G:G))</f>
        <v/>
      </c>
      <c r="I281" s="56" t="str">
        <f>IF(B281="","",IFERROR(VLOOKUP(B281,'Coil Sheet at Plant'!$C:$L,9,FALSE),""))</f>
        <v/>
      </c>
      <c r="J281" s="85" t="str">
        <f>IF(B281="","",IFERROR(VLOOKUP(B281,'Coil Sheet at Plant'!$C:$M,10,FALSE),""))</f>
        <v/>
      </c>
      <c r="K281" s="69" t="str">
        <f>IF(B281="","",SUMIF(B:B,B281,G:G))</f>
        <v/>
      </c>
      <c r="L281" s="70" t="str">
        <f>IF(B281="","",IFERROR(VLOOKUP(B281,'Coil Sheet at Plant'!$C:$I,7,FALSE),""))</f>
        <v/>
      </c>
      <c r="M281" s="71" t="str">
        <f>IF(OR(K281="",L281=""),"",IF(L281=0,"⚠ NO PARENT WIDTH",IF(K281&gt;L281,"⚠ BABY &gt; PARENT","✔ OK")))</f>
        <v/>
      </c>
      <c r="N281" s="71" t="str">
        <f>IF(D281="","",IF(COUNTIF(D$3:D281,D281)&gt;1,"⚠ DUPLICATE",""))</f>
        <v/>
      </c>
      <c r="O281" s="72" t="str">
        <f>IF(B281="","",SUMIF(B:B,B281,G:G)&amp;" / "&amp;IFERROR(VLOOKUP(B281,'Coil Sheet at Plant'!$C:$I,7,FALSE),"?")&amp;" mm")</f>
        <v/>
      </c>
    </row>
    <row r="282" spans="1:15">
      <c r="A282" s="36"/>
      <c r="B282" s="32"/>
      <c r="C282" s="39"/>
      <c r="D282" s="44" t="str">
        <f>IF(OR(B282="",C282=""),"",CONCATENATE(B282,"-",C282))</f>
        <v/>
      </c>
      <c r="E282" s="49" t="str">
        <f>IF(B282="","",IFERROR(VLOOKUP(B282,'Coil Sheet at Plant'!$C:$G,5,FALSE),"ID Not Found"))</f>
        <v/>
      </c>
      <c r="F282" s="50" t="str">
        <f>IF(B282="","",IFERROR(VLOOKUP(B282,'Coil Sheet at Plant'!$C:$H,6,FALSE),"ID Not Found"))</f>
        <v/>
      </c>
      <c r="G282" s="81">
        <v>429</v>
      </c>
      <c r="H282" s="89" t="str">
        <f>IF(OR(B282="",G282=""),"",IFERROR(VLOOKUP(B282,'Coil Sheet at Plant'!$C:$J,8,FALSE),0)*G282/SUMIF(B:B,B282,G:G))</f>
        <v/>
      </c>
      <c r="I282" s="56" t="str">
        <f>IF(B282="","",IFERROR(VLOOKUP(B282,'Coil Sheet at Plant'!$C:$L,9,FALSE),""))</f>
        <v/>
      </c>
      <c r="J282" s="85" t="str">
        <f>IF(B282="","",IFERROR(VLOOKUP(B282,'Coil Sheet at Plant'!$C:$M,10,FALSE),""))</f>
        <v/>
      </c>
      <c r="K282" s="69" t="str">
        <f>IF(B282="","",SUMIF(B:B,B282,G:G))</f>
        <v/>
      </c>
      <c r="L282" s="70" t="str">
        <f>IF(B282="","",IFERROR(VLOOKUP(B282,'Coil Sheet at Plant'!$C:$I,7,FALSE),""))</f>
        <v/>
      </c>
      <c r="M282" s="71" t="str">
        <f>IF(OR(K282="",L282=""),"",IF(L282=0,"⚠ NO PARENT WIDTH",IF(K282&gt;L282,"⚠ BABY &gt; PARENT","✔ OK")))</f>
        <v/>
      </c>
      <c r="N282" s="71" t="str">
        <f>IF(D282="","",IF(COUNTIF(D$3:D282,D282)&gt;1,"⚠ DUPLICATE",""))</f>
        <v/>
      </c>
      <c r="O282" s="72" t="str">
        <f>IF(B282="","",SUMIF(B:B,B282,G:G)&amp;" / "&amp;IFERROR(VLOOKUP(B282,'Coil Sheet at Plant'!$C:$I,7,FALSE),"?")&amp;" mm")</f>
        <v/>
      </c>
    </row>
    <row r="283" spans="1:15">
      <c r="A283" s="36"/>
      <c r="B283" s="32"/>
      <c r="C283" s="39"/>
      <c r="D283" s="44" t="str">
        <f>IF(OR(B283="",C283=""),"",CONCATENATE(B283,"-",C283))</f>
        <v/>
      </c>
      <c r="E283" s="49" t="str">
        <f>IF(B283="","",IFERROR(VLOOKUP(B283,'Coil Sheet at Plant'!$C:$G,5,FALSE),"ID Not Found"))</f>
        <v/>
      </c>
      <c r="F283" s="50" t="str">
        <f>IF(B283="","",IFERROR(VLOOKUP(B283,'Coil Sheet at Plant'!$C:$H,6,FALSE),"ID Not Found"))</f>
        <v/>
      </c>
      <c r="G283" s="81">
        <v>430</v>
      </c>
      <c r="H283" s="89" t="str">
        <f>IF(OR(B283="",G283=""),"",IFERROR(VLOOKUP(B283,'Coil Sheet at Plant'!$C:$J,8,FALSE),0)*G283/SUMIF(B:B,B283,G:G))</f>
        <v/>
      </c>
      <c r="I283" s="56" t="str">
        <f>IF(B283="","",IFERROR(VLOOKUP(B283,'Coil Sheet at Plant'!$C:$L,9,FALSE),""))</f>
        <v/>
      </c>
      <c r="J283" s="85" t="str">
        <f>IF(B283="","",IFERROR(VLOOKUP(B283,'Coil Sheet at Plant'!$C:$M,10,FALSE),""))</f>
        <v/>
      </c>
      <c r="K283" s="69" t="str">
        <f>IF(B283="","",SUMIF(B:B,B283,G:G))</f>
        <v/>
      </c>
      <c r="L283" s="70" t="str">
        <f>IF(B283="","",IFERROR(VLOOKUP(B283,'Coil Sheet at Plant'!$C:$I,7,FALSE),""))</f>
        <v/>
      </c>
      <c r="M283" s="71" t="str">
        <f>IF(OR(K283="",L283=""),"",IF(L283=0,"⚠ NO PARENT WIDTH",IF(K283&gt;L283,"⚠ BABY &gt; PARENT","✔ OK")))</f>
        <v/>
      </c>
      <c r="N283" s="71" t="str">
        <f>IF(D283="","",IF(COUNTIF(D$3:D283,D283)&gt;1,"⚠ DUPLICATE",""))</f>
        <v/>
      </c>
      <c r="O283" s="72" t="str">
        <f>IF(B283="","",SUMIF(B:B,B283,G:G)&amp;" / "&amp;IFERROR(VLOOKUP(B283,'Coil Sheet at Plant'!$C:$I,7,FALSE),"?")&amp;" mm")</f>
        <v/>
      </c>
    </row>
    <row r="284" spans="1:15">
      <c r="A284" s="36"/>
      <c r="B284" s="32"/>
      <c r="C284" s="39"/>
      <c r="D284" s="44" t="str">
        <f>IF(OR(B284="",C284=""),"",CONCATENATE(B284,"-",C284))</f>
        <v/>
      </c>
      <c r="E284" s="49" t="str">
        <f>IF(B284="","",IFERROR(VLOOKUP(B284,'Coil Sheet at Plant'!$C:$G,5,FALSE),"ID Not Found"))</f>
        <v/>
      </c>
      <c r="F284" s="50" t="str">
        <f>IF(B284="","",IFERROR(VLOOKUP(B284,'Coil Sheet at Plant'!$C:$H,6,FALSE),"ID Not Found"))</f>
        <v/>
      </c>
      <c r="G284" s="81">
        <v>431</v>
      </c>
      <c r="H284" s="89" t="str">
        <f>IF(OR(B284="",G284=""),"",IFERROR(VLOOKUP(B284,'Coil Sheet at Plant'!$C:$J,8,FALSE),0)*G284/SUMIF(B:B,B284,G:G))</f>
        <v/>
      </c>
      <c r="I284" s="56" t="str">
        <f>IF(B284="","",IFERROR(VLOOKUP(B284,'Coil Sheet at Plant'!$C:$L,9,FALSE),""))</f>
        <v/>
      </c>
      <c r="J284" s="85" t="str">
        <f>IF(B284="","",IFERROR(VLOOKUP(B284,'Coil Sheet at Plant'!$C:$M,10,FALSE),""))</f>
        <v/>
      </c>
      <c r="K284" s="69" t="str">
        <f>IF(B284="","",SUMIF(B:B,B284,G:G))</f>
        <v/>
      </c>
      <c r="L284" s="70" t="str">
        <f>IF(B284="","",IFERROR(VLOOKUP(B284,'Coil Sheet at Plant'!$C:$I,7,FALSE),""))</f>
        <v/>
      </c>
      <c r="M284" s="71" t="str">
        <f>IF(OR(K284="",L284=""),"",IF(L284=0,"⚠ NO PARENT WIDTH",IF(K284&gt;L284,"⚠ BABY &gt; PARENT","✔ OK")))</f>
        <v/>
      </c>
      <c r="N284" s="71" t="str">
        <f>IF(D284="","",IF(COUNTIF(D$3:D284,D284)&gt;1,"⚠ DUPLICATE",""))</f>
        <v/>
      </c>
      <c r="O284" s="72" t="str">
        <f>IF(B284="","",SUMIF(B:B,B284,G:G)&amp;" / "&amp;IFERROR(VLOOKUP(B284,'Coil Sheet at Plant'!$C:$I,7,FALSE),"?")&amp;" mm")</f>
        <v/>
      </c>
    </row>
    <row r="285" spans="1:15">
      <c r="A285" s="36"/>
      <c r="B285" s="32"/>
      <c r="C285" s="39"/>
      <c r="D285" s="44" t="str">
        <f>IF(OR(B285="",C285=""),"",CONCATENATE(B285,"-",C285))</f>
        <v/>
      </c>
      <c r="E285" s="49" t="str">
        <f>IF(B285="","",IFERROR(VLOOKUP(B285,'Coil Sheet at Plant'!$C:$G,5,FALSE),"ID Not Found"))</f>
        <v/>
      </c>
      <c r="F285" s="50" t="str">
        <f>IF(B285="","",IFERROR(VLOOKUP(B285,'Coil Sheet at Plant'!$C:$H,6,FALSE),"ID Not Found"))</f>
        <v/>
      </c>
      <c r="G285" s="81">
        <v>432</v>
      </c>
      <c r="H285" s="89" t="str">
        <f>IF(OR(B285="",G285=""),"",IFERROR(VLOOKUP(B285,'Coil Sheet at Plant'!$C:$J,8,FALSE),0)*G285/SUMIF(B:B,B285,G:G))</f>
        <v/>
      </c>
      <c r="I285" s="56" t="str">
        <f>IF(B285="","",IFERROR(VLOOKUP(B285,'Coil Sheet at Plant'!$C:$L,9,FALSE),""))</f>
        <v/>
      </c>
      <c r="J285" s="85" t="str">
        <f>IF(B285="","",IFERROR(VLOOKUP(B285,'Coil Sheet at Plant'!$C:$M,10,FALSE),""))</f>
        <v/>
      </c>
      <c r="K285" s="69" t="str">
        <f>IF(B285="","",SUMIF(B:B,B285,G:G))</f>
        <v/>
      </c>
      <c r="L285" s="70" t="str">
        <f>IF(B285="","",IFERROR(VLOOKUP(B285,'Coil Sheet at Plant'!$C:$I,7,FALSE),""))</f>
        <v/>
      </c>
      <c r="M285" s="71" t="str">
        <f>IF(OR(K285="",L285=""),"",IF(L285=0,"⚠ NO PARENT WIDTH",IF(K285&gt;L285,"⚠ BABY &gt; PARENT","✔ OK")))</f>
        <v/>
      </c>
      <c r="N285" s="71" t="str">
        <f>IF(D285="","",IF(COUNTIF(D$3:D285,D285)&gt;1,"⚠ DUPLICATE",""))</f>
        <v/>
      </c>
      <c r="O285" s="72" t="str">
        <f>IF(B285="","",SUMIF(B:B,B285,G:G)&amp;" / "&amp;IFERROR(VLOOKUP(B285,'Coil Sheet at Plant'!$C:$I,7,FALSE),"?")&amp;" mm")</f>
        <v/>
      </c>
    </row>
    <row r="286" spans="1:15">
      <c r="A286" s="36"/>
      <c r="B286" s="32"/>
      <c r="C286" s="39"/>
      <c r="D286" s="44" t="str">
        <f>IF(OR(B286="",C286=""),"",CONCATENATE(B286,"-",C286))</f>
        <v/>
      </c>
      <c r="E286" s="49" t="str">
        <f>IF(B286="","",IFERROR(VLOOKUP(B286,'Coil Sheet at Plant'!$C:$G,5,FALSE),"ID Not Found"))</f>
        <v/>
      </c>
      <c r="F286" s="50" t="str">
        <f>IF(B286="","",IFERROR(VLOOKUP(B286,'Coil Sheet at Plant'!$C:$H,6,FALSE),"ID Not Found"))</f>
        <v/>
      </c>
      <c r="G286" s="81">
        <v>433</v>
      </c>
      <c r="H286" s="89" t="str">
        <f>IF(OR(B286="",G286=""),"",IFERROR(VLOOKUP(B286,'Coil Sheet at Plant'!$C:$J,8,FALSE),0)*G286/SUMIF(B:B,B286,G:G))</f>
        <v/>
      </c>
      <c r="I286" s="56" t="str">
        <f>IF(B286="","",IFERROR(VLOOKUP(B286,'Coil Sheet at Plant'!$C:$L,9,FALSE),""))</f>
        <v/>
      </c>
      <c r="J286" s="85" t="str">
        <f>IF(B286="","",IFERROR(VLOOKUP(B286,'Coil Sheet at Plant'!$C:$M,10,FALSE),""))</f>
        <v/>
      </c>
      <c r="K286" s="69" t="str">
        <f>IF(B286="","",SUMIF(B:B,B286,G:G))</f>
        <v/>
      </c>
      <c r="L286" s="70" t="str">
        <f>IF(B286="","",IFERROR(VLOOKUP(B286,'Coil Sheet at Plant'!$C:$I,7,FALSE),""))</f>
        <v/>
      </c>
      <c r="M286" s="71" t="str">
        <f>IF(OR(K286="",L286=""),"",IF(L286=0,"⚠ NO PARENT WIDTH",IF(K286&gt;L286,"⚠ BABY &gt; PARENT","✔ OK")))</f>
        <v/>
      </c>
      <c r="N286" s="71" t="str">
        <f>IF(D286="","",IF(COUNTIF(D$3:D286,D286)&gt;1,"⚠ DUPLICATE",""))</f>
        <v/>
      </c>
      <c r="O286" s="72" t="str">
        <f>IF(B286="","",SUMIF(B:B,B286,G:G)&amp;" / "&amp;IFERROR(VLOOKUP(B286,'Coil Sheet at Plant'!$C:$I,7,FALSE),"?")&amp;" mm")</f>
        <v/>
      </c>
    </row>
    <row r="287" spans="1:15">
      <c r="A287" s="36"/>
      <c r="B287" s="32"/>
      <c r="C287" s="39"/>
      <c r="D287" s="44" t="str">
        <f>IF(OR(B287="",C287=""),"",CONCATENATE(B287,"-",C287))</f>
        <v/>
      </c>
      <c r="E287" s="49" t="str">
        <f>IF(B287="","",IFERROR(VLOOKUP(B287,'Coil Sheet at Plant'!$C:$G,5,FALSE),"ID Not Found"))</f>
        <v/>
      </c>
      <c r="F287" s="50" t="str">
        <f>IF(B287="","",IFERROR(VLOOKUP(B287,'Coil Sheet at Plant'!$C:$H,6,FALSE),"ID Not Found"))</f>
        <v/>
      </c>
      <c r="G287" s="81">
        <v>434</v>
      </c>
      <c r="H287" s="89" t="str">
        <f>IF(OR(B287="",G287=""),"",IFERROR(VLOOKUP(B287,'Coil Sheet at Plant'!$C:$J,8,FALSE),0)*G287/SUMIF(B:B,B287,G:G))</f>
        <v/>
      </c>
      <c r="I287" s="56" t="str">
        <f>IF(B287="","",IFERROR(VLOOKUP(B287,'Coil Sheet at Plant'!$C:$L,9,FALSE),""))</f>
        <v/>
      </c>
      <c r="J287" s="85" t="str">
        <f>IF(B287="","",IFERROR(VLOOKUP(B287,'Coil Sheet at Plant'!$C:$M,10,FALSE),""))</f>
        <v/>
      </c>
      <c r="K287" s="69" t="str">
        <f>IF(B287="","",SUMIF(B:B,B287,G:G))</f>
        <v/>
      </c>
      <c r="L287" s="70" t="str">
        <f>IF(B287="","",IFERROR(VLOOKUP(B287,'Coil Sheet at Plant'!$C:$I,7,FALSE),""))</f>
        <v/>
      </c>
      <c r="M287" s="71" t="str">
        <f>IF(OR(K287="",L287=""),"",IF(L287=0,"⚠ NO PARENT WIDTH",IF(K287&gt;L287,"⚠ BABY &gt; PARENT","✔ OK")))</f>
        <v/>
      </c>
      <c r="N287" s="71" t="str">
        <f>IF(D287="","",IF(COUNTIF(D$3:D287,D287)&gt;1,"⚠ DUPLICATE",""))</f>
        <v/>
      </c>
      <c r="O287" s="72" t="str">
        <f>IF(B287="","",SUMIF(B:B,B287,G:G)&amp;" / "&amp;IFERROR(VLOOKUP(B287,'Coil Sheet at Plant'!$C:$I,7,FALSE),"?")&amp;" mm")</f>
        <v/>
      </c>
    </row>
    <row r="288" spans="1:15">
      <c r="A288" s="36"/>
      <c r="B288" s="32"/>
      <c r="C288" s="39"/>
      <c r="D288" s="44" t="str">
        <f>IF(OR(B288="",C288=""),"",CONCATENATE(B288,"-",C288))</f>
        <v/>
      </c>
      <c r="E288" s="49" t="str">
        <f>IF(B288="","",IFERROR(VLOOKUP(B288,'Coil Sheet at Plant'!$C:$G,5,FALSE),"ID Not Found"))</f>
        <v/>
      </c>
      <c r="F288" s="50" t="str">
        <f>IF(B288="","",IFERROR(VLOOKUP(B288,'Coil Sheet at Plant'!$C:$H,6,FALSE),"ID Not Found"))</f>
        <v/>
      </c>
      <c r="G288" s="81">
        <v>435</v>
      </c>
      <c r="H288" s="89" t="str">
        <f>IF(OR(B288="",G288=""),"",IFERROR(VLOOKUP(B288,'Coil Sheet at Plant'!$C:$J,8,FALSE),0)*G288/SUMIF(B:B,B288,G:G))</f>
        <v/>
      </c>
      <c r="I288" s="56" t="str">
        <f>IF(B288="","",IFERROR(VLOOKUP(B288,'Coil Sheet at Plant'!$C:$L,9,FALSE),""))</f>
        <v/>
      </c>
      <c r="J288" s="85" t="str">
        <f>IF(B288="","",IFERROR(VLOOKUP(B288,'Coil Sheet at Plant'!$C:$M,10,FALSE),""))</f>
        <v/>
      </c>
      <c r="K288" s="69" t="str">
        <f>IF(B288="","",SUMIF(B:B,B288,G:G))</f>
        <v/>
      </c>
      <c r="L288" s="70" t="str">
        <f>IF(B288="","",IFERROR(VLOOKUP(B288,'Coil Sheet at Plant'!$C:$I,7,FALSE),""))</f>
        <v/>
      </c>
      <c r="M288" s="71" t="str">
        <f>IF(OR(K288="",L288=""),"",IF(L288=0,"⚠ NO PARENT WIDTH",IF(K288&gt;L288,"⚠ BABY &gt; PARENT","✔ OK")))</f>
        <v/>
      </c>
      <c r="N288" s="71" t="str">
        <f>IF(D288="","",IF(COUNTIF(D$3:D288,D288)&gt;1,"⚠ DUPLICATE",""))</f>
        <v/>
      </c>
      <c r="O288" s="72" t="str">
        <f>IF(B288="","",SUMIF(B:B,B288,G:G)&amp;" / "&amp;IFERROR(VLOOKUP(B288,'Coil Sheet at Plant'!$C:$I,7,FALSE),"?")&amp;" mm")</f>
        <v/>
      </c>
    </row>
    <row r="289" spans="1:15">
      <c r="A289" s="36"/>
      <c r="B289" s="32"/>
      <c r="C289" s="39"/>
      <c r="D289" s="44" t="str">
        <f>IF(OR(B289="",C289=""),"",CONCATENATE(B289,"-",C289))</f>
        <v/>
      </c>
      <c r="E289" s="49" t="str">
        <f>IF(B289="","",IFERROR(VLOOKUP(B289,'Coil Sheet at Plant'!$C:$G,5,FALSE),"ID Not Found"))</f>
        <v/>
      </c>
      <c r="F289" s="50" t="str">
        <f>IF(B289="","",IFERROR(VLOOKUP(B289,'Coil Sheet at Plant'!$C:$H,6,FALSE),"ID Not Found"))</f>
        <v/>
      </c>
      <c r="G289" s="81">
        <v>436</v>
      </c>
      <c r="H289" s="89" t="str">
        <f>IF(OR(B289="",G289=""),"",IFERROR(VLOOKUP(B289,'Coil Sheet at Plant'!$C:$J,8,FALSE),0)*G289/SUMIF(B:B,B289,G:G))</f>
        <v/>
      </c>
      <c r="I289" s="56" t="str">
        <f>IF(B289="","",IFERROR(VLOOKUP(B289,'Coil Sheet at Plant'!$C:$L,9,FALSE),""))</f>
        <v/>
      </c>
      <c r="J289" s="85" t="str">
        <f>IF(B289="","",IFERROR(VLOOKUP(B289,'Coil Sheet at Plant'!$C:$M,10,FALSE),""))</f>
        <v/>
      </c>
      <c r="K289" s="69" t="str">
        <f>IF(B289="","",SUMIF(B:B,B289,G:G))</f>
        <v/>
      </c>
      <c r="L289" s="70" t="str">
        <f>IF(B289="","",IFERROR(VLOOKUP(B289,'Coil Sheet at Plant'!$C:$I,7,FALSE),""))</f>
        <v/>
      </c>
      <c r="M289" s="71" t="str">
        <f>IF(OR(K289="",L289=""),"",IF(L289=0,"⚠ NO PARENT WIDTH",IF(K289&gt;L289,"⚠ BABY &gt; PARENT","✔ OK")))</f>
        <v/>
      </c>
      <c r="N289" s="71" t="str">
        <f>IF(D289="","",IF(COUNTIF(D$3:D289,D289)&gt;1,"⚠ DUPLICATE",""))</f>
        <v/>
      </c>
      <c r="O289" s="72" t="str">
        <f>IF(B289="","",SUMIF(B:B,B289,G:G)&amp;" / "&amp;IFERROR(VLOOKUP(B289,'Coil Sheet at Plant'!$C:$I,7,FALSE),"?")&amp;" mm")</f>
        <v/>
      </c>
    </row>
    <row r="290" spans="1:15">
      <c r="A290" s="36"/>
      <c r="B290" s="32"/>
      <c r="C290" s="39"/>
      <c r="D290" s="44" t="str">
        <f>IF(OR(B290="",C290=""),"",CONCATENATE(B290,"-",C290))</f>
        <v/>
      </c>
      <c r="E290" s="49" t="str">
        <f>IF(B290="","",IFERROR(VLOOKUP(B290,'Coil Sheet at Plant'!$C:$G,5,FALSE),"ID Not Found"))</f>
        <v/>
      </c>
      <c r="F290" s="50" t="str">
        <f>IF(B290="","",IFERROR(VLOOKUP(B290,'Coil Sheet at Plant'!$C:$H,6,FALSE),"ID Not Found"))</f>
        <v/>
      </c>
      <c r="G290" s="81">
        <v>437</v>
      </c>
      <c r="H290" s="89" t="str">
        <f>IF(OR(B290="",G290=""),"",IFERROR(VLOOKUP(B290,'Coil Sheet at Plant'!$C:$J,8,FALSE),0)*G290/SUMIF(B:B,B290,G:G))</f>
        <v/>
      </c>
      <c r="I290" s="56" t="str">
        <f>IF(B290="","",IFERROR(VLOOKUP(B290,'Coil Sheet at Plant'!$C:$L,9,FALSE),""))</f>
        <v/>
      </c>
      <c r="J290" s="85" t="str">
        <f>IF(B290="","",IFERROR(VLOOKUP(B290,'Coil Sheet at Plant'!$C:$M,10,FALSE),""))</f>
        <v/>
      </c>
      <c r="K290" s="69" t="str">
        <f>IF(B290="","",SUMIF(B:B,B290,G:G))</f>
        <v/>
      </c>
      <c r="L290" s="70" t="str">
        <f>IF(B290="","",IFERROR(VLOOKUP(B290,'Coil Sheet at Plant'!$C:$I,7,FALSE),""))</f>
        <v/>
      </c>
      <c r="M290" s="71" t="str">
        <f>IF(OR(K290="",L290=""),"",IF(L290=0,"⚠ NO PARENT WIDTH",IF(K290&gt;L290,"⚠ BABY &gt; PARENT","✔ OK")))</f>
        <v/>
      </c>
      <c r="N290" s="71" t="str">
        <f>IF(D290="","",IF(COUNTIF(D$3:D290,D290)&gt;1,"⚠ DUPLICATE",""))</f>
        <v/>
      </c>
      <c r="O290" s="72" t="str">
        <f>IF(B290="","",SUMIF(B:B,B290,G:G)&amp;" / "&amp;IFERROR(VLOOKUP(B290,'Coil Sheet at Plant'!$C:$I,7,FALSE),"?")&amp;" mm")</f>
        <v/>
      </c>
    </row>
    <row r="291" spans="1:15">
      <c r="A291" s="36"/>
      <c r="B291" s="32"/>
      <c r="C291" s="39"/>
      <c r="D291" s="44" t="str">
        <f>IF(OR(B291="",C291=""),"",CONCATENATE(B291,"-",C291))</f>
        <v/>
      </c>
      <c r="E291" s="49" t="str">
        <f>IF(B291="","",IFERROR(VLOOKUP(B291,'Coil Sheet at Plant'!$C:$G,5,FALSE),"ID Not Found"))</f>
        <v/>
      </c>
      <c r="F291" s="50" t="str">
        <f>IF(B291="","",IFERROR(VLOOKUP(B291,'Coil Sheet at Plant'!$C:$H,6,FALSE),"ID Not Found"))</f>
        <v/>
      </c>
      <c r="G291" s="81">
        <v>438</v>
      </c>
      <c r="H291" s="89" t="str">
        <f>IF(OR(B291="",G291=""),"",IFERROR(VLOOKUP(B291,'Coil Sheet at Plant'!$C:$J,8,FALSE),0)*G291/SUMIF(B:B,B291,G:G))</f>
        <v/>
      </c>
      <c r="I291" s="56" t="str">
        <f>IF(B291="","",IFERROR(VLOOKUP(B291,'Coil Sheet at Plant'!$C:$L,9,FALSE),""))</f>
        <v/>
      </c>
      <c r="J291" s="85" t="str">
        <f>IF(B291="","",IFERROR(VLOOKUP(B291,'Coil Sheet at Plant'!$C:$M,10,FALSE),""))</f>
        <v/>
      </c>
      <c r="K291" s="69" t="str">
        <f>IF(B291="","",SUMIF(B:B,B291,G:G))</f>
        <v/>
      </c>
      <c r="L291" s="70" t="str">
        <f>IF(B291="","",IFERROR(VLOOKUP(B291,'Coil Sheet at Plant'!$C:$I,7,FALSE),""))</f>
        <v/>
      </c>
      <c r="M291" s="71" t="str">
        <f>IF(OR(K291="",L291=""),"",IF(L291=0,"⚠ NO PARENT WIDTH",IF(K291&gt;L291,"⚠ BABY &gt; PARENT","✔ OK")))</f>
        <v/>
      </c>
      <c r="N291" s="71" t="str">
        <f>IF(D291="","",IF(COUNTIF(D$3:D291,D291)&gt;1,"⚠ DUPLICATE",""))</f>
        <v/>
      </c>
      <c r="O291" s="72" t="str">
        <f>IF(B291="","",SUMIF(B:B,B291,G:G)&amp;" / "&amp;IFERROR(VLOOKUP(B291,'Coil Sheet at Plant'!$C:$I,7,FALSE),"?")&amp;" mm")</f>
        <v/>
      </c>
    </row>
    <row r="292" spans="1:15">
      <c r="A292" s="36"/>
      <c r="B292" s="32"/>
      <c r="C292" s="39"/>
      <c r="D292" s="44" t="str">
        <f>IF(OR(B292="",C292=""),"",CONCATENATE(B292,"-",C292))</f>
        <v/>
      </c>
      <c r="E292" s="49" t="str">
        <f>IF(B292="","",IFERROR(VLOOKUP(B292,'Coil Sheet at Plant'!$C:$G,5,FALSE),"ID Not Found"))</f>
        <v/>
      </c>
      <c r="F292" s="50" t="str">
        <f>IF(B292="","",IFERROR(VLOOKUP(B292,'Coil Sheet at Plant'!$C:$H,6,FALSE),"ID Not Found"))</f>
        <v/>
      </c>
      <c r="G292" s="81">
        <v>439</v>
      </c>
      <c r="H292" s="89" t="str">
        <f>IF(OR(B292="",G292=""),"",IFERROR(VLOOKUP(B292,'Coil Sheet at Plant'!$C:$J,8,FALSE),0)*G292/SUMIF(B:B,B292,G:G))</f>
        <v/>
      </c>
      <c r="I292" s="56" t="str">
        <f>IF(B292="","",IFERROR(VLOOKUP(B292,'Coil Sheet at Plant'!$C:$L,9,FALSE),""))</f>
        <v/>
      </c>
      <c r="J292" s="85" t="str">
        <f>IF(B292="","",IFERROR(VLOOKUP(B292,'Coil Sheet at Plant'!$C:$M,10,FALSE),""))</f>
        <v/>
      </c>
      <c r="K292" s="69" t="str">
        <f>IF(B292="","",SUMIF(B:B,B292,G:G))</f>
        <v/>
      </c>
      <c r="L292" s="70" t="str">
        <f>IF(B292="","",IFERROR(VLOOKUP(B292,'Coil Sheet at Plant'!$C:$I,7,FALSE),""))</f>
        <v/>
      </c>
      <c r="M292" s="71" t="str">
        <f>IF(OR(K292="",L292=""),"",IF(L292=0,"⚠ NO PARENT WIDTH",IF(K292&gt;L292,"⚠ BABY &gt; PARENT","✔ OK")))</f>
        <v/>
      </c>
      <c r="N292" s="71" t="str">
        <f>IF(D292="","",IF(COUNTIF(D$3:D292,D292)&gt;1,"⚠ DUPLICATE",""))</f>
        <v/>
      </c>
      <c r="O292" s="72" t="str">
        <f>IF(B292="","",SUMIF(B:B,B292,G:G)&amp;" / "&amp;IFERROR(VLOOKUP(B292,'Coil Sheet at Plant'!$C:$I,7,FALSE),"?")&amp;" mm")</f>
        <v/>
      </c>
    </row>
    <row r="293" spans="1:15">
      <c r="A293" s="36"/>
      <c r="B293" s="32"/>
      <c r="C293" s="39"/>
      <c r="D293" s="44" t="str">
        <f>IF(OR(B293="",C293=""),"",CONCATENATE(B293,"-",C293))</f>
        <v/>
      </c>
      <c r="E293" s="49" t="str">
        <f>IF(B293="","",IFERROR(VLOOKUP(B293,'Coil Sheet at Plant'!$C:$G,5,FALSE),"ID Not Found"))</f>
        <v/>
      </c>
      <c r="F293" s="50" t="str">
        <f>IF(B293="","",IFERROR(VLOOKUP(B293,'Coil Sheet at Plant'!$C:$H,6,FALSE),"ID Not Found"))</f>
        <v/>
      </c>
      <c r="G293" s="81">
        <v>440</v>
      </c>
      <c r="H293" s="89" t="str">
        <f>IF(OR(B293="",G293=""),"",IFERROR(VLOOKUP(B293,'Coil Sheet at Plant'!$C:$J,8,FALSE),0)*G293/SUMIF(B:B,B293,G:G))</f>
        <v/>
      </c>
      <c r="I293" s="56" t="str">
        <f>IF(B293="","",IFERROR(VLOOKUP(B293,'Coil Sheet at Plant'!$C:$L,9,FALSE),""))</f>
        <v/>
      </c>
      <c r="J293" s="85" t="str">
        <f>IF(B293="","",IFERROR(VLOOKUP(B293,'Coil Sheet at Plant'!$C:$M,10,FALSE),""))</f>
        <v/>
      </c>
      <c r="K293" s="69" t="str">
        <f>IF(B293="","",SUMIF(B:B,B293,G:G))</f>
        <v/>
      </c>
      <c r="L293" s="70" t="str">
        <f>IF(B293="","",IFERROR(VLOOKUP(B293,'Coil Sheet at Plant'!$C:$I,7,FALSE),""))</f>
        <v/>
      </c>
      <c r="M293" s="71" t="str">
        <f>IF(OR(K293="",L293=""),"",IF(L293=0,"⚠ NO PARENT WIDTH",IF(K293&gt;L293,"⚠ BABY &gt; PARENT","✔ OK")))</f>
        <v/>
      </c>
      <c r="N293" s="71" t="str">
        <f>IF(D293="","",IF(COUNTIF(D$3:D293,D293)&gt;1,"⚠ DUPLICATE",""))</f>
        <v/>
      </c>
      <c r="O293" s="72" t="str">
        <f>IF(B293="","",SUMIF(B:B,B293,G:G)&amp;" / "&amp;IFERROR(VLOOKUP(B293,'Coil Sheet at Plant'!$C:$I,7,FALSE),"?")&amp;" mm")</f>
        <v/>
      </c>
    </row>
    <row r="294" spans="1:15">
      <c r="A294" s="36"/>
      <c r="B294" s="32"/>
      <c r="C294" s="39"/>
      <c r="D294" s="44" t="str">
        <f>IF(OR(B294="",C294=""),"",CONCATENATE(B294,"-",C294))</f>
        <v/>
      </c>
      <c r="E294" s="49" t="str">
        <f>IF(B294="","",IFERROR(VLOOKUP(B294,'Coil Sheet at Plant'!$C:$G,5,FALSE),"ID Not Found"))</f>
        <v/>
      </c>
      <c r="F294" s="50" t="str">
        <f>IF(B294="","",IFERROR(VLOOKUP(B294,'Coil Sheet at Plant'!$C:$H,6,FALSE),"ID Not Found"))</f>
        <v/>
      </c>
      <c r="G294" s="81">
        <v>441</v>
      </c>
      <c r="H294" s="89" t="str">
        <f>IF(OR(B294="",G294=""),"",IFERROR(VLOOKUP(B294,'Coil Sheet at Plant'!$C:$J,8,FALSE),0)*G294/SUMIF(B:B,B294,G:G))</f>
        <v/>
      </c>
      <c r="I294" s="56" t="str">
        <f>IF(B294="","",IFERROR(VLOOKUP(B294,'Coil Sheet at Plant'!$C:$L,9,FALSE),""))</f>
        <v/>
      </c>
      <c r="J294" s="85" t="str">
        <f>IF(B294="","",IFERROR(VLOOKUP(B294,'Coil Sheet at Plant'!$C:$M,10,FALSE),""))</f>
        <v/>
      </c>
      <c r="K294" s="69" t="str">
        <f>IF(B294="","",SUMIF(B:B,B294,G:G))</f>
        <v/>
      </c>
      <c r="L294" s="70" t="str">
        <f>IF(B294="","",IFERROR(VLOOKUP(B294,'Coil Sheet at Plant'!$C:$I,7,FALSE),""))</f>
        <v/>
      </c>
      <c r="M294" s="71" t="str">
        <f>IF(OR(K294="",L294=""),"",IF(L294=0,"⚠ NO PARENT WIDTH",IF(K294&gt;L294,"⚠ BABY &gt; PARENT","✔ OK")))</f>
        <v/>
      </c>
      <c r="N294" s="71" t="str">
        <f>IF(D294="","",IF(COUNTIF(D$3:D294,D294)&gt;1,"⚠ DUPLICATE",""))</f>
        <v/>
      </c>
      <c r="O294" s="72" t="str">
        <f>IF(B294="","",SUMIF(B:B,B294,G:G)&amp;" / "&amp;IFERROR(VLOOKUP(B294,'Coil Sheet at Plant'!$C:$I,7,FALSE),"?")&amp;" mm")</f>
        <v/>
      </c>
    </row>
    <row r="295" spans="1:15">
      <c r="A295" s="36"/>
      <c r="B295" s="32"/>
      <c r="C295" s="39"/>
      <c r="D295" s="44" t="str">
        <f>IF(OR(B295="",C295=""),"",CONCATENATE(B295,"-",C295))</f>
        <v/>
      </c>
      <c r="E295" s="49" t="str">
        <f>IF(B295="","",IFERROR(VLOOKUP(B295,'Coil Sheet at Plant'!$C:$G,5,FALSE),"ID Not Found"))</f>
        <v/>
      </c>
      <c r="F295" s="50" t="str">
        <f>IF(B295="","",IFERROR(VLOOKUP(B295,'Coil Sheet at Plant'!$C:$H,6,FALSE),"ID Not Found"))</f>
        <v/>
      </c>
      <c r="G295" s="81">
        <v>442</v>
      </c>
      <c r="H295" s="89" t="str">
        <f>IF(OR(B295="",G295=""),"",IFERROR(VLOOKUP(B295,'Coil Sheet at Plant'!$C:$J,8,FALSE),0)*G295/SUMIF(B:B,B295,G:G))</f>
        <v/>
      </c>
      <c r="I295" s="56" t="str">
        <f>IF(B295="","",IFERROR(VLOOKUP(B295,'Coil Sheet at Plant'!$C:$L,9,FALSE),""))</f>
        <v/>
      </c>
      <c r="J295" s="85" t="str">
        <f>IF(B295="","",IFERROR(VLOOKUP(B295,'Coil Sheet at Plant'!$C:$M,10,FALSE),""))</f>
        <v/>
      </c>
      <c r="K295" s="69" t="str">
        <f>IF(B295="","",SUMIF(B:B,B295,G:G))</f>
        <v/>
      </c>
      <c r="L295" s="70" t="str">
        <f>IF(B295="","",IFERROR(VLOOKUP(B295,'Coil Sheet at Plant'!$C:$I,7,FALSE),""))</f>
        <v/>
      </c>
      <c r="M295" s="71" t="str">
        <f>IF(OR(K295="",L295=""),"",IF(L295=0,"⚠ NO PARENT WIDTH",IF(K295&gt;L295,"⚠ BABY &gt; PARENT","✔ OK")))</f>
        <v/>
      </c>
      <c r="N295" s="71" t="str">
        <f>IF(D295="","",IF(COUNTIF(D$3:D295,D295)&gt;1,"⚠ DUPLICATE",""))</f>
        <v/>
      </c>
      <c r="O295" s="72" t="str">
        <f>IF(B295="","",SUMIF(B:B,B295,G:G)&amp;" / "&amp;IFERROR(VLOOKUP(B295,'Coil Sheet at Plant'!$C:$I,7,FALSE),"?")&amp;" mm")</f>
        <v/>
      </c>
    </row>
    <row r="296" spans="1:15">
      <c r="A296" s="36"/>
      <c r="B296" s="32"/>
      <c r="C296" s="39"/>
      <c r="D296" s="44" t="str">
        <f>IF(OR(B296="",C296=""),"",CONCATENATE(B296,"-",C296))</f>
        <v/>
      </c>
      <c r="E296" s="49" t="str">
        <f>IF(B296="","",IFERROR(VLOOKUP(B296,'Coil Sheet at Plant'!$C:$G,5,FALSE),"ID Not Found"))</f>
        <v/>
      </c>
      <c r="F296" s="50" t="str">
        <f>IF(B296="","",IFERROR(VLOOKUP(B296,'Coil Sheet at Plant'!$C:$H,6,FALSE),"ID Not Found"))</f>
        <v/>
      </c>
      <c r="G296" s="81">
        <v>443</v>
      </c>
      <c r="H296" s="89" t="str">
        <f>IF(OR(B296="",G296=""),"",IFERROR(VLOOKUP(B296,'Coil Sheet at Plant'!$C:$J,8,FALSE),0)*G296/SUMIF(B:B,B296,G:G))</f>
        <v/>
      </c>
      <c r="I296" s="56" t="str">
        <f>IF(B296="","",IFERROR(VLOOKUP(B296,'Coil Sheet at Plant'!$C:$L,9,FALSE),""))</f>
        <v/>
      </c>
      <c r="J296" s="85" t="str">
        <f>IF(B296="","",IFERROR(VLOOKUP(B296,'Coil Sheet at Plant'!$C:$M,10,FALSE),""))</f>
        <v/>
      </c>
      <c r="K296" s="69" t="str">
        <f>IF(B296="","",SUMIF(B:B,B296,G:G))</f>
        <v/>
      </c>
      <c r="L296" s="70" t="str">
        <f>IF(B296="","",IFERROR(VLOOKUP(B296,'Coil Sheet at Plant'!$C:$I,7,FALSE),""))</f>
        <v/>
      </c>
      <c r="M296" s="71" t="str">
        <f>IF(OR(K296="",L296=""),"",IF(L296=0,"⚠ NO PARENT WIDTH",IF(K296&gt;L296,"⚠ BABY &gt; PARENT","✔ OK")))</f>
        <v/>
      </c>
      <c r="N296" s="71" t="str">
        <f>IF(D296="","",IF(COUNTIF(D$3:D296,D296)&gt;1,"⚠ DUPLICATE",""))</f>
        <v/>
      </c>
      <c r="O296" s="72" t="str">
        <f>IF(B296="","",SUMIF(B:B,B296,G:G)&amp;" / "&amp;IFERROR(VLOOKUP(B296,'Coil Sheet at Plant'!$C:$I,7,FALSE),"?")&amp;" mm")</f>
        <v/>
      </c>
    </row>
    <row r="297" spans="1:15">
      <c r="A297" s="36"/>
      <c r="B297" s="32"/>
      <c r="C297" s="39"/>
      <c r="D297" s="44" t="str">
        <f>IF(OR(B297="",C297=""),"",CONCATENATE(B297,"-",C297))</f>
        <v/>
      </c>
      <c r="E297" s="49" t="str">
        <f>IF(B297="","",IFERROR(VLOOKUP(B297,'Coil Sheet at Plant'!$C:$G,5,FALSE),"ID Not Found"))</f>
        <v/>
      </c>
      <c r="F297" s="50" t="str">
        <f>IF(B297="","",IFERROR(VLOOKUP(B297,'Coil Sheet at Plant'!$C:$H,6,FALSE),"ID Not Found"))</f>
        <v/>
      </c>
      <c r="G297" s="81">
        <v>444</v>
      </c>
      <c r="H297" s="89" t="str">
        <f>IF(OR(B297="",G297=""),"",IFERROR(VLOOKUP(B297,'Coil Sheet at Plant'!$C:$J,8,FALSE),0)*G297/SUMIF(B:B,B297,G:G))</f>
        <v/>
      </c>
      <c r="I297" s="56" t="str">
        <f>IF(B297="","",IFERROR(VLOOKUP(B297,'Coil Sheet at Plant'!$C:$L,9,FALSE),""))</f>
        <v/>
      </c>
      <c r="J297" s="85" t="str">
        <f>IF(B297="","",IFERROR(VLOOKUP(B297,'Coil Sheet at Plant'!$C:$M,10,FALSE),""))</f>
        <v/>
      </c>
      <c r="K297" s="69" t="str">
        <f>IF(B297="","",SUMIF(B:B,B297,G:G))</f>
        <v/>
      </c>
      <c r="L297" s="70" t="str">
        <f>IF(B297="","",IFERROR(VLOOKUP(B297,'Coil Sheet at Plant'!$C:$I,7,FALSE),""))</f>
        <v/>
      </c>
      <c r="M297" s="71" t="str">
        <f>IF(OR(K297="",L297=""),"",IF(L297=0,"⚠ NO PARENT WIDTH",IF(K297&gt;L297,"⚠ BABY &gt; PARENT","✔ OK")))</f>
        <v/>
      </c>
      <c r="N297" s="71" t="str">
        <f>IF(D297="","",IF(COUNTIF(D$3:D297,D297)&gt;1,"⚠ DUPLICATE",""))</f>
        <v/>
      </c>
      <c r="O297" s="72" t="str">
        <f>IF(B297="","",SUMIF(B:B,B297,G:G)&amp;" / "&amp;IFERROR(VLOOKUP(B297,'Coil Sheet at Plant'!$C:$I,7,FALSE),"?")&amp;" mm")</f>
        <v/>
      </c>
    </row>
    <row r="298" spans="1:15">
      <c r="A298" s="36"/>
      <c r="B298" s="32"/>
      <c r="C298" s="39"/>
      <c r="D298" s="44" t="str">
        <f>IF(OR(B298="",C298=""),"",CONCATENATE(B298,"-",C298))</f>
        <v/>
      </c>
      <c r="E298" s="49" t="str">
        <f>IF(B298="","",IFERROR(VLOOKUP(B298,'Coil Sheet at Plant'!$C:$G,5,FALSE),"ID Not Found"))</f>
        <v/>
      </c>
      <c r="F298" s="50" t="str">
        <f>IF(B298="","",IFERROR(VLOOKUP(B298,'Coil Sheet at Plant'!$C:$H,6,FALSE),"ID Not Found"))</f>
        <v/>
      </c>
      <c r="G298" s="81">
        <v>445</v>
      </c>
      <c r="H298" s="89" t="str">
        <f>IF(OR(B298="",G298=""),"",IFERROR(VLOOKUP(B298,'Coil Sheet at Plant'!$C:$J,8,FALSE),0)*G298/SUMIF(B:B,B298,G:G))</f>
        <v/>
      </c>
      <c r="I298" s="56" t="str">
        <f>IF(B298="","",IFERROR(VLOOKUP(B298,'Coil Sheet at Plant'!$C:$L,9,FALSE),""))</f>
        <v/>
      </c>
      <c r="J298" s="85" t="str">
        <f>IF(B298="","",IFERROR(VLOOKUP(B298,'Coil Sheet at Plant'!$C:$M,10,FALSE),""))</f>
        <v/>
      </c>
      <c r="K298" s="69" t="str">
        <f>IF(B298="","",SUMIF(B:B,B298,G:G))</f>
        <v/>
      </c>
      <c r="L298" s="70" t="str">
        <f>IF(B298="","",IFERROR(VLOOKUP(B298,'Coil Sheet at Plant'!$C:$I,7,FALSE),""))</f>
        <v/>
      </c>
      <c r="M298" s="71" t="str">
        <f>IF(OR(K298="",L298=""),"",IF(L298=0,"⚠ NO PARENT WIDTH",IF(K298&gt;L298,"⚠ BABY &gt; PARENT","✔ OK")))</f>
        <v/>
      </c>
      <c r="N298" s="71" t="str">
        <f>IF(D298="","",IF(COUNTIF(D$3:D298,D298)&gt;1,"⚠ DUPLICATE",""))</f>
        <v/>
      </c>
      <c r="O298" s="72" t="str">
        <f>IF(B298="","",SUMIF(B:B,B298,G:G)&amp;" / "&amp;IFERROR(VLOOKUP(B298,'Coil Sheet at Plant'!$C:$I,7,FALSE),"?")&amp;" mm")</f>
        <v/>
      </c>
    </row>
    <row r="299" spans="1:15">
      <c r="A299" s="36"/>
      <c r="B299" s="32"/>
      <c r="C299" s="39"/>
      <c r="D299" s="44" t="str">
        <f>IF(OR(B299="",C299=""),"",CONCATENATE(B299,"-",C299))</f>
        <v/>
      </c>
      <c r="E299" s="49" t="str">
        <f>IF(B299="","",IFERROR(VLOOKUP(B299,'Coil Sheet at Plant'!$C:$G,5,FALSE),"ID Not Found"))</f>
        <v/>
      </c>
      <c r="F299" s="50" t="str">
        <f>IF(B299="","",IFERROR(VLOOKUP(B299,'Coil Sheet at Plant'!$C:$H,6,FALSE),"ID Not Found"))</f>
        <v/>
      </c>
      <c r="G299" s="81">
        <v>446</v>
      </c>
      <c r="H299" s="89" t="str">
        <f>IF(OR(B299="",G299=""),"",IFERROR(VLOOKUP(B299,'Coil Sheet at Plant'!$C:$J,8,FALSE),0)*G299/SUMIF(B:B,B299,G:G))</f>
        <v/>
      </c>
      <c r="I299" s="56" t="str">
        <f>IF(B299="","",IFERROR(VLOOKUP(B299,'Coil Sheet at Plant'!$C:$L,9,FALSE),""))</f>
        <v/>
      </c>
      <c r="J299" s="85" t="str">
        <f>IF(B299="","",IFERROR(VLOOKUP(B299,'Coil Sheet at Plant'!$C:$M,10,FALSE),""))</f>
        <v/>
      </c>
      <c r="K299" s="69" t="str">
        <f>IF(B299="","",SUMIF(B:B,B299,G:G))</f>
        <v/>
      </c>
      <c r="L299" s="70" t="str">
        <f>IF(B299="","",IFERROR(VLOOKUP(B299,'Coil Sheet at Plant'!$C:$I,7,FALSE),""))</f>
        <v/>
      </c>
      <c r="M299" s="71" t="str">
        <f>IF(OR(K299="",L299=""),"",IF(L299=0,"⚠ NO PARENT WIDTH",IF(K299&gt;L299,"⚠ BABY &gt; PARENT","✔ OK")))</f>
        <v/>
      </c>
      <c r="N299" s="71" t="str">
        <f>IF(D299="","",IF(COUNTIF(D$3:D299,D299)&gt;1,"⚠ DUPLICATE",""))</f>
        <v/>
      </c>
      <c r="O299" s="72" t="str">
        <f>IF(B299="","",SUMIF(B:B,B299,G:G)&amp;" / "&amp;IFERROR(VLOOKUP(B299,'Coil Sheet at Plant'!$C:$I,7,FALSE),"?")&amp;" mm")</f>
        <v/>
      </c>
    </row>
    <row r="300" spans="1:15">
      <c r="A300" s="36"/>
      <c r="B300" s="32"/>
      <c r="C300" s="39"/>
      <c r="D300" s="44" t="str">
        <f>IF(OR(B300="",C300=""),"",CONCATENATE(B300,"-",C300))</f>
        <v/>
      </c>
      <c r="E300" s="49" t="str">
        <f>IF(B300="","",IFERROR(VLOOKUP(B300,'Coil Sheet at Plant'!$C:$G,5,FALSE),"ID Not Found"))</f>
        <v/>
      </c>
      <c r="F300" s="50" t="str">
        <f>IF(B300="","",IFERROR(VLOOKUP(B300,'Coil Sheet at Plant'!$C:$H,6,FALSE),"ID Not Found"))</f>
        <v/>
      </c>
      <c r="G300" s="81">
        <v>447</v>
      </c>
      <c r="H300" s="89" t="str">
        <f>IF(OR(B300="",G300=""),"",IFERROR(VLOOKUP(B300,'Coil Sheet at Plant'!$C:$J,8,FALSE),0)*G300/SUMIF(B:B,B300,G:G))</f>
        <v/>
      </c>
      <c r="I300" s="56" t="str">
        <f>IF(B300="","",IFERROR(VLOOKUP(B300,'Coil Sheet at Plant'!$C:$L,9,FALSE),""))</f>
        <v/>
      </c>
      <c r="J300" s="85" t="str">
        <f>IF(B300="","",IFERROR(VLOOKUP(B300,'Coil Sheet at Plant'!$C:$M,10,FALSE),""))</f>
        <v/>
      </c>
      <c r="K300" s="69" t="str">
        <f>IF(B300="","",SUMIF(B:B,B300,G:G))</f>
        <v/>
      </c>
      <c r="L300" s="70" t="str">
        <f>IF(B300="","",IFERROR(VLOOKUP(B300,'Coil Sheet at Plant'!$C:$I,7,FALSE),""))</f>
        <v/>
      </c>
      <c r="M300" s="71" t="str">
        <f>IF(OR(K300="",L300=""),"",IF(L300=0,"⚠ NO PARENT WIDTH",IF(K300&gt;L300,"⚠ BABY &gt; PARENT","✔ OK")))</f>
        <v/>
      </c>
      <c r="N300" s="71" t="str">
        <f>IF(D300="","",IF(COUNTIF(D$3:D300,D300)&gt;1,"⚠ DUPLICATE",""))</f>
        <v/>
      </c>
      <c r="O300" s="72" t="str">
        <f>IF(B300="","",SUMIF(B:B,B300,G:G)&amp;" / "&amp;IFERROR(VLOOKUP(B300,'Coil Sheet at Plant'!$C:$I,7,FALSE),"?")&amp;" mm")</f>
        <v/>
      </c>
    </row>
    <row r="301" spans="1:15">
      <c r="A301" s="36"/>
      <c r="B301" s="32"/>
      <c r="C301" s="39"/>
      <c r="D301" s="44" t="str">
        <f>IF(OR(B301="",C301=""),"",CONCATENATE(B301,"-",C301))</f>
        <v/>
      </c>
      <c r="E301" s="49" t="str">
        <f>IF(B301="","",IFERROR(VLOOKUP(B301,'Coil Sheet at Plant'!$C:$G,5,FALSE),"ID Not Found"))</f>
        <v/>
      </c>
      <c r="F301" s="50" t="str">
        <f>IF(B301="","",IFERROR(VLOOKUP(B301,'Coil Sheet at Plant'!$C:$H,6,FALSE),"ID Not Found"))</f>
        <v/>
      </c>
      <c r="G301" s="81">
        <v>448</v>
      </c>
      <c r="H301" s="89" t="str">
        <f>IF(OR(B301="",G301=""),"",IFERROR(VLOOKUP(B301,'Coil Sheet at Plant'!$C:$J,8,FALSE),0)*G301/SUMIF(B:B,B301,G:G))</f>
        <v/>
      </c>
      <c r="I301" s="56" t="str">
        <f>IF(B301="","",IFERROR(VLOOKUP(B301,'Coil Sheet at Plant'!$C:$L,9,FALSE),""))</f>
        <v/>
      </c>
      <c r="J301" s="85" t="str">
        <f>IF(B301="","",IFERROR(VLOOKUP(B301,'Coil Sheet at Plant'!$C:$M,10,FALSE),""))</f>
        <v/>
      </c>
      <c r="K301" s="69" t="str">
        <f>IF(B301="","",SUMIF(B:B,B301,G:G))</f>
        <v/>
      </c>
      <c r="L301" s="70" t="str">
        <f>IF(B301="","",IFERROR(VLOOKUP(B301,'Coil Sheet at Plant'!$C:$I,7,FALSE),""))</f>
        <v/>
      </c>
      <c r="M301" s="71" t="str">
        <f>IF(OR(K301="",L301=""),"",IF(L301=0,"⚠ NO PARENT WIDTH",IF(K301&gt;L301,"⚠ BABY &gt; PARENT","✔ OK")))</f>
        <v/>
      </c>
      <c r="N301" s="71" t="str">
        <f>IF(D301="","",IF(COUNTIF(D$3:D301,D301)&gt;1,"⚠ DUPLICATE",""))</f>
        <v/>
      </c>
      <c r="O301" s="72" t="str">
        <f>IF(B301="","",SUMIF(B:B,B301,G:G)&amp;" / "&amp;IFERROR(VLOOKUP(B301,'Coil Sheet at Plant'!$C:$I,7,FALSE),"?")&amp;" mm")</f>
        <v/>
      </c>
    </row>
    <row r="302" spans="1:15">
      <c r="A302" s="36"/>
      <c r="B302" s="32"/>
      <c r="C302" s="39"/>
      <c r="D302" s="44" t="str">
        <f>IF(OR(B302="",C302=""),"",CONCATENATE(B302,"-",C302))</f>
        <v/>
      </c>
      <c r="E302" s="49" t="str">
        <f>IF(B302="","",IFERROR(VLOOKUP(B302,'Coil Sheet at Plant'!$C:$G,5,FALSE),"ID Not Found"))</f>
        <v/>
      </c>
      <c r="F302" s="50" t="str">
        <f>IF(B302="","",IFERROR(VLOOKUP(B302,'Coil Sheet at Plant'!$C:$H,6,FALSE),"ID Not Found"))</f>
        <v/>
      </c>
      <c r="G302" s="81">
        <v>449</v>
      </c>
      <c r="H302" s="89" t="str">
        <f>IF(OR(B302="",G302=""),"",IFERROR(VLOOKUP(B302,'Coil Sheet at Plant'!$C:$J,8,FALSE),0)*G302/SUMIF(B:B,B302,G:G))</f>
        <v/>
      </c>
      <c r="I302" s="56" t="str">
        <f>IF(B302="","",IFERROR(VLOOKUP(B302,'Coil Sheet at Plant'!$C:$L,9,FALSE),""))</f>
        <v/>
      </c>
      <c r="J302" s="85" t="str">
        <f>IF(B302="","",IFERROR(VLOOKUP(B302,'Coil Sheet at Plant'!$C:$M,10,FALSE),""))</f>
        <v/>
      </c>
      <c r="K302" s="69" t="str">
        <f>IF(B302="","",SUMIF(B:B,B302,G:G))</f>
        <v/>
      </c>
      <c r="L302" s="70" t="str">
        <f>IF(B302="","",IFERROR(VLOOKUP(B302,'Coil Sheet at Plant'!$C:$I,7,FALSE),""))</f>
        <v/>
      </c>
      <c r="M302" s="71" t="str">
        <f>IF(OR(K302="",L302=""),"",IF(L302=0,"⚠ NO PARENT WIDTH",IF(K302&gt;L302,"⚠ BABY &gt; PARENT","✔ OK")))</f>
        <v/>
      </c>
      <c r="N302" s="71" t="str">
        <f>IF(D302="","",IF(COUNTIF(D$3:D302,D302)&gt;1,"⚠ DUPLICATE",""))</f>
        <v/>
      </c>
      <c r="O302" s="72" t="str">
        <f>IF(B302="","",SUMIF(B:B,B302,G:G)&amp;" / "&amp;IFERROR(VLOOKUP(B302,'Coil Sheet at Plant'!$C:$I,7,FALSE),"?")&amp;" mm")</f>
        <v/>
      </c>
    </row>
    <row r="303" spans="1:15">
      <c r="A303" s="36"/>
      <c r="B303" s="32"/>
      <c r="C303" s="39"/>
      <c r="D303" s="44" t="str">
        <f>IF(OR(B303="",C303=""),"",CONCATENATE(B303,"-",C303))</f>
        <v/>
      </c>
      <c r="E303" s="49" t="str">
        <f>IF(B303="","",IFERROR(VLOOKUP(B303,'Coil Sheet at Plant'!$C:$G,5,FALSE),"ID Not Found"))</f>
        <v/>
      </c>
      <c r="F303" s="50" t="str">
        <f>IF(B303="","",IFERROR(VLOOKUP(B303,'Coil Sheet at Plant'!$C:$H,6,FALSE),"ID Not Found"))</f>
        <v/>
      </c>
      <c r="G303" s="81">
        <v>450</v>
      </c>
      <c r="H303" s="89" t="str">
        <f>IF(OR(B303="",G303=""),"",IFERROR(VLOOKUP(B303,'Coil Sheet at Plant'!$C:$J,8,FALSE),0)*G303/SUMIF(B:B,B303,G:G))</f>
        <v/>
      </c>
      <c r="I303" s="56" t="str">
        <f>IF(B303="","",IFERROR(VLOOKUP(B303,'Coil Sheet at Plant'!$C:$L,9,FALSE),""))</f>
        <v/>
      </c>
      <c r="J303" s="85" t="str">
        <f>IF(B303="","",IFERROR(VLOOKUP(B303,'Coil Sheet at Plant'!$C:$M,10,FALSE),""))</f>
        <v/>
      </c>
      <c r="K303" s="69" t="str">
        <f>IF(B303="","",SUMIF(B:B,B303,G:G))</f>
        <v/>
      </c>
      <c r="L303" s="70" t="str">
        <f>IF(B303="","",IFERROR(VLOOKUP(B303,'Coil Sheet at Plant'!$C:$I,7,FALSE),""))</f>
        <v/>
      </c>
      <c r="M303" s="71" t="str">
        <f>IF(OR(K303="",L303=""),"",IF(L303=0,"⚠ NO PARENT WIDTH",IF(K303&gt;L303,"⚠ BABY &gt; PARENT","✔ OK")))</f>
        <v/>
      </c>
      <c r="N303" s="71" t="str">
        <f>IF(D303="","",IF(COUNTIF(D$3:D303,D303)&gt;1,"⚠ DUPLICATE",""))</f>
        <v/>
      </c>
      <c r="O303" s="72" t="str">
        <f>IF(B303="","",SUMIF(B:B,B303,G:G)&amp;" / "&amp;IFERROR(VLOOKUP(B303,'Coil Sheet at Plant'!$C:$I,7,FALSE),"?")&amp;" mm")</f>
        <v/>
      </c>
    </row>
    <row r="304" spans="1:15">
      <c r="A304" s="36"/>
      <c r="B304" s="32"/>
      <c r="C304" s="39"/>
      <c r="D304" s="44" t="str">
        <f>IF(OR(B304="",C304=""),"",CONCATENATE(B304,"-",C304))</f>
        <v/>
      </c>
      <c r="E304" s="49" t="str">
        <f>IF(B304="","",IFERROR(VLOOKUP(B304,'Coil Sheet at Plant'!$C:$G,5,FALSE),"ID Not Found"))</f>
        <v/>
      </c>
      <c r="F304" s="50" t="str">
        <f>IF(B304="","",IFERROR(VLOOKUP(B304,'Coil Sheet at Plant'!$C:$H,6,FALSE),"ID Not Found"))</f>
        <v/>
      </c>
      <c r="G304" s="81">
        <v>451</v>
      </c>
      <c r="H304" s="89" t="str">
        <f>IF(OR(B304="",G304=""),"",IFERROR(VLOOKUP(B304,'Coil Sheet at Plant'!$C:$J,8,FALSE),0)*G304/SUMIF(B:B,B304,G:G))</f>
        <v/>
      </c>
      <c r="I304" s="56" t="str">
        <f>IF(B304="","",IFERROR(VLOOKUP(B304,'Coil Sheet at Plant'!$C:$L,9,FALSE),""))</f>
        <v/>
      </c>
      <c r="J304" s="85" t="str">
        <f>IF(B304="","",IFERROR(VLOOKUP(B304,'Coil Sheet at Plant'!$C:$M,10,FALSE),""))</f>
        <v/>
      </c>
      <c r="K304" s="69" t="str">
        <f>IF(B304="","",SUMIF(B:B,B304,G:G))</f>
        <v/>
      </c>
      <c r="L304" s="70" t="str">
        <f>IF(B304="","",IFERROR(VLOOKUP(B304,'Coil Sheet at Plant'!$C:$I,7,FALSE),""))</f>
        <v/>
      </c>
      <c r="M304" s="71" t="str">
        <f>IF(OR(K304="",L304=""),"",IF(L304=0,"⚠ NO PARENT WIDTH",IF(K304&gt;L304,"⚠ BABY &gt; PARENT","✔ OK")))</f>
        <v/>
      </c>
      <c r="N304" s="71" t="str">
        <f>IF(D304="","",IF(COUNTIF(D$3:D304,D304)&gt;1,"⚠ DUPLICATE",""))</f>
        <v/>
      </c>
      <c r="O304" s="72" t="str">
        <f>IF(B304="","",SUMIF(B:B,B304,G:G)&amp;" / "&amp;IFERROR(VLOOKUP(B304,'Coil Sheet at Plant'!$C:$I,7,FALSE),"?")&amp;" mm")</f>
        <v/>
      </c>
    </row>
    <row r="305" spans="1:15">
      <c r="A305" s="36"/>
      <c r="B305" s="32"/>
      <c r="C305" s="39"/>
      <c r="D305" s="44" t="str">
        <f>IF(OR(B305="",C305=""),"",CONCATENATE(B305,"-",C305))</f>
        <v/>
      </c>
      <c r="E305" s="49" t="str">
        <f>IF(B305="","",IFERROR(VLOOKUP(B305,'Coil Sheet at Plant'!$C:$G,5,FALSE),"ID Not Found"))</f>
        <v/>
      </c>
      <c r="F305" s="50" t="str">
        <f>IF(B305="","",IFERROR(VLOOKUP(B305,'Coil Sheet at Plant'!$C:$H,6,FALSE),"ID Not Found"))</f>
        <v/>
      </c>
      <c r="G305" s="81">
        <v>452</v>
      </c>
      <c r="H305" s="89" t="str">
        <f>IF(OR(B305="",G305=""),"",IFERROR(VLOOKUP(B305,'Coil Sheet at Plant'!$C:$J,8,FALSE),0)*G305/SUMIF(B:B,B305,G:G))</f>
        <v/>
      </c>
      <c r="I305" s="56" t="str">
        <f>IF(B305="","",IFERROR(VLOOKUP(B305,'Coil Sheet at Plant'!$C:$L,9,FALSE),""))</f>
        <v/>
      </c>
      <c r="J305" s="85" t="str">
        <f>IF(B305="","",IFERROR(VLOOKUP(B305,'Coil Sheet at Plant'!$C:$M,10,FALSE),""))</f>
        <v/>
      </c>
      <c r="K305" s="69" t="str">
        <f>IF(B305="","",SUMIF(B:B,B305,G:G))</f>
        <v/>
      </c>
      <c r="L305" s="70" t="str">
        <f>IF(B305="","",IFERROR(VLOOKUP(B305,'Coil Sheet at Plant'!$C:$I,7,FALSE),""))</f>
        <v/>
      </c>
      <c r="M305" s="71" t="str">
        <f>IF(OR(K305="",L305=""),"",IF(L305=0,"⚠ NO PARENT WIDTH",IF(K305&gt;L305,"⚠ BABY &gt; PARENT","✔ OK")))</f>
        <v/>
      </c>
      <c r="N305" s="71" t="str">
        <f>IF(D305="","",IF(COUNTIF(D$3:D305,D305)&gt;1,"⚠ DUPLICATE",""))</f>
        <v/>
      </c>
      <c r="O305" s="72" t="str">
        <f>IF(B305="","",SUMIF(B:B,B305,G:G)&amp;" / "&amp;IFERROR(VLOOKUP(B305,'Coil Sheet at Plant'!$C:$I,7,FALSE),"?")&amp;" mm")</f>
        <v/>
      </c>
    </row>
    <row r="306" spans="1:15">
      <c r="A306" s="36"/>
      <c r="B306" s="32"/>
      <c r="C306" s="39"/>
      <c r="D306" s="44" t="str">
        <f>IF(OR(B306="",C306=""),"",CONCATENATE(B306,"-",C306))</f>
        <v/>
      </c>
      <c r="E306" s="49" t="str">
        <f>IF(B306="","",IFERROR(VLOOKUP(B306,'Coil Sheet at Plant'!$C:$G,5,FALSE),"ID Not Found"))</f>
        <v/>
      </c>
      <c r="F306" s="50" t="str">
        <f>IF(B306="","",IFERROR(VLOOKUP(B306,'Coil Sheet at Plant'!$C:$H,6,FALSE),"ID Not Found"))</f>
        <v/>
      </c>
      <c r="G306" s="81">
        <v>453</v>
      </c>
      <c r="H306" s="89" t="str">
        <f>IF(OR(B306="",G306=""),"",IFERROR(VLOOKUP(B306,'Coil Sheet at Plant'!$C:$J,8,FALSE),0)*G306/SUMIF(B:B,B306,G:G))</f>
        <v/>
      </c>
      <c r="I306" s="56" t="str">
        <f>IF(B306="","",IFERROR(VLOOKUP(B306,'Coil Sheet at Plant'!$C:$L,9,FALSE),""))</f>
        <v/>
      </c>
      <c r="J306" s="85" t="str">
        <f>IF(B306="","",IFERROR(VLOOKUP(B306,'Coil Sheet at Plant'!$C:$M,10,FALSE),""))</f>
        <v/>
      </c>
      <c r="K306" s="69" t="str">
        <f>IF(B306="","",SUMIF(B:B,B306,G:G))</f>
        <v/>
      </c>
      <c r="L306" s="70" t="str">
        <f>IF(B306="","",IFERROR(VLOOKUP(B306,'Coil Sheet at Plant'!$C:$I,7,FALSE),""))</f>
        <v/>
      </c>
      <c r="M306" s="71" t="str">
        <f>IF(OR(K306="",L306=""),"",IF(L306=0,"⚠ NO PARENT WIDTH",IF(K306&gt;L306,"⚠ BABY &gt; PARENT","✔ OK")))</f>
        <v/>
      </c>
      <c r="N306" s="71" t="str">
        <f>IF(D306="","",IF(COUNTIF(D$3:D306,D306)&gt;1,"⚠ DUPLICATE",""))</f>
        <v/>
      </c>
      <c r="O306" s="72" t="str">
        <f>IF(B306="","",SUMIF(B:B,B306,G:G)&amp;" / "&amp;IFERROR(VLOOKUP(B306,'Coil Sheet at Plant'!$C:$I,7,FALSE),"?")&amp;" mm")</f>
        <v/>
      </c>
    </row>
    <row r="307" spans="1:15">
      <c r="A307" s="36"/>
      <c r="B307" s="32"/>
      <c r="C307" s="39"/>
      <c r="D307" s="44" t="str">
        <f>IF(OR(B307="",C307=""),"",CONCATENATE(B307,"-",C307))</f>
        <v/>
      </c>
      <c r="E307" s="49" t="str">
        <f>IF(B307="","",IFERROR(VLOOKUP(B307,'Coil Sheet at Plant'!$C:$G,5,FALSE),"ID Not Found"))</f>
        <v/>
      </c>
      <c r="F307" s="50" t="str">
        <f>IF(B307="","",IFERROR(VLOOKUP(B307,'Coil Sheet at Plant'!$C:$H,6,FALSE),"ID Not Found"))</f>
        <v/>
      </c>
      <c r="G307" s="81">
        <v>454</v>
      </c>
      <c r="H307" s="89" t="str">
        <f>IF(OR(B307="",G307=""),"",IFERROR(VLOOKUP(B307,'Coil Sheet at Plant'!$C:$J,8,FALSE),0)*G307/SUMIF(B:B,B307,G:G))</f>
        <v/>
      </c>
      <c r="I307" s="56" t="str">
        <f>IF(B307="","",IFERROR(VLOOKUP(B307,'Coil Sheet at Plant'!$C:$L,9,FALSE),""))</f>
        <v/>
      </c>
      <c r="J307" s="85" t="str">
        <f>IF(B307="","",IFERROR(VLOOKUP(B307,'Coil Sheet at Plant'!$C:$M,10,FALSE),""))</f>
        <v/>
      </c>
      <c r="K307" s="69" t="str">
        <f>IF(B307="","",SUMIF(B:B,B307,G:G))</f>
        <v/>
      </c>
      <c r="L307" s="70" t="str">
        <f>IF(B307="","",IFERROR(VLOOKUP(B307,'Coil Sheet at Plant'!$C:$I,7,FALSE),""))</f>
        <v/>
      </c>
      <c r="M307" s="71" t="str">
        <f>IF(OR(K307="",L307=""),"",IF(L307=0,"⚠ NO PARENT WIDTH",IF(K307&gt;L307,"⚠ BABY &gt; PARENT","✔ OK")))</f>
        <v/>
      </c>
      <c r="N307" s="71" t="str">
        <f>IF(D307="","",IF(COUNTIF(D$3:D307,D307)&gt;1,"⚠ DUPLICATE",""))</f>
        <v/>
      </c>
      <c r="O307" s="72" t="str">
        <f>IF(B307="","",SUMIF(B:B,B307,G:G)&amp;" / "&amp;IFERROR(VLOOKUP(B307,'Coil Sheet at Plant'!$C:$I,7,FALSE),"?")&amp;" mm")</f>
        <v/>
      </c>
    </row>
    <row r="308" spans="1:15">
      <c r="A308" s="36"/>
      <c r="B308" s="32"/>
      <c r="C308" s="39"/>
      <c r="D308" s="44" t="str">
        <f>IF(OR(B308="",C308=""),"",CONCATENATE(B308,"-",C308))</f>
        <v/>
      </c>
      <c r="E308" s="49" t="str">
        <f>IF(B308="","",IFERROR(VLOOKUP(B308,'Coil Sheet at Plant'!$C:$G,5,FALSE),"ID Not Found"))</f>
        <v/>
      </c>
      <c r="F308" s="50" t="str">
        <f>IF(B308="","",IFERROR(VLOOKUP(B308,'Coil Sheet at Plant'!$C:$H,6,FALSE),"ID Not Found"))</f>
        <v/>
      </c>
      <c r="G308" s="81">
        <v>455</v>
      </c>
      <c r="H308" s="89" t="str">
        <f>IF(OR(B308="",G308=""),"",IFERROR(VLOOKUP(B308,'Coil Sheet at Plant'!$C:$J,8,FALSE),0)*G308/SUMIF(B:B,B308,G:G))</f>
        <v/>
      </c>
      <c r="I308" s="56" t="str">
        <f>IF(B308="","",IFERROR(VLOOKUP(B308,'Coil Sheet at Plant'!$C:$L,9,FALSE),""))</f>
        <v/>
      </c>
      <c r="J308" s="85" t="str">
        <f>IF(B308="","",IFERROR(VLOOKUP(B308,'Coil Sheet at Plant'!$C:$M,10,FALSE),""))</f>
        <v/>
      </c>
      <c r="K308" s="69" t="str">
        <f>IF(B308="","",SUMIF(B:B,B308,G:G))</f>
        <v/>
      </c>
      <c r="L308" s="70" t="str">
        <f>IF(B308="","",IFERROR(VLOOKUP(B308,'Coil Sheet at Plant'!$C:$I,7,FALSE),""))</f>
        <v/>
      </c>
      <c r="M308" s="71" t="str">
        <f>IF(OR(K308="",L308=""),"",IF(L308=0,"⚠ NO PARENT WIDTH",IF(K308&gt;L308,"⚠ BABY &gt; PARENT","✔ OK")))</f>
        <v/>
      </c>
      <c r="N308" s="71" t="str">
        <f>IF(D308="","",IF(COUNTIF(D$3:D308,D308)&gt;1,"⚠ DUPLICATE",""))</f>
        <v/>
      </c>
      <c r="O308" s="72" t="str">
        <f>IF(B308="","",SUMIF(B:B,B308,G:G)&amp;" / "&amp;IFERROR(VLOOKUP(B308,'Coil Sheet at Plant'!$C:$I,7,FALSE),"?")&amp;" mm")</f>
        <v/>
      </c>
    </row>
    <row r="309" spans="1:15">
      <c r="A309" s="36"/>
      <c r="B309" s="32"/>
      <c r="C309" s="39"/>
      <c r="D309" s="44" t="str">
        <f>IF(OR(B309="",C309=""),"",CONCATENATE(B309,"-",C309))</f>
        <v/>
      </c>
      <c r="E309" s="49" t="str">
        <f>IF(B309="","",IFERROR(VLOOKUP(B309,'Coil Sheet at Plant'!$C:$G,5,FALSE),"ID Not Found"))</f>
        <v/>
      </c>
      <c r="F309" s="50" t="str">
        <f>IF(B309="","",IFERROR(VLOOKUP(B309,'Coil Sheet at Plant'!$C:$H,6,FALSE),"ID Not Found"))</f>
        <v/>
      </c>
      <c r="G309" s="81">
        <v>456</v>
      </c>
      <c r="H309" s="89" t="str">
        <f>IF(OR(B309="",G309=""),"",IFERROR(VLOOKUP(B309,'Coil Sheet at Plant'!$C:$J,8,FALSE),0)*G309/SUMIF(B:B,B309,G:G))</f>
        <v/>
      </c>
      <c r="I309" s="56" t="str">
        <f>IF(B309="","",IFERROR(VLOOKUP(B309,'Coil Sheet at Plant'!$C:$L,9,FALSE),""))</f>
        <v/>
      </c>
      <c r="J309" s="85" t="str">
        <f>IF(B309="","",IFERROR(VLOOKUP(B309,'Coil Sheet at Plant'!$C:$M,10,FALSE),""))</f>
        <v/>
      </c>
      <c r="K309" s="69" t="str">
        <f>IF(B309="","",SUMIF(B:B,B309,G:G))</f>
        <v/>
      </c>
      <c r="L309" s="70" t="str">
        <f>IF(B309="","",IFERROR(VLOOKUP(B309,'Coil Sheet at Plant'!$C:$I,7,FALSE),""))</f>
        <v/>
      </c>
      <c r="M309" s="71" t="str">
        <f>IF(OR(K309="",L309=""),"",IF(L309=0,"⚠ NO PARENT WIDTH",IF(K309&gt;L309,"⚠ BABY &gt; PARENT","✔ OK")))</f>
        <v/>
      </c>
      <c r="N309" s="71" t="str">
        <f>IF(D309="","",IF(COUNTIF(D$3:D309,D309)&gt;1,"⚠ DUPLICATE",""))</f>
        <v/>
      </c>
      <c r="O309" s="72" t="str">
        <f>IF(B309="","",SUMIF(B:B,B309,G:G)&amp;" / "&amp;IFERROR(VLOOKUP(B309,'Coil Sheet at Plant'!$C:$I,7,FALSE),"?")&amp;" mm")</f>
        <v/>
      </c>
    </row>
    <row r="310" spans="1:15">
      <c r="A310" s="36"/>
      <c r="B310" s="32"/>
      <c r="C310" s="39"/>
      <c r="D310" s="44" t="str">
        <f>IF(OR(B310="",C310=""),"",CONCATENATE(B310,"-",C310))</f>
        <v/>
      </c>
      <c r="E310" s="49" t="str">
        <f>IF(B310="","",IFERROR(VLOOKUP(B310,'Coil Sheet at Plant'!$C:$G,5,FALSE),"ID Not Found"))</f>
        <v/>
      </c>
      <c r="F310" s="50" t="str">
        <f>IF(B310="","",IFERROR(VLOOKUP(B310,'Coil Sheet at Plant'!$C:$H,6,FALSE),"ID Not Found"))</f>
        <v/>
      </c>
      <c r="G310" s="81">
        <v>457</v>
      </c>
      <c r="H310" s="89" t="str">
        <f>IF(OR(B310="",G310=""),"",IFERROR(VLOOKUP(B310,'Coil Sheet at Plant'!$C:$J,8,FALSE),0)*G310/SUMIF(B:B,B310,G:G))</f>
        <v/>
      </c>
      <c r="I310" s="56" t="str">
        <f>IF(B310="","",IFERROR(VLOOKUP(B310,'Coil Sheet at Plant'!$C:$L,9,FALSE),""))</f>
        <v/>
      </c>
      <c r="J310" s="85" t="str">
        <f>IF(B310="","",IFERROR(VLOOKUP(B310,'Coil Sheet at Plant'!$C:$M,10,FALSE),""))</f>
        <v/>
      </c>
      <c r="K310" s="69" t="str">
        <f>IF(B310="","",SUMIF(B:B,B310,G:G))</f>
        <v/>
      </c>
      <c r="L310" s="70" t="str">
        <f>IF(B310="","",IFERROR(VLOOKUP(B310,'Coil Sheet at Plant'!$C:$I,7,FALSE),""))</f>
        <v/>
      </c>
      <c r="M310" s="71" t="str">
        <f>IF(OR(K310="",L310=""),"",IF(L310=0,"⚠ NO PARENT WIDTH",IF(K310&gt;L310,"⚠ BABY &gt; PARENT","✔ OK")))</f>
        <v/>
      </c>
      <c r="N310" s="71" t="str">
        <f>IF(D310="","",IF(COUNTIF(D$3:D310,D310)&gt;1,"⚠ DUPLICATE",""))</f>
        <v/>
      </c>
      <c r="O310" s="72" t="str">
        <f>IF(B310="","",SUMIF(B:B,B310,G:G)&amp;" / "&amp;IFERROR(VLOOKUP(B310,'Coil Sheet at Plant'!$C:$I,7,FALSE),"?")&amp;" mm")</f>
        <v/>
      </c>
    </row>
    <row r="311" spans="1:15">
      <c r="A311" s="36"/>
      <c r="B311" s="32"/>
      <c r="C311" s="39"/>
      <c r="D311" s="44" t="str">
        <f>IF(OR(B311="",C311=""),"",CONCATENATE(B311,"-",C311))</f>
        <v/>
      </c>
      <c r="E311" s="49" t="str">
        <f>IF(B311="","",IFERROR(VLOOKUP(B311,'Coil Sheet at Plant'!$C:$G,5,FALSE),"ID Not Found"))</f>
        <v/>
      </c>
      <c r="F311" s="50" t="str">
        <f>IF(B311="","",IFERROR(VLOOKUP(B311,'Coil Sheet at Plant'!$C:$H,6,FALSE),"ID Not Found"))</f>
        <v/>
      </c>
      <c r="G311" s="81">
        <v>458</v>
      </c>
      <c r="H311" s="89" t="str">
        <f>IF(OR(B311="",G311=""),"",IFERROR(VLOOKUP(B311,'Coil Sheet at Plant'!$C:$J,8,FALSE),0)*G311/SUMIF(B:B,B311,G:G))</f>
        <v/>
      </c>
      <c r="I311" s="56" t="str">
        <f>IF(B311="","",IFERROR(VLOOKUP(B311,'Coil Sheet at Plant'!$C:$L,9,FALSE),""))</f>
        <v/>
      </c>
      <c r="J311" s="85" t="str">
        <f>IF(B311="","",IFERROR(VLOOKUP(B311,'Coil Sheet at Plant'!$C:$M,10,FALSE),""))</f>
        <v/>
      </c>
      <c r="K311" s="69" t="str">
        <f>IF(B311="","",SUMIF(B:B,B311,G:G))</f>
        <v/>
      </c>
      <c r="L311" s="70" t="str">
        <f>IF(B311="","",IFERROR(VLOOKUP(B311,'Coil Sheet at Plant'!$C:$I,7,FALSE),""))</f>
        <v/>
      </c>
      <c r="M311" s="71" t="str">
        <f>IF(OR(K311="",L311=""),"",IF(L311=0,"⚠ NO PARENT WIDTH",IF(K311&gt;L311,"⚠ BABY &gt; PARENT","✔ OK")))</f>
        <v/>
      </c>
      <c r="N311" s="71" t="str">
        <f>IF(D311="","",IF(COUNTIF(D$3:D311,D311)&gt;1,"⚠ DUPLICATE",""))</f>
        <v/>
      </c>
      <c r="O311" s="72" t="str">
        <f>IF(B311="","",SUMIF(B:B,B311,G:G)&amp;" / "&amp;IFERROR(VLOOKUP(B311,'Coil Sheet at Plant'!$C:$I,7,FALSE),"?")&amp;" mm")</f>
        <v/>
      </c>
    </row>
    <row r="312" spans="1:15">
      <c r="A312" s="36"/>
      <c r="B312" s="32"/>
      <c r="C312" s="39"/>
      <c r="D312" s="44" t="str">
        <f>IF(OR(B312="",C312=""),"",CONCATENATE(B312,"-",C312))</f>
        <v/>
      </c>
      <c r="E312" s="49" t="str">
        <f>IF(B312="","",IFERROR(VLOOKUP(B312,'Coil Sheet at Plant'!$C:$G,5,FALSE),"ID Not Found"))</f>
        <v/>
      </c>
      <c r="F312" s="50" t="str">
        <f>IF(B312="","",IFERROR(VLOOKUP(B312,'Coil Sheet at Plant'!$C:$H,6,FALSE),"ID Not Found"))</f>
        <v/>
      </c>
      <c r="G312" s="81">
        <v>459</v>
      </c>
      <c r="H312" s="89" t="str">
        <f>IF(OR(B312="",G312=""),"",IFERROR(VLOOKUP(B312,'Coil Sheet at Plant'!$C:$J,8,FALSE),0)*G312/SUMIF(B:B,B312,G:G))</f>
        <v/>
      </c>
      <c r="I312" s="56" t="str">
        <f>IF(B312="","",IFERROR(VLOOKUP(B312,'Coil Sheet at Plant'!$C:$L,9,FALSE),""))</f>
        <v/>
      </c>
      <c r="J312" s="85" t="str">
        <f>IF(B312="","",IFERROR(VLOOKUP(B312,'Coil Sheet at Plant'!$C:$M,10,FALSE),""))</f>
        <v/>
      </c>
      <c r="K312" s="69" t="str">
        <f>IF(B312="","",SUMIF(B:B,B312,G:G))</f>
        <v/>
      </c>
      <c r="L312" s="70" t="str">
        <f>IF(B312="","",IFERROR(VLOOKUP(B312,'Coil Sheet at Plant'!$C:$I,7,FALSE),""))</f>
        <v/>
      </c>
      <c r="M312" s="71" t="str">
        <f>IF(OR(K312="",L312=""),"",IF(L312=0,"⚠ NO PARENT WIDTH",IF(K312&gt;L312,"⚠ BABY &gt; PARENT","✔ OK")))</f>
        <v/>
      </c>
      <c r="N312" s="71" t="str">
        <f>IF(D312="","",IF(COUNTIF(D$3:D312,D312)&gt;1,"⚠ DUPLICATE",""))</f>
        <v/>
      </c>
      <c r="O312" s="72" t="str">
        <f>IF(B312="","",SUMIF(B:B,B312,G:G)&amp;" / "&amp;IFERROR(VLOOKUP(B312,'Coil Sheet at Plant'!$C:$I,7,FALSE),"?")&amp;" mm")</f>
        <v/>
      </c>
    </row>
    <row r="313" spans="1:15">
      <c r="A313" s="36"/>
      <c r="B313" s="32"/>
      <c r="C313" s="39"/>
      <c r="D313" s="44" t="str">
        <f>IF(OR(B313="",C313=""),"",CONCATENATE(B313,"-",C313))</f>
        <v/>
      </c>
      <c r="E313" s="49" t="str">
        <f>IF(B313="","",IFERROR(VLOOKUP(B313,'Coil Sheet at Plant'!$C:$G,5,FALSE),"ID Not Found"))</f>
        <v/>
      </c>
      <c r="F313" s="50" t="str">
        <f>IF(B313="","",IFERROR(VLOOKUP(B313,'Coil Sheet at Plant'!$C:$H,6,FALSE),"ID Not Found"))</f>
        <v/>
      </c>
      <c r="G313" s="81">
        <v>460</v>
      </c>
      <c r="H313" s="89" t="str">
        <f>IF(OR(B313="",G313=""),"",IFERROR(VLOOKUP(B313,'Coil Sheet at Plant'!$C:$J,8,FALSE),0)*G313/SUMIF(B:B,B313,G:G))</f>
        <v/>
      </c>
      <c r="I313" s="56" t="str">
        <f>IF(B313="","",IFERROR(VLOOKUP(B313,'Coil Sheet at Plant'!$C:$L,9,FALSE),""))</f>
        <v/>
      </c>
      <c r="J313" s="85" t="str">
        <f>IF(B313="","",IFERROR(VLOOKUP(B313,'Coil Sheet at Plant'!$C:$M,10,FALSE),""))</f>
        <v/>
      </c>
      <c r="K313" s="69" t="str">
        <f>IF(B313="","",SUMIF(B:B,B313,G:G))</f>
        <v/>
      </c>
      <c r="L313" s="70" t="str">
        <f>IF(B313="","",IFERROR(VLOOKUP(B313,'Coil Sheet at Plant'!$C:$I,7,FALSE),""))</f>
        <v/>
      </c>
      <c r="M313" s="71" t="str">
        <f>IF(OR(K313="",L313=""),"",IF(L313=0,"⚠ NO PARENT WIDTH",IF(K313&gt;L313,"⚠ BABY &gt; PARENT","✔ OK")))</f>
        <v/>
      </c>
      <c r="N313" s="71" t="str">
        <f>IF(D313="","",IF(COUNTIF(D$3:D313,D313)&gt;1,"⚠ DUPLICATE",""))</f>
        <v/>
      </c>
      <c r="O313" s="72" t="str">
        <f>IF(B313="","",SUMIF(B:B,B313,G:G)&amp;" / "&amp;IFERROR(VLOOKUP(B313,'Coil Sheet at Plant'!$C:$I,7,FALSE),"?")&amp;" mm")</f>
        <v/>
      </c>
    </row>
    <row r="314" spans="1:15">
      <c r="A314" s="36"/>
      <c r="B314" s="32"/>
      <c r="C314" s="39"/>
      <c r="D314" s="44" t="str">
        <f>IF(OR(B314="",C314=""),"",CONCATENATE(B314,"-",C314))</f>
        <v/>
      </c>
      <c r="E314" s="49" t="str">
        <f>IF(B314="","",IFERROR(VLOOKUP(B314,'Coil Sheet at Plant'!$C:$G,5,FALSE),"ID Not Found"))</f>
        <v/>
      </c>
      <c r="F314" s="50" t="str">
        <f>IF(B314="","",IFERROR(VLOOKUP(B314,'Coil Sheet at Plant'!$C:$H,6,FALSE),"ID Not Found"))</f>
        <v/>
      </c>
      <c r="G314" s="81">
        <v>461</v>
      </c>
      <c r="H314" s="89" t="str">
        <f>IF(OR(B314="",G314=""),"",IFERROR(VLOOKUP(B314,'Coil Sheet at Plant'!$C:$J,8,FALSE),0)*G314/SUMIF(B:B,B314,G:G))</f>
        <v/>
      </c>
      <c r="I314" s="56" t="str">
        <f>IF(B314="","",IFERROR(VLOOKUP(B314,'Coil Sheet at Plant'!$C:$L,9,FALSE),""))</f>
        <v/>
      </c>
      <c r="J314" s="85" t="str">
        <f>IF(B314="","",IFERROR(VLOOKUP(B314,'Coil Sheet at Plant'!$C:$M,10,FALSE),""))</f>
        <v/>
      </c>
      <c r="K314" s="69" t="str">
        <f>IF(B314="","",SUMIF(B:B,B314,G:G))</f>
        <v/>
      </c>
      <c r="L314" s="70" t="str">
        <f>IF(B314="","",IFERROR(VLOOKUP(B314,'Coil Sheet at Plant'!$C:$I,7,FALSE),""))</f>
        <v/>
      </c>
      <c r="M314" s="71" t="str">
        <f>IF(OR(K314="",L314=""),"",IF(L314=0,"⚠ NO PARENT WIDTH",IF(K314&gt;L314,"⚠ BABY &gt; PARENT","✔ OK")))</f>
        <v/>
      </c>
      <c r="N314" s="71" t="str">
        <f>IF(D314="","",IF(COUNTIF(D$3:D314,D314)&gt;1,"⚠ DUPLICATE",""))</f>
        <v/>
      </c>
      <c r="O314" s="72" t="str">
        <f>IF(B314="","",SUMIF(B:B,B314,G:G)&amp;" / "&amp;IFERROR(VLOOKUP(B314,'Coil Sheet at Plant'!$C:$I,7,FALSE),"?")&amp;" mm")</f>
        <v/>
      </c>
    </row>
    <row r="315" spans="1:15">
      <c r="A315" s="36"/>
      <c r="B315" s="32"/>
      <c r="C315" s="39"/>
      <c r="D315" s="44" t="str">
        <f>IF(OR(B315="",C315=""),"",CONCATENATE(B315,"-",C315))</f>
        <v/>
      </c>
      <c r="E315" s="49" t="str">
        <f>IF(B315="","",IFERROR(VLOOKUP(B315,'Coil Sheet at Plant'!$C:$G,5,FALSE),"ID Not Found"))</f>
        <v/>
      </c>
      <c r="F315" s="50" t="str">
        <f>IF(B315="","",IFERROR(VLOOKUP(B315,'Coil Sheet at Plant'!$C:$H,6,FALSE),"ID Not Found"))</f>
        <v/>
      </c>
      <c r="G315" s="81">
        <v>462</v>
      </c>
      <c r="H315" s="89" t="str">
        <f>IF(OR(B315="",G315=""),"",IFERROR(VLOOKUP(B315,'Coil Sheet at Plant'!$C:$J,8,FALSE),0)*G315/SUMIF(B:B,B315,G:G))</f>
        <v/>
      </c>
      <c r="I315" s="56" t="str">
        <f>IF(B315="","",IFERROR(VLOOKUP(B315,'Coil Sheet at Plant'!$C:$L,9,FALSE),""))</f>
        <v/>
      </c>
      <c r="J315" s="85" t="str">
        <f>IF(B315="","",IFERROR(VLOOKUP(B315,'Coil Sheet at Plant'!$C:$M,10,FALSE),""))</f>
        <v/>
      </c>
      <c r="K315" s="69" t="str">
        <f>IF(B315="","",SUMIF(B:B,B315,G:G))</f>
        <v/>
      </c>
      <c r="L315" s="70" t="str">
        <f>IF(B315="","",IFERROR(VLOOKUP(B315,'Coil Sheet at Plant'!$C:$I,7,FALSE),""))</f>
        <v/>
      </c>
      <c r="M315" s="71" t="str">
        <f>IF(OR(K315="",L315=""),"",IF(L315=0,"⚠ NO PARENT WIDTH",IF(K315&gt;L315,"⚠ BABY &gt; PARENT","✔ OK")))</f>
        <v/>
      </c>
      <c r="N315" s="71" t="str">
        <f>IF(D315="","",IF(COUNTIF(D$3:D315,D315)&gt;1,"⚠ DUPLICATE",""))</f>
        <v/>
      </c>
      <c r="O315" s="72" t="str">
        <f>IF(B315="","",SUMIF(B:B,B315,G:G)&amp;" / "&amp;IFERROR(VLOOKUP(B315,'Coil Sheet at Plant'!$C:$I,7,FALSE),"?")&amp;" mm")</f>
        <v/>
      </c>
    </row>
    <row r="316" spans="1:15">
      <c r="A316" s="36"/>
      <c r="B316" s="32"/>
      <c r="C316" s="39"/>
      <c r="D316" s="44" t="str">
        <f>IF(OR(B316="",C316=""),"",CONCATENATE(B316,"-",C316))</f>
        <v/>
      </c>
      <c r="E316" s="49" t="str">
        <f>IF(B316="","",IFERROR(VLOOKUP(B316,'Coil Sheet at Plant'!$C:$G,5,FALSE),"ID Not Found"))</f>
        <v/>
      </c>
      <c r="F316" s="50" t="str">
        <f>IF(B316="","",IFERROR(VLOOKUP(B316,'Coil Sheet at Plant'!$C:$H,6,FALSE),"ID Not Found"))</f>
        <v/>
      </c>
      <c r="G316" s="81">
        <v>463</v>
      </c>
      <c r="H316" s="89" t="str">
        <f>IF(OR(B316="",G316=""),"",IFERROR(VLOOKUP(B316,'Coil Sheet at Plant'!$C:$J,8,FALSE),0)*G316/SUMIF(B:B,B316,G:G))</f>
        <v/>
      </c>
      <c r="I316" s="56" t="str">
        <f>IF(B316="","",IFERROR(VLOOKUP(B316,'Coil Sheet at Plant'!$C:$L,9,FALSE),""))</f>
        <v/>
      </c>
      <c r="J316" s="85" t="str">
        <f>IF(B316="","",IFERROR(VLOOKUP(B316,'Coil Sheet at Plant'!$C:$M,10,FALSE),""))</f>
        <v/>
      </c>
      <c r="K316" s="69" t="str">
        <f>IF(B316="","",SUMIF(B:B,B316,G:G))</f>
        <v/>
      </c>
      <c r="L316" s="70" t="str">
        <f>IF(B316="","",IFERROR(VLOOKUP(B316,'Coil Sheet at Plant'!$C:$I,7,FALSE),""))</f>
        <v/>
      </c>
      <c r="M316" s="71" t="str">
        <f>IF(OR(K316="",L316=""),"",IF(L316=0,"⚠ NO PARENT WIDTH",IF(K316&gt;L316,"⚠ BABY &gt; PARENT","✔ OK")))</f>
        <v/>
      </c>
      <c r="N316" s="71" t="str">
        <f>IF(D316="","",IF(COUNTIF(D$3:D316,D316)&gt;1,"⚠ DUPLICATE",""))</f>
        <v/>
      </c>
      <c r="O316" s="72" t="str">
        <f>IF(B316="","",SUMIF(B:B,B316,G:G)&amp;" / "&amp;IFERROR(VLOOKUP(B316,'Coil Sheet at Plant'!$C:$I,7,FALSE),"?")&amp;" mm")</f>
        <v/>
      </c>
    </row>
    <row r="317" spans="1:15">
      <c r="A317" s="36"/>
      <c r="B317" s="32"/>
      <c r="C317" s="39"/>
      <c r="D317" s="44" t="str">
        <f>IF(OR(B317="",C317=""),"",CONCATENATE(B317,"-",C317))</f>
        <v/>
      </c>
      <c r="E317" s="49" t="str">
        <f>IF(B317="","",IFERROR(VLOOKUP(B317,'Coil Sheet at Plant'!$C:$G,5,FALSE),"ID Not Found"))</f>
        <v/>
      </c>
      <c r="F317" s="50" t="str">
        <f>IF(B317="","",IFERROR(VLOOKUP(B317,'Coil Sheet at Plant'!$C:$H,6,FALSE),"ID Not Found"))</f>
        <v/>
      </c>
      <c r="G317" s="81">
        <v>464</v>
      </c>
      <c r="H317" s="89" t="str">
        <f>IF(OR(B317="",G317=""),"",IFERROR(VLOOKUP(B317,'Coil Sheet at Plant'!$C:$J,8,FALSE),0)*G317/SUMIF(B:B,B317,G:G))</f>
        <v/>
      </c>
      <c r="I317" s="56" t="str">
        <f>IF(B317="","",IFERROR(VLOOKUP(B317,'Coil Sheet at Plant'!$C:$L,9,FALSE),""))</f>
        <v/>
      </c>
      <c r="J317" s="85" t="str">
        <f>IF(B317="","",IFERROR(VLOOKUP(B317,'Coil Sheet at Plant'!$C:$M,10,FALSE),""))</f>
        <v/>
      </c>
      <c r="K317" s="69" t="str">
        <f>IF(B317="","",SUMIF(B:B,B317,G:G))</f>
        <v/>
      </c>
      <c r="L317" s="70" t="str">
        <f>IF(B317="","",IFERROR(VLOOKUP(B317,'Coil Sheet at Plant'!$C:$I,7,FALSE),""))</f>
        <v/>
      </c>
      <c r="M317" s="71" t="str">
        <f>IF(OR(K317="",L317=""),"",IF(L317=0,"⚠ NO PARENT WIDTH",IF(K317&gt;L317,"⚠ BABY &gt; PARENT","✔ OK")))</f>
        <v/>
      </c>
      <c r="N317" s="71" t="str">
        <f>IF(D317="","",IF(COUNTIF(D$3:D317,D317)&gt;1,"⚠ DUPLICATE",""))</f>
        <v/>
      </c>
      <c r="O317" s="72" t="str">
        <f>IF(B317="","",SUMIF(B:B,B317,G:G)&amp;" / "&amp;IFERROR(VLOOKUP(B317,'Coil Sheet at Plant'!$C:$I,7,FALSE),"?")&amp;" mm")</f>
        <v/>
      </c>
    </row>
    <row r="318" spans="1:15">
      <c r="A318" s="36"/>
      <c r="B318" s="32"/>
      <c r="C318" s="39"/>
      <c r="D318" s="44" t="str">
        <f>IF(OR(B318="",C318=""),"",CONCATENATE(B318,"-",C318))</f>
        <v/>
      </c>
      <c r="E318" s="49" t="str">
        <f>IF(B318="","",IFERROR(VLOOKUP(B318,'Coil Sheet at Plant'!$C:$G,5,FALSE),"ID Not Found"))</f>
        <v/>
      </c>
      <c r="F318" s="50" t="str">
        <f>IF(B318="","",IFERROR(VLOOKUP(B318,'Coil Sheet at Plant'!$C:$H,6,FALSE),"ID Not Found"))</f>
        <v/>
      </c>
      <c r="G318" s="81">
        <v>465</v>
      </c>
      <c r="H318" s="89" t="str">
        <f>IF(OR(B318="",G318=""),"",IFERROR(VLOOKUP(B318,'Coil Sheet at Plant'!$C:$J,8,FALSE),0)*G318/SUMIF(B:B,B318,G:G))</f>
        <v/>
      </c>
      <c r="I318" s="56" t="str">
        <f>IF(B318="","",IFERROR(VLOOKUP(B318,'Coil Sheet at Plant'!$C:$L,9,FALSE),""))</f>
        <v/>
      </c>
      <c r="J318" s="85" t="str">
        <f>IF(B318="","",IFERROR(VLOOKUP(B318,'Coil Sheet at Plant'!$C:$M,10,FALSE),""))</f>
        <v/>
      </c>
      <c r="K318" s="69" t="str">
        <f>IF(B318="","",SUMIF(B:B,B318,G:G))</f>
        <v/>
      </c>
      <c r="L318" s="70" t="str">
        <f>IF(B318="","",IFERROR(VLOOKUP(B318,'Coil Sheet at Plant'!$C:$I,7,FALSE),""))</f>
        <v/>
      </c>
      <c r="M318" s="71" t="str">
        <f>IF(OR(K318="",L318=""),"",IF(L318=0,"⚠ NO PARENT WIDTH",IF(K318&gt;L318,"⚠ BABY &gt; PARENT","✔ OK")))</f>
        <v/>
      </c>
      <c r="N318" s="71" t="str">
        <f>IF(D318="","",IF(COUNTIF(D$3:D318,D318)&gt;1,"⚠ DUPLICATE",""))</f>
        <v/>
      </c>
      <c r="O318" s="72" t="str">
        <f>IF(B318="","",SUMIF(B:B,B318,G:G)&amp;" / "&amp;IFERROR(VLOOKUP(B318,'Coil Sheet at Plant'!$C:$I,7,FALSE),"?")&amp;" mm")</f>
        <v/>
      </c>
    </row>
    <row r="319" spans="1:15">
      <c r="A319" s="36"/>
      <c r="B319" s="32"/>
      <c r="C319" s="39"/>
      <c r="D319" s="44" t="str">
        <f>IF(OR(B319="",C319=""),"",CONCATENATE(B319,"-",C319))</f>
        <v/>
      </c>
      <c r="E319" s="49" t="str">
        <f>IF(B319="","",IFERROR(VLOOKUP(B319,'Coil Sheet at Plant'!$C:$G,5,FALSE),"ID Not Found"))</f>
        <v/>
      </c>
      <c r="F319" s="50" t="str">
        <f>IF(B319="","",IFERROR(VLOOKUP(B319,'Coil Sheet at Plant'!$C:$H,6,FALSE),"ID Not Found"))</f>
        <v/>
      </c>
      <c r="G319" s="81">
        <v>466</v>
      </c>
      <c r="H319" s="89" t="str">
        <f>IF(OR(B319="",G319=""),"",IFERROR(VLOOKUP(B319,'Coil Sheet at Plant'!$C:$J,8,FALSE),0)*G319/SUMIF(B:B,B319,G:G))</f>
        <v/>
      </c>
      <c r="I319" s="56" t="str">
        <f>IF(B319="","",IFERROR(VLOOKUP(B319,'Coil Sheet at Plant'!$C:$L,9,FALSE),""))</f>
        <v/>
      </c>
      <c r="J319" s="85" t="str">
        <f>IF(B319="","",IFERROR(VLOOKUP(B319,'Coil Sheet at Plant'!$C:$M,10,FALSE),""))</f>
        <v/>
      </c>
      <c r="K319" s="69" t="str">
        <f>IF(B319="","",SUMIF(B:B,B319,G:G))</f>
        <v/>
      </c>
      <c r="L319" s="70" t="str">
        <f>IF(B319="","",IFERROR(VLOOKUP(B319,'Coil Sheet at Plant'!$C:$I,7,FALSE),""))</f>
        <v/>
      </c>
      <c r="M319" s="71" t="str">
        <f>IF(OR(K319="",L319=""),"",IF(L319=0,"⚠ NO PARENT WIDTH",IF(K319&gt;L319,"⚠ BABY &gt; PARENT","✔ OK")))</f>
        <v/>
      </c>
      <c r="N319" s="71" t="str">
        <f>IF(D319="","",IF(COUNTIF(D$3:D319,D319)&gt;1,"⚠ DUPLICATE",""))</f>
        <v/>
      </c>
      <c r="O319" s="72" t="str">
        <f>IF(B319="","",SUMIF(B:B,B319,G:G)&amp;" / "&amp;IFERROR(VLOOKUP(B319,'Coil Sheet at Plant'!$C:$I,7,FALSE),"?")&amp;" mm")</f>
        <v/>
      </c>
    </row>
    <row r="320" spans="1:15">
      <c r="A320" s="36"/>
      <c r="B320" s="32"/>
      <c r="C320" s="39"/>
      <c r="D320" s="44" t="str">
        <f>IF(OR(B320="",C320=""),"",CONCATENATE(B320,"-",C320))</f>
        <v/>
      </c>
      <c r="E320" s="49" t="str">
        <f>IF(B320="","",IFERROR(VLOOKUP(B320,'Coil Sheet at Plant'!$C:$G,5,FALSE),"ID Not Found"))</f>
        <v/>
      </c>
      <c r="F320" s="50" t="str">
        <f>IF(B320="","",IFERROR(VLOOKUP(B320,'Coil Sheet at Plant'!$C:$H,6,FALSE),"ID Not Found"))</f>
        <v/>
      </c>
      <c r="G320" s="81">
        <v>467</v>
      </c>
      <c r="H320" s="89" t="str">
        <f>IF(OR(B320="",G320=""),"",IFERROR(VLOOKUP(B320,'Coil Sheet at Plant'!$C:$J,8,FALSE),0)*G320/SUMIF(B:B,B320,G:G))</f>
        <v/>
      </c>
      <c r="I320" s="56" t="str">
        <f>IF(B320="","",IFERROR(VLOOKUP(B320,'Coil Sheet at Plant'!$C:$L,9,FALSE),""))</f>
        <v/>
      </c>
      <c r="J320" s="85" t="str">
        <f>IF(B320="","",IFERROR(VLOOKUP(B320,'Coil Sheet at Plant'!$C:$M,10,FALSE),""))</f>
        <v/>
      </c>
      <c r="K320" s="69" t="str">
        <f>IF(B320="","",SUMIF(B:B,B320,G:G))</f>
        <v/>
      </c>
      <c r="L320" s="70" t="str">
        <f>IF(B320="","",IFERROR(VLOOKUP(B320,'Coil Sheet at Plant'!$C:$I,7,FALSE),""))</f>
        <v/>
      </c>
      <c r="M320" s="71" t="str">
        <f>IF(OR(K320="",L320=""),"",IF(L320=0,"⚠ NO PARENT WIDTH",IF(K320&gt;L320,"⚠ BABY &gt; PARENT","✔ OK")))</f>
        <v/>
      </c>
      <c r="N320" s="71" t="str">
        <f>IF(D320="","",IF(COUNTIF(D$3:D320,D320)&gt;1,"⚠ DUPLICATE",""))</f>
        <v/>
      </c>
      <c r="O320" s="72" t="str">
        <f>IF(B320="","",SUMIF(B:B,B320,G:G)&amp;" / "&amp;IFERROR(VLOOKUP(B320,'Coil Sheet at Plant'!$C:$I,7,FALSE),"?")&amp;" mm")</f>
        <v/>
      </c>
    </row>
    <row r="321" spans="1:15">
      <c r="A321" s="36"/>
      <c r="B321" s="32"/>
      <c r="C321" s="39"/>
      <c r="D321" s="44" t="str">
        <f>IF(OR(B321="",C321=""),"",CONCATENATE(B321,"-",C321))</f>
        <v/>
      </c>
      <c r="E321" s="49" t="str">
        <f>IF(B321="","",IFERROR(VLOOKUP(B321,'Coil Sheet at Plant'!$C:$G,5,FALSE),"ID Not Found"))</f>
        <v/>
      </c>
      <c r="F321" s="50" t="str">
        <f>IF(B321="","",IFERROR(VLOOKUP(B321,'Coil Sheet at Plant'!$C:$H,6,FALSE),"ID Not Found"))</f>
        <v/>
      </c>
      <c r="G321" s="81">
        <v>468</v>
      </c>
      <c r="H321" s="89" t="str">
        <f>IF(OR(B321="",G321=""),"",IFERROR(VLOOKUP(B321,'Coil Sheet at Plant'!$C:$J,8,FALSE),0)*G321/SUMIF(B:B,B321,G:G))</f>
        <v/>
      </c>
      <c r="I321" s="56" t="str">
        <f>IF(B321="","",IFERROR(VLOOKUP(B321,'Coil Sheet at Plant'!$C:$L,9,FALSE),""))</f>
        <v/>
      </c>
      <c r="J321" s="85" t="str">
        <f>IF(B321="","",IFERROR(VLOOKUP(B321,'Coil Sheet at Plant'!$C:$M,10,FALSE),""))</f>
        <v/>
      </c>
      <c r="K321" s="69" t="str">
        <f>IF(B321="","",SUMIF(B:B,B321,G:G))</f>
        <v/>
      </c>
      <c r="L321" s="70" t="str">
        <f>IF(B321="","",IFERROR(VLOOKUP(B321,'Coil Sheet at Plant'!$C:$I,7,FALSE),""))</f>
        <v/>
      </c>
      <c r="M321" s="71" t="str">
        <f>IF(OR(K321="",L321=""),"",IF(L321=0,"⚠ NO PARENT WIDTH",IF(K321&gt;L321,"⚠ BABY &gt; PARENT","✔ OK")))</f>
        <v/>
      </c>
      <c r="N321" s="71" t="str">
        <f>IF(D321="","",IF(COUNTIF(D$3:D321,D321)&gt;1,"⚠ DUPLICATE",""))</f>
        <v/>
      </c>
      <c r="O321" s="72" t="str">
        <f>IF(B321="","",SUMIF(B:B,B321,G:G)&amp;" / "&amp;IFERROR(VLOOKUP(B321,'Coil Sheet at Plant'!$C:$I,7,FALSE),"?")&amp;" mm")</f>
        <v/>
      </c>
    </row>
    <row r="322" spans="1:15">
      <c r="A322" s="36"/>
      <c r="B322" s="32"/>
      <c r="C322" s="39"/>
      <c r="D322" s="44" t="str">
        <f>IF(OR(B322="",C322=""),"",CONCATENATE(B322,"-",C322))</f>
        <v/>
      </c>
      <c r="E322" s="49" t="str">
        <f>IF(B322="","",IFERROR(VLOOKUP(B322,'Coil Sheet at Plant'!$C:$G,5,FALSE),"ID Not Found"))</f>
        <v/>
      </c>
      <c r="F322" s="50" t="str">
        <f>IF(B322="","",IFERROR(VLOOKUP(B322,'Coil Sheet at Plant'!$C:$H,6,FALSE),"ID Not Found"))</f>
        <v/>
      </c>
      <c r="G322" s="81">
        <v>469</v>
      </c>
      <c r="H322" s="89" t="str">
        <f>IF(OR(B322="",G322=""),"",IFERROR(VLOOKUP(B322,'Coil Sheet at Plant'!$C:$J,8,FALSE),0)*G322/SUMIF(B:B,B322,G:G))</f>
        <v/>
      </c>
      <c r="I322" s="56" t="str">
        <f>IF(B322="","",IFERROR(VLOOKUP(B322,'Coil Sheet at Plant'!$C:$L,9,FALSE),""))</f>
        <v/>
      </c>
      <c r="J322" s="85" t="str">
        <f>IF(B322="","",IFERROR(VLOOKUP(B322,'Coil Sheet at Plant'!$C:$M,10,FALSE),""))</f>
        <v/>
      </c>
      <c r="K322" s="69" t="str">
        <f>IF(B322="","",SUMIF(B:B,B322,G:G))</f>
        <v/>
      </c>
      <c r="L322" s="70" t="str">
        <f>IF(B322="","",IFERROR(VLOOKUP(B322,'Coil Sheet at Plant'!$C:$I,7,FALSE),""))</f>
        <v/>
      </c>
      <c r="M322" s="71" t="str">
        <f>IF(OR(K322="",L322=""),"",IF(L322=0,"⚠ NO PARENT WIDTH",IF(K322&gt;L322,"⚠ BABY &gt; PARENT","✔ OK")))</f>
        <v/>
      </c>
      <c r="N322" s="71" t="str">
        <f>IF(D322="","",IF(COUNTIF(D$3:D322,D322)&gt;1,"⚠ DUPLICATE",""))</f>
        <v/>
      </c>
      <c r="O322" s="72" t="str">
        <f>IF(B322="","",SUMIF(B:B,B322,G:G)&amp;" / "&amp;IFERROR(VLOOKUP(B322,'Coil Sheet at Plant'!$C:$I,7,FALSE),"?")&amp;" mm")</f>
        <v/>
      </c>
    </row>
    <row r="323" spans="1:15">
      <c r="A323" s="36"/>
      <c r="B323" s="32"/>
      <c r="C323" s="39"/>
      <c r="D323" s="44" t="str">
        <f>IF(OR(B323="",C323=""),"",CONCATENATE(B323,"-",C323))</f>
        <v/>
      </c>
      <c r="E323" s="49" t="str">
        <f>IF(B323="","",IFERROR(VLOOKUP(B323,'Coil Sheet at Plant'!$C:$G,5,FALSE),"ID Not Found"))</f>
        <v/>
      </c>
      <c r="F323" s="50" t="str">
        <f>IF(B323="","",IFERROR(VLOOKUP(B323,'Coil Sheet at Plant'!$C:$H,6,FALSE),"ID Not Found"))</f>
        <v/>
      </c>
      <c r="G323" s="81">
        <v>470</v>
      </c>
      <c r="H323" s="89" t="str">
        <f>IF(OR(B323="",G323=""),"",IFERROR(VLOOKUP(B323,'Coil Sheet at Plant'!$C:$J,8,FALSE),0)*G323/SUMIF(B:B,B323,G:G))</f>
        <v/>
      </c>
      <c r="I323" s="56" t="str">
        <f>IF(B323="","",IFERROR(VLOOKUP(B323,'Coil Sheet at Plant'!$C:$L,9,FALSE),""))</f>
        <v/>
      </c>
      <c r="J323" s="85" t="str">
        <f>IF(B323="","",IFERROR(VLOOKUP(B323,'Coil Sheet at Plant'!$C:$M,10,FALSE),""))</f>
        <v/>
      </c>
      <c r="K323" s="69" t="str">
        <f>IF(B323="","",SUMIF(B:B,B323,G:G))</f>
        <v/>
      </c>
      <c r="L323" s="70" t="str">
        <f>IF(B323="","",IFERROR(VLOOKUP(B323,'Coil Sheet at Plant'!$C:$I,7,FALSE),""))</f>
        <v/>
      </c>
      <c r="M323" s="71" t="str">
        <f>IF(OR(K323="",L323=""),"",IF(L323=0,"⚠ NO PARENT WIDTH",IF(K323&gt;L323,"⚠ BABY &gt; PARENT","✔ OK")))</f>
        <v/>
      </c>
      <c r="N323" s="71" t="str">
        <f>IF(D323="","",IF(COUNTIF(D$3:D323,D323)&gt;1,"⚠ DUPLICATE",""))</f>
        <v/>
      </c>
      <c r="O323" s="72" t="str">
        <f>IF(B323="","",SUMIF(B:B,B323,G:G)&amp;" / "&amp;IFERROR(VLOOKUP(B323,'Coil Sheet at Plant'!$C:$I,7,FALSE),"?")&amp;" mm")</f>
        <v/>
      </c>
    </row>
    <row r="324" spans="1:15">
      <c r="A324" s="36"/>
      <c r="B324" s="32"/>
      <c r="C324" s="39"/>
      <c r="D324" s="44" t="str">
        <f>IF(OR(B324="",C324=""),"",CONCATENATE(B324,"-",C324))</f>
        <v/>
      </c>
      <c r="E324" s="49" t="str">
        <f>IF(B324="","",IFERROR(VLOOKUP(B324,'Coil Sheet at Plant'!$C:$G,5,FALSE),"ID Not Found"))</f>
        <v/>
      </c>
      <c r="F324" s="50" t="str">
        <f>IF(B324="","",IFERROR(VLOOKUP(B324,'Coil Sheet at Plant'!$C:$H,6,FALSE),"ID Not Found"))</f>
        <v/>
      </c>
      <c r="G324" s="81">
        <v>471</v>
      </c>
      <c r="H324" s="89" t="str">
        <f>IF(OR(B324="",G324=""),"",IFERROR(VLOOKUP(B324,'Coil Sheet at Plant'!$C:$J,8,FALSE),0)*G324/SUMIF(B:B,B324,G:G))</f>
        <v/>
      </c>
      <c r="I324" s="56" t="str">
        <f>IF(B324="","",IFERROR(VLOOKUP(B324,'Coil Sheet at Plant'!$C:$L,9,FALSE),""))</f>
        <v/>
      </c>
      <c r="J324" s="85" t="str">
        <f>IF(B324="","",IFERROR(VLOOKUP(B324,'Coil Sheet at Plant'!$C:$M,10,FALSE),""))</f>
        <v/>
      </c>
      <c r="K324" s="69" t="str">
        <f>IF(B324="","",SUMIF(B:B,B324,G:G))</f>
        <v/>
      </c>
      <c r="L324" s="70" t="str">
        <f>IF(B324="","",IFERROR(VLOOKUP(B324,'Coil Sheet at Plant'!$C:$I,7,FALSE),""))</f>
        <v/>
      </c>
      <c r="M324" s="71" t="str">
        <f>IF(OR(K324="",L324=""),"",IF(L324=0,"⚠ NO PARENT WIDTH",IF(K324&gt;L324,"⚠ BABY &gt; PARENT","✔ OK")))</f>
        <v/>
      </c>
      <c r="N324" s="71" t="str">
        <f>IF(D324="","",IF(COUNTIF(D$3:D324,D324)&gt;1,"⚠ DUPLICATE",""))</f>
        <v/>
      </c>
      <c r="O324" s="72" t="str">
        <f>IF(B324="","",SUMIF(B:B,B324,G:G)&amp;" / "&amp;IFERROR(VLOOKUP(B324,'Coil Sheet at Plant'!$C:$I,7,FALSE),"?")&amp;" mm")</f>
        <v/>
      </c>
    </row>
    <row r="325" spans="1:15">
      <c r="A325" s="36"/>
      <c r="B325" s="32"/>
      <c r="C325" s="39"/>
      <c r="D325" s="44" t="str">
        <f>IF(OR(B325="",C325=""),"",CONCATENATE(B325,"-",C325))</f>
        <v/>
      </c>
      <c r="E325" s="49" t="str">
        <f>IF(B325="","",IFERROR(VLOOKUP(B325,'Coil Sheet at Plant'!$C:$G,5,FALSE),"ID Not Found"))</f>
        <v/>
      </c>
      <c r="F325" s="50" t="str">
        <f>IF(B325="","",IFERROR(VLOOKUP(B325,'Coil Sheet at Plant'!$C:$H,6,FALSE),"ID Not Found"))</f>
        <v/>
      </c>
      <c r="G325" s="81">
        <v>472</v>
      </c>
      <c r="H325" s="89" t="str">
        <f>IF(OR(B325="",G325=""),"",IFERROR(VLOOKUP(B325,'Coil Sheet at Plant'!$C:$J,8,FALSE),0)*G325/SUMIF(B:B,B325,G:G))</f>
        <v/>
      </c>
      <c r="I325" s="56" t="str">
        <f>IF(B325="","",IFERROR(VLOOKUP(B325,'Coil Sheet at Plant'!$C:$L,9,FALSE),""))</f>
        <v/>
      </c>
      <c r="J325" s="85" t="str">
        <f>IF(B325="","",IFERROR(VLOOKUP(B325,'Coil Sheet at Plant'!$C:$M,10,FALSE),""))</f>
        <v/>
      </c>
      <c r="K325" s="69" t="str">
        <f>IF(B325="","",SUMIF(B:B,B325,G:G))</f>
        <v/>
      </c>
      <c r="L325" s="70" t="str">
        <f>IF(B325="","",IFERROR(VLOOKUP(B325,'Coil Sheet at Plant'!$C:$I,7,FALSE),""))</f>
        <v/>
      </c>
      <c r="M325" s="71" t="str">
        <f>IF(OR(K325="",L325=""),"",IF(L325=0,"⚠ NO PARENT WIDTH",IF(K325&gt;L325,"⚠ BABY &gt; PARENT","✔ OK")))</f>
        <v/>
      </c>
      <c r="N325" s="71" t="str">
        <f>IF(D325="","",IF(COUNTIF(D$3:D325,D325)&gt;1,"⚠ DUPLICATE",""))</f>
        <v/>
      </c>
      <c r="O325" s="72" t="str">
        <f>IF(B325="","",SUMIF(B:B,B325,G:G)&amp;" / "&amp;IFERROR(VLOOKUP(B325,'Coil Sheet at Plant'!$C:$I,7,FALSE),"?")&amp;" mm")</f>
        <v/>
      </c>
    </row>
    <row r="326" spans="1:15">
      <c r="A326" s="36"/>
      <c r="B326" s="32"/>
      <c r="C326" s="39"/>
      <c r="D326" s="44" t="str">
        <f>IF(OR(B326="",C326=""),"",CONCATENATE(B326,"-",C326))</f>
        <v/>
      </c>
      <c r="E326" s="49" t="str">
        <f>IF(B326="","",IFERROR(VLOOKUP(B326,'Coil Sheet at Plant'!$C:$G,5,FALSE),"ID Not Found"))</f>
        <v/>
      </c>
      <c r="F326" s="50" t="str">
        <f>IF(B326="","",IFERROR(VLOOKUP(B326,'Coil Sheet at Plant'!$C:$H,6,FALSE),"ID Not Found"))</f>
        <v/>
      </c>
      <c r="G326" s="81">
        <v>473</v>
      </c>
      <c r="H326" s="89" t="str">
        <f>IF(OR(B326="",G326=""),"",IFERROR(VLOOKUP(B326,'Coil Sheet at Plant'!$C:$J,8,FALSE),0)*G326/SUMIF(B:B,B326,G:G))</f>
        <v/>
      </c>
      <c r="I326" s="56" t="str">
        <f>IF(B326="","",IFERROR(VLOOKUP(B326,'Coil Sheet at Plant'!$C:$L,9,FALSE),""))</f>
        <v/>
      </c>
      <c r="J326" s="85" t="str">
        <f>IF(B326="","",IFERROR(VLOOKUP(B326,'Coil Sheet at Plant'!$C:$M,10,FALSE),""))</f>
        <v/>
      </c>
      <c r="K326" s="69" t="str">
        <f>IF(B326="","",SUMIF(B:B,B326,G:G))</f>
        <v/>
      </c>
      <c r="L326" s="70" t="str">
        <f>IF(B326="","",IFERROR(VLOOKUP(B326,'Coil Sheet at Plant'!$C:$I,7,FALSE),""))</f>
        <v/>
      </c>
      <c r="M326" s="71" t="str">
        <f>IF(OR(K326="",L326=""),"",IF(L326=0,"⚠ NO PARENT WIDTH",IF(K326&gt;L326,"⚠ BABY &gt; PARENT","✔ OK")))</f>
        <v/>
      </c>
      <c r="N326" s="71" t="str">
        <f>IF(D326="","",IF(COUNTIF(D$3:D326,D326)&gt;1,"⚠ DUPLICATE",""))</f>
        <v/>
      </c>
      <c r="O326" s="72" t="str">
        <f>IF(B326="","",SUMIF(B:B,B326,G:G)&amp;" / "&amp;IFERROR(VLOOKUP(B326,'Coil Sheet at Plant'!$C:$I,7,FALSE),"?")&amp;" mm")</f>
        <v/>
      </c>
    </row>
    <row r="327" spans="1:15">
      <c r="A327" s="36"/>
      <c r="B327" s="32"/>
      <c r="C327" s="39"/>
      <c r="D327" s="44" t="str">
        <f>IF(OR(B327="",C327=""),"",CONCATENATE(B327,"-",C327))</f>
        <v/>
      </c>
      <c r="E327" s="49" t="str">
        <f>IF(B327="","",IFERROR(VLOOKUP(B327,'Coil Sheet at Plant'!$C:$G,5,FALSE),"ID Not Found"))</f>
        <v/>
      </c>
      <c r="F327" s="50" t="str">
        <f>IF(B327="","",IFERROR(VLOOKUP(B327,'Coil Sheet at Plant'!$C:$H,6,FALSE),"ID Not Found"))</f>
        <v/>
      </c>
      <c r="G327" s="81">
        <v>474</v>
      </c>
      <c r="H327" s="89" t="str">
        <f>IF(OR(B327="",G327=""),"",IFERROR(VLOOKUP(B327,'Coil Sheet at Plant'!$C:$J,8,FALSE),0)*G327/SUMIF(B:B,B327,G:G))</f>
        <v/>
      </c>
      <c r="I327" s="56" t="str">
        <f>IF(B327="","",IFERROR(VLOOKUP(B327,'Coil Sheet at Plant'!$C:$L,9,FALSE),""))</f>
        <v/>
      </c>
      <c r="J327" s="85" t="str">
        <f>IF(B327="","",IFERROR(VLOOKUP(B327,'Coil Sheet at Plant'!$C:$M,10,FALSE),""))</f>
        <v/>
      </c>
      <c r="K327" s="69" t="str">
        <f>IF(B327="","",SUMIF(B:B,B327,G:G))</f>
        <v/>
      </c>
      <c r="L327" s="70" t="str">
        <f>IF(B327="","",IFERROR(VLOOKUP(B327,'Coil Sheet at Plant'!$C:$I,7,FALSE),""))</f>
        <v/>
      </c>
      <c r="M327" s="71" t="str">
        <f>IF(OR(K327="",L327=""),"",IF(L327=0,"⚠ NO PARENT WIDTH",IF(K327&gt;L327,"⚠ BABY &gt; PARENT","✔ OK")))</f>
        <v/>
      </c>
      <c r="N327" s="71" t="str">
        <f>IF(D327="","",IF(COUNTIF(D$3:D327,D327)&gt;1,"⚠ DUPLICATE",""))</f>
        <v/>
      </c>
      <c r="O327" s="72" t="str">
        <f>IF(B327="","",SUMIF(B:B,B327,G:G)&amp;" / "&amp;IFERROR(VLOOKUP(B327,'Coil Sheet at Plant'!$C:$I,7,FALSE),"?")&amp;" mm")</f>
        <v/>
      </c>
    </row>
    <row r="328" spans="1:15">
      <c r="A328" s="36"/>
      <c r="B328" s="32"/>
      <c r="C328" s="39"/>
      <c r="D328" s="44" t="str">
        <f>IF(OR(B328="",C328=""),"",CONCATENATE(B328,"-",C328))</f>
        <v/>
      </c>
      <c r="E328" s="49" t="str">
        <f>IF(B328="","",IFERROR(VLOOKUP(B328,'Coil Sheet at Plant'!$C:$G,5,FALSE),"ID Not Found"))</f>
        <v/>
      </c>
      <c r="F328" s="50" t="str">
        <f>IF(B328="","",IFERROR(VLOOKUP(B328,'Coil Sheet at Plant'!$C:$H,6,FALSE),"ID Not Found"))</f>
        <v/>
      </c>
      <c r="G328" s="81">
        <v>475</v>
      </c>
      <c r="H328" s="89" t="str">
        <f>IF(OR(B328="",G328=""),"",IFERROR(VLOOKUP(B328,'Coil Sheet at Plant'!$C:$J,8,FALSE),0)*G328/SUMIF(B:B,B328,G:G))</f>
        <v/>
      </c>
      <c r="I328" s="56" t="str">
        <f>IF(B328="","",IFERROR(VLOOKUP(B328,'Coil Sheet at Plant'!$C:$L,9,FALSE),""))</f>
        <v/>
      </c>
      <c r="J328" s="85" t="str">
        <f>IF(B328="","",IFERROR(VLOOKUP(B328,'Coil Sheet at Plant'!$C:$M,10,FALSE),""))</f>
        <v/>
      </c>
      <c r="K328" s="69" t="str">
        <f>IF(B328="","",SUMIF(B:B,B328,G:G))</f>
        <v/>
      </c>
      <c r="L328" s="70" t="str">
        <f>IF(B328="","",IFERROR(VLOOKUP(B328,'Coil Sheet at Plant'!$C:$I,7,FALSE),""))</f>
        <v/>
      </c>
      <c r="M328" s="71" t="str">
        <f>IF(OR(K328="",L328=""),"",IF(L328=0,"⚠ NO PARENT WIDTH",IF(K328&gt;L328,"⚠ BABY &gt; PARENT","✔ OK")))</f>
        <v/>
      </c>
      <c r="N328" s="71" t="str">
        <f>IF(D328="","",IF(COUNTIF(D$3:D328,D328)&gt;1,"⚠ DUPLICATE",""))</f>
        <v/>
      </c>
      <c r="O328" s="72" t="str">
        <f>IF(B328="","",SUMIF(B:B,B328,G:G)&amp;" / "&amp;IFERROR(VLOOKUP(B328,'Coil Sheet at Plant'!$C:$I,7,FALSE),"?")&amp;" mm")</f>
        <v/>
      </c>
    </row>
    <row r="329" spans="1:15">
      <c r="A329" s="36"/>
      <c r="B329" s="32"/>
      <c r="C329" s="39"/>
      <c r="D329" s="44" t="str">
        <f>IF(OR(B329="",C329=""),"",CONCATENATE(B329,"-",C329))</f>
        <v/>
      </c>
      <c r="E329" s="49" t="str">
        <f>IF(B329="","",IFERROR(VLOOKUP(B329,'Coil Sheet at Plant'!$C:$G,5,FALSE),"ID Not Found"))</f>
        <v/>
      </c>
      <c r="F329" s="50" t="str">
        <f>IF(B329="","",IFERROR(VLOOKUP(B329,'Coil Sheet at Plant'!$C:$H,6,FALSE),"ID Not Found"))</f>
        <v/>
      </c>
      <c r="G329" s="81">
        <v>476</v>
      </c>
      <c r="H329" s="89" t="str">
        <f>IF(OR(B329="",G329=""),"",IFERROR(VLOOKUP(B329,'Coil Sheet at Plant'!$C:$J,8,FALSE),0)*G329/SUMIF(B:B,B329,G:G))</f>
        <v/>
      </c>
      <c r="I329" s="56" t="str">
        <f>IF(B329="","",IFERROR(VLOOKUP(B329,'Coil Sheet at Plant'!$C:$L,9,FALSE),""))</f>
        <v/>
      </c>
      <c r="J329" s="85" t="str">
        <f>IF(B329="","",IFERROR(VLOOKUP(B329,'Coil Sheet at Plant'!$C:$M,10,FALSE),""))</f>
        <v/>
      </c>
      <c r="K329" s="69" t="str">
        <f>IF(B329="","",SUMIF(B:B,B329,G:G))</f>
        <v/>
      </c>
      <c r="L329" s="70" t="str">
        <f>IF(B329="","",IFERROR(VLOOKUP(B329,'Coil Sheet at Plant'!$C:$I,7,FALSE),""))</f>
        <v/>
      </c>
      <c r="M329" s="71" t="str">
        <f>IF(OR(K329="",L329=""),"",IF(L329=0,"⚠ NO PARENT WIDTH",IF(K329&gt;L329,"⚠ BABY &gt; PARENT","✔ OK")))</f>
        <v/>
      </c>
      <c r="N329" s="71" t="str">
        <f>IF(D329="","",IF(COUNTIF(D$3:D329,D329)&gt;1,"⚠ DUPLICATE",""))</f>
        <v/>
      </c>
      <c r="O329" s="72" t="str">
        <f>IF(B329="","",SUMIF(B:B,B329,G:G)&amp;" / "&amp;IFERROR(VLOOKUP(B329,'Coil Sheet at Plant'!$C:$I,7,FALSE),"?")&amp;" mm")</f>
        <v/>
      </c>
    </row>
    <row r="330" spans="1:15">
      <c r="A330" s="36"/>
      <c r="B330" s="32"/>
      <c r="C330" s="39"/>
      <c r="D330" s="44" t="str">
        <f>IF(OR(B330="",C330=""),"",CONCATENATE(B330,"-",C330))</f>
        <v/>
      </c>
      <c r="E330" s="49" t="str">
        <f>IF(B330="","",IFERROR(VLOOKUP(B330,'Coil Sheet at Plant'!$C:$G,5,FALSE),"ID Not Found"))</f>
        <v/>
      </c>
      <c r="F330" s="50" t="str">
        <f>IF(B330="","",IFERROR(VLOOKUP(B330,'Coil Sheet at Plant'!$C:$H,6,FALSE),"ID Not Found"))</f>
        <v/>
      </c>
      <c r="G330" s="81">
        <v>477</v>
      </c>
      <c r="H330" s="89" t="str">
        <f>IF(OR(B330="",G330=""),"",IFERROR(VLOOKUP(B330,'Coil Sheet at Plant'!$C:$J,8,FALSE),0)*G330/SUMIF(B:B,B330,G:G))</f>
        <v/>
      </c>
      <c r="I330" s="56" t="str">
        <f>IF(B330="","",IFERROR(VLOOKUP(B330,'Coil Sheet at Plant'!$C:$L,9,FALSE),""))</f>
        <v/>
      </c>
      <c r="J330" s="85" t="str">
        <f>IF(B330="","",IFERROR(VLOOKUP(B330,'Coil Sheet at Plant'!$C:$M,10,FALSE),""))</f>
        <v/>
      </c>
      <c r="K330" s="69" t="str">
        <f>IF(B330="","",SUMIF(B:B,B330,G:G))</f>
        <v/>
      </c>
      <c r="L330" s="70" t="str">
        <f>IF(B330="","",IFERROR(VLOOKUP(B330,'Coil Sheet at Plant'!$C:$I,7,FALSE),""))</f>
        <v/>
      </c>
      <c r="M330" s="71" t="str">
        <f>IF(OR(K330="",L330=""),"",IF(L330=0,"⚠ NO PARENT WIDTH",IF(K330&gt;L330,"⚠ BABY &gt; PARENT","✔ OK")))</f>
        <v/>
      </c>
      <c r="N330" s="71" t="str">
        <f>IF(D330="","",IF(COUNTIF(D$3:D330,D330)&gt;1,"⚠ DUPLICATE",""))</f>
        <v/>
      </c>
      <c r="O330" s="72" t="str">
        <f>IF(B330="","",SUMIF(B:B,B330,G:G)&amp;" / "&amp;IFERROR(VLOOKUP(B330,'Coil Sheet at Plant'!$C:$I,7,FALSE),"?")&amp;" mm")</f>
        <v/>
      </c>
    </row>
    <row r="331" spans="1:15">
      <c r="A331" s="36"/>
      <c r="B331" s="32"/>
      <c r="C331" s="39"/>
      <c r="D331" s="44" t="str">
        <f>IF(OR(B331="",C331=""),"",CONCATENATE(B331,"-",C331))</f>
        <v/>
      </c>
      <c r="E331" s="49" t="str">
        <f>IF(B331="","",IFERROR(VLOOKUP(B331,'Coil Sheet at Plant'!$C:$G,5,FALSE),"ID Not Found"))</f>
        <v/>
      </c>
      <c r="F331" s="50" t="str">
        <f>IF(B331="","",IFERROR(VLOOKUP(B331,'Coil Sheet at Plant'!$C:$H,6,FALSE),"ID Not Found"))</f>
        <v/>
      </c>
      <c r="G331" s="81">
        <v>478</v>
      </c>
      <c r="H331" s="89" t="str">
        <f>IF(OR(B331="",G331=""),"",IFERROR(VLOOKUP(B331,'Coil Sheet at Plant'!$C:$J,8,FALSE),0)*G331/SUMIF(B:B,B331,G:G))</f>
        <v/>
      </c>
      <c r="I331" s="56" t="str">
        <f>IF(B331="","",IFERROR(VLOOKUP(B331,'Coil Sheet at Plant'!$C:$L,9,FALSE),""))</f>
        <v/>
      </c>
      <c r="J331" s="85" t="str">
        <f>IF(B331="","",IFERROR(VLOOKUP(B331,'Coil Sheet at Plant'!$C:$M,10,FALSE),""))</f>
        <v/>
      </c>
      <c r="K331" s="69" t="str">
        <f>IF(B331="","",SUMIF(B:B,B331,G:G))</f>
        <v/>
      </c>
      <c r="L331" s="70" t="str">
        <f>IF(B331="","",IFERROR(VLOOKUP(B331,'Coil Sheet at Plant'!$C:$I,7,FALSE),""))</f>
        <v/>
      </c>
      <c r="M331" s="71" t="str">
        <f>IF(OR(K331="",L331=""),"",IF(L331=0,"⚠ NO PARENT WIDTH",IF(K331&gt;L331,"⚠ BABY &gt; PARENT","✔ OK")))</f>
        <v/>
      </c>
      <c r="N331" s="71" t="str">
        <f>IF(D331="","",IF(COUNTIF(D$3:D331,D331)&gt;1,"⚠ DUPLICATE",""))</f>
        <v/>
      </c>
      <c r="O331" s="72" t="str">
        <f>IF(B331="","",SUMIF(B:B,B331,G:G)&amp;" / "&amp;IFERROR(VLOOKUP(B331,'Coil Sheet at Plant'!$C:$I,7,FALSE),"?")&amp;" mm")</f>
        <v/>
      </c>
    </row>
    <row r="332" spans="1:15">
      <c r="A332" s="36"/>
      <c r="B332" s="32"/>
      <c r="C332" s="39"/>
      <c r="D332" s="44" t="str">
        <f>IF(OR(B332="",C332=""),"",CONCATENATE(B332,"-",C332))</f>
        <v/>
      </c>
      <c r="E332" s="49" t="str">
        <f>IF(B332="","",IFERROR(VLOOKUP(B332,'Coil Sheet at Plant'!$C:$G,5,FALSE),"ID Not Found"))</f>
        <v/>
      </c>
      <c r="F332" s="50" t="str">
        <f>IF(B332="","",IFERROR(VLOOKUP(B332,'Coil Sheet at Plant'!$C:$H,6,FALSE),"ID Not Found"))</f>
        <v/>
      </c>
      <c r="G332" s="81">
        <v>479</v>
      </c>
      <c r="H332" s="89" t="str">
        <f>IF(OR(B332="",G332=""),"",IFERROR(VLOOKUP(B332,'Coil Sheet at Plant'!$C:$J,8,FALSE),0)*G332/SUMIF(B:B,B332,G:G))</f>
        <v/>
      </c>
      <c r="I332" s="56" t="str">
        <f>IF(B332="","",IFERROR(VLOOKUP(B332,'Coil Sheet at Plant'!$C:$L,9,FALSE),""))</f>
        <v/>
      </c>
      <c r="J332" s="85" t="str">
        <f>IF(B332="","",IFERROR(VLOOKUP(B332,'Coil Sheet at Plant'!$C:$M,10,FALSE),""))</f>
        <v/>
      </c>
      <c r="K332" s="69" t="str">
        <f>IF(B332="","",SUMIF(B:B,B332,G:G))</f>
        <v/>
      </c>
      <c r="L332" s="70" t="str">
        <f>IF(B332="","",IFERROR(VLOOKUP(B332,'Coil Sheet at Plant'!$C:$I,7,FALSE),""))</f>
        <v/>
      </c>
      <c r="M332" s="71" t="str">
        <f>IF(OR(K332="",L332=""),"",IF(L332=0,"⚠ NO PARENT WIDTH",IF(K332&gt;L332,"⚠ BABY &gt; PARENT","✔ OK")))</f>
        <v/>
      </c>
      <c r="N332" s="71" t="str">
        <f>IF(D332="","",IF(COUNTIF(D$3:D332,D332)&gt;1,"⚠ DUPLICATE",""))</f>
        <v/>
      </c>
      <c r="O332" s="72" t="str">
        <f>IF(B332="","",SUMIF(B:B,B332,G:G)&amp;" / "&amp;IFERROR(VLOOKUP(B332,'Coil Sheet at Plant'!$C:$I,7,FALSE),"?")&amp;" mm")</f>
        <v/>
      </c>
    </row>
    <row r="333" spans="1:15">
      <c r="A333" s="36"/>
      <c r="B333" s="32"/>
      <c r="C333" s="39"/>
      <c r="D333" s="44" t="str">
        <f>IF(OR(B333="",C333=""),"",CONCATENATE(B333,"-",C333))</f>
        <v/>
      </c>
      <c r="E333" s="49" t="str">
        <f>IF(B333="","",IFERROR(VLOOKUP(B333,'Coil Sheet at Plant'!$C:$G,5,FALSE),"ID Not Found"))</f>
        <v/>
      </c>
      <c r="F333" s="50" t="str">
        <f>IF(B333="","",IFERROR(VLOOKUP(B333,'Coil Sheet at Plant'!$C:$H,6,FALSE),"ID Not Found"))</f>
        <v/>
      </c>
      <c r="G333" s="81">
        <v>480</v>
      </c>
      <c r="H333" s="89" t="str">
        <f>IF(OR(B333="",G333=""),"",IFERROR(VLOOKUP(B333,'Coil Sheet at Plant'!$C:$J,8,FALSE),0)*G333/SUMIF(B:B,B333,G:G))</f>
        <v/>
      </c>
      <c r="I333" s="56" t="str">
        <f>IF(B333="","",IFERROR(VLOOKUP(B333,'Coil Sheet at Plant'!$C:$L,9,FALSE),""))</f>
        <v/>
      </c>
      <c r="J333" s="85" t="str">
        <f>IF(B333="","",IFERROR(VLOOKUP(B333,'Coil Sheet at Plant'!$C:$M,10,FALSE),""))</f>
        <v/>
      </c>
      <c r="K333" s="69" t="str">
        <f>IF(B333="","",SUMIF(B:B,B333,G:G))</f>
        <v/>
      </c>
      <c r="L333" s="70" t="str">
        <f>IF(B333="","",IFERROR(VLOOKUP(B333,'Coil Sheet at Plant'!$C:$I,7,FALSE),""))</f>
        <v/>
      </c>
      <c r="M333" s="71" t="str">
        <f>IF(OR(K333="",L333=""),"",IF(L333=0,"⚠ NO PARENT WIDTH",IF(K333&gt;L333,"⚠ BABY &gt; PARENT","✔ OK")))</f>
        <v/>
      </c>
      <c r="N333" s="71" t="str">
        <f>IF(D333="","",IF(COUNTIF(D$3:D333,D333)&gt;1,"⚠ DUPLICATE",""))</f>
        <v/>
      </c>
      <c r="O333" s="72" t="str">
        <f>IF(B333="","",SUMIF(B:B,B333,G:G)&amp;" / "&amp;IFERROR(VLOOKUP(B333,'Coil Sheet at Plant'!$C:$I,7,FALSE),"?")&amp;" mm")</f>
        <v/>
      </c>
    </row>
    <row r="334" spans="1:15">
      <c r="A334" s="36"/>
      <c r="B334" s="32"/>
      <c r="C334" s="39"/>
      <c r="D334" s="44" t="str">
        <f>IF(OR(B334="",C334=""),"",CONCATENATE(B334,"-",C334))</f>
        <v/>
      </c>
      <c r="E334" s="49" t="str">
        <f>IF(B334="","",IFERROR(VLOOKUP(B334,'Coil Sheet at Plant'!$C:$G,5,FALSE),"ID Not Found"))</f>
        <v/>
      </c>
      <c r="F334" s="50" t="str">
        <f>IF(B334="","",IFERROR(VLOOKUP(B334,'Coil Sheet at Plant'!$C:$H,6,FALSE),"ID Not Found"))</f>
        <v/>
      </c>
      <c r="G334" s="81">
        <v>481</v>
      </c>
      <c r="H334" s="89" t="str">
        <f>IF(OR(B334="",G334=""),"",IFERROR(VLOOKUP(B334,'Coil Sheet at Plant'!$C:$J,8,FALSE),0)*G334/SUMIF(B:B,B334,G:G))</f>
        <v/>
      </c>
      <c r="I334" s="56" t="str">
        <f>IF(B334="","",IFERROR(VLOOKUP(B334,'Coil Sheet at Plant'!$C:$L,9,FALSE),""))</f>
        <v/>
      </c>
      <c r="J334" s="85" t="str">
        <f>IF(B334="","",IFERROR(VLOOKUP(B334,'Coil Sheet at Plant'!$C:$M,10,FALSE),""))</f>
        <v/>
      </c>
      <c r="K334" s="69" t="str">
        <f>IF(B334="","",SUMIF(B:B,B334,G:G))</f>
        <v/>
      </c>
      <c r="L334" s="70" t="str">
        <f>IF(B334="","",IFERROR(VLOOKUP(B334,'Coil Sheet at Plant'!$C:$I,7,FALSE),""))</f>
        <v/>
      </c>
      <c r="M334" s="71" t="str">
        <f>IF(OR(K334="",L334=""),"",IF(L334=0,"⚠ NO PARENT WIDTH",IF(K334&gt;L334,"⚠ BABY &gt; PARENT","✔ OK")))</f>
        <v/>
      </c>
      <c r="N334" s="71" t="str">
        <f>IF(D334="","",IF(COUNTIF(D$3:D334,D334)&gt;1,"⚠ DUPLICATE",""))</f>
        <v/>
      </c>
      <c r="O334" s="72" t="str">
        <f>IF(B334="","",SUMIF(B:B,B334,G:G)&amp;" / "&amp;IFERROR(VLOOKUP(B334,'Coil Sheet at Plant'!$C:$I,7,FALSE),"?")&amp;" mm")</f>
        <v/>
      </c>
    </row>
    <row r="335" spans="1:15">
      <c r="A335" s="36"/>
      <c r="B335" s="32"/>
      <c r="C335" s="39"/>
      <c r="D335" s="44" t="str">
        <f>IF(OR(B335="",C335=""),"",CONCATENATE(B335,"-",C335))</f>
        <v/>
      </c>
      <c r="E335" s="49" t="str">
        <f>IF(B335="","",IFERROR(VLOOKUP(B335,'Coil Sheet at Plant'!$C:$G,5,FALSE),"ID Not Found"))</f>
        <v/>
      </c>
      <c r="F335" s="50" t="str">
        <f>IF(B335="","",IFERROR(VLOOKUP(B335,'Coil Sheet at Plant'!$C:$H,6,FALSE),"ID Not Found"))</f>
        <v/>
      </c>
      <c r="G335" s="81">
        <v>482</v>
      </c>
      <c r="H335" s="89" t="str">
        <f>IF(OR(B335="",G335=""),"",IFERROR(VLOOKUP(B335,'Coil Sheet at Plant'!$C:$J,8,FALSE),0)*G335/SUMIF(B:B,B335,G:G))</f>
        <v/>
      </c>
      <c r="I335" s="56" t="str">
        <f>IF(B335="","",IFERROR(VLOOKUP(B335,'Coil Sheet at Plant'!$C:$L,9,FALSE),""))</f>
        <v/>
      </c>
      <c r="J335" s="85" t="str">
        <f>IF(B335="","",IFERROR(VLOOKUP(B335,'Coil Sheet at Plant'!$C:$M,10,FALSE),""))</f>
        <v/>
      </c>
      <c r="K335" s="69" t="str">
        <f>IF(B335="","",SUMIF(B:B,B335,G:G))</f>
        <v/>
      </c>
      <c r="L335" s="70" t="str">
        <f>IF(B335="","",IFERROR(VLOOKUP(B335,'Coil Sheet at Plant'!$C:$I,7,FALSE),""))</f>
        <v/>
      </c>
      <c r="M335" s="71" t="str">
        <f>IF(OR(K335="",L335=""),"",IF(L335=0,"⚠ NO PARENT WIDTH",IF(K335&gt;L335,"⚠ BABY &gt; PARENT","✔ OK")))</f>
        <v/>
      </c>
      <c r="N335" s="71" t="str">
        <f>IF(D335="","",IF(COUNTIF(D$3:D335,D335)&gt;1,"⚠ DUPLICATE",""))</f>
        <v/>
      </c>
      <c r="O335" s="72" t="str">
        <f>IF(B335="","",SUMIF(B:B,B335,G:G)&amp;" / "&amp;IFERROR(VLOOKUP(B335,'Coil Sheet at Plant'!$C:$I,7,FALSE),"?")&amp;" mm")</f>
        <v/>
      </c>
    </row>
    <row r="336" spans="1:15">
      <c r="A336" s="36"/>
      <c r="B336" s="32"/>
      <c r="C336" s="39"/>
      <c r="D336" s="44" t="str">
        <f>IF(OR(B336="",C336=""),"",CONCATENATE(B336,"-",C336))</f>
        <v/>
      </c>
      <c r="E336" s="49" t="str">
        <f>IF(B336="","",IFERROR(VLOOKUP(B336,'Coil Sheet at Plant'!$C:$G,5,FALSE),"ID Not Found"))</f>
        <v/>
      </c>
      <c r="F336" s="50" t="str">
        <f>IF(B336="","",IFERROR(VLOOKUP(B336,'Coil Sheet at Plant'!$C:$H,6,FALSE),"ID Not Found"))</f>
        <v/>
      </c>
      <c r="G336" s="81">
        <v>483</v>
      </c>
      <c r="H336" s="89" t="str">
        <f>IF(OR(B336="",G336=""),"",IFERROR(VLOOKUP(B336,'Coil Sheet at Plant'!$C:$J,8,FALSE),0)*G336/SUMIF(B:B,B336,G:G))</f>
        <v/>
      </c>
      <c r="I336" s="56" t="str">
        <f>IF(B336="","",IFERROR(VLOOKUP(B336,'Coil Sheet at Plant'!$C:$L,9,FALSE),""))</f>
        <v/>
      </c>
      <c r="J336" s="85" t="str">
        <f>IF(B336="","",IFERROR(VLOOKUP(B336,'Coil Sheet at Plant'!$C:$M,10,FALSE),""))</f>
        <v/>
      </c>
      <c r="K336" s="69" t="str">
        <f>IF(B336="","",SUMIF(B:B,B336,G:G))</f>
        <v/>
      </c>
      <c r="L336" s="70" t="str">
        <f>IF(B336="","",IFERROR(VLOOKUP(B336,'Coil Sheet at Plant'!$C:$I,7,FALSE),""))</f>
        <v/>
      </c>
      <c r="M336" s="71" t="str">
        <f>IF(OR(K336="",L336=""),"",IF(L336=0,"⚠ NO PARENT WIDTH",IF(K336&gt;L336,"⚠ BABY &gt; PARENT","✔ OK")))</f>
        <v/>
      </c>
      <c r="N336" s="71" t="str">
        <f>IF(D336="","",IF(COUNTIF(D$3:D336,D336)&gt;1,"⚠ DUPLICATE",""))</f>
        <v/>
      </c>
      <c r="O336" s="72" t="str">
        <f>IF(B336="","",SUMIF(B:B,B336,G:G)&amp;" / "&amp;IFERROR(VLOOKUP(B336,'Coil Sheet at Plant'!$C:$I,7,FALSE),"?")&amp;" mm")</f>
        <v/>
      </c>
    </row>
    <row r="337" spans="1:15">
      <c r="A337" s="36"/>
      <c r="B337" s="32"/>
      <c r="C337" s="39"/>
      <c r="D337" s="44" t="str">
        <f>IF(OR(B337="",C337=""),"",CONCATENATE(B337,"-",C337))</f>
        <v/>
      </c>
      <c r="E337" s="49" t="str">
        <f>IF(B337="","",IFERROR(VLOOKUP(B337,'Coil Sheet at Plant'!$C:$G,5,FALSE),"ID Not Found"))</f>
        <v/>
      </c>
      <c r="F337" s="50" t="str">
        <f>IF(B337="","",IFERROR(VLOOKUP(B337,'Coil Sheet at Plant'!$C:$H,6,FALSE),"ID Not Found"))</f>
        <v/>
      </c>
      <c r="G337" s="81">
        <v>484</v>
      </c>
      <c r="H337" s="89" t="str">
        <f>IF(OR(B337="",G337=""),"",IFERROR(VLOOKUP(B337,'Coil Sheet at Plant'!$C:$J,8,FALSE),0)*G337/SUMIF(B:B,B337,G:G))</f>
        <v/>
      </c>
      <c r="I337" s="56" t="str">
        <f>IF(B337="","",IFERROR(VLOOKUP(B337,'Coil Sheet at Plant'!$C:$L,9,FALSE),""))</f>
        <v/>
      </c>
      <c r="J337" s="85" t="str">
        <f>IF(B337="","",IFERROR(VLOOKUP(B337,'Coil Sheet at Plant'!$C:$M,10,FALSE),""))</f>
        <v/>
      </c>
      <c r="K337" s="69" t="str">
        <f>IF(B337="","",SUMIF(B:B,B337,G:G))</f>
        <v/>
      </c>
      <c r="L337" s="70" t="str">
        <f>IF(B337="","",IFERROR(VLOOKUP(B337,'Coil Sheet at Plant'!$C:$I,7,FALSE),""))</f>
        <v/>
      </c>
      <c r="M337" s="71" t="str">
        <f>IF(OR(K337="",L337=""),"",IF(L337=0,"⚠ NO PARENT WIDTH",IF(K337&gt;L337,"⚠ BABY &gt; PARENT","✔ OK")))</f>
        <v/>
      </c>
      <c r="N337" s="71" t="str">
        <f>IF(D337="","",IF(COUNTIF(D$3:D337,D337)&gt;1,"⚠ DUPLICATE",""))</f>
        <v/>
      </c>
      <c r="O337" s="72" t="str">
        <f>IF(B337="","",SUMIF(B:B,B337,G:G)&amp;" / "&amp;IFERROR(VLOOKUP(B337,'Coil Sheet at Plant'!$C:$I,7,FALSE),"?")&amp;" mm")</f>
        <v/>
      </c>
    </row>
    <row r="338" spans="1:15">
      <c r="A338" s="36"/>
      <c r="B338" s="32"/>
      <c r="C338" s="39"/>
      <c r="D338" s="44" t="str">
        <f>IF(OR(B338="",C338=""),"",CONCATENATE(B338,"-",C338))</f>
        <v/>
      </c>
      <c r="E338" s="49" t="str">
        <f>IF(B338="","",IFERROR(VLOOKUP(B338,'Coil Sheet at Plant'!$C:$G,5,FALSE),"ID Not Found"))</f>
        <v/>
      </c>
      <c r="F338" s="50" t="str">
        <f>IF(B338="","",IFERROR(VLOOKUP(B338,'Coil Sheet at Plant'!$C:$H,6,FALSE),"ID Not Found"))</f>
        <v/>
      </c>
      <c r="G338" s="81">
        <v>485</v>
      </c>
      <c r="H338" s="89" t="str">
        <f>IF(OR(B338="",G338=""),"",IFERROR(VLOOKUP(B338,'Coil Sheet at Plant'!$C:$J,8,FALSE),0)*G338/SUMIF(B:B,B338,G:G))</f>
        <v/>
      </c>
      <c r="I338" s="56" t="str">
        <f>IF(B338="","",IFERROR(VLOOKUP(B338,'Coil Sheet at Plant'!$C:$L,9,FALSE),""))</f>
        <v/>
      </c>
      <c r="J338" s="85" t="str">
        <f>IF(B338="","",IFERROR(VLOOKUP(B338,'Coil Sheet at Plant'!$C:$M,10,FALSE),""))</f>
        <v/>
      </c>
      <c r="K338" s="69" t="str">
        <f>IF(B338="","",SUMIF(B:B,B338,G:G))</f>
        <v/>
      </c>
      <c r="L338" s="70" t="str">
        <f>IF(B338="","",IFERROR(VLOOKUP(B338,'Coil Sheet at Plant'!$C:$I,7,FALSE),""))</f>
        <v/>
      </c>
      <c r="M338" s="71" t="str">
        <f>IF(OR(K338="",L338=""),"",IF(L338=0,"⚠ NO PARENT WIDTH",IF(K338&gt;L338,"⚠ BABY &gt; PARENT","✔ OK")))</f>
        <v/>
      </c>
      <c r="N338" s="71" t="str">
        <f>IF(D338="","",IF(COUNTIF(D$3:D338,D338)&gt;1,"⚠ DUPLICATE",""))</f>
        <v/>
      </c>
      <c r="O338" s="72" t="str">
        <f>IF(B338="","",SUMIF(B:B,B338,G:G)&amp;" / "&amp;IFERROR(VLOOKUP(B338,'Coil Sheet at Plant'!$C:$I,7,FALSE),"?")&amp;" mm")</f>
        <v/>
      </c>
    </row>
    <row r="339" spans="1:15">
      <c r="A339" s="36"/>
      <c r="B339" s="32"/>
      <c r="C339" s="39"/>
      <c r="D339" s="44" t="str">
        <f>IF(OR(B339="",C339=""),"",CONCATENATE(B339,"-",C339))</f>
        <v/>
      </c>
      <c r="E339" s="49" t="str">
        <f>IF(B339="","",IFERROR(VLOOKUP(B339,'Coil Sheet at Plant'!$C:$G,5,FALSE),"ID Not Found"))</f>
        <v/>
      </c>
      <c r="F339" s="50" t="str">
        <f>IF(B339="","",IFERROR(VLOOKUP(B339,'Coil Sheet at Plant'!$C:$H,6,FALSE),"ID Not Found"))</f>
        <v/>
      </c>
      <c r="G339" s="81">
        <v>486</v>
      </c>
      <c r="H339" s="89" t="str">
        <f>IF(OR(B339="",G339=""),"",IFERROR(VLOOKUP(B339,'Coil Sheet at Plant'!$C:$J,8,FALSE),0)*G339/SUMIF(B:B,B339,G:G))</f>
        <v/>
      </c>
      <c r="I339" s="56" t="str">
        <f>IF(B339="","",IFERROR(VLOOKUP(B339,'Coil Sheet at Plant'!$C:$L,9,FALSE),""))</f>
        <v/>
      </c>
      <c r="J339" s="85" t="str">
        <f>IF(B339="","",IFERROR(VLOOKUP(B339,'Coil Sheet at Plant'!$C:$M,10,FALSE),""))</f>
        <v/>
      </c>
      <c r="K339" s="69" t="str">
        <f>IF(B339="","",SUMIF(B:B,B339,G:G))</f>
        <v/>
      </c>
      <c r="L339" s="70" t="str">
        <f>IF(B339="","",IFERROR(VLOOKUP(B339,'Coil Sheet at Plant'!$C:$I,7,FALSE),""))</f>
        <v/>
      </c>
      <c r="M339" s="71" t="str">
        <f>IF(OR(K339="",L339=""),"",IF(L339=0,"⚠ NO PARENT WIDTH",IF(K339&gt;L339,"⚠ BABY &gt; PARENT","✔ OK")))</f>
        <v/>
      </c>
      <c r="N339" s="71" t="str">
        <f>IF(D339="","",IF(COUNTIF(D$3:D339,D339)&gt;1,"⚠ DUPLICATE",""))</f>
        <v/>
      </c>
      <c r="O339" s="72" t="str">
        <f>IF(B339="","",SUMIF(B:B,B339,G:G)&amp;" / "&amp;IFERROR(VLOOKUP(B339,'Coil Sheet at Plant'!$C:$I,7,FALSE),"?")&amp;" mm")</f>
        <v/>
      </c>
    </row>
    <row r="340" spans="1:15">
      <c r="A340" s="36"/>
      <c r="B340" s="32"/>
      <c r="C340" s="39"/>
      <c r="D340" s="44" t="str">
        <f>IF(OR(B340="",C340=""),"",CONCATENATE(B340,"-",C340))</f>
        <v/>
      </c>
      <c r="E340" s="49" t="str">
        <f>IF(B340="","",IFERROR(VLOOKUP(B340,'Coil Sheet at Plant'!$C:$G,5,FALSE),"ID Not Found"))</f>
        <v/>
      </c>
      <c r="F340" s="50" t="str">
        <f>IF(B340="","",IFERROR(VLOOKUP(B340,'Coil Sheet at Plant'!$C:$H,6,FALSE),"ID Not Found"))</f>
        <v/>
      </c>
      <c r="G340" s="81">
        <v>487</v>
      </c>
      <c r="H340" s="89" t="str">
        <f>IF(OR(B340="",G340=""),"",IFERROR(VLOOKUP(B340,'Coil Sheet at Plant'!$C:$J,8,FALSE),0)*G340/SUMIF(B:B,B340,G:G))</f>
        <v/>
      </c>
      <c r="I340" s="56" t="str">
        <f>IF(B340="","",IFERROR(VLOOKUP(B340,'Coil Sheet at Plant'!$C:$L,9,FALSE),""))</f>
        <v/>
      </c>
      <c r="J340" s="85" t="str">
        <f>IF(B340="","",IFERROR(VLOOKUP(B340,'Coil Sheet at Plant'!$C:$M,10,FALSE),""))</f>
        <v/>
      </c>
      <c r="K340" s="69" t="str">
        <f>IF(B340="","",SUMIF(B:B,B340,G:G))</f>
        <v/>
      </c>
      <c r="L340" s="70" t="str">
        <f>IF(B340="","",IFERROR(VLOOKUP(B340,'Coil Sheet at Plant'!$C:$I,7,FALSE),""))</f>
        <v/>
      </c>
      <c r="M340" s="71" t="str">
        <f>IF(OR(K340="",L340=""),"",IF(L340=0,"⚠ NO PARENT WIDTH",IF(K340&gt;L340,"⚠ BABY &gt; PARENT","✔ OK")))</f>
        <v/>
      </c>
      <c r="N340" s="71" t="str">
        <f>IF(D340="","",IF(COUNTIF(D$3:D340,D340)&gt;1,"⚠ DUPLICATE",""))</f>
        <v/>
      </c>
      <c r="O340" s="72" t="str">
        <f>IF(B340="","",SUMIF(B:B,B340,G:G)&amp;" / "&amp;IFERROR(VLOOKUP(B340,'Coil Sheet at Plant'!$C:$I,7,FALSE),"?")&amp;" mm")</f>
        <v/>
      </c>
    </row>
    <row r="341" spans="1:15">
      <c r="A341" s="36"/>
      <c r="B341" s="32"/>
      <c r="C341" s="39"/>
      <c r="D341" s="44" t="str">
        <f>IF(OR(B341="",C341=""),"",CONCATENATE(B341,"-",C341))</f>
        <v/>
      </c>
      <c r="E341" s="49" t="str">
        <f>IF(B341="","",IFERROR(VLOOKUP(B341,'Coil Sheet at Plant'!$C:$G,5,FALSE),"ID Not Found"))</f>
        <v/>
      </c>
      <c r="F341" s="50" t="str">
        <f>IF(B341="","",IFERROR(VLOOKUP(B341,'Coil Sheet at Plant'!$C:$H,6,FALSE),"ID Not Found"))</f>
        <v/>
      </c>
      <c r="G341" s="81">
        <v>488</v>
      </c>
      <c r="H341" s="89" t="str">
        <f>IF(OR(B341="",G341=""),"",IFERROR(VLOOKUP(B341,'Coil Sheet at Plant'!$C:$J,8,FALSE),0)*G341/SUMIF(B:B,B341,G:G))</f>
        <v/>
      </c>
      <c r="I341" s="56" t="str">
        <f>IF(B341="","",IFERROR(VLOOKUP(B341,'Coil Sheet at Plant'!$C:$L,9,FALSE),""))</f>
        <v/>
      </c>
      <c r="J341" s="85" t="str">
        <f>IF(B341="","",IFERROR(VLOOKUP(B341,'Coil Sheet at Plant'!$C:$M,10,FALSE),""))</f>
        <v/>
      </c>
      <c r="K341" s="69" t="str">
        <f>IF(B341="","",SUMIF(B:B,B341,G:G))</f>
        <v/>
      </c>
      <c r="L341" s="70" t="str">
        <f>IF(B341="","",IFERROR(VLOOKUP(B341,'Coil Sheet at Plant'!$C:$I,7,FALSE),""))</f>
        <v/>
      </c>
      <c r="M341" s="71" t="str">
        <f>IF(OR(K341="",L341=""),"",IF(L341=0,"⚠ NO PARENT WIDTH",IF(K341&gt;L341,"⚠ BABY &gt; PARENT","✔ OK")))</f>
        <v/>
      </c>
      <c r="N341" s="71" t="str">
        <f>IF(D341="","",IF(COUNTIF(D$3:D341,D341)&gt;1,"⚠ DUPLICATE",""))</f>
        <v/>
      </c>
      <c r="O341" s="72" t="str">
        <f>IF(B341="","",SUMIF(B:B,B341,G:G)&amp;" / "&amp;IFERROR(VLOOKUP(B341,'Coil Sheet at Plant'!$C:$I,7,FALSE),"?")&amp;" mm")</f>
        <v/>
      </c>
    </row>
    <row r="342" spans="1:15">
      <c r="A342" s="36"/>
      <c r="B342" s="32"/>
      <c r="C342" s="39"/>
      <c r="D342" s="44" t="str">
        <f>IF(OR(B342="",C342=""),"",CONCATENATE(B342,"-",C342))</f>
        <v/>
      </c>
      <c r="E342" s="49" t="str">
        <f>IF(B342="","",IFERROR(VLOOKUP(B342,'Coil Sheet at Plant'!$C:$G,5,FALSE),"ID Not Found"))</f>
        <v/>
      </c>
      <c r="F342" s="50" t="str">
        <f>IF(B342="","",IFERROR(VLOOKUP(B342,'Coil Sheet at Plant'!$C:$H,6,FALSE),"ID Not Found"))</f>
        <v/>
      </c>
      <c r="G342" s="81">
        <v>489</v>
      </c>
      <c r="H342" s="89" t="str">
        <f>IF(OR(B342="",G342=""),"",IFERROR(VLOOKUP(B342,'Coil Sheet at Plant'!$C:$J,8,FALSE),0)*G342/SUMIF(B:B,B342,G:G))</f>
        <v/>
      </c>
      <c r="I342" s="56" t="str">
        <f>IF(B342="","",IFERROR(VLOOKUP(B342,'Coil Sheet at Plant'!$C:$L,9,FALSE),""))</f>
        <v/>
      </c>
      <c r="J342" s="85" t="str">
        <f>IF(B342="","",IFERROR(VLOOKUP(B342,'Coil Sheet at Plant'!$C:$M,10,FALSE),""))</f>
        <v/>
      </c>
      <c r="K342" s="69" t="str">
        <f>IF(B342="","",SUMIF(B:B,B342,G:G))</f>
        <v/>
      </c>
      <c r="L342" s="70" t="str">
        <f>IF(B342="","",IFERROR(VLOOKUP(B342,'Coil Sheet at Plant'!$C:$I,7,FALSE),""))</f>
        <v/>
      </c>
      <c r="M342" s="71" t="str">
        <f>IF(OR(K342="",L342=""),"",IF(L342=0,"⚠ NO PARENT WIDTH",IF(K342&gt;L342,"⚠ BABY &gt; PARENT","✔ OK")))</f>
        <v/>
      </c>
      <c r="N342" s="71" t="str">
        <f>IF(D342="","",IF(COUNTIF(D$3:D342,D342)&gt;1,"⚠ DUPLICATE",""))</f>
        <v/>
      </c>
      <c r="O342" s="72" t="str">
        <f>IF(B342="","",SUMIF(B:B,B342,G:G)&amp;" / "&amp;IFERROR(VLOOKUP(B342,'Coil Sheet at Plant'!$C:$I,7,FALSE),"?")&amp;" mm")</f>
        <v/>
      </c>
    </row>
    <row r="343" spans="1:15">
      <c r="A343" s="36"/>
      <c r="B343" s="32"/>
      <c r="C343" s="39"/>
      <c r="D343" s="44" t="str">
        <f>IF(OR(B343="",C343=""),"",CONCATENATE(B343,"-",C343))</f>
        <v/>
      </c>
      <c r="E343" s="49" t="str">
        <f>IF(B343="","",IFERROR(VLOOKUP(B343,'Coil Sheet at Plant'!$C:$G,5,FALSE),"ID Not Found"))</f>
        <v/>
      </c>
      <c r="F343" s="50" t="str">
        <f>IF(B343="","",IFERROR(VLOOKUP(B343,'Coil Sheet at Plant'!$C:$H,6,FALSE),"ID Not Found"))</f>
        <v/>
      </c>
      <c r="G343" s="81">
        <v>490</v>
      </c>
      <c r="H343" s="89" t="str">
        <f>IF(OR(B343="",G343=""),"",IFERROR(VLOOKUP(B343,'Coil Sheet at Plant'!$C:$J,8,FALSE),0)*G343/SUMIF(B:B,B343,G:G))</f>
        <v/>
      </c>
      <c r="I343" s="56" t="str">
        <f>IF(B343="","",IFERROR(VLOOKUP(B343,'Coil Sheet at Plant'!$C:$L,9,FALSE),""))</f>
        <v/>
      </c>
      <c r="J343" s="85" t="str">
        <f>IF(B343="","",IFERROR(VLOOKUP(B343,'Coil Sheet at Plant'!$C:$M,10,FALSE),""))</f>
        <v/>
      </c>
      <c r="K343" s="69" t="str">
        <f>IF(B343="","",SUMIF(B:B,B343,G:G))</f>
        <v/>
      </c>
      <c r="L343" s="70" t="str">
        <f>IF(B343="","",IFERROR(VLOOKUP(B343,'Coil Sheet at Plant'!$C:$I,7,FALSE),""))</f>
        <v/>
      </c>
      <c r="M343" s="71" t="str">
        <f>IF(OR(K343="",L343=""),"",IF(L343=0,"⚠ NO PARENT WIDTH",IF(K343&gt;L343,"⚠ BABY &gt; PARENT","✔ OK")))</f>
        <v/>
      </c>
      <c r="N343" s="71" t="str">
        <f>IF(D343="","",IF(COUNTIF(D$3:D343,D343)&gt;1,"⚠ DUPLICATE",""))</f>
        <v/>
      </c>
      <c r="O343" s="72" t="str">
        <f>IF(B343="","",SUMIF(B:B,B343,G:G)&amp;" / "&amp;IFERROR(VLOOKUP(B343,'Coil Sheet at Plant'!$C:$I,7,FALSE),"?")&amp;" mm")</f>
        <v/>
      </c>
    </row>
    <row r="344" spans="1:15">
      <c r="A344" s="36"/>
      <c r="B344" s="32"/>
      <c r="C344" s="39"/>
      <c r="D344" s="44" t="str">
        <f>IF(OR(B344="",C344=""),"",CONCATENATE(B344,"-",C344))</f>
        <v/>
      </c>
      <c r="E344" s="49" t="str">
        <f>IF(B344="","",IFERROR(VLOOKUP(B344,'Coil Sheet at Plant'!$C:$G,5,FALSE),"ID Not Found"))</f>
        <v/>
      </c>
      <c r="F344" s="50" t="str">
        <f>IF(B344="","",IFERROR(VLOOKUP(B344,'Coil Sheet at Plant'!$C:$H,6,FALSE),"ID Not Found"))</f>
        <v/>
      </c>
      <c r="G344" s="81">
        <v>491</v>
      </c>
      <c r="H344" s="89" t="str">
        <f>IF(OR(B344="",G344=""),"",IFERROR(VLOOKUP(B344,'Coil Sheet at Plant'!$C:$J,8,FALSE),0)*G344/SUMIF(B:B,B344,G:G))</f>
        <v/>
      </c>
      <c r="I344" s="56" t="str">
        <f>IF(B344="","",IFERROR(VLOOKUP(B344,'Coil Sheet at Plant'!$C:$L,9,FALSE),""))</f>
        <v/>
      </c>
      <c r="J344" s="85" t="str">
        <f>IF(B344="","",IFERROR(VLOOKUP(B344,'Coil Sheet at Plant'!$C:$M,10,FALSE),""))</f>
        <v/>
      </c>
      <c r="K344" s="69" t="str">
        <f>IF(B344="","",SUMIF(B:B,B344,G:G))</f>
        <v/>
      </c>
      <c r="L344" s="70" t="str">
        <f>IF(B344="","",IFERROR(VLOOKUP(B344,'Coil Sheet at Plant'!$C:$I,7,FALSE),""))</f>
        <v/>
      </c>
      <c r="M344" s="71" t="str">
        <f>IF(OR(K344="",L344=""),"",IF(L344=0,"⚠ NO PARENT WIDTH",IF(K344&gt;L344,"⚠ BABY &gt; PARENT","✔ OK")))</f>
        <v/>
      </c>
      <c r="N344" s="71" t="str">
        <f>IF(D344="","",IF(COUNTIF(D$3:D344,D344)&gt;1,"⚠ DUPLICATE",""))</f>
        <v/>
      </c>
      <c r="O344" s="72" t="str">
        <f>IF(B344="","",SUMIF(B:B,B344,G:G)&amp;" / "&amp;IFERROR(VLOOKUP(B344,'Coil Sheet at Plant'!$C:$I,7,FALSE),"?")&amp;" mm")</f>
        <v/>
      </c>
    </row>
    <row r="345" spans="1:15">
      <c r="A345" s="36"/>
      <c r="B345" s="32"/>
      <c r="C345" s="39"/>
      <c r="D345" s="44" t="str">
        <f>IF(OR(B345="",C345=""),"",CONCATENATE(B345,"-",C345))</f>
        <v/>
      </c>
      <c r="E345" s="49" t="str">
        <f>IF(B345="","",IFERROR(VLOOKUP(B345,'Coil Sheet at Plant'!$C:$G,5,FALSE),"ID Not Found"))</f>
        <v/>
      </c>
      <c r="F345" s="50" t="str">
        <f>IF(B345="","",IFERROR(VLOOKUP(B345,'Coil Sheet at Plant'!$C:$H,6,FALSE),"ID Not Found"))</f>
        <v/>
      </c>
      <c r="G345" s="81">
        <v>492</v>
      </c>
      <c r="H345" s="89" t="str">
        <f>IF(OR(B345="",G345=""),"",IFERROR(VLOOKUP(B345,'Coil Sheet at Plant'!$C:$J,8,FALSE),0)*G345/SUMIF(B:B,B345,G:G))</f>
        <v/>
      </c>
      <c r="I345" s="56" t="str">
        <f>IF(B345="","",IFERROR(VLOOKUP(B345,'Coil Sheet at Plant'!$C:$L,9,FALSE),""))</f>
        <v/>
      </c>
      <c r="J345" s="85" t="str">
        <f>IF(B345="","",IFERROR(VLOOKUP(B345,'Coil Sheet at Plant'!$C:$M,10,FALSE),""))</f>
        <v/>
      </c>
      <c r="K345" s="69" t="str">
        <f>IF(B345="","",SUMIF(B:B,B345,G:G))</f>
        <v/>
      </c>
      <c r="L345" s="70" t="str">
        <f>IF(B345="","",IFERROR(VLOOKUP(B345,'Coil Sheet at Plant'!$C:$I,7,FALSE),""))</f>
        <v/>
      </c>
      <c r="M345" s="71" t="str">
        <f>IF(OR(K345="",L345=""),"",IF(L345=0,"⚠ NO PARENT WIDTH",IF(K345&gt;L345,"⚠ BABY &gt; PARENT","✔ OK")))</f>
        <v/>
      </c>
      <c r="N345" s="71" t="str">
        <f>IF(D345="","",IF(COUNTIF(D$3:D345,D345)&gt;1,"⚠ DUPLICATE",""))</f>
        <v/>
      </c>
      <c r="O345" s="72" t="str">
        <f>IF(B345="","",SUMIF(B:B,B345,G:G)&amp;" / "&amp;IFERROR(VLOOKUP(B345,'Coil Sheet at Plant'!$C:$I,7,FALSE),"?")&amp;" mm")</f>
        <v/>
      </c>
    </row>
    <row r="346" spans="1:15">
      <c r="A346" s="36"/>
      <c r="B346" s="32"/>
      <c r="C346" s="39"/>
      <c r="D346" s="44" t="str">
        <f>IF(OR(B346="",C346=""),"",CONCATENATE(B346,"-",C346))</f>
        <v/>
      </c>
      <c r="E346" s="49" t="str">
        <f>IF(B346="","",IFERROR(VLOOKUP(B346,'Coil Sheet at Plant'!$C:$G,5,FALSE),"ID Not Found"))</f>
        <v/>
      </c>
      <c r="F346" s="50" t="str">
        <f>IF(B346="","",IFERROR(VLOOKUP(B346,'Coil Sheet at Plant'!$C:$H,6,FALSE),"ID Not Found"))</f>
        <v/>
      </c>
      <c r="G346" s="81">
        <v>493</v>
      </c>
      <c r="H346" s="89" t="str">
        <f>IF(OR(B346="",G346=""),"",IFERROR(VLOOKUP(B346,'Coil Sheet at Plant'!$C:$J,8,FALSE),0)*G346/SUMIF(B:B,B346,G:G))</f>
        <v/>
      </c>
      <c r="I346" s="56" t="str">
        <f>IF(B346="","",IFERROR(VLOOKUP(B346,'Coil Sheet at Plant'!$C:$L,9,FALSE),""))</f>
        <v/>
      </c>
      <c r="J346" s="85" t="str">
        <f>IF(B346="","",IFERROR(VLOOKUP(B346,'Coil Sheet at Plant'!$C:$M,10,FALSE),""))</f>
        <v/>
      </c>
      <c r="K346" s="69" t="str">
        <f>IF(B346="","",SUMIF(B:B,B346,G:G))</f>
        <v/>
      </c>
      <c r="L346" s="70" t="str">
        <f>IF(B346="","",IFERROR(VLOOKUP(B346,'Coil Sheet at Plant'!$C:$I,7,FALSE),""))</f>
        <v/>
      </c>
      <c r="M346" s="71" t="str">
        <f>IF(OR(K346="",L346=""),"",IF(L346=0,"⚠ NO PARENT WIDTH",IF(K346&gt;L346,"⚠ BABY &gt; PARENT","✔ OK")))</f>
        <v/>
      </c>
      <c r="N346" s="71" t="str">
        <f>IF(D346="","",IF(COUNTIF(D$3:D346,D346)&gt;1,"⚠ DUPLICATE",""))</f>
        <v/>
      </c>
      <c r="O346" s="72" t="str">
        <f>IF(B346="","",SUMIF(B:B,B346,G:G)&amp;" / "&amp;IFERROR(VLOOKUP(B346,'Coil Sheet at Plant'!$C:$I,7,FALSE),"?")&amp;" mm")</f>
        <v/>
      </c>
    </row>
    <row r="347" spans="1:15">
      <c r="A347" s="36"/>
      <c r="B347" s="32"/>
      <c r="C347" s="39"/>
      <c r="D347" s="44" t="str">
        <f>IF(OR(B347="",C347=""),"",CONCATENATE(B347,"-",C347))</f>
        <v/>
      </c>
      <c r="E347" s="49" t="str">
        <f>IF(B347="","",IFERROR(VLOOKUP(B347,'Coil Sheet at Plant'!$C:$G,5,FALSE),"ID Not Found"))</f>
        <v/>
      </c>
      <c r="F347" s="50" t="str">
        <f>IF(B347="","",IFERROR(VLOOKUP(B347,'Coil Sheet at Plant'!$C:$H,6,FALSE),"ID Not Found"))</f>
        <v/>
      </c>
      <c r="G347" s="81">
        <v>494</v>
      </c>
      <c r="H347" s="89" t="str">
        <f>IF(OR(B347="",G347=""),"",IFERROR(VLOOKUP(B347,'Coil Sheet at Plant'!$C:$J,8,FALSE),0)*G347/SUMIF(B:B,B347,G:G))</f>
        <v/>
      </c>
      <c r="I347" s="56" t="str">
        <f>IF(B347="","",IFERROR(VLOOKUP(B347,'Coil Sheet at Plant'!$C:$L,9,FALSE),""))</f>
        <v/>
      </c>
      <c r="J347" s="85" t="str">
        <f>IF(B347="","",IFERROR(VLOOKUP(B347,'Coil Sheet at Plant'!$C:$M,10,FALSE),""))</f>
        <v/>
      </c>
      <c r="K347" s="69" t="str">
        <f>IF(B347="","",SUMIF(B:B,B347,G:G))</f>
        <v/>
      </c>
      <c r="L347" s="70" t="str">
        <f>IF(B347="","",IFERROR(VLOOKUP(B347,'Coil Sheet at Plant'!$C:$I,7,FALSE),""))</f>
        <v/>
      </c>
      <c r="M347" s="71" t="str">
        <f>IF(OR(K347="",L347=""),"",IF(L347=0,"⚠ NO PARENT WIDTH",IF(K347&gt;L347,"⚠ BABY &gt; PARENT","✔ OK")))</f>
        <v/>
      </c>
      <c r="N347" s="71" t="str">
        <f>IF(D347="","",IF(COUNTIF(D$3:D347,D347)&gt;1,"⚠ DUPLICATE",""))</f>
        <v/>
      </c>
      <c r="O347" s="72" t="str">
        <f>IF(B347="","",SUMIF(B:B,B347,G:G)&amp;" / "&amp;IFERROR(VLOOKUP(B347,'Coil Sheet at Plant'!$C:$I,7,FALSE),"?")&amp;" mm")</f>
        <v/>
      </c>
    </row>
    <row r="348" spans="1:15">
      <c r="A348" s="36"/>
      <c r="B348" s="32"/>
      <c r="C348" s="39"/>
      <c r="D348" s="44" t="str">
        <f>IF(OR(B348="",C348=""),"",CONCATENATE(B348,"-",C348))</f>
        <v/>
      </c>
      <c r="E348" s="49" t="str">
        <f>IF(B348="","",IFERROR(VLOOKUP(B348,'Coil Sheet at Plant'!$C:$G,5,FALSE),"ID Not Found"))</f>
        <v/>
      </c>
      <c r="F348" s="50" t="str">
        <f>IF(B348="","",IFERROR(VLOOKUP(B348,'Coil Sheet at Plant'!$C:$H,6,FALSE),"ID Not Found"))</f>
        <v/>
      </c>
      <c r="G348" s="81">
        <v>495</v>
      </c>
      <c r="H348" s="89" t="str">
        <f>IF(OR(B348="",G348=""),"",IFERROR(VLOOKUP(B348,'Coil Sheet at Plant'!$C:$J,8,FALSE),0)*G348/SUMIF(B:B,B348,G:G))</f>
        <v/>
      </c>
      <c r="I348" s="56" t="str">
        <f>IF(B348="","",IFERROR(VLOOKUP(B348,'Coil Sheet at Plant'!$C:$L,9,FALSE),""))</f>
        <v/>
      </c>
      <c r="J348" s="85" t="str">
        <f>IF(B348="","",IFERROR(VLOOKUP(B348,'Coil Sheet at Plant'!$C:$M,10,FALSE),""))</f>
        <v/>
      </c>
      <c r="K348" s="69" t="str">
        <f>IF(B348="","",SUMIF(B:B,B348,G:G))</f>
        <v/>
      </c>
      <c r="L348" s="70" t="str">
        <f>IF(B348="","",IFERROR(VLOOKUP(B348,'Coil Sheet at Plant'!$C:$I,7,FALSE),""))</f>
        <v/>
      </c>
      <c r="M348" s="71" t="str">
        <f>IF(OR(K348="",L348=""),"",IF(L348=0,"⚠ NO PARENT WIDTH",IF(K348&gt;L348,"⚠ BABY &gt; PARENT","✔ OK")))</f>
        <v/>
      </c>
      <c r="N348" s="71" t="str">
        <f>IF(D348="","",IF(COUNTIF(D$3:D348,D348)&gt;1,"⚠ DUPLICATE",""))</f>
        <v/>
      </c>
      <c r="O348" s="72" t="str">
        <f>IF(B348="","",SUMIF(B:B,B348,G:G)&amp;" / "&amp;IFERROR(VLOOKUP(B348,'Coil Sheet at Plant'!$C:$I,7,FALSE),"?")&amp;" mm")</f>
        <v/>
      </c>
    </row>
    <row r="349" spans="1:15">
      <c r="A349" s="36"/>
      <c r="B349" s="32"/>
      <c r="C349" s="39"/>
      <c r="D349" s="44" t="str">
        <f>IF(OR(B349="",C349=""),"",CONCATENATE(B349,"-",C349))</f>
        <v/>
      </c>
      <c r="E349" s="49" t="str">
        <f>IF(B349="","",IFERROR(VLOOKUP(B349,'Coil Sheet at Plant'!$C:$G,5,FALSE),"ID Not Found"))</f>
        <v/>
      </c>
      <c r="F349" s="50" t="str">
        <f>IF(B349="","",IFERROR(VLOOKUP(B349,'Coil Sheet at Plant'!$C:$H,6,FALSE),"ID Not Found"))</f>
        <v/>
      </c>
      <c r="G349" s="81">
        <v>496</v>
      </c>
      <c r="H349" s="89" t="str">
        <f>IF(OR(B349="",G349=""),"",IFERROR(VLOOKUP(B349,'Coil Sheet at Plant'!$C:$J,8,FALSE),0)*G349/SUMIF(B:B,B349,G:G))</f>
        <v/>
      </c>
      <c r="I349" s="56" t="str">
        <f>IF(B349="","",IFERROR(VLOOKUP(B349,'Coil Sheet at Plant'!$C:$L,9,FALSE),""))</f>
        <v/>
      </c>
      <c r="J349" s="85" t="str">
        <f>IF(B349="","",IFERROR(VLOOKUP(B349,'Coil Sheet at Plant'!$C:$M,10,FALSE),""))</f>
        <v/>
      </c>
      <c r="K349" s="69" t="str">
        <f>IF(B349="","",SUMIF(B:B,B349,G:G))</f>
        <v/>
      </c>
      <c r="L349" s="70" t="str">
        <f>IF(B349="","",IFERROR(VLOOKUP(B349,'Coil Sheet at Plant'!$C:$I,7,FALSE),""))</f>
        <v/>
      </c>
      <c r="M349" s="71" t="str">
        <f>IF(OR(K349="",L349=""),"",IF(L349=0,"⚠ NO PARENT WIDTH",IF(K349&gt;L349,"⚠ BABY &gt; PARENT","✔ OK")))</f>
        <v/>
      </c>
      <c r="N349" s="71" t="str">
        <f>IF(D349="","",IF(COUNTIF(D$3:D349,D349)&gt;1,"⚠ DUPLICATE",""))</f>
        <v/>
      </c>
      <c r="O349" s="72" t="str">
        <f>IF(B349="","",SUMIF(B:B,B349,G:G)&amp;" / "&amp;IFERROR(VLOOKUP(B349,'Coil Sheet at Plant'!$C:$I,7,FALSE),"?")&amp;" mm")</f>
        <v/>
      </c>
    </row>
    <row r="350" spans="1:15">
      <c r="A350" s="36"/>
      <c r="B350" s="32"/>
      <c r="C350" s="39"/>
      <c r="D350" s="44" t="str">
        <f>IF(OR(B350="",C350=""),"",CONCATENATE(B350,"-",C350))</f>
        <v/>
      </c>
      <c r="E350" s="49" t="str">
        <f>IF(B350="","",IFERROR(VLOOKUP(B350,'Coil Sheet at Plant'!$C:$G,5,FALSE),"ID Not Found"))</f>
        <v/>
      </c>
      <c r="F350" s="50" t="str">
        <f>IF(B350="","",IFERROR(VLOOKUP(B350,'Coil Sheet at Plant'!$C:$H,6,FALSE),"ID Not Found"))</f>
        <v/>
      </c>
      <c r="G350" s="81">
        <v>497</v>
      </c>
      <c r="H350" s="89" t="str">
        <f>IF(OR(B350="",G350=""),"",IFERROR(VLOOKUP(B350,'Coil Sheet at Plant'!$C:$J,8,FALSE),0)*G350/SUMIF(B:B,B350,G:G))</f>
        <v/>
      </c>
      <c r="I350" s="56" t="str">
        <f>IF(B350="","",IFERROR(VLOOKUP(B350,'Coil Sheet at Plant'!$C:$L,9,FALSE),""))</f>
        <v/>
      </c>
      <c r="J350" s="85" t="str">
        <f>IF(B350="","",IFERROR(VLOOKUP(B350,'Coil Sheet at Plant'!$C:$M,10,FALSE),""))</f>
        <v/>
      </c>
      <c r="K350" s="69" t="str">
        <f>IF(B350="","",SUMIF(B:B,B350,G:G))</f>
        <v/>
      </c>
      <c r="L350" s="70" t="str">
        <f>IF(B350="","",IFERROR(VLOOKUP(B350,'Coil Sheet at Plant'!$C:$I,7,FALSE),""))</f>
        <v/>
      </c>
      <c r="M350" s="71" t="str">
        <f>IF(OR(K350="",L350=""),"",IF(L350=0,"⚠ NO PARENT WIDTH",IF(K350&gt;L350,"⚠ BABY &gt; PARENT","✔ OK")))</f>
        <v/>
      </c>
      <c r="N350" s="71" t="str">
        <f>IF(D350="","",IF(COUNTIF(D$3:D350,D350)&gt;1,"⚠ DUPLICATE",""))</f>
        <v/>
      </c>
      <c r="O350" s="72" t="str">
        <f>IF(B350="","",SUMIF(B:B,B350,G:G)&amp;" / "&amp;IFERROR(VLOOKUP(B350,'Coil Sheet at Plant'!$C:$I,7,FALSE),"?")&amp;" mm")</f>
        <v/>
      </c>
    </row>
    <row r="351" spans="1:15">
      <c r="A351" s="36"/>
      <c r="B351" s="32"/>
      <c r="C351" s="39"/>
      <c r="D351" s="44" t="str">
        <f>IF(OR(B351="",C351=""),"",CONCATENATE(B351,"-",C351))</f>
        <v/>
      </c>
      <c r="E351" s="49" t="str">
        <f>IF(B351="","",IFERROR(VLOOKUP(B351,'Coil Sheet at Plant'!$C:$G,5,FALSE),"ID Not Found"))</f>
        <v/>
      </c>
      <c r="F351" s="50" t="str">
        <f>IF(B351="","",IFERROR(VLOOKUP(B351,'Coil Sheet at Plant'!$C:$H,6,FALSE),"ID Not Found"))</f>
        <v/>
      </c>
      <c r="G351" s="81">
        <v>498</v>
      </c>
      <c r="H351" s="89" t="str">
        <f>IF(OR(B351="",G351=""),"",IFERROR(VLOOKUP(B351,'Coil Sheet at Plant'!$C:$J,8,FALSE),0)*G351/SUMIF(B:B,B351,G:G))</f>
        <v/>
      </c>
      <c r="I351" s="56" t="str">
        <f>IF(B351="","",IFERROR(VLOOKUP(B351,'Coil Sheet at Plant'!$C:$L,9,FALSE),""))</f>
        <v/>
      </c>
      <c r="J351" s="85" t="str">
        <f>IF(B351="","",IFERROR(VLOOKUP(B351,'Coil Sheet at Plant'!$C:$M,10,FALSE),""))</f>
        <v/>
      </c>
      <c r="K351" s="69" t="str">
        <f>IF(B351="","",SUMIF(B:B,B351,G:G))</f>
        <v/>
      </c>
      <c r="L351" s="70" t="str">
        <f>IF(B351="","",IFERROR(VLOOKUP(B351,'Coil Sheet at Plant'!$C:$I,7,FALSE),""))</f>
        <v/>
      </c>
      <c r="M351" s="71" t="str">
        <f>IF(OR(K351="",L351=""),"",IF(L351=0,"⚠ NO PARENT WIDTH",IF(K351&gt;L351,"⚠ BABY &gt; PARENT","✔ OK")))</f>
        <v/>
      </c>
      <c r="N351" s="71" t="str">
        <f>IF(D351="","",IF(COUNTIF(D$3:D351,D351)&gt;1,"⚠ DUPLICATE",""))</f>
        <v/>
      </c>
      <c r="O351" s="72" t="str">
        <f>IF(B351="","",SUMIF(B:B,B351,G:G)&amp;" / "&amp;IFERROR(VLOOKUP(B351,'Coil Sheet at Plant'!$C:$I,7,FALSE),"?")&amp;" mm")</f>
        <v/>
      </c>
    </row>
    <row r="352" spans="1:15">
      <c r="A352" s="36"/>
      <c r="B352" s="32"/>
      <c r="C352" s="39"/>
      <c r="D352" s="44" t="str">
        <f>IF(OR(B352="",C352=""),"",CONCATENATE(B352,"-",C352))</f>
        <v/>
      </c>
      <c r="E352" s="49" t="str">
        <f>IF(B352="","",IFERROR(VLOOKUP(B352,'Coil Sheet at Plant'!$C:$G,5,FALSE),"ID Not Found"))</f>
        <v/>
      </c>
      <c r="F352" s="50" t="str">
        <f>IF(B352="","",IFERROR(VLOOKUP(B352,'Coil Sheet at Plant'!$C:$H,6,FALSE),"ID Not Found"))</f>
        <v/>
      </c>
      <c r="G352" s="81">
        <v>499</v>
      </c>
      <c r="H352" s="89" t="str">
        <f>IF(OR(B352="",G352=""),"",IFERROR(VLOOKUP(B352,'Coil Sheet at Plant'!$C:$J,8,FALSE),0)*G352/SUMIF(B:B,B352,G:G))</f>
        <v/>
      </c>
      <c r="I352" s="56" t="str">
        <f>IF(B352="","",IFERROR(VLOOKUP(B352,'Coil Sheet at Plant'!$C:$L,9,FALSE),""))</f>
        <v/>
      </c>
      <c r="J352" s="85" t="str">
        <f>IF(B352="","",IFERROR(VLOOKUP(B352,'Coil Sheet at Plant'!$C:$M,10,FALSE),""))</f>
        <v/>
      </c>
      <c r="K352" s="69" t="str">
        <f>IF(B352="","",SUMIF(B:B,B352,G:G))</f>
        <v/>
      </c>
      <c r="L352" s="70" t="str">
        <f>IF(B352="","",IFERROR(VLOOKUP(B352,'Coil Sheet at Plant'!$C:$I,7,FALSE),""))</f>
        <v/>
      </c>
      <c r="M352" s="71" t="str">
        <f>IF(OR(K352="",L352=""),"",IF(L352=0,"⚠ NO PARENT WIDTH",IF(K352&gt;L352,"⚠ BABY &gt; PARENT","✔ OK")))</f>
        <v/>
      </c>
      <c r="N352" s="71" t="str">
        <f>IF(D352="","",IF(COUNTIF(D$3:D352,D352)&gt;1,"⚠ DUPLICATE",""))</f>
        <v/>
      </c>
      <c r="O352" s="72" t="str">
        <f>IF(B352="","",SUMIF(B:B,B352,G:G)&amp;" / "&amp;IFERROR(VLOOKUP(B352,'Coil Sheet at Plant'!$C:$I,7,FALSE),"?")&amp;" mm")</f>
        <v/>
      </c>
    </row>
    <row r="353" spans="1:15">
      <c r="A353" s="36"/>
      <c r="B353" s="32"/>
      <c r="C353" s="39"/>
      <c r="D353" s="44" t="str">
        <f>IF(OR(B353="",C353=""),"",CONCATENATE(B353,"-",C353))</f>
        <v/>
      </c>
      <c r="E353" s="49" t="str">
        <f>IF(B353="","",IFERROR(VLOOKUP(B353,'Coil Sheet at Plant'!$C:$G,5,FALSE),"ID Not Found"))</f>
        <v/>
      </c>
      <c r="F353" s="50" t="str">
        <f>IF(B353="","",IFERROR(VLOOKUP(B353,'Coil Sheet at Plant'!$C:$H,6,FALSE),"ID Not Found"))</f>
        <v/>
      </c>
      <c r="G353" s="81">
        <v>500</v>
      </c>
      <c r="H353" s="89" t="str">
        <f>IF(OR(B353="",G353=""),"",IFERROR(VLOOKUP(B353,'Coil Sheet at Plant'!$C:$J,8,FALSE),0)*G353/SUMIF(B:B,B353,G:G))</f>
        <v/>
      </c>
      <c r="I353" s="56" t="str">
        <f>IF(B353="","",IFERROR(VLOOKUP(B353,'Coil Sheet at Plant'!$C:$L,9,FALSE),""))</f>
        <v/>
      </c>
      <c r="J353" s="85" t="str">
        <f>IF(B353="","",IFERROR(VLOOKUP(B353,'Coil Sheet at Plant'!$C:$M,10,FALSE),""))</f>
        <v/>
      </c>
      <c r="K353" s="69" t="str">
        <f>IF(B353="","",SUMIF(B:B,B353,G:G))</f>
        <v/>
      </c>
      <c r="L353" s="70" t="str">
        <f>IF(B353="","",IFERROR(VLOOKUP(B353,'Coil Sheet at Plant'!$C:$I,7,FALSE),""))</f>
        <v/>
      </c>
      <c r="M353" s="71" t="str">
        <f>IF(OR(K353="",L353=""),"",IF(L353=0,"⚠ NO PARENT WIDTH",IF(K353&gt;L353,"⚠ BABY &gt; PARENT","✔ OK")))</f>
        <v/>
      </c>
      <c r="N353" s="71" t="str">
        <f>IF(D353="","",IF(COUNTIF(D$3:D353,D353)&gt;1,"⚠ DUPLICATE",""))</f>
        <v/>
      </c>
      <c r="O353" s="72" t="str">
        <f>IF(B353="","",SUMIF(B:B,B353,G:G)&amp;" / "&amp;IFERROR(VLOOKUP(B353,'Coil Sheet at Plant'!$C:$I,7,FALSE),"?")&amp;" mm")</f>
        <v/>
      </c>
    </row>
    <row r="354" spans="1:15">
      <c r="A354" s="36"/>
      <c r="B354" s="32"/>
      <c r="C354" s="39"/>
      <c r="D354" s="44" t="str">
        <f>IF(OR(B354="",C354=""),"",CONCATENATE(B354,"-",C354))</f>
        <v/>
      </c>
      <c r="E354" s="49" t="str">
        <f>IF(B354="","",IFERROR(VLOOKUP(B354,'Coil Sheet at Plant'!$C:$G,5,FALSE),"ID Not Found"))</f>
        <v/>
      </c>
      <c r="F354" s="50" t="str">
        <f>IF(B354="","",IFERROR(VLOOKUP(B354,'Coil Sheet at Plant'!$C:$H,6,FALSE),"ID Not Found"))</f>
        <v/>
      </c>
      <c r="G354" s="81">
        <v>501</v>
      </c>
      <c r="H354" s="89" t="str">
        <f>IF(OR(B354="",G354=""),"",IFERROR(VLOOKUP(B354,'Coil Sheet at Plant'!$C:$J,8,FALSE),0)*G354/SUMIF(B:B,B354,G:G))</f>
        <v/>
      </c>
      <c r="I354" s="56" t="str">
        <f>IF(B354="","",IFERROR(VLOOKUP(B354,'Coil Sheet at Plant'!$C:$L,9,FALSE),""))</f>
        <v/>
      </c>
      <c r="J354" s="85" t="str">
        <f>IF(B354="","",IFERROR(VLOOKUP(B354,'Coil Sheet at Plant'!$C:$M,10,FALSE),""))</f>
        <v/>
      </c>
      <c r="K354" s="69" t="str">
        <f>IF(B354="","",SUMIF(B:B,B354,G:G))</f>
        <v/>
      </c>
      <c r="L354" s="70" t="str">
        <f>IF(B354="","",IFERROR(VLOOKUP(B354,'Coil Sheet at Plant'!$C:$I,7,FALSE),""))</f>
        <v/>
      </c>
      <c r="M354" s="71" t="str">
        <f>IF(OR(K354="",L354=""),"",IF(L354=0,"⚠ NO PARENT WIDTH",IF(K354&gt;L354,"⚠ BABY &gt; PARENT","✔ OK")))</f>
        <v/>
      </c>
      <c r="N354" s="71" t="str">
        <f>IF(D354="","",IF(COUNTIF(D$3:D354,D354)&gt;1,"⚠ DUPLICATE",""))</f>
        <v/>
      </c>
      <c r="O354" s="72" t="str">
        <f>IF(B354="","",SUMIF(B:B,B354,G:G)&amp;" / "&amp;IFERROR(VLOOKUP(B354,'Coil Sheet at Plant'!$C:$I,7,FALSE),"?")&amp;" mm")</f>
        <v/>
      </c>
    </row>
    <row r="355" spans="1:15">
      <c r="A355" s="36"/>
      <c r="B355" s="32"/>
      <c r="C355" s="39"/>
      <c r="D355" s="44" t="str">
        <f>IF(OR(B355="",C355=""),"",CONCATENATE(B355,"-",C355))</f>
        <v/>
      </c>
      <c r="E355" s="49" t="str">
        <f>IF(B355="","",IFERROR(VLOOKUP(B355,'Coil Sheet at Plant'!$C:$G,5,FALSE),"ID Not Found"))</f>
        <v/>
      </c>
      <c r="F355" s="50" t="str">
        <f>IF(B355="","",IFERROR(VLOOKUP(B355,'Coil Sheet at Plant'!$C:$H,6,FALSE),"ID Not Found"))</f>
        <v/>
      </c>
      <c r="G355" s="81">
        <v>502</v>
      </c>
      <c r="H355" s="89" t="str">
        <f>IF(OR(B355="",G355=""),"",IFERROR(VLOOKUP(B355,'Coil Sheet at Plant'!$C:$J,8,FALSE),0)*G355/SUMIF(B:B,B355,G:G))</f>
        <v/>
      </c>
      <c r="I355" s="56" t="str">
        <f>IF(B355="","",IFERROR(VLOOKUP(B355,'Coil Sheet at Plant'!$C:$L,9,FALSE),""))</f>
        <v/>
      </c>
      <c r="J355" s="85" t="str">
        <f>IF(B355="","",IFERROR(VLOOKUP(B355,'Coil Sheet at Plant'!$C:$M,10,FALSE),""))</f>
        <v/>
      </c>
      <c r="K355" s="69" t="str">
        <f>IF(B355="","",SUMIF(B:B,B355,G:G))</f>
        <v/>
      </c>
      <c r="L355" s="70" t="str">
        <f>IF(B355="","",IFERROR(VLOOKUP(B355,'Coil Sheet at Plant'!$C:$I,7,FALSE),""))</f>
        <v/>
      </c>
      <c r="M355" s="71" t="str">
        <f>IF(OR(K355="",L355=""),"",IF(L355=0,"⚠ NO PARENT WIDTH",IF(K355&gt;L355,"⚠ BABY &gt; PARENT","✔ OK")))</f>
        <v/>
      </c>
      <c r="N355" s="71" t="str">
        <f>IF(D355="","",IF(COUNTIF(D$3:D355,D355)&gt;1,"⚠ DUPLICATE",""))</f>
        <v/>
      </c>
      <c r="O355" s="72" t="str">
        <f>IF(B355="","",SUMIF(B:B,B355,G:G)&amp;" / "&amp;IFERROR(VLOOKUP(B355,'Coil Sheet at Plant'!$C:$I,7,FALSE),"?")&amp;" mm")</f>
        <v/>
      </c>
    </row>
    <row r="356" spans="1:15">
      <c r="A356" s="36"/>
      <c r="B356" s="32"/>
      <c r="C356" s="39"/>
      <c r="D356" s="44" t="str">
        <f>IF(OR(B356="",C356=""),"",CONCATENATE(B356,"-",C356))</f>
        <v/>
      </c>
      <c r="E356" s="49" t="str">
        <f>IF(B356="","",IFERROR(VLOOKUP(B356,'Coil Sheet at Plant'!$C:$G,5,FALSE),"ID Not Found"))</f>
        <v/>
      </c>
      <c r="F356" s="50" t="str">
        <f>IF(B356="","",IFERROR(VLOOKUP(B356,'Coil Sheet at Plant'!$C:$H,6,FALSE),"ID Not Found"))</f>
        <v/>
      </c>
      <c r="G356" s="81">
        <v>503</v>
      </c>
      <c r="H356" s="89" t="str">
        <f>IF(OR(B356="",G356=""),"",IFERROR(VLOOKUP(B356,'Coil Sheet at Plant'!$C:$J,8,FALSE),0)*G356/SUMIF(B:B,B356,G:G))</f>
        <v/>
      </c>
      <c r="I356" s="56" t="str">
        <f>IF(B356="","",IFERROR(VLOOKUP(B356,'Coil Sheet at Plant'!$C:$L,9,FALSE),""))</f>
        <v/>
      </c>
      <c r="J356" s="85" t="str">
        <f>IF(B356="","",IFERROR(VLOOKUP(B356,'Coil Sheet at Plant'!$C:$M,10,FALSE),""))</f>
        <v/>
      </c>
      <c r="K356" s="69" t="str">
        <f>IF(B356="","",SUMIF(B:B,B356,G:G))</f>
        <v/>
      </c>
      <c r="L356" s="70" t="str">
        <f>IF(B356="","",IFERROR(VLOOKUP(B356,'Coil Sheet at Plant'!$C:$I,7,FALSE),""))</f>
        <v/>
      </c>
      <c r="M356" s="71" t="str">
        <f>IF(OR(K356="",L356=""),"",IF(L356=0,"⚠ NO PARENT WIDTH",IF(K356&gt;L356,"⚠ BABY &gt; PARENT","✔ OK")))</f>
        <v/>
      </c>
      <c r="N356" s="71" t="str">
        <f>IF(D356="","",IF(COUNTIF(D$3:D356,D356)&gt;1,"⚠ DUPLICATE",""))</f>
        <v/>
      </c>
      <c r="O356" s="72" t="str">
        <f>IF(B356="","",SUMIF(B:B,B356,G:G)&amp;" / "&amp;IFERROR(VLOOKUP(B356,'Coil Sheet at Plant'!$C:$I,7,FALSE),"?")&amp;" mm")</f>
        <v/>
      </c>
    </row>
    <row r="357" spans="1:15">
      <c r="A357" s="36"/>
      <c r="B357" s="32"/>
      <c r="C357" s="39"/>
      <c r="D357" s="44" t="str">
        <f>IF(OR(B357="",C357=""),"",CONCATENATE(B357,"-",C357))</f>
        <v/>
      </c>
      <c r="E357" s="49" t="str">
        <f>IF(B357="","",IFERROR(VLOOKUP(B357,'Coil Sheet at Plant'!$C:$G,5,FALSE),"ID Not Found"))</f>
        <v/>
      </c>
      <c r="F357" s="50" t="str">
        <f>IF(B357="","",IFERROR(VLOOKUP(B357,'Coil Sheet at Plant'!$C:$H,6,FALSE),"ID Not Found"))</f>
        <v/>
      </c>
      <c r="G357" s="81">
        <v>504</v>
      </c>
      <c r="H357" s="89" t="str">
        <f>IF(OR(B357="",G357=""),"",IFERROR(VLOOKUP(B357,'Coil Sheet at Plant'!$C:$J,8,FALSE),0)*G357/SUMIF(B:B,B357,G:G))</f>
        <v/>
      </c>
      <c r="I357" s="56" t="str">
        <f>IF(B357="","",IFERROR(VLOOKUP(B357,'Coil Sheet at Plant'!$C:$L,9,FALSE),""))</f>
        <v/>
      </c>
      <c r="J357" s="85" t="str">
        <f>IF(B357="","",IFERROR(VLOOKUP(B357,'Coil Sheet at Plant'!$C:$M,10,FALSE),""))</f>
        <v/>
      </c>
      <c r="K357" s="69" t="str">
        <f>IF(B357="","",SUMIF(B:B,B357,G:G))</f>
        <v/>
      </c>
      <c r="L357" s="70" t="str">
        <f>IF(B357="","",IFERROR(VLOOKUP(B357,'Coil Sheet at Plant'!$C:$I,7,FALSE),""))</f>
        <v/>
      </c>
      <c r="M357" s="71" t="str">
        <f>IF(OR(K357="",L357=""),"",IF(L357=0,"⚠ NO PARENT WIDTH",IF(K357&gt;L357,"⚠ BABY &gt; PARENT","✔ OK")))</f>
        <v/>
      </c>
      <c r="N357" s="71" t="str">
        <f>IF(D357="","",IF(COUNTIF(D$3:D357,D357)&gt;1,"⚠ DUPLICATE",""))</f>
        <v/>
      </c>
      <c r="O357" s="72" t="str">
        <f>IF(B357="","",SUMIF(B:B,B357,G:G)&amp;" / "&amp;IFERROR(VLOOKUP(B357,'Coil Sheet at Plant'!$C:$I,7,FALSE),"?")&amp;" mm")</f>
        <v/>
      </c>
    </row>
    <row r="358" spans="1:15">
      <c r="A358" s="36"/>
      <c r="B358" s="32"/>
      <c r="C358" s="39"/>
      <c r="D358" s="44" t="str">
        <f>IF(OR(B358="",C358=""),"",CONCATENATE(B358,"-",C358))</f>
        <v/>
      </c>
      <c r="E358" s="49" t="str">
        <f>IF(B358="","",IFERROR(VLOOKUP(B358,'Coil Sheet at Plant'!$C:$G,5,FALSE),"ID Not Found"))</f>
        <v/>
      </c>
      <c r="F358" s="50" t="str">
        <f>IF(B358="","",IFERROR(VLOOKUP(B358,'Coil Sheet at Plant'!$C:$H,6,FALSE),"ID Not Found"))</f>
        <v/>
      </c>
      <c r="G358" s="81">
        <v>505</v>
      </c>
      <c r="H358" s="89" t="str">
        <f>IF(OR(B358="",G358=""),"",IFERROR(VLOOKUP(B358,'Coil Sheet at Plant'!$C:$J,8,FALSE),0)*G358/SUMIF(B:B,B358,G:G))</f>
        <v/>
      </c>
      <c r="I358" s="56" t="str">
        <f>IF(B358="","",IFERROR(VLOOKUP(B358,'Coil Sheet at Plant'!$C:$L,9,FALSE),""))</f>
        <v/>
      </c>
      <c r="J358" s="85" t="str">
        <f>IF(B358="","",IFERROR(VLOOKUP(B358,'Coil Sheet at Plant'!$C:$M,10,FALSE),""))</f>
        <v/>
      </c>
      <c r="K358" s="69" t="str">
        <f>IF(B358="","",SUMIF(B:B,B358,G:G))</f>
        <v/>
      </c>
      <c r="L358" s="70" t="str">
        <f>IF(B358="","",IFERROR(VLOOKUP(B358,'Coil Sheet at Plant'!$C:$I,7,FALSE),""))</f>
        <v/>
      </c>
      <c r="M358" s="71" t="str">
        <f>IF(OR(K358="",L358=""),"",IF(L358=0,"⚠ NO PARENT WIDTH",IF(K358&gt;L358,"⚠ BABY &gt; PARENT","✔ OK")))</f>
        <v/>
      </c>
      <c r="N358" s="71" t="str">
        <f>IF(D358="","",IF(COUNTIF(D$3:D358,D358)&gt;1,"⚠ DUPLICATE",""))</f>
        <v/>
      </c>
      <c r="O358" s="72" t="str">
        <f>IF(B358="","",SUMIF(B:B,B358,G:G)&amp;" / "&amp;IFERROR(VLOOKUP(B358,'Coil Sheet at Plant'!$C:$I,7,FALSE),"?")&amp;" mm")</f>
        <v/>
      </c>
    </row>
    <row r="359" spans="1:15">
      <c r="A359" s="36"/>
      <c r="B359" s="32"/>
      <c r="C359" s="39"/>
      <c r="D359" s="44" t="str">
        <f>IF(OR(B359="",C359=""),"",CONCATENATE(B359,"-",C359))</f>
        <v/>
      </c>
      <c r="E359" s="49" t="str">
        <f>IF(B359="","",IFERROR(VLOOKUP(B359,'Coil Sheet at Plant'!$C:$G,5,FALSE),"ID Not Found"))</f>
        <v/>
      </c>
      <c r="F359" s="50" t="str">
        <f>IF(B359="","",IFERROR(VLOOKUP(B359,'Coil Sheet at Plant'!$C:$H,6,FALSE),"ID Not Found"))</f>
        <v/>
      </c>
      <c r="G359" s="81">
        <v>506</v>
      </c>
      <c r="H359" s="89" t="str">
        <f>IF(OR(B359="",G359=""),"",IFERROR(VLOOKUP(B359,'Coil Sheet at Plant'!$C:$J,8,FALSE),0)*G359/SUMIF(B:B,B359,G:G))</f>
        <v/>
      </c>
      <c r="I359" s="56" t="str">
        <f>IF(B359="","",IFERROR(VLOOKUP(B359,'Coil Sheet at Plant'!$C:$L,9,FALSE),""))</f>
        <v/>
      </c>
      <c r="J359" s="85" t="str">
        <f>IF(B359="","",IFERROR(VLOOKUP(B359,'Coil Sheet at Plant'!$C:$M,10,FALSE),""))</f>
        <v/>
      </c>
      <c r="K359" s="69" t="str">
        <f>IF(B359="","",SUMIF(B:B,B359,G:G))</f>
        <v/>
      </c>
      <c r="L359" s="70" t="str">
        <f>IF(B359="","",IFERROR(VLOOKUP(B359,'Coil Sheet at Plant'!$C:$I,7,FALSE),""))</f>
        <v/>
      </c>
      <c r="M359" s="71" t="str">
        <f>IF(OR(K359="",L359=""),"",IF(L359=0,"⚠ NO PARENT WIDTH",IF(K359&gt;L359,"⚠ BABY &gt; PARENT","✔ OK")))</f>
        <v/>
      </c>
      <c r="N359" s="71" t="str">
        <f>IF(D359="","",IF(COUNTIF(D$3:D359,D359)&gt;1,"⚠ DUPLICATE",""))</f>
        <v/>
      </c>
      <c r="O359" s="72" t="str">
        <f>IF(B359="","",SUMIF(B:B,B359,G:G)&amp;" / "&amp;IFERROR(VLOOKUP(B359,'Coil Sheet at Plant'!$C:$I,7,FALSE),"?")&amp;" mm")</f>
        <v/>
      </c>
    </row>
    <row r="360" spans="1:15">
      <c r="A360" s="36"/>
      <c r="B360" s="32"/>
      <c r="C360" s="39"/>
      <c r="D360" s="44" t="str">
        <f>IF(OR(B360="",C360=""),"",CONCATENATE(B360,"-",C360))</f>
        <v/>
      </c>
      <c r="E360" s="49" t="str">
        <f>IF(B360="","",IFERROR(VLOOKUP(B360,'Coil Sheet at Plant'!$C:$G,5,FALSE),"ID Not Found"))</f>
        <v/>
      </c>
      <c r="F360" s="50" t="str">
        <f>IF(B360="","",IFERROR(VLOOKUP(B360,'Coil Sheet at Plant'!$C:$H,6,FALSE),"ID Not Found"))</f>
        <v/>
      </c>
      <c r="G360" s="81">
        <v>507</v>
      </c>
      <c r="H360" s="89" t="str">
        <f>IF(OR(B360="",G360=""),"",IFERROR(VLOOKUP(B360,'Coil Sheet at Plant'!$C:$J,8,FALSE),0)*G360/SUMIF(B:B,B360,G:G))</f>
        <v/>
      </c>
      <c r="I360" s="56" t="str">
        <f>IF(B360="","",IFERROR(VLOOKUP(B360,'Coil Sheet at Plant'!$C:$L,9,FALSE),""))</f>
        <v/>
      </c>
      <c r="J360" s="85" t="str">
        <f>IF(B360="","",IFERROR(VLOOKUP(B360,'Coil Sheet at Plant'!$C:$M,10,FALSE),""))</f>
        <v/>
      </c>
      <c r="K360" s="69" t="str">
        <f>IF(B360="","",SUMIF(B:B,B360,G:G))</f>
        <v/>
      </c>
      <c r="L360" s="70" t="str">
        <f>IF(B360="","",IFERROR(VLOOKUP(B360,'Coil Sheet at Plant'!$C:$I,7,FALSE),""))</f>
        <v/>
      </c>
      <c r="M360" s="71" t="str">
        <f>IF(OR(K360="",L360=""),"",IF(L360=0,"⚠ NO PARENT WIDTH",IF(K360&gt;L360,"⚠ BABY &gt; PARENT","✔ OK")))</f>
        <v/>
      </c>
      <c r="N360" s="71" t="str">
        <f>IF(D360="","",IF(COUNTIF(D$3:D360,D360)&gt;1,"⚠ DUPLICATE",""))</f>
        <v/>
      </c>
      <c r="O360" s="72" t="str">
        <f>IF(B360="","",SUMIF(B:B,B360,G:G)&amp;" / "&amp;IFERROR(VLOOKUP(B360,'Coil Sheet at Plant'!$C:$I,7,FALSE),"?")&amp;" mm")</f>
        <v/>
      </c>
    </row>
    <row r="361" spans="1:15">
      <c r="A361" s="36"/>
      <c r="B361" s="32"/>
      <c r="C361" s="39"/>
      <c r="D361" s="44" t="str">
        <f>IF(OR(B361="",C361=""),"",CONCATENATE(B361,"-",C361))</f>
        <v/>
      </c>
      <c r="E361" s="49" t="str">
        <f>IF(B361="","",IFERROR(VLOOKUP(B361,'Coil Sheet at Plant'!$C:$G,5,FALSE),"ID Not Found"))</f>
        <v/>
      </c>
      <c r="F361" s="50" t="str">
        <f>IF(B361="","",IFERROR(VLOOKUP(B361,'Coil Sheet at Plant'!$C:$H,6,FALSE),"ID Not Found"))</f>
        <v/>
      </c>
      <c r="G361" s="81">
        <v>508</v>
      </c>
      <c r="H361" s="89" t="str">
        <f>IF(OR(B361="",G361=""),"",IFERROR(VLOOKUP(B361,'Coil Sheet at Plant'!$C:$J,8,FALSE),0)*G361/SUMIF(B:B,B361,G:G))</f>
        <v/>
      </c>
      <c r="I361" s="56" t="str">
        <f>IF(B361="","",IFERROR(VLOOKUP(B361,'Coil Sheet at Plant'!$C:$L,9,FALSE),""))</f>
        <v/>
      </c>
      <c r="J361" s="85" t="str">
        <f>IF(B361="","",IFERROR(VLOOKUP(B361,'Coil Sheet at Plant'!$C:$M,10,FALSE),""))</f>
        <v/>
      </c>
      <c r="K361" s="69" t="str">
        <f>IF(B361="","",SUMIF(B:B,B361,G:G))</f>
        <v/>
      </c>
      <c r="L361" s="70" t="str">
        <f>IF(B361="","",IFERROR(VLOOKUP(B361,'Coil Sheet at Plant'!$C:$I,7,FALSE),""))</f>
        <v/>
      </c>
      <c r="M361" s="71" t="str">
        <f>IF(OR(K361="",L361=""),"",IF(L361=0,"⚠ NO PARENT WIDTH",IF(K361&gt;L361,"⚠ BABY &gt; PARENT","✔ OK")))</f>
        <v/>
      </c>
      <c r="N361" s="71" t="str">
        <f>IF(D361="","",IF(COUNTIF(D$3:D361,D361)&gt;1,"⚠ DUPLICATE",""))</f>
        <v/>
      </c>
      <c r="O361" s="72" t="str">
        <f>IF(B361="","",SUMIF(B:B,B361,G:G)&amp;" / "&amp;IFERROR(VLOOKUP(B361,'Coil Sheet at Plant'!$C:$I,7,FALSE),"?")&amp;" mm")</f>
        <v/>
      </c>
    </row>
    <row r="362" spans="1:15">
      <c r="A362" s="36"/>
      <c r="B362" s="32"/>
      <c r="C362" s="39"/>
      <c r="D362" s="44" t="str">
        <f>IF(OR(B362="",C362=""),"",CONCATENATE(B362,"-",C362))</f>
        <v/>
      </c>
      <c r="E362" s="49" t="str">
        <f>IF(B362="","",IFERROR(VLOOKUP(B362,'Coil Sheet at Plant'!$C:$G,5,FALSE),"ID Not Found"))</f>
        <v/>
      </c>
      <c r="F362" s="50" t="str">
        <f>IF(B362="","",IFERROR(VLOOKUP(B362,'Coil Sheet at Plant'!$C:$H,6,FALSE),"ID Not Found"))</f>
        <v/>
      </c>
      <c r="G362" s="81">
        <v>509</v>
      </c>
      <c r="H362" s="89" t="str">
        <f>IF(OR(B362="",G362=""),"",IFERROR(VLOOKUP(B362,'Coil Sheet at Plant'!$C:$J,8,FALSE),0)*G362/SUMIF(B:B,B362,G:G))</f>
        <v/>
      </c>
      <c r="I362" s="56" t="str">
        <f>IF(B362="","",IFERROR(VLOOKUP(B362,'Coil Sheet at Plant'!$C:$L,9,FALSE),""))</f>
        <v/>
      </c>
      <c r="J362" s="85" t="str">
        <f>IF(B362="","",IFERROR(VLOOKUP(B362,'Coil Sheet at Plant'!$C:$M,10,FALSE),""))</f>
        <v/>
      </c>
      <c r="K362" s="69" t="str">
        <f>IF(B362="","",SUMIF(B:B,B362,G:G))</f>
        <v/>
      </c>
      <c r="L362" s="70" t="str">
        <f>IF(B362="","",IFERROR(VLOOKUP(B362,'Coil Sheet at Plant'!$C:$I,7,FALSE),""))</f>
        <v/>
      </c>
      <c r="M362" s="71" t="str">
        <f>IF(OR(K362="",L362=""),"",IF(L362=0,"⚠ NO PARENT WIDTH",IF(K362&gt;L362,"⚠ BABY &gt; PARENT","✔ OK")))</f>
        <v/>
      </c>
      <c r="N362" s="71" t="str">
        <f>IF(D362="","",IF(COUNTIF(D$3:D362,D362)&gt;1,"⚠ DUPLICATE",""))</f>
        <v/>
      </c>
      <c r="O362" s="72" t="str">
        <f>IF(B362="","",SUMIF(B:B,B362,G:G)&amp;" / "&amp;IFERROR(VLOOKUP(B362,'Coil Sheet at Plant'!$C:$I,7,FALSE),"?")&amp;" mm")</f>
        <v/>
      </c>
    </row>
    <row r="363" spans="1:15">
      <c r="A363" s="36"/>
      <c r="B363" s="32"/>
      <c r="C363" s="39"/>
      <c r="D363" s="44" t="str">
        <f>IF(OR(B363="",C363=""),"",CONCATENATE(B363,"-",C363))</f>
        <v/>
      </c>
      <c r="E363" s="49" t="str">
        <f>IF(B363="","",IFERROR(VLOOKUP(B363,'Coil Sheet at Plant'!$C:$G,5,FALSE),"ID Not Found"))</f>
        <v/>
      </c>
      <c r="F363" s="50" t="str">
        <f>IF(B363="","",IFERROR(VLOOKUP(B363,'Coil Sheet at Plant'!$C:$H,6,FALSE),"ID Not Found"))</f>
        <v/>
      </c>
      <c r="G363" s="81">
        <v>510</v>
      </c>
      <c r="H363" s="89" t="str">
        <f>IF(OR(B363="",G363=""),"",IFERROR(VLOOKUP(B363,'Coil Sheet at Plant'!$C:$J,8,FALSE),0)*G363/SUMIF(B:B,B363,G:G))</f>
        <v/>
      </c>
      <c r="I363" s="56" t="str">
        <f>IF(B363="","",IFERROR(VLOOKUP(B363,'Coil Sheet at Plant'!$C:$L,9,FALSE),""))</f>
        <v/>
      </c>
      <c r="J363" s="85" t="str">
        <f>IF(B363="","",IFERROR(VLOOKUP(B363,'Coil Sheet at Plant'!$C:$M,10,FALSE),""))</f>
        <v/>
      </c>
      <c r="K363" s="69" t="str">
        <f>IF(B363="","",SUMIF(B:B,B363,G:G))</f>
        <v/>
      </c>
      <c r="L363" s="70" t="str">
        <f>IF(B363="","",IFERROR(VLOOKUP(B363,'Coil Sheet at Plant'!$C:$I,7,FALSE),""))</f>
        <v/>
      </c>
      <c r="M363" s="71" t="str">
        <f>IF(OR(K363="",L363=""),"",IF(L363=0,"⚠ NO PARENT WIDTH",IF(K363&gt;L363,"⚠ BABY &gt; PARENT","✔ OK")))</f>
        <v/>
      </c>
      <c r="N363" s="71" t="str">
        <f>IF(D363="","",IF(COUNTIF(D$3:D363,D363)&gt;1,"⚠ DUPLICATE",""))</f>
        <v/>
      </c>
      <c r="O363" s="72" t="str">
        <f>IF(B363="","",SUMIF(B:B,B363,G:G)&amp;" / "&amp;IFERROR(VLOOKUP(B363,'Coil Sheet at Plant'!$C:$I,7,FALSE),"?")&amp;" mm")</f>
        <v/>
      </c>
    </row>
    <row r="364" spans="1:15">
      <c r="A364" s="36"/>
      <c r="B364" s="32"/>
      <c r="C364" s="39"/>
      <c r="D364" s="44" t="str">
        <f>IF(OR(B364="",C364=""),"",CONCATENATE(B364,"-",C364))</f>
        <v/>
      </c>
      <c r="E364" s="49" t="str">
        <f>IF(B364="","",IFERROR(VLOOKUP(B364,'Coil Sheet at Plant'!$C:$G,5,FALSE),"ID Not Found"))</f>
        <v/>
      </c>
      <c r="F364" s="50" t="str">
        <f>IF(B364="","",IFERROR(VLOOKUP(B364,'Coil Sheet at Plant'!$C:$H,6,FALSE),"ID Not Found"))</f>
        <v/>
      </c>
      <c r="G364" s="81">
        <v>511</v>
      </c>
      <c r="H364" s="89" t="str">
        <f>IF(OR(B364="",G364=""),"",IFERROR(VLOOKUP(B364,'Coil Sheet at Plant'!$C:$J,8,FALSE),0)*G364/SUMIF(B:B,B364,G:G))</f>
        <v/>
      </c>
      <c r="I364" s="56" t="str">
        <f>IF(B364="","",IFERROR(VLOOKUP(B364,'Coil Sheet at Plant'!$C:$L,9,FALSE),""))</f>
        <v/>
      </c>
      <c r="J364" s="85" t="str">
        <f>IF(B364="","",IFERROR(VLOOKUP(B364,'Coil Sheet at Plant'!$C:$M,10,FALSE),""))</f>
        <v/>
      </c>
      <c r="K364" s="69" t="str">
        <f>IF(B364="","",SUMIF(B:B,B364,G:G))</f>
        <v/>
      </c>
      <c r="L364" s="70" t="str">
        <f>IF(B364="","",IFERROR(VLOOKUP(B364,'Coil Sheet at Plant'!$C:$I,7,FALSE),""))</f>
        <v/>
      </c>
      <c r="M364" s="71" t="str">
        <f>IF(OR(K364="",L364=""),"",IF(L364=0,"⚠ NO PARENT WIDTH",IF(K364&gt;L364,"⚠ BABY &gt; PARENT","✔ OK")))</f>
        <v/>
      </c>
      <c r="N364" s="71" t="str">
        <f>IF(D364="","",IF(COUNTIF(D$3:D364,D364)&gt;1,"⚠ DUPLICATE",""))</f>
        <v/>
      </c>
      <c r="O364" s="72" t="str">
        <f>IF(B364="","",SUMIF(B:B,B364,G:G)&amp;" / "&amp;IFERROR(VLOOKUP(B364,'Coil Sheet at Plant'!$C:$I,7,FALSE),"?")&amp;" mm")</f>
        <v/>
      </c>
    </row>
    <row r="365" spans="1:15">
      <c r="A365" s="36"/>
      <c r="B365" s="32"/>
      <c r="C365" s="39"/>
      <c r="D365" s="44" t="str">
        <f>IF(OR(B365="",C365=""),"",CONCATENATE(B365,"-",C365))</f>
        <v/>
      </c>
      <c r="E365" s="49" t="str">
        <f>IF(B365="","",IFERROR(VLOOKUP(B365,'Coil Sheet at Plant'!$C:$G,5,FALSE),"ID Not Found"))</f>
        <v/>
      </c>
      <c r="F365" s="50" t="str">
        <f>IF(B365="","",IFERROR(VLOOKUP(B365,'Coil Sheet at Plant'!$C:$H,6,FALSE),"ID Not Found"))</f>
        <v/>
      </c>
      <c r="G365" s="81">
        <v>512</v>
      </c>
      <c r="H365" s="89" t="str">
        <f>IF(OR(B365="",G365=""),"",IFERROR(VLOOKUP(B365,'Coil Sheet at Plant'!$C:$J,8,FALSE),0)*G365/SUMIF(B:B,B365,G:G))</f>
        <v/>
      </c>
      <c r="I365" s="56" t="str">
        <f>IF(B365="","",IFERROR(VLOOKUP(B365,'Coil Sheet at Plant'!$C:$L,9,FALSE),""))</f>
        <v/>
      </c>
      <c r="J365" s="85" t="str">
        <f>IF(B365="","",IFERROR(VLOOKUP(B365,'Coil Sheet at Plant'!$C:$M,10,FALSE),""))</f>
        <v/>
      </c>
      <c r="K365" s="69" t="str">
        <f>IF(B365="","",SUMIF(B:B,B365,G:G))</f>
        <v/>
      </c>
      <c r="L365" s="70" t="str">
        <f>IF(B365="","",IFERROR(VLOOKUP(B365,'Coil Sheet at Plant'!$C:$I,7,FALSE),""))</f>
        <v/>
      </c>
      <c r="M365" s="71" t="str">
        <f>IF(OR(K365="",L365=""),"",IF(L365=0,"⚠ NO PARENT WIDTH",IF(K365&gt;L365,"⚠ BABY &gt; PARENT","✔ OK")))</f>
        <v/>
      </c>
      <c r="N365" s="71" t="str">
        <f>IF(D365="","",IF(COUNTIF(D$3:D365,D365)&gt;1,"⚠ DUPLICATE",""))</f>
        <v/>
      </c>
      <c r="O365" s="72" t="str">
        <f>IF(B365="","",SUMIF(B:B,B365,G:G)&amp;" / "&amp;IFERROR(VLOOKUP(B365,'Coil Sheet at Plant'!$C:$I,7,FALSE),"?")&amp;" mm")</f>
        <v/>
      </c>
    </row>
    <row r="366" spans="1:15">
      <c r="A366" s="36"/>
      <c r="B366" s="32"/>
      <c r="C366" s="39"/>
      <c r="D366" s="44" t="str">
        <f>IF(OR(B366="",C366=""),"",CONCATENATE(B366,"-",C366))</f>
        <v/>
      </c>
      <c r="E366" s="49" t="str">
        <f>IF(B366="","",IFERROR(VLOOKUP(B366,'Coil Sheet at Plant'!$C:$G,5,FALSE),"ID Not Found"))</f>
        <v/>
      </c>
      <c r="F366" s="50" t="str">
        <f>IF(B366="","",IFERROR(VLOOKUP(B366,'Coil Sheet at Plant'!$C:$H,6,FALSE),"ID Not Found"))</f>
        <v/>
      </c>
      <c r="G366" s="81">
        <v>513</v>
      </c>
      <c r="H366" s="89" t="str">
        <f>IF(OR(B366="",G366=""),"",IFERROR(VLOOKUP(B366,'Coil Sheet at Plant'!$C:$J,8,FALSE),0)*G366/SUMIF(B:B,B366,G:G))</f>
        <v/>
      </c>
      <c r="I366" s="56" t="str">
        <f>IF(B366="","",IFERROR(VLOOKUP(B366,'Coil Sheet at Plant'!$C:$L,9,FALSE),""))</f>
        <v/>
      </c>
      <c r="J366" s="85" t="str">
        <f>IF(B366="","",IFERROR(VLOOKUP(B366,'Coil Sheet at Plant'!$C:$M,10,FALSE),""))</f>
        <v/>
      </c>
      <c r="K366" s="69" t="str">
        <f>IF(B366="","",SUMIF(B:B,B366,G:G))</f>
        <v/>
      </c>
      <c r="L366" s="70" t="str">
        <f>IF(B366="","",IFERROR(VLOOKUP(B366,'Coil Sheet at Plant'!$C:$I,7,FALSE),""))</f>
        <v/>
      </c>
      <c r="M366" s="71" t="str">
        <f>IF(OR(K366="",L366=""),"",IF(L366=0,"⚠ NO PARENT WIDTH",IF(K366&gt;L366,"⚠ BABY &gt; PARENT","✔ OK")))</f>
        <v/>
      </c>
      <c r="N366" s="71" t="str">
        <f>IF(D366="","",IF(COUNTIF(D$3:D366,D366)&gt;1,"⚠ DUPLICATE",""))</f>
        <v/>
      </c>
      <c r="O366" s="72" t="str">
        <f>IF(B366="","",SUMIF(B:B,B366,G:G)&amp;" / "&amp;IFERROR(VLOOKUP(B366,'Coil Sheet at Plant'!$C:$I,7,FALSE),"?")&amp;" mm")</f>
        <v/>
      </c>
    </row>
    <row r="367" spans="1:15">
      <c r="A367" s="36"/>
      <c r="B367" s="32"/>
      <c r="C367" s="39"/>
      <c r="D367" s="44" t="str">
        <f>IF(OR(B367="",C367=""),"",CONCATENATE(B367,"-",C367))</f>
        <v/>
      </c>
      <c r="E367" s="49" t="str">
        <f>IF(B367="","",IFERROR(VLOOKUP(B367,'Coil Sheet at Plant'!$C:$G,5,FALSE),"ID Not Found"))</f>
        <v/>
      </c>
      <c r="F367" s="50" t="str">
        <f>IF(B367="","",IFERROR(VLOOKUP(B367,'Coil Sheet at Plant'!$C:$H,6,FALSE),"ID Not Found"))</f>
        <v/>
      </c>
      <c r="G367" s="81">
        <v>514</v>
      </c>
      <c r="H367" s="89" t="str">
        <f>IF(OR(B367="",G367=""),"",IFERROR(VLOOKUP(B367,'Coil Sheet at Plant'!$C:$J,8,FALSE),0)*G367/SUMIF(B:B,B367,G:G))</f>
        <v/>
      </c>
      <c r="I367" s="56" t="str">
        <f>IF(B367="","",IFERROR(VLOOKUP(B367,'Coil Sheet at Plant'!$C:$L,9,FALSE),""))</f>
        <v/>
      </c>
      <c r="J367" s="85" t="str">
        <f>IF(B367="","",IFERROR(VLOOKUP(B367,'Coil Sheet at Plant'!$C:$M,10,FALSE),""))</f>
        <v/>
      </c>
      <c r="K367" s="69" t="str">
        <f>IF(B367="","",SUMIF(B:B,B367,G:G))</f>
        <v/>
      </c>
      <c r="L367" s="70" t="str">
        <f>IF(B367="","",IFERROR(VLOOKUP(B367,'Coil Sheet at Plant'!$C:$I,7,FALSE),""))</f>
        <v/>
      </c>
      <c r="M367" s="71" t="str">
        <f>IF(OR(K367="",L367=""),"",IF(L367=0,"⚠ NO PARENT WIDTH",IF(K367&gt;L367,"⚠ BABY &gt; PARENT","✔ OK")))</f>
        <v/>
      </c>
      <c r="N367" s="71" t="str">
        <f>IF(D367="","",IF(COUNTIF(D$3:D367,D367)&gt;1,"⚠ DUPLICATE",""))</f>
        <v/>
      </c>
      <c r="O367" s="72" t="str">
        <f>IF(B367="","",SUMIF(B:B,B367,G:G)&amp;" / "&amp;IFERROR(VLOOKUP(B367,'Coil Sheet at Plant'!$C:$I,7,FALSE),"?")&amp;" mm")</f>
        <v/>
      </c>
    </row>
    <row r="368" spans="1:15">
      <c r="A368" s="36"/>
      <c r="B368" s="32"/>
      <c r="C368" s="39"/>
      <c r="D368" s="44" t="str">
        <f>IF(OR(B368="",C368=""),"",CONCATENATE(B368,"-",C368))</f>
        <v/>
      </c>
      <c r="E368" s="49" t="str">
        <f>IF(B368="","",IFERROR(VLOOKUP(B368,'Coil Sheet at Plant'!$C:$G,5,FALSE),"ID Not Found"))</f>
        <v/>
      </c>
      <c r="F368" s="50" t="str">
        <f>IF(B368="","",IFERROR(VLOOKUP(B368,'Coil Sheet at Plant'!$C:$H,6,FALSE),"ID Not Found"))</f>
        <v/>
      </c>
      <c r="G368" s="81">
        <v>515</v>
      </c>
      <c r="H368" s="89" t="str">
        <f>IF(OR(B368="",G368=""),"",IFERROR(VLOOKUP(B368,'Coil Sheet at Plant'!$C:$J,8,FALSE),0)*G368/SUMIF(B:B,B368,G:G))</f>
        <v/>
      </c>
      <c r="I368" s="56" t="str">
        <f>IF(B368="","",IFERROR(VLOOKUP(B368,'Coil Sheet at Plant'!$C:$L,9,FALSE),""))</f>
        <v/>
      </c>
      <c r="J368" s="85" t="str">
        <f>IF(B368="","",IFERROR(VLOOKUP(B368,'Coil Sheet at Plant'!$C:$M,10,FALSE),""))</f>
        <v/>
      </c>
      <c r="K368" s="69" t="str">
        <f>IF(B368="","",SUMIF(B:B,B368,G:G))</f>
        <v/>
      </c>
      <c r="L368" s="70" t="str">
        <f>IF(B368="","",IFERROR(VLOOKUP(B368,'Coil Sheet at Plant'!$C:$I,7,FALSE),""))</f>
        <v/>
      </c>
      <c r="M368" s="71" t="str">
        <f>IF(OR(K368="",L368=""),"",IF(L368=0,"⚠ NO PARENT WIDTH",IF(K368&gt;L368,"⚠ BABY &gt; PARENT","✔ OK")))</f>
        <v/>
      </c>
      <c r="N368" s="71" t="str">
        <f>IF(D368="","",IF(COUNTIF(D$3:D368,D368)&gt;1,"⚠ DUPLICATE",""))</f>
        <v/>
      </c>
      <c r="O368" s="72" t="str">
        <f>IF(B368="","",SUMIF(B:B,B368,G:G)&amp;" / "&amp;IFERROR(VLOOKUP(B368,'Coil Sheet at Plant'!$C:$I,7,FALSE),"?")&amp;" mm")</f>
        <v/>
      </c>
    </row>
    <row r="369" spans="1:15">
      <c r="A369" s="36"/>
      <c r="B369" s="32"/>
      <c r="C369" s="39"/>
      <c r="D369" s="44" t="str">
        <f>IF(OR(B369="",C369=""),"",CONCATENATE(B369,"-",C369))</f>
        <v/>
      </c>
      <c r="E369" s="49" t="str">
        <f>IF(B369="","",IFERROR(VLOOKUP(B369,'Coil Sheet at Plant'!$C:$G,5,FALSE),"ID Not Found"))</f>
        <v/>
      </c>
      <c r="F369" s="50" t="str">
        <f>IF(B369="","",IFERROR(VLOOKUP(B369,'Coil Sheet at Plant'!$C:$H,6,FALSE),"ID Not Found"))</f>
        <v/>
      </c>
      <c r="G369" s="81">
        <v>516</v>
      </c>
      <c r="H369" s="89" t="str">
        <f>IF(OR(B369="",G369=""),"",IFERROR(VLOOKUP(B369,'Coil Sheet at Plant'!$C:$J,8,FALSE),0)*G369/SUMIF(B:B,B369,G:G))</f>
        <v/>
      </c>
      <c r="I369" s="56" t="str">
        <f>IF(B369="","",IFERROR(VLOOKUP(B369,'Coil Sheet at Plant'!$C:$L,9,FALSE),""))</f>
        <v/>
      </c>
      <c r="J369" s="85" t="str">
        <f>IF(B369="","",IFERROR(VLOOKUP(B369,'Coil Sheet at Plant'!$C:$M,10,FALSE),""))</f>
        <v/>
      </c>
      <c r="K369" s="69" t="str">
        <f>IF(B369="","",SUMIF(B:B,B369,G:G))</f>
        <v/>
      </c>
      <c r="L369" s="70" t="str">
        <f>IF(B369="","",IFERROR(VLOOKUP(B369,'Coil Sheet at Plant'!$C:$I,7,FALSE),""))</f>
        <v/>
      </c>
      <c r="M369" s="71" t="str">
        <f>IF(OR(K369="",L369=""),"",IF(L369=0,"⚠ NO PARENT WIDTH",IF(K369&gt;L369,"⚠ BABY &gt; PARENT","✔ OK")))</f>
        <v/>
      </c>
      <c r="N369" s="71" t="str">
        <f>IF(D369="","",IF(COUNTIF(D$3:D369,D369)&gt;1,"⚠ DUPLICATE",""))</f>
        <v/>
      </c>
      <c r="O369" s="72" t="str">
        <f>IF(B369="","",SUMIF(B:B,B369,G:G)&amp;" / "&amp;IFERROR(VLOOKUP(B369,'Coil Sheet at Plant'!$C:$I,7,FALSE),"?")&amp;" mm")</f>
        <v/>
      </c>
    </row>
    <row r="370" spans="1:15">
      <c r="A370" s="36"/>
      <c r="B370" s="32"/>
      <c r="C370" s="39"/>
      <c r="D370" s="44" t="str">
        <f>IF(OR(B370="",C370=""),"",CONCATENATE(B370,"-",C370))</f>
        <v/>
      </c>
      <c r="E370" s="49" t="str">
        <f>IF(B370="","",IFERROR(VLOOKUP(B370,'Coil Sheet at Plant'!$C:$G,5,FALSE),"ID Not Found"))</f>
        <v/>
      </c>
      <c r="F370" s="50" t="str">
        <f>IF(B370="","",IFERROR(VLOOKUP(B370,'Coil Sheet at Plant'!$C:$H,6,FALSE),"ID Not Found"))</f>
        <v/>
      </c>
      <c r="G370" s="81">
        <v>517</v>
      </c>
      <c r="H370" s="89" t="str">
        <f>IF(OR(B370="",G370=""),"",IFERROR(VLOOKUP(B370,'Coil Sheet at Plant'!$C:$J,8,FALSE),0)*G370/SUMIF(B:B,B370,G:G))</f>
        <v/>
      </c>
      <c r="I370" s="56" t="str">
        <f>IF(B370="","",IFERROR(VLOOKUP(B370,'Coil Sheet at Plant'!$C:$L,9,FALSE),""))</f>
        <v/>
      </c>
      <c r="J370" s="85" t="str">
        <f>IF(B370="","",IFERROR(VLOOKUP(B370,'Coil Sheet at Plant'!$C:$M,10,FALSE),""))</f>
        <v/>
      </c>
      <c r="K370" s="69" t="str">
        <f>IF(B370="","",SUMIF(B:B,B370,G:G))</f>
        <v/>
      </c>
      <c r="L370" s="70" t="str">
        <f>IF(B370="","",IFERROR(VLOOKUP(B370,'Coil Sheet at Plant'!$C:$I,7,FALSE),""))</f>
        <v/>
      </c>
      <c r="M370" s="71" t="str">
        <f>IF(OR(K370="",L370=""),"",IF(L370=0,"⚠ NO PARENT WIDTH",IF(K370&gt;L370,"⚠ BABY &gt; PARENT","✔ OK")))</f>
        <v/>
      </c>
      <c r="N370" s="71" t="str">
        <f>IF(D370="","",IF(COUNTIF(D$3:D370,D370)&gt;1,"⚠ DUPLICATE",""))</f>
        <v/>
      </c>
      <c r="O370" s="72" t="str">
        <f>IF(B370="","",SUMIF(B:B,B370,G:G)&amp;" / "&amp;IFERROR(VLOOKUP(B370,'Coil Sheet at Plant'!$C:$I,7,FALSE),"?")&amp;" mm")</f>
        <v/>
      </c>
    </row>
    <row r="371" spans="1:15">
      <c r="A371" s="36"/>
      <c r="B371" s="32"/>
      <c r="C371" s="39"/>
      <c r="D371" s="44" t="str">
        <f>IF(OR(B371="",C371=""),"",CONCATENATE(B371,"-",C371))</f>
        <v/>
      </c>
      <c r="E371" s="49" t="str">
        <f>IF(B371="","",IFERROR(VLOOKUP(B371,'Coil Sheet at Plant'!$C:$G,5,FALSE),"ID Not Found"))</f>
        <v/>
      </c>
      <c r="F371" s="50" t="str">
        <f>IF(B371="","",IFERROR(VLOOKUP(B371,'Coil Sheet at Plant'!$C:$H,6,FALSE),"ID Not Found"))</f>
        <v/>
      </c>
      <c r="G371" s="81">
        <v>518</v>
      </c>
      <c r="H371" s="89" t="str">
        <f>IF(OR(B371="",G371=""),"",IFERROR(VLOOKUP(B371,'Coil Sheet at Plant'!$C:$J,8,FALSE),0)*G371/SUMIF(B:B,B371,G:G))</f>
        <v/>
      </c>
      <c r="I371" s="56" t="str">
        <f>IF(B371="","",IFERROR(VLOOKUP(B371,'Coil Sheet at Plant'!$C:$L,9,FALSE),""))</f>
        <v/>
      </c>
      <c r="J371" s="85" t="str">
        <f>IF(B371="","",IFERROR(VLOOKUP(B371,'Coil Sheet at Plant'!$C:$M,10,FALSE),""))</f>
        <v/>
      </c>
      <c r="K371" s="69" t="str">
        <f>IF(B371="","",SUMIF(B:B,B371,G:G))</f>
        <v/>
      </c>
      <c r="L371" s="70" t="str">
        <f>IF(B371="","",IFERROR(VLOOKUP(B371,'Coil Sheet at Plant'!$C:$I,7,FALSE),""))</f>
        <v/>
      </c>
      <c r="M371" s="71" t="str">
        <f>IF(OR(K371="",L371=""),"",IF(L371=0,"⚠ NO PARENT WIDTH",IF(K371&gt;L371,"⚠ BABY &gt; PARENT","✔ OK")))</f>
        <v/>
      </c>
      <c r="N371" s="71" t="str">
        <f>IF(D371="","",IF(COUNTIF(D$3:D371,D371)&gt;1,"⚠ DUPLICATE",""))</f>
        <v/>
      </c>
      <c r="O371" s="72" t="str">
        <f>IF(B371="","",SUMIF(B:B,B371,G:G)&amp;" / "&amp;IFERROR(VLOOKUP(B371,'Coil Sheet at Plant'!$C:$I,7,FALSE),"?")&amp;" mm")</f>
        <v/>
      </c>
    </row>
    <row r="372" spans="1:15">
      <c r="A372" s="36"/>
      <c r="B372" s="32"/>
      <c r="C372" s="39"/>
      <c r="D372" s="44" t="str">
        <f>IF(OR(B372="",C372=""),"",CONCATENATE(B372,"-",C372))</f>
        <v/>
      </c>
      <c r="E372" s="49" t="str">
        <f>IF(B372="","",IFERROR(VLOOKUP(B372,'Coil Sheet at Plant'!$C:$G,5,FALSE),"ID Not Found"))</f>
        <v/>
      </c>
      <c r="F372" s="50" t="str">
        <f>IF(B372="","",IFERROR(VLOOKUP(B372,'Coil Sheet at Plant'!$C:$H,6,FALSE),"ID Not Found"))</f>
        <v/>
      </c>
      <c r="G372" s="81">
        <v>519</v>
      </c>
      <c r="H372" s="89" t="str">
        <f>IF(OR(B372="",G372=""),"",IFERROR(VLOOKUP(B372,'Coil Sheet at Plant'!$C:$J,8,FALSE),0)*G372/SUMIF(B:B,B372,G:G))</f>
        <v/>
      </c>
      <c r="I372" s="56" t="str">
        <f>IF(B372="","",IFERROR(VLOOKUP(B372,'Coil Sheet at Plant'!$C:$L,9,FALSE),""))</f>
        <v/>
      </c>
      <c r="J372" s="85" t="str">
        <f>IF(B372="","",IFERROR(VLOOKUP(B372,'Coil Sheet at Plant'!$C:$M,10,FALSE),""))</f>
        <v/>
      </c>
      <c r="K372" s="69" t="str">
        <f>IF(B372="","",SUMIF(B:B,B372,G:G))</f>
        <v/>
      </c>
      <c r="L372" s="70" t="str">
        <f>IF(B372="","",IFERROR(VLOOKUP(B372,'Coil Sheet at Plant'!$C:$I,7,FALSE),""))</f>
        <v/>
      </c>
      <c r="M372" s="71" t="str">
        <f>IF(OR(K372="",L372=""),"",IF(L372=0,"⚠ NO PARENT WIDTH",IF(K372&gt;L372,"⚠ BABY &gt; PARENT","✔ OK")))</f>
        <v/>
      </c>
      <c r="N372" s="71" t="str">
        <f>IF(D372="","",IF(COUNTIF(D$3:D372,D372)&gt;1,"⚠ DUPLICATE",""))</f>
        <v/>
      </c>
      <c r="O372" s="72" t="str">
        <f>IF(B372="","",SUMIF(B:B,B372,G:G)&amp;" / "&amp;IFERROR(VLOOKUP(B372,'Coil Sheet at Plant'!$C:$I,7,FALSE),"?")&amp;" mm")</f>
        <v/>
      </c>
    </row>
    <row r="373" spans="1:15">
      <c r="A373" s="36"/>
      <c r="B373" s="32"/>
      <c r="C373" s="39"/>
      <c r="D373" s="44" t="str">
        <f>IF(OR(B373="",C373=""),"",CONCATENATE(B373,"-",C373))</f>
        <v/>
      </c>
      <c r="E373" s="49" t="str">
        <f>IF(B373="","",IFERROR(VLOOKUP(B373,'Coil Sheet at Plant'!$C:$G,5,FALSE),"ID Not Found"))</f>
        <v/>
      </c>
      <c r="F373" s="50" t="str">
        <f>IF(B373="","",IFERROR(VLOOKUP(B373,'Coil Sheet at Plant'!$C:$H,6,FALSE),"ID Not Found"))</f>
        <v/>
      </c>
      <c r="G373" s="81">
        <v>520</v>
      </c>
      <c r="H373" s="89" t="str">
        <f>IF(OR(B373="",G373=""),"",IFERROR(VLOOKUP(B373,'Coil Sheet at Plant'!$C:$J,8,FALSE),0)*G373/SUMIF(B:B,B373,G:G))</f>
        <v/>
      </c>
      <c r="I373" s="56" t="str">
        <f>IF(B373="","",IFERROR(VLOOKUP(B373,'Coil Sheet at Plant'!$C:$L,9,FALSE),""))</f>
        <v/>
      </c>
      <c r="J373" s="85" t="str">
        <f>IF(B373="","",IFERROR(VLOOKUP(B373,'Coil Sheet at Plant'!$C:$M,10,FALSE),""))</f>
        <v/>
      </c>
      <c r="K373" s="69" t="str">
        <f>IF(B373="","",SUMIF(B:B,B373,G:G))</f>
        <v/>
      </c>
      <c r="L373" s="70" t="str">
        <f>IF(B373="","",IFERROR(VLOOKUP(B373,'Coil Sheet at Plant'!$C:$I,7,FALSE),""))</f>
        <v/>
      </c>
      <c r="M373" s="71" t="str">
        <f>IF(OR(K373="",L373=""),"",IF(L373=0,"⚠ NO PARENT WIDTH",IF(K373&gt;L373,"⚠ BABY &gt; PARENT","✔ OK")))</f>
        <v/>
      </c>
      <c r="N373" s="71" t="str">
        <f>IF(D373="","",IF(COUNTIF(D$3:D373,D373)&gt;1,"⚠ DUPLICATE",""))</f>
        <v/>
      </c>
      <c r="O373" s="72" t="str">
        <f>IF(B373="","",SUMIF(B:B,B373,G:G)&amp;" / "&amp;IFERROR(VLOOKUP(B373,'Coil Sheet at Plant'!$C:$I,7,FALSE),"?")&amp;" mm")</f>
        <v/>
      </c>
    </row>
    <row r="374" spans="1:15">
      <c r="A374" s="36"/>
      <c r="B374" s="32"/>
      <c r="C374" s="39"/>
      <c r="D374" s="44" t="str">
        <f>IF(OR(B374="",C374=""),"",CONCATENATE(B374,"-",C374))</f>
        <v/>
      </c>
      <c r="E374" s="49" t="str">
        <f>IF(B374="","",IFERROR(VLOOKUP(B374,'Coil Sheet at Plant'!$C:$G,5,FALSE),"ID Not Found"))</f>
        <v/>
      </c>
      <c r="F374" s="50" t="str">
        <f>IF(B374="","",IFERROR(VLOOKUP(B374,'Coil Sheet at Plant'!$C:$H,6,FALSE),"ID Not Found"))</f>
        <v/>
      </c>
      <c r="G374" s="81">
        <v>521</v>
      </c>
      <c r="H374" s="89" t="str">
        <f>IF(OR(B374="",G374=""),"",IFERROR(VLOOKUP(B374,'Coil Sheet at Plant'!$C:$J,8,FALSE),0)*G374/SUMIF(B:B,B374,G:G))</f>
        <v/>
      </c>
      <c r="I374" s="56" t="str">
        <f>IF(B374="","",IFERROR(VLOOKUP(B374,'Coil Sheet at Plant'!$C:$L,9,FALSE),""))</f>
        <v/>
      </c>
      <c r="J374" s="85" t="str">
        <f>IF(B374="","",IFERROR(VLOOKUP(B374,'Coil Sheet at Plant'!$C:$M,10,FALSE),""))</f>
        <v/>
      </c>
      <c r="K374" s="69" t="str">
        <f>IF(B374="","",SUMIF(B:B,B374,G:G))</f>
        <v/>
      </c>
      <c r="L374" s="70" t="str">
        <f>IF(B374="","",IFERROR(VLOOKUP(B374,'Coil Sheet at Plant'!$C:$I,7,FALSE),""))</f>
        <v/>
      </c>
      <c r="M374" s="71" t="str">
        <f>IF(OR(K374="",L374=""),"",IF(L374=0,"⚠ NO PARENT WIDTH",IF(K374&gt;L374,"⚠ BABY &gt; PARENT","✔ OK")))</f>
        <v/>
      </c>
      <c r="N374" s="71" t="str">
        <f>IF(D374="","",IF(COUNTIF(D$3:D374,D374)&gt;1,"⚠ DUPLICATE",""))</f>
        <v/>
      </c>
      <c r="O374" s="72" t="str">
        <f>IF(B374="","",SUMIF(B:B,B374,G:G)&amp;" / "&amp;IFERROR(VLOOKUP(B374,'Coil Sheet at Plant'!$C:$I,7,FALSE),"?")&amp;" mm")</f>
        <v/>
      </c>
    </row>
    <row r="375" spans="1:15">
      <c r="A375" s="36"/>
      <c r="B375" s="32"/>
      <c r="C375" s="39"/>
      <c r="D375" s="44" t="str">
        <f>IF(OR(B375="",C375=""),"",CONCATENATE(B375,"-",C375))</f>
        <v/>
      </c>
      <c r="E375" s="49" t="str">
        <f>IF(B375="","",IFERROR(VLOOKUP(B375,'Coil Sheet at Plant'!$C:$G,5,FALSE),"ID Not Found"))</f>
        <v/>
      </c>
      <c r="F375" s="50" t="str">
        <f>IF(B375="","",IFERROR(VLOOKUP(B375,'Coil Sheet at Plant'!$C:$H,6,FALSE),"ID Not Found"))</f>
        <v/>
      </c>
      <c r="G375" s="81">
        <v>522</v>
      </c>
      <c r="H375" s="89" t="str">
        <f>IF(OR(B375="",G375=""),"",IFERROR(VLOOKUP(B375,'Coil Sheet at Plant'!$C:$J,8,FALSE),0)*G375/SUMIF(B:B,B375,G:G))</f>
        <v/>
      </c>
      <c r="I375" s="56" t="str">
        <f>IF(B375="","",IFERROR(VLOOKUP(B375,'Coil Sheet at Plant'!$C:$L,9,FALSE),""))</f>
        <v/>
      </c>
      <c r="J375" s="85" t="str">
        <f>IF(B375="","",IFERROR(VLOOKUP(B375,'Coil Sheet at Plant'!$C:$M,10,FALSE),""))</f>
        <v/>
      </c>
      <c r="K375" s="69" t="str">
        <f>IF(B375="","",SUMIF(B:B,B375,G:G))</f>
        <v/>
      </c>
      <c r="L375" s="70" t="str">
        <f>IF(B375="","",IFERROR(VLOOKUP(B375,'Coil Sheet at Plant'!$C:$I,7,FALSE),""))</f>
        <v/>
      </c>
      <c r="M375" s="71" t="str">
        <f>IF(OR(K375="",L375=""),"",IF(L375=0,"⚠ NO PARENT WIDTH",IF(K375&gt;L375,"⚠ BABY &gt; PARENT","✔ OK")))</f>
        <v/>
      </c>
      <c r="N375" s="71" t="str">
        <f>IF(D375="","",IF(COUNTIF(D$3:D375,D375)&gt;1,"⚠ DUPLICATE",""))</f>
        <v/>
      </c>
      <c r="O375" s="72" t="str">
        <f>IF(B375="","",SUMIF(B:B,B375,G:G)&amp;" / "&amp;IFERROR(VLOOKUP(B375,'Coil Sheet at Plant'!$C:$I,7,FALSE),"?")&amp;" mm")</f>
        <v/>
      </c>
    </row>
    <row r="376" spans="1:15">
      <c r="A376" s="36"/>
      <c r="B376" s="32"/>
      <c r="C376" s="39"/>
      <c r="D376" s="44" t="str">
        <f>IF(OR(B376="",C376=""),"",CONCATENATE(B376,"-",C376))</f>
        <v/>
      </c>
      <c r="E376" s="49" t="str">
        <f>IF(B376="","",IFERROR(VLOOKUP(B376,'Coil Sheet at Plant'!$C:$G,5,FALSE),"ID Not Found"))</f>
        <v/>
      </c>
      <c r="F376" s="50" t="str">
        <f>IF(B376="","",IFERROR(VLOOKUP(B376,'Coil Sheet at Plant'!$C:$H,6,FALSE),"ID Not Found"))</f>
        <v/>
      </c>
      <c r="G376" s="81">
        <v>523</v>
      </c>
      <c r="H376" s="89" t="str">
        <f>IF(OR(B376="",G376=""),"",IFERROR(VLOOKUP(B376,'Coil Sheet at Plant'!$C:$J,8,FALSE),0)*G376/SUMIF(B:B,B376,G:G))</f>
        <v/>
      </c>
      <c r="I376" s="56" t="str">
        <f>IF(B376="","",IFERROR(VLOOKUP(B376,'Coil Sheet at Plant'!$C:$L,9,FALSE),""))</f>
        <v/>
      </c>
      <c r="J376" s="85" t="str">
        <f>IF(B376="","",IFERROR(VLOOKUP(B376,'Coil Sheet at Plant'!$C:$M,10,FALSE),""))</f>
        <v/>
      </c>
      <c r="K376" s="69" t="str">
        <f>IF(B376="","",SUMIF(B:B,B376,G:G))</f>
        <v/>
      </c>
      <c r="L376" s="70" t="str">
        <f>IF(B376="","",IFERROR(VLOOKUP(B376,'Coil Sheet at Plant'!$C:$I,7,FALSE),""))</f>
        <v/>
      </c>
      <c r="M376" s="71" t="str">
        <f>IF(OR(K376="",L376=""),"",IF(L376=0,"⚠ NO PARENT WIDTH",IF(K376&gt;L376,"⚠ BABY &gt; PARENT","✔ OK")))</f>
        <v/>
      </c>
      <c r="N376" s="71" t="str">
        <f>IF(D376="","",IF(COUNTIF(D$3:D376,D376)&gt;1,"⚠ DUPLICATE",""))</f>
        <v/>
      </c>
      <c r="O376" s="72" t="str">
        <f>IF(B376="","",SUMIF(B:B,B376,G:G)&amp;" / "&amp;IFERROR(VLOOKUP(B376,'Coil Sheet at Plant'!$C:$I,7,FALSE),"?")&amp;" mm")</f>
        <v/>
      </c>
    </row>
    <row r="377" spans="1:15">
      <c r="A377" s="36"/>
      <c r="B377" s="32"/>
      <c r="C377" s="39"/>
      <c r="D377" s="44" t="str">
        <f>IF(OR(B377="",C377=""),"",CONCATENATE(B377,"-",C377))</f>
        <v/>
      </c>
      <c r="E377" s="49" t="str">
        <f>IF(B377="","",IFERROR(VLOOKUP(B377,'Coil Sheet at Plant'!$C:$G,5,FALSE),"ID Not Found"))</f>
        <v/>
      </c>
      <c r="F377" s="50" t="str">
        <f>IF(B377="","",IFERROR(VLOOKUP(B377,'Coil Sheet at Plant'!$C:$H,6,FALSE),"ID Not Found"))</f>
        <v/>
      </c>
      <c r="G377" s="81">
        <v>524</v>
      </c>
      <c r="H377" s="89" t="str">
        <f>IF(OR(B377="",G377=""),"",IFERROR(VLOOKUP(B377,'Coil Sheet at Plant'!$C:$J,8,FALSE),0)*G377/SUMIF(B:B,B377,G:G))</f>
        <v/>
      </c>
      <c r="I377" s="56" t="str">
        <f>IF(B377="","",IFERROR(VLOOKUP(B377,'Coil Sheet at Plant'!$C:$L,9,FALSE),""))</f>
        <v/>
      </c>
      <c r="J377" s="85" t="str">
        <f>IF(B377="","",IFERROR(VLOOKUP(B377,'Coil Sheet at Plant'!$C:$M,10,FALSE),""))</f>
        <v/>
      </c>
      <c r="K377" s="69" t="str">
        <f>IF(B377="","",SUMIF(B:B,B377,G:G))</f>
        <v/>
      </c>
      <c r="L377" s="70" t="str">
        <f>IF(B377="","",IFERROR(VLOOKUP(B377,'Coil Sheet at Plant'!$C:$I,7,FALSE),""))</f>
        <v/>
      </c>
      <c r="M377" s="71" t="str">
        <f>IF(OR(K377="",L377=""),"",IF(L377=0,"⚠ NO PARENT WIDTH",IF(K377&gt;L377,"⚠ BABY &gt; PARENT","✔ OK")))</f>
        <v/>
      </c>
      <c r="N377" s="71" t="str">
        <f>IF(D377="","",IF(COUNTIF(D$3:D377,D377)&gt;1,"⚠ DUPLICATE",""))</f>
        <v/>
      </c>
      <c r="O377" s="72" t="str">
        <f>IF(B377="","",SUMIF(B:B,B377,G:G)&amp;" / "&amp;IFERROR(VLOOKUP(B377,'Coil Sheet at Plant'!$C:$I,7,FALSE),"?")&amp;" mm")</f>
        <v/>
      </c>
    </row>
    <row r="378" spans="1:15">
      <c r="A378" s="36"/>
      <c r="B378" s="32"/>
      <c r="C378" s="39"/>
      <c r="D378" s="44" t="str">
        <f>IF(OR(B378="",C378=""),"",CONCATENATE(B378,"-",C378))</f>
        <v/>
      </c>
      <c r="E378" s="49" t="str">
        <f>IF(B378="","",IFERROR(VLOOKUP(B378,'Coil Sheet at Plant'!$C:$G,5,FALSE),"ID Not Found"))</f>
        <v/>
      </c>
      <c r="F378" s="50" t="str">
        <f>IF(B378="","",IFERROR(VLOOKUP(B378,'Coil Sheet at Plant'!$C:$H,6,FALSE),"ID Not Found"))</f>
        <v/>
      </c>
      <c r="G378" s="81">
        <v>525</v>
      </c>
      <c r="H378" s="89" t="str">
        <f>IF(OR(B378="",G378=""),"",IFERROR(VLOOKUP(B378,'Coil Sheet at Plant'!$C:$J,8,FALSE),0)*G378/SUMIF(B:B,B378,G:G))</f>
        <v/>
      </c>
      <c r="I378" s="56" t="str">
        <f>IF(B378="","",IFERROR(VLOOKUP(B378,'Coil Sheet at Plant'!$C:$L,9,FALSE),""))</f>
        <v/>
      </c>
      <c r="J378" s="85" t="str">
        <f>IF(B378="","",IFERROR(VLOOKUP(B378,'Coil Sheet at Plant'!$C:$M,10,FALSE),""))</f>
        <v/>
      </c>
      <c r="K378" s="69" t="str">
        <f>IF(B378="","",SUMIF(B:B,B378,G:G))</f>
        <v/>
      </c>
      <c r="L378" s="70" t="str">
        <f>IF(B378="","",IFERROR(VLOOKUP(B378,'Coil Sheet at Plant'!$C:$I,7,FALSE),""))</f>
        <v/>
      </c>
      <c r="M378" s="71" t="str">
        <f>IF(OR(K378="",L378=""),"",IF(L378=0,"⚠ NO PARENT WIDTH",IF(K378&gt;L378,"⚠ BABY &gt; PARENT","✔ OK")))</f>
        <v/>
      </c>
      <c r="N378" s="71" t="str">
        <f>IF(D378="","",IF(COUNTIF(D$3:D378,D378)&gt;1,"⚠ DUPLICATE",""))</f>
        <v/>
      </c>
      <c r="O378" s="72" t="str">
        <f>IF(B378="","",SUMIF(B:B,B378,G:G)&amp;" / "&amp;IFERROR(VLOOKUP(B378,'Coil Sheet at Plant'!$C:$I,7,FALSE),"?")&amp;" mm")</f>
        <v/>
      </c>
    </row>
    <row r="379" spans="1:15">
      <c r="A379" s="36"/>
      <c r="B379" s="32"/>
      <c r="C379" s="39"/>
      <c r="D379" s="44" t="str">
        <f>IF(OR(B379="",C379=""),"",CONCATENATE(B379,"-",C379))</f>
        <v/>
      </c>
      <c r="E379" s="49" t="str">
        <f>IF(B379="","",IFERROR(VLOOKUP(B379,'Coil Sheet at Plant'!$C:$G,5,FALSE),"ID Not Found"))</f>
        <v/>
      </c>
      <c r="F379" s="50" t="str">
        <f>IF(B379="","",IFERROR(VLOOKUP(B379,'Coil Sheet at Plant'!$C:$H,6,FALSE),"ID Not Found"))</f>
        <v/>
      </c>
      <c r="G379" s="81">
        <v>526</v>
      </c>
      <c r="H379" s="89" t="str">
        <f>IF(OR(B379="",G379=""),"",IFERROR(VLOOKUP(B379,'Coil Sheet at Plant'!$C:$J,8,FALSE),0)*G379/SUMIF(B:B,B379,G:G))</f>
        <v/>
      </c>
      <c r="I379" s="56" t="str">
        <f>IF(B379="","",IFERROR(VLOOKUP(B379,'Coil Sheet at Plant'!$C:$L,9,FALSE),""))</f>
        <v/>
      </c>
      <c r="J379" s="85" t="str">
        <f>IF(B379="","",IFERROR(VLOOKUP(B379,'Coil Sheet at Plant'!$C:$M,10,FALSE),""))</f>
        <v/>
      </c>
      <c r="K379" s="69" t="str">
        <f>IF(B379="","",SUMIF(B:B,B379,G:G))</f>
        <v/>
      </c>
      <c r="L379" s="70" t="str">
        <f>IF(B379="","",IFERROR(VLOOKUP(B379,'Coil Sheet at Plant'!$C:$I,7,FALSE),""))</f>
        <v/>
      </c>
      <c r="M379" s="71" t="str">
        <f>IF(OR(K379="",L379=""),"",IF(L379=0,"⚠ NO PARENT WIDTH",IF(K379&gt;L379,"⚠ BABY &gt; PARENT","✔ OK")))</f>
        <v/>
      </c>
      <c r="N379" s="71" t="str">
        <f>IF(D379="","",IF(COUNTIF(D$3:D379,D379)&gt;1,"⚠ DUPLICATE",""))</f>
        <v/>
      </c>
      <c r="O379" s="72" t="str">
        <f>IF(B379="","",SUMIF(B:B,B379,G:G)&amp;" / "&amp;IFERROR(VLOOKUP(B379,'Coil Sheet at Plant'!$C:$I,7,FALSE),"?")&amp;" mm")</f>
        <v/>
      </c>
    </row>
    <row r="380" spans="1:15">
      <c r="A380" s="36"/>
      <c r="B380" s="32"/>
      <c r="C380" s="39"/>
      <c r="D380" s="44" t="str">
        <f>IF(OR(B380="",C380=""),"",CONCATENATE(B380,"-",C380))</f>
        <v/>
      </c>
      <c r="E380" s="49" t="str">
        <f>IF(B380="","",IFERROR(VLOOKUP(B380,'Coil Sheet at Plant'!$C:$G,5,FALSE),"ID Not Found"))</f>
        <v/>
      </c>
      <c r="F380" s="50" t="str">
        <f>IF(B380="","",IFERROR(VLOOKUP(B380,'Coil Sheet at Plant'!$C:$H,6,FALSE),"ID Not Found"))</f>
        <v/>
      </c>
      <c r="G380" s="81">
        <v>527</v>
      </c>
      <c r="H380" s="89" t="str">
        <f>IF(OR(B380="",G380=""),"",IFERROR(VLOOKUP(B380,'Coil Sheet at Plant'!$C:$J,8,FALSE),0)*G380/SUMIF(B:B,B380,G:G))</f>
        <v/>
      </c>
      <c r="I380" s="56" t="str">
        <f>IF(B380="","",IFERROR(VLOOKUP(B380,'Coil Sheet at Plant'!$C:$L,9,FALSE),""))</f>
        <v/>
      </c>
      <c r="J380" s="85" t="str">
        <f>IF(B380="","",IFERROR(VLOOKUP(B380,'Coil Sheet at Plant'!$C:$M,10,FALSE),""))</f>
        <v/>
      </c>
      <c r="K380" s="69" t="str">
        <f>IF(B380="","",SUMIF(B:B,B380,G:G))</f>
        <v/>
      </c>
      <c r="L380" s="70" t="str">
        <f>IF(B380="","",IFERROR(VLOOKUP(B380,'Coil Sheet at Plant'!$C:$I,7,FALSE),""))</f>
        <v/>
      </c>
      <c r="M380" s="71" t="str">
        <f>IF(OR(K380="",L380=""),"",IF(L380=0,"⚠ NO PARENT WIDTH",IF(K380&gt;L380,"⚠ BABY &gt; PARENT","✔ OK")))</f>
        <v/>
      </c>
      <c r="N380" s="71" t="str">
        <f>IF(D380="","",IF(COUNTIF(D$3:D380,D380)&gt;1,"⚠ DUPLICATE",""))</f>
        <v/>
      </c>
      <c r="O380" s="72" t="str">
        <f>IF(B380="","",SUMIF(B:B,B380,G:G)&amp;" / "&amp;IFERROR(VLOOKUP(B380,'Coil Sheet at Plant'!$C:$I,7,FALSE),"?")&amp;" mm")</f>
        <v/>
      </c>
    </row>
    <row r="381" spans="1:15">
      <c r="A381" s="36"/>
      <c r="B381" s="32"/>
      <c r="C381" s="39"/>
      <c r="D381" s="44" t="str">
        <f>IF(OR(B381="",C381=""),"",CONCATENATE(B381,"-",C381))</f>
        <v/>
      </c>
      <c r="E381" s="49" t="str">
        <f>IF(B381="","",IFERROR(VLOOKUP(B381,'Coil Sheet at Plant'!$C:$G,5,FALSE),"ID Not Found"))</f>
        <v/>
      </c>
      <c r="F381" s="50" t="str">
        <f>IF(B381="","",IFERROR(VLOOKUP(B381,'Coil Sheet at Plant'!$C:$H,6,FALSE),"ID Not Found"))</f>
        <v/>
      </c>
      <c r="G381" s="81">
        <v>528</v>
      </c>
      <c r="H381" s="89" t="str">
        <f>IF(OR(B381="",G381=""),"",IFERROR(VLOOKUP(B381,'Coil Sheet at Plant'!$C:$J,8,FALSE),0)*G381/SUMIF(B:B,B381,G:G))</f>
        <v/>
      </c>
      <c r="I381" s="56" t="str">
        <f>IF(B381="","",IFERROR(VLOOKUP(B381,'Coil Sheet at Plant'!$C:$L,9,FALSE),""))</f>
        <v/>
      </c>
      <c r="J381" s="85" t="str">
        <f>IF(B381="","",IFERROR(VLOOKUP(B381,'Coil Sheet at Plant'!$C:$M,10,FALSE),""))</f>
        <v/>
      </c>
      <c r="K381" s="69" t="str">
        <f>IF(B381="","",SUMIF(B:B,B381,G:G))</f>
        <v/>
      </c>
      <c r="L381" s="70" t="str">
        <f>IF(B381="","",IFERROR(VLOOKUP(B381,'Coil Sheet at Plant'!$C:$I,7,FALSE),""))</f>
        <v/>
      </c>
      <c r="M381" s="71" t="str">
        <f>IF(OR(K381="",L381=""),"",IF(L381=0,"⚠ NO PARENT WIDTH",IF(K381&gt;L381,"⚠ BABY &gt; PARENT","✔ OK")))</f>
        <v/>
      </c>
      <c r="N381" s="71" t="str">
        <f>IF(D381="","",IF(COUNTIF(D$3:D381,D381)&gt;1,"⚠ DUPLICATE",""))</f>
        <v/>
      </c>
      <c r="O381" s="72" t="str">
        <f>IF(B381="","",SUMIF(B:B,B381,G:G)&amp;" / "&amp;IFERROR(VLOOKUP(B381,'Coil Sheet at Plant'!$C:$I,7,FALSE),"?")&amp;" mm")</f>
        <v/>
      </c>
    </row>
    <row r="382" spans="1:15">
      <c r="A382" s="36"/>
      <c r="B382" s="32"/>
      <c r="C382" s="39"/>
      <c r="D382" s="44" t="str">
        <f>IF(OR(B382="",C382=""),"",CONCATENATE(B382,"-",C382))</f>
        <v/>
      </c>
      <c r="E382" s="49" t="str">
        <f>IF(B382="","",IFERROR(VLOOKUP(B382,'Coil Sheet at Plant'!$C:$G,5,FALSE),"ID Not Found"))</f>
        <v/>
      </c>
      <c r="F382" s="50" t="str">
        <f>IF(B382="","",IFERROR(VLOOKUP(B382,'Coil Sheet at Plant'!$C:$H,6,FALSE),"ID Not Found"))</f>
        <v/>
      </c>
      <c r="G382" s="81">
        <v>529</v>
      </c>
      <c r="H382" s="89" t="str">
        <f>IF(OR(B382="",G382=""),"",IFERROR(VLOOKUP(B382,'Coil Sheet at Plant'!$C:$J,8,FALSE),0)*G382/SUMIF(B:B,B382,G:G))</f>
        <v/>
      </c>
      <c r="I382" s="56" t="str">
        <f>IF(B382="","",IFERROR(VLOOKUP(B382,'Coil Sheet at Plant'!$C:$L,9,FALSE),""))</f>
        <v/>
      </c>
      <c r="J382" s="85" t="str">
        <f>IF(B382="","",IFERROR(VLOOKUP(B382,'Coil Sheet at Plant'!$C:$M,10,FALSE),""))</f>
        <v/>
      </c>
      <c r="K382" s="69" t="str">
        <f>IF(B382="","",SUMIF(B:B,B382,G:G))</f>
        <v/>
      </c>
      <c r="L382" s="70" t="str">
        <f>IF(B382="","",IFERROR(VLOOKUP(B382,'Coil Sheet at Plant'!$C:$I,7,FALSE),""))</f>
        <v/>
      </c>
      <c r="M382" s="71" t="str">
        <f>IF(OR(K382="",L382=""),"",IF(L382=0,"⚠ NO PARENT WIDTH",IF(K382&gt;L382,"⚠ BABY &gt; PARENT","✔ OK")))</f>
        <v/>
      </c>
      <c r="N382" s="71" t="str">
        <f>IF(D382="","",IF(COUNTIF(D$3:D382,D382)&gt;1,"⚠ DUPLICATE",""))</f>
        <v/>
      </c>
      <c r="O382" s="72" t="str">
        <f>IF(B382="","",SUMIF(B:B,B382,G:G)&amp;" / "&amp;IFERROR(VLOOKUP(B382,'Coil Sheet at Plant'!$C:$I,7,FALSE),"?")&amp;" mm")</f>
        <v/>
      </c>
    </row>
    <row r="383" spans="1:15">
      <c r="A383" s="36"/>
      <c r="B383" s="32"/>
      <c r="C383" s="39"/>
      <c r="D383" s="44" t="str">
        <f>IF(OR(B383="",C383=""),"",CONCATENATE(B383,"-",C383))</f>
        <v/>
      </c>
      <c r="E383" s="49" t="str">
        <f>IF(B383="","",IFERROR(VLOOKUP(B383,'Coil Sheet at Plant'!$C:$G,5,FALSE),"ID Not Found"))</f>
        <v/>
      </c>
      <c r="F383" s="50" t="str">
        <f>IF(B383="","",IFERROR(VLOOKUP(B383,'Coil Sheet at Plant'!$C:$H,6,FALSE),"ID Not Found"))</f>
        <v/>
      </c>
      <c r="G383" s="81">
        <v>530</v>
      </c>
      <c r="H383" s="89" t="str">
        <f>IF(OR(B383="",G383=""),"",IFERROR(VLOOKUP(B383,'Coil Sheet at Plant'!$C:$J,8,FALSE),0)*G383/SUMIF(B:B,B383,G:G))</f>
        <v/>
      </c>
      <c r="I383" s="56" t="str">
        <f>IF(B383="","",IFERROR(VLOOKUP(B383,'Coil Sheet at Plant'!$C:$L,9,FALSE),""))</f>
        <v/>
      </c>
      <c r="J383" s="85" t="str">
        <f>IF(B383="","",IFERROR(VLOOKUP(B383,'Coil Sheet at Plant'!$C:$M,10,FALSE),""))</f>
        <v/>
      </c>
      <c r="K383" s="69" t="str">
        <f>IF(B383="","",SUMIF(B:B,B383,G:G))</f>
        <v/>
      </c>
      <c r="L383" s="70" t="str">
        <f>IF(B383="","",IFERROR(VLOOKUP(B383,'Coil Sheet at Plant'!$C:$I,7,FALSE),""))</f>
        <v/>
      </c>
      <c r="M383" s="71" t="str">
        <f>IF(OR(K383="",L383=""),"",IF(L383=0,"⚠ NO PARENT WIDTH",IF(K383&gt;L383,"⚠ BABY &gt; PARENT","✔ OK")))</f>
        <v/>
      </c>
      <c r="N383" s="71" t="str">
        <f>IF(D383="","",IF(COUNTIF(D$3:D383,D383)&gt;1,"⚠ DUPLICATE",""))</f>
        <v/>
      </c>
      <c r="O383" s="72" t="str">
        <f>IF(B383="","",SUMIF(B:B,B383,G:G)&amp;" / "&amp;IFERROR(VLOOKUP(B383,'Coil Sheet at Plant'!$C:$I,7,FALSE),"?")&amp;" mm")</f>
        <v/>
      </c>
    </row>
    <row r="384" spans="1:15">
      <c r="A384" s="36"/>
      <c r="B384" s="32"/>
      <c r="C384" s="39"/>
      <c r="D384" s="44" t="str">
        <f>IF(OR(B384="",C384=""),"",CONCATENATE(B384,"-",C384))</f>
        <v/>
      </c>
      <c r="E384" s="49" t="str">
        <f>IF(B384="","",IFERROR(VLOOKUP(B384,'Coil Sheet at Plant'!$C:$G,5,FALSE),"ID Not Found"))</f>
        <v/>
      </c>
      <c r="F384" s="50" t="str">
        <f>IF(B384="","",IFERROR(VLOOKUP(B384,'Coil Sheet at Plant'!$C:$H,6,FALSE),"ID Not Found"))</f>
        <v/>
      </c>
      <c r="G384" s="81">
        <v>531</v>
      </c>
      <c r="H384" s="89" t="str">
        <f>IF(OR(B384="",G384=""),"",IFERROR(VLOOKUP(B384,'Coil Sheet at Plant'!$C:$J,8,FALSE),0)*G384/SUMIF(B:B,B384,G:G))</f>
        <v/>
      </c>
      <c r="I384" s="56" t="str">
        <f>IF(B384="","",IFERROR(VLOOKUP(B384,'Coil Sheet at Plant'!$C:$L,9,FALSE),""))</f>
        <v/>
      </c>
      <c r="J384" s="85" t="str">
        <f>IF(B384="","",IFERROR(VLOOKUP(B384,'Coil Sheet at Plant'!$C:$M,10,FALSE),""))</f>
        <v/>
      </c>
      <c r="K384" s="69" t="str">
        <f>IF(B384="","",SUMIF(B:B,B384,G:G))</f>
        <v/>
      </c>
      <c r="L384" s="70" t="str">
        <f>IF(B384="","",IFERROR(VLOOKUP(B384,'Coil Sheet at Plant'!$C:$I,7,FALSE),""))</f>
        <v/>
      </c>
      <c r="M384" s="71" t="str">
        <f>IF(OR(K384="",L384=""),"",IF(L384=0,"⚠ NO PARENT WIDTH",IF(K384&gt;L384,"⚠ BABY &gt; PARENT","✔ OK")))</f>
        <v/>
      </c>
      <c r="N384" s="71" t="str">
        <f>IF(D384="","",IF(COUNTIF(D$3:D384,D384)&gt;1,"⚠ DUPLICATE",""))</f>
        <v/>
      </c>
      <c r="O384" s="72" t="str">
        <f>IF(B384="","",SUMIF(B:B,B384,G:G)&amp;" / "&amp;IFERROR(VLOOKUP(B384,'Coil Sheet at Plant'!$C:$I,7,FALSE),"?")&amp;" mm")</f>
        <v/>
      </c>
    </row>
    <row r="385" spans="1:15">
      <c r="A385" s="36"/>
      <c r="B385" s="32"/>
      <c r="C385" s="39"/>
      <c r="D385" s="44" t="str">
        <f>IF(OR(B385="",C385=""),"",CONCATENATE(B385,"-",C385))</f>
        <v/>
      </c>
      <c r="E385" s="49" t="str">
        <f>IF(B385="","",IFERROR(VLOOKUP(B385,'Coil Sheet at Plant'!$C:$G,5,FALSE),"ID Not Found"))</f>
        <v/>
      </c>
      <c r="F385" s="50" t="str">
        <f>IF(B385="","",IFERROR(VLOOKUP(B385,'Coil Sheet at Plant'!$C:$H,6,FALSE),"ID Not Found"))</f>
        <v/>
      </c>
      <c r="G385" s="81">
        <v>532</v>
      </c>
      <c r="H385" s="89" t="str">
        <f>IF(OR(B385="",G385=""),"",IFERROR(VLOOKUP(B385,'Coil Sheet at Plant'!$C:$J,8,FALSE),0)*G385/SUMIF(B:B,B385,G:G))</f>
        <v/>
      </c>
      <c r="I385" s="56" t="str">
        <f>IF(B385="","",IFERROR(VLOOKUP(B385,'Coil Sheet at Plant'!$C:$L,9,FALSE),""))</f>
        <v/>
      </c>
      <c r="J385" s="85" t="str">
        <f>IF(B385="","",IFERROR(VLOOKUP(B385,'Coil Sheet at Plant'!$C:$M,10,FALSE),""))</f>
        <v/>
      </c>
      <c r="K385" s="69" t="str">
        <f>IF(B385="","",SUMIF(B:B,B385,G:G))</f>
        <v/>
      </c>
      <c r="L385" s="70" t="str">
        <f>IF(B385="","",IFERROR(VLOOKUP(B385,'Coil Sheet at Plant'!$C:$I,7,FALSE),""))</f>
        <v/>
      </c>
      <c r="M385" s="71" t="str">
        <f>IF(OR(K385="",L385=""),"",IF(L385=0,"⚠ NO PARENT WIDTH",IF(K385&gt;L385,"⚠ BABY &gt; PARENT","✔ OK")))</f>
        <v/>
      </c>
      <c r="N385" s="71" t="str">
        <f>IF(D385="","",IF(COUNTIF(D$3:D385,D385)&gt;1,"⚠ DUPLICATE",""))</f>
        <v/>
      </c>
      <c r="O385" s="72" t="str">
        <f>IF(B385="","",SUMIF(B:B,B385,G:G)&amp;" / "&amp;IFERROR(VLOOKUP(B385,'Coil Sheet at Plant'!$C:$I,7,FALSE),"?")&amp;" mm")</f>
        <v/>
      </c>
    </row>
    <row r="386" spans="1:15">
      <c r="A386" s="36"/>
      <c r="B386" s="32"/>
      <c r="C386" s="39"/>
      <c r="D386" s="44" t="str">
        <f>IF(OR(B386="",C386=""),"",CONCATENATE(B386,"-",C386))</f>
        <v/>
      </c>
      <c r="E386" s="49" t="str">
        <f>IF(B386="","",IFERROR(VLOOKUP(B386,'Coil Sheet at Plant'!$C:$G,5,FALSE),"ID Not Found"))</f>
        <v/>
      </c>
      <c r="F386" s="50" t="str">
        <f>IF(B386="","",IFERROR(VLOOKUP(B386,'Coil Sheet at Plant'!$C:$H,6,FALSE),"ID Not Found"))</f>
        <v/>
      </c>
      <c r="G386" s="81">
        <v>533</v>
      </c>
      <c r="H386" s="89" t="str">
        <f>IF(OR(B386="",G386=""),"",IFERROR(VLOOKUP(B386,'Coil Sheet at Plant'!$C:$J,8,FALSE),0)*G386/SUMIF(B:B,B386,G:G))</f>
        <v/>
      </c>
      <c r="I386" s="56" t="str">
        <f>IF(B386="","",IFERROR(VLOOKUP(B386,'Coil Sheet at Plant'!$C:$L,9,FALSE),""))</f>
        <v/>
      </c>
      <c r="J386" s="85" t="str">
        <f>IF(B386="","",IFERROR(VLOOKUP(B386,'Coil Sheet at Plant'!$C:$M,10,FALSE),""))</f>
        <v/>
      </c>
      <c r="K386" s="69" t="str">
        <f>IF(B386="","",SUMIF(B:B,B386,G:G))</f>
        <v/>
      </c>
      <c r="L386" s="70" t="str">
        <f>IF(B386="","",IFERROR(VLOOKUP(B386,'Coil Sheet at Plant'!$C:$I,7,FALSE),""))</f>
        <v/>
      </c>
      <c r="M386" s="71" t="str">
        <f>IF(OR(K386="",L386=""),"",IF(L386=0,"⚠ NO PARENT WIDTH",IF(K386&gt;L386,"⚠ BABY &gt; PARENT","✔ OK")))</f>
        <v/>
      </c>
      <c r="N386" s="71" t="str">
        <f>IF(D386="","",IF(COUNTIF(D$3:D386,D386)&gt;1,"⚠ DUPLICATE",""))</f>
        <v/>
      </c>
      <c r="O386" s="72" t="str">
        <f>IF(B386="","",SUMIF(B:B,B386,G:G)&amp;" / "&amp;IFERROR(VLOOKUP(B386,'Coil Sheet at Plant'!$C:$I,7,FALSE),"?")&amp;" mm")</f>
        <v/>
      </c>
    </row>
    <row r="387" spans="1:15">
      <c r="A387" s="36"/>
      <c r="B387" s="32"/>
      <c r="C387" s="39"/>
      <c r="D387" s="44" t="str">
        <f>IF(OR(B387="",C387=""),"",CONCATENATE(B387,"-",C387))</f>
        <v/>
      </c>
      <c r="E387" s="49" t="str">
        <f>IF(B387="","",IFERROR(VLOOKUP(B387,'Coil Sheet at Plant'!$C:$G,5,FALSE),"ID Not Found"))</f>
        <v/>
      </c>
      <c r="F387" s="50" t="str">
        <f>IF(B387="","",IFERROR(VLOOKUP(B387,'Coil Sheet at Plant'!$C:$H,6,FALSE),"ID Not Found"))</f>
        <v/>
      </c>
      <c r="G387" s="81">
        <v>534</v>
      </c>
      <c r="H387" s="89" t="str">
        <f>IF(OR(B387="",G387=""),"",IFERROR(VLOOKUP(B387,'Coil Sheet at Plant'!$C:$J,8,FALSE),0)*G387/SUMIF(B:B,B387,G:G))</f>
        <v/>
      </c>
      <c r="I387" s="56" t="str">
        <f>IF(B387="","",IFERROR(VLOOKUP(B387,'Coil Sheet at Plant'!$C:$L,9,FALSE),""))</f>
        <v/>
      </c>
      <c r="J387" s="85" t="str">
        <f>IF(B387="","",IFERROR(VLOOKUP(B387,'Coil Sheet at Plant'!$C:$M,10,FALSE),""))</f>
        <v/>
      </c>
      <c r="K387" s="69" t="str">
        <f>IF(B387="","",SUMIF(B:B,B387,G:G))</f>
        <v/>
      </c>
      <c r="L387" s="70" t="str">
        <f>IF(B387="","",IFERROR(VLOOKUP(B387,'Coil Sheet at Plant'!$C:$I,7,FALSE),""))</f>
        <v/>
      </c>
      <c r="M387" s="71" t="str">
        <f>IF(OR(K387="",L387=""),"",IF(L387=0,"⚠ NO PARENT WIDTH",IF(K387&gt;L387,"⚠ BABY &gt; PARENT","✔ OK")))</f>
        <v/>
      </c>
      <c r="N387" s="71" t="str">
        <f>IF(D387="","",IF(COUNTIF(D$3:D387,D387)&gt;1,"⚠ DUPLICATE",""))</f>
        <v/>
      </c>
      <c r="O387" s="72" t="str">
        <f>IF(B387="","",SUMIF(B:B,B387,G:G)&amp;" / "&amp;IFERROR(VLOOKUP(B387,'Coil Sheet at Plant'!$C:$I,7,FALSE),"?")&amp;" mm")</f>
        <v/>
      </c>
    </row>
    <row r="388" spans="1:15">
      <c r="A388" s="36"/>
      <c r="B388" s="32"/>
      <c r="C388" s="39"/>
      <c r="D388" s="44" t="str">
        <f>IF(OR(B388="",C388=""),"",CONCATENATE(B388,"-",C388))</f>
        <v/>
      </c>
      <c r="E388" s="49" t="str">
        <f>IF(B388="","",IFERROR(VLOOKUP(B388,'Coil Sheet at Plant'!$C:$G,5,FALSE),"ID Not Found"))</f>
        <v/>
      </c>
      <c r="F388" s="50" t="str">
        <f>IF(B388="","",IFERROR(VLOOKUP(B388,'Coil Sheet at Plant'!$C:$H,6,FALSE),"ID Not Found"))</f>
        <v/>
      </c>
      <c r="G388" s="81">
        <v>535</v>
      </c>
      <c r="H388" s="89" t="str">
        <f>IF(OR(B388="",G388=""),"",IFERROR(VLOOKUP(B388,'Coil Sheet at Plant'!$C:$J,8,FALSE),0)*G388/SUMIF(B:B,B388,G:G))</f>
        <v/>
      </c>
      <c r="I388" s="56" t="str">
        <f>IF(B388="","",IFERROR(VLOOKUP(B388,'Coil Sheet at Plant'!$C:$L,9,FALSE),""))</f>
        <v/>
      </c>
      <c r="J388" s="85" t="str">
        <f>IF(B388="","",IFERROR(VLOOKUP(B388,'Coil Sheet at Plant'!$C:$M,10,FALSE),""))</f>
        <v/>
      </c>
      <c r="K388" s="69" t="str">
        <f>IF(B388="","",SUMIF(B:B,B388,G:G))</f>
        <v/>
      </c>
      <c r="L388" s="70" t="str">
        <f>IF(B388="","",IFERROR(VLOOKUP(B388,'Coil Sheet at Plant'!$C:$I,7,FALSE),""))</f>
        <v/>
      </c>
      <c r="M388" s="71" t="str">
        <f>IF(OR(K388="",L388=""),"",IF(L388=0,"⚠ NO PARENT WIDTH",IF(K388&gt;L388,"⚠ BABY &gt; PARENT","✔ OK")))</f>
        <v/>
      </c>
      <c r="N388" s="71" t="str">
        <f>IF(D388="","",IF(COUNTIF(D$3:D388,D388)&gt;1,"⚠ DUPLICATE",""))</f>
        <v/>
      </c>
      <c r="O388" s="72" t="str">
        <f>IF(B388="","",SUMIF(B:B,B388,G:G)&amp;" / "&amp;IFERROR(VLOOKUP(B388,'Coil Sheet at Plant'!$C:$I,7,FALSE),"?")&amp;" mm")</f>
        <v/>
      </c>
    </row>
    <row r="389" spans="1:15">
      <c r="A389" s="36"/>
      <c r="B389" s="32"/>
      <c r="C389" s="39"/>
      <c r="D389" s="44" t="str">
        <f>IF(OR(B389="",C389=""),"",CONCATENATE(B389,"-",C389))</f>
        <v/>
      </c>
      <c r="E389" s="49" t="str">
        <f>IF(B389="","",IFERROR(VLOOKUP(B389,'Coil Sheet at Plant'!$C:$G,5,FALSE),"ID Not Found"))</f>
        <v/>
      </c>
      <c r="F389" s="50" t="str">
        <f>IF(B389="","",IFERROR(VLOOKUP(B389,'Coil Sheet at Plant'!$C:$H,6,FALSE),"ID Not Found"))</f>
        <v/>
      </c>
      <c r="G389" s="81">
        <v>536</v>
      </c>
      <c r="H389" s="89" t="str">
        <f>IF(OR(B389="",G389=""),"",IFERROR(VLOOKUP(B389,'Coil Sheet at Plant'!$C:$J,8,FALSE),0)*G389/SUMIF(B:B,B389,G:G))</f>
        <v/>
      </c>
      <c r="I389" s="56" t="str">
        <f>IF(B389="","",IFERROR(VLOOKUP(B389,'Coil Sheet at Plant'!$C:$L,9,FALSE),""))</f>
        <v/>
      </c>
      <c r="J389" s="85" t="str">
        <f>IF(B389="","",IFERROR(VLOOKUP(B389,'Coil Sheet at Plant'!$C:$M,10,FALSE),""))</f>
        <v/>
      </c>
      <c r="K389" s="69" t="str">
        <f>IF(B389="","",SUMIF(B:B,B389,G:G))</f>
        <v/>
      </c>
      <c r="L389" s="70" t="str">
        <f>IF(B389="","",IFERROR(VLOOKUP(B389,'Coil Sheet at Plant'!$C:$I,7,FALSE),""))</f>
        <v/>
      </c>
      <c r="M389" s="71" t="str">
        <f>IF(OR(K389="",L389=""),"",IF(L389=0,"⚠ NO PARENT WIDTH",IF(K389&gt;L389,"⚠ BABY &gt; PARENT","✔ OK")))</f>
        <v/>
      </c>
      <c r="N389" s="71" t="str">
        <f>IF(D389="","",IF(COUNTIF(D$3:D389,D389)&gt;1,"⚠ DUPLICATE",""))</f>
        <v/>
      </c>
      <c r="O389" s="72" t="str">
        <f>IF(B389="","",SUMIF(B:B,B389,G:G)&amp;" / "&amp;IFERROR(VLOOKUP(B389,'Coil Sheet at Plant'!$C:$I,7,FALSE),"?")&amp;" mm")</f>
        <v/>
      </c>
    </row>
    <row r="390" spans="1:15">
      <c r="A390" s="36"/>
      <c r="B390" s="32"/>
      <c r="C390" s="39"/>
      <c r="D390" s="44" t="str">
        <f>IF(OR(B390="",C390=""),"",CONCATENATE(B390,"-",C390))</f>
        <v/>
      </c>
      <c r="E390" s="49" t="str">
        <f>IF(B390="","",IFERROR(VLOOKUP(B390,'Coil Sheet at Plant'!$C:$G,5,FALSE),"ID Not Found"))</f>
        <v/>
      </c>
      <c r="F390" s="50" t="str">
        <f>IF(B390="","",IFERROR(VLOOKUP(B390,'Coil Sheet at Plant'!$C:$H,6,FALSE),"ID Not Found"))</f>
        <v/>
      </c>
      <c r="G390" s="81">
        <v>537</v>
      </c>
      <c r="H390" s="89" t="str">
        <f>IF(OR(B390="",G390=""),"",IFERROR(VLOOKUP(B390,'Coil Sheet at Plant'!$C:$J,8,FALSE),0)*G390/SUMIF(B:B,B390,G:G))</f>
        <v/>
      </c>
      <c r="I390" s="56" t="str">
        <f>IF(B390="","",IFERROR(VLOOKUP(B390,'Coil Sheet at Plant'!$C:$L,9,FALSE),""))</f>
        <v/>
      </c>
      <c r="J390" s="85" t="str">
        <f>IF(B390="","",IFERROR(VLOOKUP(B390,'Coil Sheet at Plant'!$C:$M,10,FALSE),""))</f>
        <v/>
      </c>
      <c r="K390" s="69" t="str">
        <f>IF(B390="","",SUMIF(B:B,B390,G:G))</f>
        <v/>
      </c>
      <c r="L390" s="70" t="str">
        <f>IF(B390="","",IFERROR(VLOOKUP(B390,'Coil Sheet at Plant'!$C:$I,7,FALSE),""))</f>
        <v/>
      </c>
      <c r="M390" s="71" t="str">
        <f>IF(OR(K390="",L390=""),"",IF(L390=0,"⚠ NO PARENT WIDTH",IF(K390&gt;L390,"⚠ BABY &gt; PARENT","✔ OK")))</f>
        <v/>
      </c>
      <c r="N390" s="71" t="str">
        <f>IF(D390="","",IF(COUNTIF(D$3:D390,D390)&gt;1,"⚠ DUPLICATE",""))</f>
        <v/>
      </c>
      <c r="O390" s="72" t="str">
        <f>IF(B390="","",SUMIF(B:B,B390,G:G)&amp;" / "&amp;IFERROR(VLOOKUP(B390,'Coil Sheet at Plant'!$C:$I,7,FALSE),"?")&amp;" mm")</f>
        <v/>
      </c>
    </row>
    <row r="391" spans="1:15">
      <c r="A391" s="36"/>
      <c r="B391" s="32"/>
      <c r="C391" s="39"/>
      <c r="D391" s="44" t="str">
        <f>IF(OR(B391="",C391=""),"",CONCATENATE(B391,"-",C391))</f>
        <v/>
      </c>
      <c r="E391" s="49" t="str">
        <f>IF(B391="","",IFERROR(VLOOKUP(B391,'Coil Sheet at Plant'!$C:$G,5,FALSE),"ID Not Found"))</f>
        <v/>
      </c>
      <c r="F391" s="50" t="str">
        <f>IF(B391="","",IFERROR(VLOOKUP(B391,'Coil Sheet at Plant'!$C:$H,6,FALSE),"ID Not Found"))</f>
        <v/>
      </c>
      <c r="G391" s="81">
        <v>538</v>
      </c>
      <c r="H391" s="89" t="str">
        <f>IF(OR(B391="",G391=""),"",IFERROR(VLOOKUP(B391,'Coil Sheet at Plant'!$C:$J,8,FALSE),0)*G391/SUMIF(B:B,B391,G:G))</f>
        <v/>
      </c>
      <c r="I391" s="56" t="str">
        <f>IF(B391="","",IFERROR(VLOOKUP(B391,'Coil Sheet at Plant'!$C:$L,9,FALSE),""))</f>
        <v/>
      </c>
      <c r="J391" s="85" t="str">
        <f>IF(B391="","",IFERROR(VLOOKUP(B391,'Coil Sheet at Plant'!$C:$M,10,FALSE),""))</f>
        <v/>
      </c>
      <c r="K391" s="69" t="str">
        <f>IF(B391="","",SUMIF(B:B,B391,G:G))</f>
        <v/>
      </c>
      <c r="L391" s="70" t="str">
        <f>IF(B391="","",IFERROR(VLOOKUP(B391,'Coil Sheet at Plant'!$C:$I,7,FALSE),""))</f>
        <v/>
      </c>
      <c r="M391" s="71" t="str">
        <f>IF(OR(K391="",L391=""),"",IF(L391=0,"⚠ NO PARENT WIDTH",IF(K391&gt;L391,"⚠ BABY &gt; PARENT","✔ OK")))</f>
        <v/>
      </c>
      <c r="N391" s="71" t="str">
        <f>IF(D391="","",IF(COUNTIF(D$3:D391,D391)&gt;1,"⚠ DUPLICATE",""))</f>
        <v/>
      </c>
      <c r="O391" s="72" t="str">
        <f>IF(B391="","",SUMIF(B:B,B391,G:G)&amp;" / "&amp;IFERROR(VLOOKUP(B391,'Coil Sheet at Plant'!$C:$I,7,FALSE),"?")&amp;" mm")</f>
        <v/>
      </c>
    </row>
    <row r="392" spans="1:15">
      <c r="A392" s="36"/>
      <c r="B392" s="32"/>
      <c r="C392" s="39"/>
      <c r="D392" s="44" t="str">
        <f>IF(OR(B392="",C392=""),"",CONCATENATE(B392,"-",C392))</f>
        <v/>
      </c>
      <c r="E392" s="49" t="str">
        <f>IF(B392="","",IFERROR(VLOOKUP(B392,'Coil Sheet at Plant'!$C:$G,5,FALSE),"ID Not Found"))</f>
        <v/>
      </c>
      <c r="F392" s="50" t="str">
        <f>IF(B392="","",IFERROR(VLOOKUP(B392,'Coil Sheet at Plant'!$C:$H,6,FALSE),"ID Not Found"))</f>
        <v/>
      </c>
      <c r="G392" s="81">
        <v>539</v>
      </c>
      <c r="H392" s="89" t="str">
        <f>IF(OR(B392="",G392=""),"",IFERROR(VLOOKUP(B392,'Coil Sheet at Plant'!$C:$J,8,FALSE),0)*G392/SUMIF(B:B,B392,G:G))</f>
        <v/>
      </c>
      <c r="I392" s="56" t="str">
        <f>IF(B392="","",IFERROR(VLOOKUP(B392,'Coil Sheet at Plant'!$C:$L,9,FALSE),""))</f>
        <v/>
      </c>
      <c r="J392" s="85" t="str">
        <f>IF(B392="","",IFERROR(VLOOKUP(B392,'Coil Sheet at Plant'!$C:$M,10,FALSE),""))</f>
        <v/>
      </c>
      <c r="K392" s="69" t="str">
        <f>IF(B392="","",SUMIF(B:B,B392,G:G))</f>
        <v/>
      </c>
      <c r="L392" s="70" t="str">
        <f>IF(B392="","",IFERROR(VLOOKUP(B392,'Coil Sheet at Plant'!$C:$I,7,FALSE),""))</f>
        <v/>
      </c>
      <c r="M392" s="71" t="str">
        <f>IF(OR(K392="",L392=""),"",IF(L392=0,"⚠ NO PARENT WIDTH",IF(K392&gt;L392,"⚠ BABY &gt; PARENT","✔ OK")))</f>
        <v/>
      </c>
      <c r="N392" s="71" t="str">
        <f>IF(D392="","",IF(COUNTIF(D$3:D392,D392)&gt;1,"⚠ DUPLICATE",""))</f>
        <v/>
      </c>
      <c r="O392" s="72" t="str">
        <f>IF(B392="","",SUMIF(B:B,B392,G:G)&amp;" / "&amp;IFERROR(VLOOKUP(B392,'Coil Sheet at Plant'!$C:$I,7,FALSE),"?")&amp;" mm")</f>
        <v/>
      </c>
    </row>
    <row r="393" spans="1:15">
      <c r="A393" s="36"/>
      <c r="B393" s="32"/>
      <c r="C393" s="39"/>
      <c r="D393" s="44" t="str">
        <f>IF(OR(B393="",C393=""),"",CONCATENATE(B393,"-",C393))</f>
        <v/>
      </c>
      <c r="E393" s="49" t="str">
        <f>IF(B393="","",IFERROR(VLOOKUP(B393,'Coil Sheet at Plant'!$C:$G,5,FALSE),"ID Not Found"))</f>
        <v/>
      </c>
      <c r="F393" s="50" t="str">
        <f>IF(B393="","",IFERROR(VLOOKUP(B393,'Coil Sheet at Plant'!$C:$H,6,FALSE),"ID Not Found"))</f>
        <v/>
      </c>
      <c r="G393" s="81">
        <v>540</v>
      </c>
      <c r="H393" s="89" t="str">
        <f>IF(OR(B393="",G393=""),"",IFERROR(VLOOKUP(B393,'Coil Sheet at Plant'!$C:$J,8,FALSE),0)*G393/SUMIF(B:B,B393,G:G))</f>
        <v/>
      </c>
      <c r="I393" s="56" t="str">
        <f>IF(B393="","",IFERROR(VLOOKUP(B393,'Coil Sheet at Plant'!$C:$L,9,FALSE),""))</f>
        <v/>
      </c>
      <c r="J393" s="85" t="str">
        <f>IF(B393="","",IFERROR(VLOOKUP(B393,'Coil Sheet at Plant'!$C:$M,10,FALSE),""))</f>
        <v/>
      </c>
      <c r="K393" s="69" t="str">
        <f>IF(B393="","",SUMIF(B:B,B393,G:G))</f>
        <v/>
      </c>
      <c r="L393" s="70" t="str">
        <f>IF(B393="","",IFERROR(VLOOKUP(B393,'Coil Sheet at Plant'!$C:$I,7,FALSE),""))</f>
        <v/>
      </c>
      <c r="M393" s="71" t="str">
        <f>IF(OR(K393="",L393=""),"",IF(L393=0,"⚠ NO PARENT WIDTH",IF(K393&gt;L393,"⚠ BABY &gt; PARENT","✔ OK")))</f>
        <v/>
      </c>
      <c r="N393" s="71" t="str">
        <f>IF(D393="","",IF(COUNTIF(D$3:D393,D393)&gt;1,"⚠ DUPLICATE",""))</f>
        <v/>
      </c>
      <c r="O393" s="72" t="str">
        <f>IF(B393="","",SUMIF(B:B,B393,G:G)&amp;" / "&amp;IFERROR(VLOOKUP(B393,'Coil Sheet at Plant'!$C:$I,7,FALSE),"?")&amp;" mm")</f>
        <v/>
      </c>
    </row>
    <row r="394" spans="1:15">
      <c r="A394" s="36"/>
      <c r="B394" s="32"/>
      <c r="C394" s="39"/>
      <c r="D394" s="44" t="str">
        <f>IF(OR(B394="",C394=""),"",CONCATENATE(B394,"-",C394))</f>
        <v/>
      </c>
      <c r="E394" s="49" t="str">
        <f>IF(B394="","",IFERROR(VLOOKUP(B394,'Coil Sheet at Plant'!$C:$G,5,FALSE),"ID Not Found"))</f>
        <v/>
      </c>
      <c r="F394" s="50" t="str">
        <f>IF(B394="","",IFERROR(VLOOKUP(B394,'Coil Sheet at Plant'!$C:$H,6,FALSE),"ID Not Found"))</f>
        <v/>
      </c>
      <c r="G394" s="81">
        <v>541</v>
      </c>
      <c r="H394" s="89" t="str">
        <f>IF(OR(B394="",G394=""),"",IFERROR(VLOOKUP(B394,'Coil Sheet at Plant'!$C:$J,8,FALSE),0)*G394/SUMIF(B:B,B394,G:G))</f>
        <v/>
      </c>
      <c r="I394" s="56" t="str">
        <f>IF(B394="","",IFERROR(VLOOKUP(B394,'Coil Sheet at Plant'!$C:$L,9,FALSE),""))</f>
        <v/>
      </c>
      <c r="J394" s="85" t="str">
        <f>IF(B394="","",IFERROR(VLOOKUP(B394,'Coil Sheet at Plant'!$C:$M,10,FALSE),""))</f>
        <v/>
      </c>
      <c r="K394" s="69" t="str">
        <f>IF(B394="","",SUMIF(B:B,B394,G:G))</f>
        <v/>
      </c>
      <c r="L394" s="70" t="str">
        <f>IF(B394="","",IFERROR(VLOOKUP(B394,'Coil Sheet at Plant'!$C:$I,7,FALSE),""))</f>
        <v/>
      </c>
      <c r="M394" s="71" t="str">
        <f>IF(OR(K394="",L394=""),"",IF(L394=0,"⚠ NO PARENT WIDTH",IF(K394&gt;L394,"⚠ BABY &gt; PARENT","✔ OK")))</f>
        <v/>
      </c>
      <c r="N394" s="71" t="str">
        <f>IF(D394="","",IF(COUNTIF(D$3:D394,D394)&gt;1,"⚠ DUPLICATE",""))</f>
        <v/>
      </c>
      <c r="O394" s="72" t="str">
        <f>IF(B394="","",SUMIF(B:B,B394,G:G)&amp;" / "&amp;IFERROR(VLOOKUP(B394,'Coil Sheet at Plant'!$C:$I,7,FALSE),"?")&amp;" mm")</f>
        <v/>
      </c>
    </row>
    <row r="395" spans="1:15">
      <c r="A395" s="36"/>
      <c r="B395" s="32"/>
      <c r="C395" s="39"/>
      <c r="D395" s="44" t="str">
        <f>IF(OR(B395="",C395=""),"",CONCATENATE(B395,"-",C395))</f>
        <v/>
      </c>
      <c r="E395" s="49" t="str">
        <f>IF(B395="","",IFERROR(VLOOKUP(B395,'Coil Sheet at Plant'!$C:$G,5,FALSE),"ID Not Found"))</f>
        <v/>
      </c>
      <c r="F395" s="50" t="str">
        <f>IF(B395="","",IFERROR(VLOOKUP(B395,'Coil Sheet at Plant'!$C:$H,6,FALSE),"ID Not Found"))</f>
        <v/>
      </c>
      <c r="G395" s="81">
        <v>542</v>
      </c>
      <c r="H395" s="89" t="str">
        <f>IF(OR(B395="",G395=""),"",IFERROR(VLOOKUP(B395,'Coil Sheet at Plant'!$C:$J,8,FALSE),0)*G395/SUMIF(B:B,B395,G:G))</f>
        <v/>
      </c>
      <c r="I395" s="56" t="str">
        <f>IF(B395="","",IFERROR(VLOOKUP(B395,'Coil Sheet at Plant'!$C:$L,9,FALSE),""))</f>
        <v/>
      </c>
      <c r="J395" s="85" t="str">
        <f>IF(B395="","",IFERROR(VLOOKUP(B395,'Coil Sheet at Plant'!$C:$M,10,FALSE),""))</f>
        <v/>
      </c>
      <c r="K395" s="69" t="str">
        <f>IF(B395="","",SUMIF(B:B,B395,G:G))</f>
        <v/>
      </c>
      <c r="L395" s="70" t="str">
        <f>IF(B395="","",IFERROR(VLOOKUP(B395,'Coil Sheet at Plant'!$C:$I,7,FALSE),""))</f>
        <v/>
      </c>
      <c r="M395" s="71" t="str">
        <f>IF(OR(K395="",L395=""),"",IF(L395=0,"⚠ NO PARENT WIDTH",IF(K395&gt;L395,"⚠ BABY &gt; PARENT","✔ OK")))</f>
        <v/>
      </c>
      <c r="N395" s="71" t="str">
        <f>IF(D395="","",IF(COUNTIF(D$3:D395,D395)&gt;1,"⚠ DUPLICATE",""))</f>
        <v/>
      </c>
      <c r="O395" s="72" t="str">
        <f>IF(B395="","",SUMIF(B:B,B395,G:G)&amp;" / "&amp;IFERROR(VLOOKUP(B395,'Coil Sheet at Plant'!$C:$I,7,FALSE),"?")&amp;" mm")</f>
        <v/>
      </c>
    </row>
    <row r="396" spans="1:15">
      <c r="A396" s="36"/>
      <c r="B396" s="32"/>
      <c r="C396" s="39"/>
      <c r="D396" s="44" t="str">
        <f>IF(OR(B396="",C396=""),"",CONCATENATE(B396,"-",C396))</f>
        <v/>
      </c>
      <c r="E396" s="49" t="str">
        <f>IF(B396="","",IFERROR(VLOOKUP(B396,'Coil Sheet at Plant'!$C:$G,5,FALSE),"ID Not Found"))</f>
        <v/>
      </c>
      <c r="F396" s="50" t="str">
        <f>IF(B396="","",IFERROR(VLOOKUP(B396,'Coil Sheet at Plant'!$C:$H,6,FALSE),"ID Not Found"))</f>
        <v/>
      </c>
      <c r="G396" s="81">
        <v>543</v>
      </c>
      <c r="H396" s="89" t="str">
        <f>IF(OR(B396="",G396=""),"",IFERROR(VLOOKUP(B396,'Coil Sheet at Plant'!$C:$J,8,FALSE),0)*G396/SUMIF(B:B,B396,G:G))</f>
        <v/>
      </c>
      <c r="I396" s="56" t="str">
        <f>IF(B396="","",IFERROR(VLOOKUP(B396,'Coil Sheet at Plant'!$C:$L,9,FALSE),""))</f>
        <v/>
      </c>
      <c r="J396" s="85" t="str">
        <f>IF(B396="","",IFERROR(VLOOKUP(B396,'Coil Sheet at Plant'!$C:$M,10,FALSE),""))</f>
        <v/>
      </c>
      <c r="K396" s="69" t="str">
        <f>IF(B396="","",SUMIF(B:B,B396,G:G))</f>
        <v/>
      </c>
      <c r="L396" s="70" t="str">
        <f>IF(B396="","",IFERROR(VLOOKUP(B396,'Coil Sheet at Plant'!$C:$I,7,FALSE),""))</f>
        <v/>
      </c>
      <c r="M396" s="71" t="str">
        <f>IF(OR(K396="",L396=""),"",IF(L396=0,"⚠ NO PARENT WIDTH",IF(K396&gt;L396,"⚠ BABY &gt; PARENT","✔ OK")))</f>
        <v/>
      </c>
      <c r="N396" s="71" t="str">
        <f>IF(D396="","",IF(COUNTIF(D$3:D396,D396)&gt;1,"⚠ DUPLICATE",""))</f>
        <v/>
      </c>
      <c r="O396" s="72" t="str">
        <f>IF(B396="","",SUMIF(B:B,B396,G:G)&amp;" / "&amp;IFERROR(VLOOKUP(B396,'Coil Sheet at Plant'!$C:$I,7,FALSE),"?")&amp;" mm")</f>
        <v/>
      </c>
    </row>
    <row r="397" spans="1:15">
      <c r="A397" s="36"/>
      <c r="B397" s="32"/>
      <c r="C397" s="39"/>
      <c r="D397" s="44" t="str">
        <f>IF(OR(B397="",C397=""),"",CONCATENATE(B397,"-",C397))</f>
        <v/>
      </c>
      <c r="E397" s="49" t="str">
        <f>IF(B397="","",IFERROR(VLOOKUP(B397,'Coil Sheet at Plant'!$C:$G,5,FALSE),"ID Not Found"))</f>
        <v/>
      </c>
      <c r="F397" s="50" t="str">
        <f>IF(B397="","",IFERROR(VLOOKUP(B397,'Coil Sheet at Plant'!$C:$H,6,FALSE),"ID Not Found"))</f>
        <v/>
      </c>
      <c r="G397" s="81">
        <v>544</v>
      </c>
      <c r="H397" s="89" t="str">
        <f>IF(OR(B397="",G397=""),"",IFERROR(VLOOKUP(B397,'Coil Sheet at Plant'!$C:$J,8,FALSE),0)*G397/SUMIF(B:B,B397,G:G))</f>
        <v/>
      </c>
      <c r="I397" s="56" t="str">
        <f>IF(B397="","",IFERROR(VLOOKUP(B397,'Coil Sheet at Plant'!$C:$L,9,FALSE),""))</f>
        <v/>
      </c>
      <c r="J397" s="85" t="str">
        <f>IF(B397="","",IFERROR(VLOOKUP(B397,'Coil Sheet at Plant'!$C:$M,10,FALSE),""))</f>
        <v/>
      </c>
      <c r="K397" s="69" t="str">
        <f>IF(B397="","",SUMIF(B:B,B397,G:G))</f>
        <v/>
      </c>
      <c r="L397" s="70" t="str">
        <f>IF(B397="","",IFERROR(VLOOKUP(B397,'Coil Sheet at Plant'!$C:$I,7,FALSE),""))</f>
        <v/>
      </c>
      <c r="M397" s="71" t="str">
        <f>IF(OR(K397="",L397=""),"",IF(L397=0,"⚠ NO PARENT WIDTH",IF(K397&gt;L397,"⚠ BABY &gt; PARENT","✔ OK")))</f>
        <v/>
      </c>
      <c r="N397" s="71" t="str">
        <f>IF(D397="","",IF(COUNTIF(D$3:D397,D397)&gt;1,"⚠ DUPLICATE",""))</f>
        <v/>
      </c>
      <c r="O397" s="72" t="str">
        <f>IF(B397="","",SUMIF(B:B,B397,G:G)&amp;" / "&amp;IFERROR(VLOOKUP(B397,'Coil Sheet at Plant'!$C:$I,7,FALSE),"?")&amp;" mm")</f>
        <v/>
      </c>
    </row>
    <row r="398" spans="1:15">
      <c r="A398" s="36"/>
      <c r="B398" s="32"/>
      <c r="C398" s="39"/>
      <c r="D398" s="44" t="str">
        <f>IF(OR(B398="",C398=""),"",CONCATENATE(B398,"-",C398))</f>
        <v/>
      </c>
      <c r="E398" s="49" t="str">
        <f>IF(B398="","",IFERROR(VLOOKUP(B398,'Coil Sheet at Plant'!$C:$G,5,FALSE),"ID Not Found"))</f>
        <v/>
      </c>
      <c r="F398" s="50" t="str">
        <f>IF(B398="","",IFERROR(VLOOKUP(B398,'Coil Sheet at Plant'!$C:$H,6,FALSE),"ID Not Found"))</f>
        <v/>
      </c>
      <c r="G398" s="81">
        <v>545</v>
      </c>
      <c r="H398" s="89" t="str">
        <f>IF(OR(B398="",G398=""),"",IFERROR(VLOOKUP(B398,'Coil Sheet at Plant'!$C:$J,8,FALSE),0)*G398/SUMIF(B:B,B398,G:G))</f>
        <v/>
      </c>
      <c r="I398" s="56" t="str">
        <f>IF(B398="","",IFERROR(VLOOKUP(B398,'Coil Sheet at Plant'!$C:$L,9,FALSE),""))</f>
        <v/>
      </c>
      <c r="J398" s="85" t="str">
        <f>IF(B398="","",IFERROR(VLOOKUP(B398,'Coil Sheet at Plant'!$C:$M,10,FALSE),""))</f>
        <v/>
      </c>
      <c r="K398" s="69" t="str">
        <f>IF(B398="","",SUMIF(B:B,B398,G:G))</f>
        <v/>
      </c>
      <c r="L398" s="70" t="str">
        <f>IF(B398="","",IFERROR(VLOOKUP(B398,'Coil Sheet at Plant'!$C:$I,7,FALSE),""))</f>
        <v/>
      </c>
      <c r="M398" s="71" t="str">
        <f>IF(OR(K398="",L398=""),"",IF(L398=0,"⚠ NO PARENT WIDTH",IF(K398&gt;L398,"⚠ BABY &gt; PARENT","✔ OK")))</f>
        <v/>
      </c>
      <c r="N398" s="71" t="str">
        <f>IF(D398="","",IF(COUNTIF(D$3:D398,D398)&gt;1,"⚠ DUPLICATE",""))</f>
        <v/>
      </c>
      <c r="O398" s="72" t="str">
        <f>IF(B398="","",SUMIF(B:B,B398,G:G)&amp;" / "&amp;IFERROR(VLOOKUP(B398,'Coil Sheet at Plant'!$C:$I,7,FALSE),"?")&amp;" mm")</f>
        <v/>
      </c>
    </row>
    <row r="399" spans="1:15">
      <c r="A399" s="36"/>
      <c r="B399" s="32"/>
      <c r="C399" s="39"/>
      <c r="D399" s="44" t="str">
        <f>IF(OR(B399="",C399=""),"",CONCATENATE(B399,"-",C399))</f>
        <v/>
      </c>
      <c r="E399" s="49" t="str">
        <f>IF(B399="","",IFERROR(VLOOKUP(B399,'Coil Sheet at Plant'!$C:$G,5,FALSE),"ID Not Found"))</f>
        <v/>
      </c>
      <c r="F399" s="50" t="str">
        <f>IF(B399="","",IFERROR(VLOOKUP(B399,'Coil Sheet at Plant'!$C:$H,6,FALSE),"ID Not Found"))</f>
        <v/>
      </c>
      <c r="G399" s="81">
        <v>546</v>
      </c>
      <c r="H399" s="89" t="str">
        <f>IF(OR(B399="",G399=""),"",IFERROR(VLOOKUP(B399,'Coil Sheet at Plant'!$C:$J,8,FALSE),0)*G399/SUMIF(B:B,B399,G:G))</f>
        <v/>
      </c>
      <c r="I399" s="56" t="str">
        <f>IF(B399="","",IFERROR(VLOOKUP(B399,'Coil Sheet at Plant'!$C:$L,9,FALSE),""))</f>
        <v/>
      </c>
      <c r="J399" s="85" t="str">
        <f>IF(B399="","",IFERROR(VLOOKUP(B399,'Coil Sheet at Plant'!$C:$M,10,FALSE),""))</f>
        <v/>
      </c>
      <c r="K399" s="69" t="str">
        <f>IF(B399="","",SUMIF(B:B,B399,G:G))</f>
        <v/>
      </c>
      <c r="L399" s="70" t="str">
        <f>IF(B399="","",IFERROR(VLOOKUP(B399,'Coil Sheet at Plant'!$C:$I,7,FALSE),""))</f>
        <v/>
      </c>
      <c r="M399" s="71" t="str">
        <f>IF(OR(K399="",L399=""),"",IF(L399=0,"⚠ NO PARENT WIDTH",IF(K399&gt;L399,"⚠ BABY &gt; PARENT","✔ OK")))</f>
        <v/>
      </c>
      <c r="N399" s="71" t="str">
        <f>IF(D399="","",IF(COUNTIF(D$3:D399,D399)&gt;1,"⚠ DUPLICATE",""))</f>
        <v/>
      </c>
      <c r="O399" s="72" t="str">
        <f>IF(B399="","",SUMIF(B:B,B399,G:G)&amp;" / "&amp;IFERROR(VLOOKUP(B399,'Coil Sheet at Plant'!$C:$I,7,FALSE),"?")&amp;" mm")</f>
        <v/>
      </c>
    </row>
    <row r="400" spans="1:15">
      <c r="A400" s="36"/>
      <c r="B400" s="32"/>
      <c r="C400" s="39"/>
      <c r="D400" s="44" t="str">
        <f>IF(OR(B400="",C400=""),"",CONCATENATE(B400,"-",C400))</f>
        <v/>
      </c>
      <c r="E400" s="49" t="str">
        <f>IF(B400="","",IFERROR(VLOOKUP(B400,'Coil Sheet at Plant'!$C:$G,5,FALSE),"ID Not Found"))</f>
        <v/>
      </c>
      <c r="F400" s="50" t="str">
        <f>IF(B400="","",IFERROR(VLOOKUP(B400,'Coil Sheet at Plant'!$C:$H,6,FALSE),"ID Not Found"))</f>
        <v/>
      </c>
      <c r="G400" s="81">
        <v>547</v>
      </c>
      <c r="H400" s="89" t="str">
        <f>IF(OR(B400="",G400=""),"",IFERROR(VLOOKUP(B400,'Coil Sheet at Plant'!$C:$J,8,FALSE),0)*G400/SUMIF(B:B,B400,G:G))</f>
        <v/>
      </c>
      <c r="I400" s="56" t="str">
        <f>IF(B400="","",IFERROR(VLOOKUP(B400,'Coil Sheet at Plant'!$C:$L,9,FALSE),""))</f>
        <v/>
      </c>
      <c r="J400" s="85" t="str">
        <f>IF(B400="","",IFERROR(VLOOKUP(B400,'Coil Sheet at Plant'!$C:$M,10,FALSE),""))</f>
        <v/>
      </c>
      <c r="K400" s="69" t="str">
        <f>IF(B400="","",SUMIF(B:B,B400,G:G))</f>
        <v/>
      </c>
      <c r="L400" s="70" t="str">
        <f>IF(B400="","",IFERROR(VLOOKUP(B400,'Coil Sheet at Plant'!$C:$I,7,FALSE),""))</f>
        <v/>
      </c>
      <c r="M400" s="71" t="str">
        <f>IF(OR(K400="",L400=""),"",IF(L400=0,"⚠ NO PARENT WIDTH",IF(K400&gt;L400,"⚠ BABY &gt; PARENT","✔ OK")))</f>
        <v/>
      </c>
      <c r="N400" s="71" t="str">
        <f>IF(D400="","",IF(COUNTIF(D$3:D400,D400)&gt;1,"⚠ DUPLICATE",""))</f>
        <v/>
      </c>
      <c r="O400" s="72" t="str">
        <f>IF(B400="","",SUMIF(B:B,B400,G:G)&amp;" / "&amp;IFERROR(VLOOKUP(B400,'Coil Sheet at Plant'!$C:$I,7,FALSE),"?")&amp;" mm")</f>
        <v/>
      </c>
    </row>
    <row r="401" spans="1:15">
      <c r="A401" s="36"/>
      <c r="B401" s="32"/>
      <c r="C401" s="39"/>
      <c r="D401" s="44" t="str">
        <f>IF(OR(B401="",C401=""),"",CONCATENATE(B401,"-",C401))</f>
        <v/>
      </c>
      <c r="E401" s="49" t="str">
        <f>IF(B401="","",IFERROR(VLOOKUP(B401,'Coil Sheet at Plant'!$C:$G,5,FALSE),"ID Not Found"))</f>
        <v/>
      </c>
      <c r="F401" s="50" t="str">
        <f>IF(B401="","",IFERROR(VLOOKUP(B401,'Coil Sheet at Plant'!$C:$H,6,FALSE),"ID Not Found"))</f>
        <v/>
      </c>
      <c r="G401" s="81">
        <v>548</v>
      </c>
      <c r="H401" s="89" t="str">
        <f>IF(OR(B401="",G401=""),"",IFERROR(VLOOKUP(B401,'Coil Sheet at Plant'!$C:$J,8,FALSE),0)*G401/SUMIF(B:B,B401,G:G))</f>
        <v/>
      </c>
      <c r="I401" s="56" t="str">
        <f>IF(B401="","",IFERROR(VLOOKUP(B401,'Coil Sheet at Plant'!$C:$L,9,FALSE),""))</f>
        <v/>
      </c>
      <c r="J401" s="85" t="str">
        <f>IF(B401="","",IFERROR(VLOOKUP(B401,'Coil Sheet at Plant'!$C:$M,10,FALSE),""))</f>
        <v/>
      </c>
      <c r="K401" s="69" t="str">
        <f>IF(B401="","",SUMIF(B:B,B401,G:G))</f>
        <v/>
      </c>
      <c r="L401" s="70" t="str">
        <f>IF(B401="","",IFERROR(VLOOKUP(B401,'Coil Sheet at Plant'!$C:$I,7,FALSE),""))</f>
        <v/>
      </c>
      <c r="M401" s="71" t="str">
        <f>IF(OR(K401="",L401=""),"",IF(L401=0,"⚠ NO PARENT WIDTH",IF(K401&gt;L401,"⚠ BABY &gt; PARENT","✔ OK")))</f>
        <v/>
      </c>
      <c r="N401" s="71" t="str">
        <f>IF(D401="","",IF(COUNTIF(D$3:D401,D401)&gt;1,"⚠ DUPLICATE",""))</f>
        <v/>
      </c>
      <c r="O401" s="72" t="str">
        <f>IF(B401="","",SUMIF(B:B,B401,G:G)&amp;" / "&amp;IFERROR(VLOOKUP(B401,'Coil Sheet at Plant'!$C:$I,7,FALSE),"?")&amp;" mm")</f>
        <v/>
      </c>
    </row>
    <row r="402" spans="1:15">
      <c r="A402" s="36"/>
      <c r="B402" s="32"/>
      <c r="C402" s="39"/>
      <c r="D402" s="44" t="str">
        <f>IF(OR(B402="",C402=""),"",CONCATENATE(B402,"-",C402))</f>
        <v/>
      </c>
      <c r="E402" s="49" t="str">
        <f>IF(B402="","",IFERROR(VLOOKUP(B402,'Coil Sheet at Plant'!$C:$G,5,FALSE),"ID Not Found"))</f>
        <v/>
      </c>
      <c r="F402" s="50" t="str">
        <f>IF(B402="","",IFERROR(VLOOKUP(B402,'Coil Sheet at Plant'!$C:$H,6,FALSE),"ID Not Found"))</f>
        <v/>
      </c>
      <c r="G402" s="81">
        <v>549</v>
      </c>
      <c r="H402" s="89" t="str">
        <f>IF(OR(B402="",G402=""),"",IFERROR(VLOOKUP(B402,'Coil Sheet at Plant'!$C:$J,8,FALSE),0)*G402/SUMIF(B:B,B402,G:G))</f>
        <v/>
      </c>
      <c r="I402" s="56" t="str">
        <f>IF(B402="","",IFERROR(VLOOKUP(B402,'Coil Sheet at Plant'!$C:$L,9,FALSE),""))</f>
        <v/>
      </c>
      <c r="J402" s="85" t="str">
        <f>IF(B402="","",IFERROR(VLOOKUP(B402,'Coil Sheet at Plant'!$C:$M,10,FALSE),""))</f>
        <v/>
      </c>
      <c r="K402" s="69" t="str">
        <f>IF(B402="","",SUMIF(B:B,B402,G:G))</f>
        <v/>
      </c>
      <c r="L402" s="70" t="str">
        <f>IF(B402="","",IFERROR(VLOOKUP(B402,'Coil Sheet at Plant'!$C:$I,7,FALSE),""))</f>
        <v/>
      </c>
      <c r="M402" s="71" t="str">
        <f>IF(OR(K402="",L402=""),"",IF(L402=0,"⚠ NO PARENT WIDTH",IF(K402&gt;L402,"⚠ BABY &gt; PARENT","✔ OK")))</f>
        <v/>
      </c>
      <c r="N402" s="71" t="str">
        <f>IF(D402="","",IF(COUNTIF(D$3:D402,D402)&gt;1,"⚠ DUPLICATE",""))</f>
        <v/>
      </c>
      <c r="O402" s="72" t="str">
        <f>IF(B402="","",SUMIF(B:B,B402,G:G)&amp;" / "&amp;IFERROR(VLOOKUP(B402,'Coil Sheet at Plant'!$C:$I,7,FALSE),"?")&amp;" mm")</f>
        <v/>
      </c>
    </row>
    <row r="403" spans="1:15">
      <c r="A403" s="36"/>
      <c r="B403" s="32"/>
      <c r="C403" s="39"/>
      <c r="D403" s="44" t="str">
        <f>IF(OR(B403="",C403=""),"",CONCATENATE(B403,"-",C403))</f>
        <v/>
      </c>
      <c r="E403" s="49" t="str">
        <f>IF(B403="","",IFERROR(VLOOKUP(B403,'Coil Sheet at Plant'!$C:$G,5,FALSE),"ID Not Found"))</f>
        <v/>
      </c>
      <c r="F403" s="50" t="str">
        <f>IF(B403="","",IFERROR(VLOOKUP(B403,'Coil Sheet at Plant'!$C:$H,6,FALSE),"ID Not Found"))</f>
        <v/>
      </c>
      <c r="G403" s="81">
        <v>550</v>
      </c>
      <c r="H403" s="89" t="str">
        <f>IF(OR(B403="",G403=""),"",IFERROR(VLOOKUP(B403,'Coil Sheet at Plant'!$C:$J,8,FALSE),0)*G403/SUMIF(B:B,B403,G:G))</f>
        <v/>
      </c>
      <c r="I403" s="56" t="str">
        <f>IF(B403="","",IFERROR(VLOOKUP(B403,'Coil Sheet at Plant'!$C:$L,9,FALSE),""))</f>
        <v/>
      </c>
      <c r="J403" s="85" t="str">
        <f>IF(B403="","",IFERROR(VLOOKUP(B403,'Coil Sheet at Plant'!$C:$M,10,FALSE),""))</f>
        <v/>
      </c>
      <c r="K403" s="69" t="str">
        <f>IF(B403="","",SUMIF(B:B,B403,G:G))</f>
        <v/>
      </c>
      <c r="L403" s="70" t="str">
        <f>IF(B403="","",IFERROR(VLOOKUP(B403,'Coil Sheet at Plant'!$C:$I,7,FALSE),""))</f>
        <v/>
      </c>
      <c r="M403" s="71" t="str">
        <f>IF(OR(K403="",L403=""),"",IF(L403=0,"⚠ NO PARENT WIDTH",IF(K403&gt;L403,"⚠ BABY &gt; PARENT","✔ OK")))</f>
        <v/>
      </c>
      <c r="N403" s="71" t="str">
        <f>IF(D403="","",IF(COUNTIF(D$3:D403,D403)&gt;1,"⚠ DUPLICATE",""))</f>
        <v/>
      </c>
      <c r="O403" s="72" t="str">
        <f>IF(B403="","",SUMIF(B:B,B403,G:G)&amp;" / "&amp;IFERROR(VLOOKUP(B403,'Coil Sheet at Plant'!$C:$I,7,FALSE),"?")&amp;" mm")</f>
        <v/>
      </c>
    </row>
    <row r="404" spans="1:15">
      <c r="A404" s="36"/>
      <c r="B404" s="32"/>
      <c r="C404" s="39"/>
      <c r="D404" s="44" t="str">
        <f>IF(OR(B404="",C404=""),"",CONCATENATE(B404,"-",C404))</f>
        <v/>
      </c>
      <c r="E404" s="49" t="str">
        <f>IF(B404="","",IFERROR(VLOOKUP(B404,'Coil Sheet at Plant'!$C:$G,5,FALSE),"ID Not Found"))</f>
        <v/>
      </c>
      <c r="F404" s="50" t="str">
        <f>IF(B404="","",IFERROR(VLOOKUP(B404,'Coil Sheet at Plant'!$C:$H,6,FALSE),"ID Not Found"))</f>
        <v/>
      </c>
      <c r="G404" s="81">
        <v>551</v>
      </c>
      <c r="H404" s="89" t="str">
        <f>IF(OR(B404="",G404=""),"",IFERROR(VLOOKUP(B404,'Coil Sheet at Plant'!$C:$J,8,FALSE),0)*G404/SUMIF(B:B,B404,G:G))</f>
        <v/>
      </c>
      <c r="I404" s="56" t="str">
        <f>IF(B404="","",IFERROR(VLOOKUP(B404,'Coil Sheet at Plant'!$C:$L,9,FALSE),""))</f>
        <v/>
      </c>
      <c r="J404" s="85" t="str">
        <f>IF(B404="","",IFERROR(VLOOKUP(B404,'Coil Sheet at Plant'!$C:$M,10,FALSE),""))</f>
        <v/>
      </c>
      <c r="K404" s="69" t="str">
        <f>IF(B404="","",SUMIF(B:B,B404,G:G))</f>
        <v/>
      </c>
      <c r="L404" s="70" t="str">
        <f>IF(B404="","",IFERROR(VLOOKUP(B404,'Coil Sheet at Plant'!$C:$I,7,FALSE),""))</f>
        <v/>
      </c>
      <c r="M404" s="71" t="str">
        <f>IF(OR(K404="",L404=""),"",IF(L404=0,"⚠ NO PARENT WIDTH",IF(K404&gt;L404,"⚠ BABY &gt; PARENT","✔ OK")))</f>
        <v/>
      </c>
      <c r="N404" s="71" t="str">
        <f>IF(D404="","",IF(COUNTIF(D$3:D404,D404)&gt;1,"⚠ DUPLICATE",""))</f>
        <v/>
      </c>
      <c r="O404" s="72" t="str">
        <f>IF(B404="","",SUMIF(B:B,B404,G:G)&amp;" / "&amp;IFERROR(VLOOKUP(B404,'Coil Sheet at Plant'!$C:$I,7,FALSE),"?")&amp;" mm")</f>
        <v/>
      </c>
    </row>
    <row r="405" spans="1:15">
      <c r="A405" s="36"/>
      <c r="B405" s="32"/>
      <c r="C405" s="39"/>
      <c r="D405" s="44" t="str">
        <f>IF(OR(B405="",C405=""),"",CONCATENATE(B405,"-",C405))</f>
        <v/>
      </c>
      <c r="E405" s="49" t="str">
        <f>IF(B405="","",IFERROR(VLOOKUP(B405,'Coil Sheet at Plant'!$C:$G,5,FALSE),"ID Not Found"))</f>
        <v/>
      </c>
      <c r="F405" s="50" t="str">
        <f>IF(B405="","",IFERROR(VLOOKUP(B405,'Coil Sheet at Plant'!$C:$H,6,FALSE),"ID Not Found"))</f>
        <v/>
      </c>
      <c r="G405" s="81">
        <v>552</v>
      </c>
      <c r="H405" s="89" t="str">
        <f>IF(OR(B405="",G405=""),"",IFERROR(VLOOKUP(B405,'Coil Sheet at Plant'!$C:$J,8,FALSE),0)*G405/SUMIF(B:B,B405,G:G))</f>
        <v/>
      </c>
      <c r="I405" s="56" t="str">
        <f>IF(B405="","",IFERROR(VLOOKUP(B405,'Coil Sheet at Plant'!$C:$L,9,FALSE),""))</f>
        <v/>
      </c>
      <c r="J405" s="85" t="str">
        <f>IF(B405="","",IFERROR(VLOOKUP(B405,'Coil Sheet at Plant'!$C:$M,10,FALSE),""))</f>
        <v/>
      </c>
      <c r="K405" s="69" t="str">
        <f>IF(B405="","",SUMIF(B:B,B405,G:G))</f>
        <v/>
      </c>
      <c r="L405" s="70" t="str">
        <f>IF(B405="","",IFERROR(VLOOKUP(B405,'Coil Sheet at Plant'!$C:$I,7,FALSE),""))</f>
        <v/>
      </c>
      <c r="M405" s="71" t="str">
        <f>IF(OR(K405="",L405=""),"",IF(L405=0,"⚠ NO PARENT WIDTH",IF(K405&gt;L405,"⚠ BABY &gt; PARENT","✔ OK")))</f>
        <v/>
      </c>
      <c r="N405" s="71" t="str">
        <f>IF(D405="","",IF(COUNTIF(D$3:D405,D405)&gt;1,"⚠ DUPLICATE",""))</f>
        <v/>
      </c>
      <c r="O405" s="72" t="str">
        <f>IF(B405="","",SUMIF(B:B,B405,G:G)&amp;" / "&amp;IFERROR(VLOOKUP(B405,'Coil Sheet at Plant'!$C:$I,7,FALSE),"?")&amp;" mm")</f>
        <v/>
      </c>
    </row>
    <row r="406" spans="1:15">
      <c r="A406" s="36"/>
      <c r="B406" s="32"/>
      <c r="C406" s="39"/>
      <c r="D406" s="44" t="str">
        <f>IF(OR(B406="",C406=""),"",CONCATENATE(B406,"-",C406))</f>
        <v/>
      </c>
      <c r="E406" s="49" t="str">
        <f>IF(B406="","",IFERROR(VLOOKUP(B406,'Coil Sheet at Plant'!$C:$G,5,FALSE),"ID Not Found"))</f>
        <v/>
      </c>
      <c r="F406" s="50" t="str">
        <f>IF(B406="","",IFERROR(VLOOKUP(B406,'Coil Sheet at Plant'!$C:$H,6,FALSE),"ID Not Found"))</f>
        <v/>
      </c>
      <c r="G406" s="81">
        <v>553</v>
      </c>
      <c r="H406" s="89" t="str">
        <f>IF(OR(B406="",G406=""),"",IFERROR(VLOOKUP(B406,'Coil Sheet at Plant'!$C:$J,8,FALSE),0)*G406/SUMIF(B:B,B406,G:G))</f>
        <v/>
      </c>
      <c r="I406" s="56" t="str">
        <f>IF(B406="","",IFERROR(VLOOKUP(B406,'Coil Sheet at Plant'!$C:$L,9,FALSE),""))</f>
        <v/>
      </c>
      <c r="J406" s="85" t="str">
        <f>IF(B406="","",IFERROR(VLOOKUP(B406,'Coil Sheet at Plant'!$C:$M,10,FALSE),""))</f>
        <v/>
      </c>
      <c r="K406" s="69" t="str">
        <f>IF(B406="","",SUMIF(B:B,B406,G:G))</f>
        <v/>
      </c>
      <c r="L406" s="70" t="str">
        <f>IF(B406="","",IFERROR(VLOOKUP(B406,'Coil Sheet at Plant'!$C:$I,7,FALSE),""))</f>
        <v/>
      </c>
      <c r="M406" s="71" t="str">
        <f>IF(OR(K406="",L406=""),"",IF(L406=0,"⚠ NO PARENT WIDTH",IF(K406&gt;L406,"⚠ BABY &gt; PARENT","✔ OK")))</f>
        <v/>
      </c>
      <c r="N406" s="71" t="str">
        <f>IF(D406="","",IF(COUNTIF(D$3:D406,D406)&gt;1,"⚠ DUPLICATE",""))</f>
        <v/>
      </c>
      <c r="O406" s="72" t="str">
        <f>IF(B406="","",SUMIF(B:B,B406,G:G)&amp;" / "&amp;IFERROR(VLOOKUP(B406,'Coil Sheet at Plant'!$C:$I,7,FALSE),"?")&amp;" mm")</f>
        <v/>
      </c>
    </row>
    <row r="407" spans="1:15">
      <c r="A407" s="36"/>
      <c r="B407" s="32"/>
      <c r="C407" s="39"/>
      <c r="D407" s="44" t="str">
        <f>IF(OR(B407="",C407=""),"",CONCATENATE(B407,"-",C407))</f>
        <v/>
      </c>
      <c r="E407" s="49" t="str">
        <f>IF(B407="","",IFERROR(VLOOKUP(B407,'Coil Sheet at Plant'!$C:$G,5,FALSE),"ID Not Found"))</f>
        <v/>
      </c>
      <c r="F407" s="50" t="str">
        <f>IF(B407="","",IFERROR(VLOOKUP(B407,'Coil Sheet at Plant'!$C:$H,6,FALSE),"ID Not Found"))</f>
        <v/>
      </c>
      <c r="G407" s="81">
        <v>554</v>
      </c>
      <c r="H407" s="89" t="str">
        <f>IF(OR(B407="",G407=""),"",IFERROR(VLOOKUP(B407,'Coil Sheet at Plant'!$C:$J,8,FALSE),0)*G407/SUMIF(B:B,B407,G:G))</f>
        <v/>
      </c>
      <c r="I407" s="56" t="str">
        <f>IF(B407="","",IFERROR(VLOOKUP(B407,'Coil Sheet at Plant'!$C:$L,9,FALSE),""))</f>
        <v/>
      </c>
      <c r="J407" s="85" t="str">
        <f>IF(B407="","",IFERROR(VLOOKUP(B407,'Coil Sheet at Plant'!$C:$M,10,FALSE),""))</f>
        <v/>
      </c>
      <c r="K407" s="69" t="str">
        <f>IF(B407="","",SUMIF(B:B,B407,G:G))</f>
        <v/>
      </c>
      <c r="L407" s="70" t="str">
        <f>IF(B407="","",IFERROR(VLOOKUP(B407,'Coil Sheet at Plant'!$C:$I,7,FALSE),""))</f>
        <v/>
      </c>
      <c r="M407" s="71" t="str">
        <f>IF(OR(K407="",L407=""),"",IF(L407=0,"⚠ NO PARENT WIDTH",IF(K407&gt;L407,"⚠ BABY &gt; PARENT","✔ OK")))</f>
        <v/>
      </c>
      <c r="N407" s="71" t="str">
        <f>IF(D407="","",IF(COUNTIF(D$3:D407,D407)&gt;1,"⚠ DUPLICATE",""))</f>
        <v/>
      </c>
      <c r="O407" s="72" t="str">
        <f>IF(B407="","",SUMIF(B:B,B407,G:G)&amp;" / "&amp;IFERROR(VLOOKUP(B407,'Coil Sheet at Plant'!$C:$I,7,FALSE),"?")&amp;" mm")</f>
        <v/>
      </c>
    </row>
    <row r="408" spans="1:15">
      <c r="A408" s="36"/>
      <c r="B408" s="32"/>
      <c r="C408" s="39"/>
      <c r="D408" s="44" t="str">
        <f>IF(OR(B408="",C408=""),"",CONCATENATE(B408,"-",C408))</f>
        <v/>
      </c>
      <c r="E408" s="49" t="str">
        <f>IF(B408="","",IFERROR(VLOOKUP(B408,'Coil Sheet at Plant'!$C:$G,5,FALSE),"ID Not Found"))</f>
        <v/>
      </c>
      <c r="F408" s="50" t="str">
        <f>IF(B408="","",IFERROR(VLOOKUP(B408,'Coil Sheet at Plant'!$C:$H,6,FALSE),"ID Not Found"))</f>
        <v/>
      </c>
      <c r="G408" s="81">
        <v>555</v>
      </c>
      <c r="H408" s="89" t="str">
        <f>IF(OR(B408="",G408=""),"",IFERROR(VLOOKUP(B408,'Coil Sheet at Plant'!$C:$J,8,FALSE),0)*G408/SUMIF(B:B,B408,G:G))</f>
        <v/>
      </c>
      <c r="I408" s="56" t="str">
        <f>IF(B408="","",IFERROR(VLOOKUP(B408,'Coil Sheet at Plant'!$C:$L,9,FALSE),""))</f>
        <v/>
      </c>
      <c r="J408" s="85" t="str">
        <f>IF(B408="","",IFERROR(VLOOKUP(B408,'Coil Sheet at Plant'!$C:$M,10,FALSE),""))</f>
        <v/>
      </c>
      <c r="K408" s="69" t="str">
        <f>IF(B408="","",SUMIF(B:B,B408,G:G))</f>
        <v/>
      </c>
      <c r="L408" s="70" t="str">
        <f>IF(B408="","",IFERROR(VLOOKUP(B408,'Coil Sheet at Plant'!$C:$I,7,FALSE),""))</f>
        <v/>
      </c>
      <c r="M408" s="71" t="str">
        <f>IF(OR(K408="",L408=""),"",IF(L408=0,"⚠ NO PARENT WIDTH",IF(K408&gt;L408,"⚠ BABY &gt; PARENT","✔ OK")))</f>
        <v/>
      </c>
      <c r="N408" s="71" t="str">
        <f>IF(D408="","",IF(COUNTIF(D$3:D408,D408)&gt;1,"⚠ DUPLICATE",""))</f>
        <v/>
      </c>
      <c r="O408" s="72" t="str">
        <f>IF(B408="","",SUMIF(B:B,B408,G:G)&amp;" / "&amp;IFERROR(VLOOKUP(B408,'Coil Sheet at Plant'!$C:$I,7,FALSE),"?")&amp;" mm")</f>
        <v/>
      </c>
    </row>
    <row r="409" spans="1:15">
      <c r="A409" s="36"/>
      <c r="B409" s="32"/>
      <c r="C409" s="39"/>
      <c r="D409" s="44" t="str">
        <f>IF(OR(B409="",C409=""),"",CONCATENATE(B409,"-",C409))</f>
        <v/>
      </c>
      <c r="E409" s="49" t="str">
        <f>IF(B409="","",IFERROR(VLOOKUP(B409,'Coil Sheet at Plant'!$C:$G,5,FALSE),"ID Not Found"))</f>
        <v/>
      </c>
      <c r="F409" s="50" t="str">
        <f>IF(B409="","",IFERROR(VLOOKUP(B409,'Coil Sheet at Plant'!$C:$H,6,FALSE),"ID Not Found"))</f>
        <v/>
      </c>
      <c r="G409" s="81">
        <v>556</v>
      </c>
      <c r="H409" s="89" t="str">
        <f>IF(OR(B409="",G409=""),"",IFERROR(VLOOKUP(B409,'Coil Sheet at Plant'!$C:$J,8,FALSE),0)*G409/SUMIF(B:B,B409,G:G))</f>
        <v/>
      </c>
      <c r="I409" s="56" t="str">
        <f>IF(B409="","",IFERROR(VLOOKUP(B409,'Coil Sheet at Plant'!$C:$L,9,FALSE),""))</f>
        <v/>
      </c>
      <c r="J409" s="85" t="str">
        <f>IF(B409="","",IFERROR(VLOOKUP(B409,'Coil Sheet at Plant'!$C:$M,10,FALSE),""))</f>
        <v/>
      </c>
      <c r="K409" s="69" t="str">
        <f>IF(B409="","",SUMIF(B:B,B409,G:G))</f>
        <v/>
      </c>
      <c r="L409" s="70" t="str">
        <f>IF(B409="","",IFERROR(VLOOKUP(B409,'Coil Sheet at Plant'!$C:$I,7,FALSE),""))</f>
        <v/>
      </c>
      <c r="M409" s="71" t="str">
        <f>IF(OR(K409="",L409=""),"",IF(L409=0,"⚠ NO PARENT WIDTH",IF(K409&gt;L409,"⚠ BABY &gt; PARENT","✔ OK")))</f>
        <v/>
      </c>
      <c r="N409" s="71" t="str">
        <f>IF(D409="","",IF(COUNTIF(D$3:D409,D409)&gt;1,"⚠ DUPLICATE",""))</f>
        <v/>
      </c>
      <c r="O409" s="72" t="str">
        <f>IF(B409="","",SUMIF(B:B,B409,G:G)&amp;" / "&amp;IFERROR(VLOOKUP(B409,'Coil Sheet at Plant'!$C:$I,7,FALSE),"?")&amp;" mm")</f>
        <v/>
      </c>
    </row>
    <row r="410" spans="1:15">
      <c r="A410" s="36"/>
      <c r="B410" s="32"/>
      <c r="C410" s="39"/>
      <c r="D410" s="44" t="str">
        <f>IF(OR(B410="",C410=""),"",CONCATENATE(B410,"-",C410))</f>
        <v/>
      </c>
      <c r="E410" s="49" t="str">
        <f>IF(B410="","",IFERROR(VLOOKUP(B410,'Coil Sheet at Plant'!$C:$G,5,FALSE),"ID Not Found"))</f>
        <v/>
      </c>
      <c r="F410" s="50" t="str">
        <f>IF(B410="","",IFERROR(VLOOKUP(B410,'Coil Sheet at Plant'!$C:$H,6,FALSE),"ID Not Found"))</f>
        <v/>
      </c>
      <c r="G410" s="81">
        <v>557</v>
      </c>
      <c r="H410" s="89" t="str">
        <f>IF(OR(B410="",G410=""),"",IFERROR(VLOOKUP(B410,'Coil Sheet at Plant'!$C:$J,8,FALSE),0)*G410/SUMIF(B:B,B410,G:G))</f>
        <v/>
      </c>
      <c r="I410" s="56" t="str">
        <f>IF(B410="","",IFERROR(VLOOKUP(B410,'Coil Sheet at Plant'!$C:$L,9,FALSE),""))</f>
        <v/>
      </c>
      <c r="J410" s="85" t="str">
        <f>IF(B410="","",IFERROR(VLOOKUP(B410,'Coil Sheet at Plant'!$C:$M,10,FALSE),""))</f>
        <v/>
      </c>
      <c r="K410" s="69" t="str">
        <f>IF(B410="","",SUMIF(B:B,B410,G:G))</f>
        <v/>
      </c>
      <c r="L410" s="70" t="str">
        <f>IF(B410="","",IFERROR(VLOOKUP(B410,'Coil Sheet at Plant'!$C:$I,7,FALSE),""))</f>
        <v/>
      </c>
      <c r="M410" s="71" t="str">
        <f>IF(OR(K410="",L410=""),"",IF(L410=0,"⚠ NO PARENT WIDTH",IF(K410&gt;L410,"⚠ BABY &gt; PARENT","✔ OK")))</f>
        <v/>
      </c>
      <c r="N410" s="71" t="str">
        <f>IF(D410="","",IF(COUNTIF(D$3:D410,D410)&gt;1,"⚠ DUPLICATE",""))</f>
        <v/>
      </c>
      <c r="O410" s="72" t="str">
        <f>IF(B410="","",SUMIF(B:B,B410,G:G)&amp;" / "&amp;IFERROR(VLOOKUP(B410,'Coil Sheet at Plant'!$C:$I,7,FALSE),"?")&amp;" mm")</f>
        <v/>
      </c>
    </row>
    <row r="411" spans="1:15">
      <c r="A411" s="36"/>
      <c r="B411" s="32"/>
      <c r="C411" s="39"/>
      <c r="D411" s="44" t="str">
        <f>IF(OR(B411="",C411=""),"",CONCATENATE(B411,"-",C411))</f>
        <v/>
      </c>
      <c r="E411" s="49" t="str">
        <f>IF(B411="","",IFERROR(VLOOKUP(B411,'Coil Sheet at Plant'!$C:$G,5,FALSE),"ID Not Found"))</f>
        <v/>
      </c>
      <c r="F411" s="50" t="str">
        <f>IF(B411="","",IFERROR(VLOOKUP(B411,'Coil Sheet at Plant'!$C:$H,6,FALSE),"ID Not Found"))</f>
        <v/>
      </c>
      <c r="G411" s="81">
        <v>558</v>
      </c>
      <c r="H411" s="89" t="str">
        <f>IF(OR(B411="",G411=""),"",IFERROR(VLOOKUP(B411,'Coil Sheet at Plant'!$C:$J,8,FALSE),0)*G411/SUMIF(B:B,B411,G:G))</f>
        <v/>
      </c>
      <c r="I411" s="56" t="str">
        <f>IF(B411="","",IFERROR(VLOOKUP(B411,'Coil Sheet at Plant'!$C:$L,9,FALSE),""))</f>
        <v/>
      </c>
      <c r="J411" s="85" t="str">
        <f>IF(B411="","",IFERROR(VLOOKUP(B411,'Coil Sheet at Plant'!$C:$M,10,FALSE),""))</f>
        <v/>
      </c>
      <c r="K411" s="69" t="str">
        <f>IF(B411="","",SUMIF(B:B,B411,G:G))</f>
        <v/>
      </c>
      <c r="L411" s="70" t="str">
        <f>IF(B411="","",IFERROR(VLOOKUP(B411,'Coil Sheet at Plant'!$C:$I,7,FALSE),""))</f>
        <v/>
      </c>
      <c r="M411" s="71" t="str">
        <f>IF(OR(K411="",L411=""),"",IF(L411=0,"⚠ NO PARENT WIDTH",IF(K411&gt;L411,"⚠ BABY &gt; PARENT","✔ OK")))</f>
        <v/>
      </c>
      <c r="N411" s="71" t="str">
        <f>IF(D411="","",IF(COUNTIF(D$3:D411,D411)&gt;1,"⚠ DUPLICATE",""))</f>
        <v/>
      </c>
      <c r="O411" s="72" t="str">
        <f>IF(B411="","",SUMIF(B:B,B411,G:G)&amp;" / "&amp;IFERROR(VLOOKUP(B411,'Coil Sheet at Plant'!$C:$I,7,FALSE),"?")&amp;" mm")</f>
        <v/>
      </c>
    </row>
    <row r="412" spans="1:15">
      <c r="A412" s="36"/>
      <c r="B412" s="32"/>
      <c r="C412" s="39"/>
      <c r="D412" s="44" t="str">
        <f>IF(OR(B412="",C412=""),"",CONCATENATE(B412,"-",C412))</f>
        <v/>
      </c>
      <c r="E412" s="49" t="str">
        <f>IF(B412="","",IFERROR(VLOOKUP(B412,'Coil Sheet at Plant'!$C:$G,5,FALSE),"ID Not Found"))</f>
        <v/>
      </c>
      <c r="F412" s="50" t="str">
        <f>IF(B412="","",IFERROR(VLOOKUP(B412,'Coil Sheet at Plant'!$C:$H,6,FALSE),"ID Not Found"))</f>
        <v/>
      </c>
      <c r="G412" s="81">
        <v>559</v>
      </c>
      <c r="H412" s="89" t="str">
        <f>IF(OR(B412="",G412=""),"",IFERROR(VLOOKUP(B412,'Coil Sheet at Plant'!$C:$J,8,FALSE),0)*G412/SUMIF(B:B,B412,G:G))</f>
        <v/>
      </c>
      <c r="I412" s="56" t="str">
        <f>IF(B412="","",IFERROR(VLOOKUP(B412,'Coil Sheet at Plant'!$C:$L,9,FALSE),""))</f>
        <v/>
      </c>
      <c r="J412" s="85" t="str">
        <f>IF(B412="","",IFERROR(VLOOKUP(B412,'Coil Sheet at Plant'!$C:$M,10,FALSE),""))</f>
        <v/>
      </c>
      <c r="K412" s="69" t="str">
        <f>IF(B412="","",SUMIF(B:B,B412,G:G))</f>
        <v/>
      </c>
      <c r="L412" s="70" t="str">
        <f>IF(B412="","",IFERROR(VLOOKUP(B412,'Coil Sheet at Plant'!$C:$I,7,FALSE),""))</f>
        <v/>
      </c>
      <c r="M412" s="71" t="str">
        <f>IF(OR(K412="",L412=""),"",IF(L412=0,"⚠ NO PARENT WIDTH",IF(K412&gt;L412,"⚠ BABY &gt; PARENT","✔ OK")))</f>
        <v/>
      </c>
      <c r="N412" s="71" t="str">
        <f>IF(D412="","",IF(COUNTIF(D$3:D412,D412)&gt;1,"⚠ DUPLICATE",""))</f>
        <v/>
      </c>
      <c r="O412" s="72" t="str">
        <f>IF(B412="","",SUMIF(B:B,B412,G:G)&amp;" / "&amp;IFERROR(VLOOKUP(B412,'Coil Sheet at Plant'!$C:$I,7,FALSE),"?")&amp;" mm")</f>
        <v/>
      </c>
    </row>
    <row r="413" spans="1:15">
      <c r="A413" s="36"/>
      <c r="B413" s="32"/>
      <c r="C413" s="39"/>
      <c r="D413" s="44" t="str">
        <f>IF(OR(B413="",C413=""),"",CONCATENATE(B413,"-",C413))</f>
        <v/>
      </c>
      <c r="E413" s="49" t="str">
        <f>IF(B413="","",IFERROR(VLOOKUP(B413,'Coil Sheet at Plant'!$C:$G,5,FALSE),"ID Not Found"))</f>
        <v/>
      </c>
      <c r="F413" s="50" t="str">
        <f>IF(B413="","",IFERROR(VLOOKUP(B413,'Coil Sheet at Plant'!$C:$H,6,FALSE),"ID Not Found"))</f>
        <v/>
      </c>
      <c r="G413" s="81">
        <v>560</v>
      </c>
      <c r="H413" s="89" t="str">
        <f>IF(OR(B413="",G413=""),"",IFERROR(VLOOKUP(B413,'Coil Sheet at Plant'!$C:$J,8,FALSE),0)*G413/SUMIF(B:B,B413,G:G))</f>
        <v/>
      </c>
      <c r="I413" s="56" t="str">
        <f>IF(B413="","",IFERROR(VLOOKUP(B413,'Coil Sheet at Plant'!$C:$L,9,FALSE),""))</f>
        <v/>
      </c>
      <c r="J413" s="85" t="str">
        <f>IF(B413="","",IFERROR(VLOOKUP(B413,'Coil Sheet at Plant'!$C:$M,10,FALSE),""))</f>
        <v/>
      </c>
      <c r="K413" s="69" t="str">
        <f>IF(B413="","",SUMIF(B:B,B413,G:G))</f>
        <v/>
      </c>
      <c r="L413" s="70" t="str">
        <f>IF(B413="","",IFERROR(VLOOKUP(B413,'Coil Sheet at Plant'!$C:$I,7,FALSE),""))</f>
        <v/>
      </c>
      <c r="M413" s="71" t="str">
        <f>IF(OR(K413="",L413=""),"",IF(L413=0,"⚠ NO PARENT WIDTH",IF(K413&gt;L413,"⚠ BABY &gt; PARENT","✔ OK")))</f>
        <v/>
      </c>
      <c r="N413" s="71" t="str">
        <f>IF(D413="","",IF(COUNTIF(D$3:D413,D413)&gt;1,"⚠ DUPLICATE",""))</f>
        <v/>
      </c>
      <c r="O413" s="72" t="str">
        <f>IF(B413="","",SUMIF(B:B,B413,G:G)&amp;" / "&amp;IFERROR(VLOOKUP(B413,'Coil Sheet at Plant'!$C:$I,7,FALSE),"?")&amp;" mm")</f>
        <v/>
      </c>
    </row>
    <row r="414" spans="1:15">
      <c r="A414" s="36"/>
      <c r="B414" s="32"/>
      <c r="C414" s="39"/>
      <c r="D414" s="44" t="str">
        <f>IF(OR(B414="",C414=""),"",CONCATENATE(B414,"-",C414))</f>
        <v/>
      </c>
      <c r="E414" s="49" t="str">
        <f>IF(B414="","",IFERROR(VLOOKUP(B414,'Coil Sheet at Plant'!$C:$G,5,FALSE),"ID Not Found"))</f>
        <v/>
      </c>
      <c r="F414" s="50" t="str">
        <f>IF(B414="","",IFERROR(VLOOKUP(B414,'Coil Sheet at Plant'!$C:$H,6,FALSE),"ID Not Found"))</f>
        <v/>
      </c>
      <c r="G414" s="81">
        <v>561</v>
      </c>
      <c r="H414" s="89" t="str">
        <f>IF(OR(B414="",G414=""),"",IFERROR(VLOOKUP(B414,'Coil Sheet at Plant'!$C:$J,8,FALSE),0)*G414/SUMIF(B:B,B414,G:G))</f>
        <v/>
      </c>
      <c r="I414" s="56" t="str">
        <f>IF(B414="","",IFERROR(VLOOKUP(B414,'Coil Sheet at Plant'!$C:$L,9,FALSE),""))</f>
        <v/>
      </c>
      <c r="J414" s="85" t="str">
        <f>IF(B414="","",IFERROR(VLOOKUP(B414,'Coil Sheet at Plant'!$C:$M,10,FALSE),""))</f>
        <v/>
      </c>
      <c r="K414" s="69" t="str">
        <f>IF(B414="","",SUMIF(B:B,B414,G:G))</f>
        <v/>
      </c>
      <c r="L414" s="70" t="str">
        <f>IF(B414="","",IFERROR(VLOOKUP(B414,'Coil Sheet at Plant'!$C:$I,7,FALSE),""))</f>
        <v/>
      </c>
      <c r="M414" s="71" t="str">
        <f>IF(OR(K414="",L414=""),"",IF(L414=0,"⚠ NO PARENT WIDTH",IF(K414&gt;L414,"⚠ BABY &gt; PARENT","✔ OK")))</f>
        <v/>
      </c>
      <c r="N414" s="71" t="str">
        <f>IF(D414="","",IF(COUNTIF(D$3:D414,D414)&gt;1,"⚠ DUPLICATE",""))</f>
        <v/>
      </c>
      <c r="O414" s="72" t="str">
        <f>IF(B414="","",SUMIF(B:B,B414,G:G)&amp;" / "&amp;IFERROR(VLOOKUP(B414,'Coil Sheet at Plant'!$C:$I,7,FALSE),"?")&amp;" mm")</f>
        <v/>
      </c>
    </row>
    <row r="415" spans="1:15">
      <c r="A415" s="36"/>
      <c r="B415" s="32"/>
      <c r="C415" s="39"/>
      <c r="D415" s="44" t="str">
        <f>IF(OR(B415="",C415=""),"",CONCATENATE(B415,"-",C415))</f>
        <v/>
      </c>
      <c r="E415" s="49" t="str">
        <f>IF(B415="","",IFERROR(VLOOKUP(B415,'Coil Sheet at Plant'!$C:$G,5,FALSE),"ID Not Found"))</f>
        <v/>
      </c>
      <c r="F415" s="50" t="str">
        <f>IF(B415="","",IFERROR(VLOOKUP(B415,'Coil Sheet at Plant'!$C:$H,6,FALSE),"ID Not Found"))</f>
        <v/>
      </c>
      <c r="G415" s="81">
        <v>562</v>
      </c>
      <c r="H415" s="89" t="str">
        <f>IF(OR(B415="",G415=""),"",IFERROR(VLOOKUP(B415,'Coil Sheet at Plant'!$C:$J,8,FALSE),0)*G415/SUMIF(B:B,B415,G:G))</f>
        <v/>
      </c>
      <c r="I415" s="56" t="str">
        <f>IF(B415="","",IFERROR(VLOOKUP(B415,'Coil Sheet at Plant'!$C:$L,9,FALSE),""))</f>
        <v/>
      </c>
      <c r="J415" s="85" t="str">
        <f>IF(B415="","",IFERROR(VLOOKUP(B415,'Coil Sheet at Plant'!$C:$M,10,FALSE),""))</f>
        <v/>
      </c>
      <c r="K415" s="69" t="str">
        <f>IF(B415="","",SUMIF(B:B,B415,G:G))</f>
        <v/>
      </c>
      <c r="L415" s="70" t="str">
        <f>IF(B415="","",IFERROR(VLOOKUP(B415,'Coil Sheet at Plant'!$C:$I,7,FALSE),""))</f>
        <v/>
      </c>
      <c r="M415" s="71" t="str">
        <f>IF(OR(K415="",L415=""),"",IF(L415=0,"⚠ NO PARENT WIDTH",IF(K415&gt;L415,"⚠ BABY &gt; PARENT","✔ OK")))</f>
        <v/>
      </c>
      <c r="N415" s="71" t="str">
        <f>IF(D415="","",IF(COUNTIF(D$3:D415,D415)&gt;1,"⚠ DUPLICATE",""))</f>
        <v/>
      </c>
      <c r="O415" s="72" t="str">
        <f>IF(B415="","",SUMIF(B:B,B415,G:G)&amp;" / "&amp;IFERROR(VLOOKUP(B415,'Coil Sheet at Plant'!$C:$I,7,FALSE),"?")&amp;" mm")</f>
        <v/>
      </c>
    </row>
    <row r="416" spans="1:15">
      <c r="A416" s="36"/>
      <c r="B416" s="32"/>
      <c r="C416" s="39"/>
      <c r="D416" s="44" t="str">
        <f>IF(OR(B416="",C416=""),"",CONCATENATE(B416,"-",C416))</f>
        <v/>
      </c>
      <c r="E416" s="49" t="str">
        <f>IF(B416="","",IFERROR(VLOOKUP(B416,'Coil Sheet at Plant'!$C:$G,5,FALSE),"ID Not Found"))</f>
        <v/>
      </c>
      <c r="F416" s="50" t="str">
        <f>IF(B416="","",IFERROR(VLOOKUP(B416,'Coil Sheet at Plant'!$C:$H,6,FALSE),"ID Not Found"))</f>
        <v/>
      </c>
      <c r="G416" s="81">
        <v>563</v>
      </c>
      <c r="H416" s="89" t="str">
        <f>IF(OR(B416="",G416=""),"",IFERROR(VLOOKUP(B416,'Coil Sheet at Plant'!$C:$J,8,FALSE),0)*G416/SUMIF(B:B,B416,G:G))</f>
        <v/>
      </c>
      <c r="I416" s="56" t="str">
        <f>IF(B416="","",IFERROR(VLOOKUP(B416,'Coil Sheet at Plant'!$C:$L,9,FALSE),""))</f>
        <v/>
      </c>
      <c r="J416" s="85" t="str">
        <f>IF(B416="","",IFERROR(VLOOKUP(B416,'Coil Sheet at Plant'!$C:$M,10,FALSE),""))</f>
        <v/>
      </c>
      <c r="K416" s="69" t="str">
        <f>IF(B416="","",SUMIF(B:B,B416,G:G))</f>
        <v/>
      </c>
      <c r="L416" s="70" t="str">
        <f>IF(B416="","",IFERROR(VLOOKUP(B416,'Coil Sheet at Plant'!$C:$I,7,FALSE),""))</f>
        <v/>
      </c>
      <c r="M416" s="71" t="str">
        <f>IF(OR(K416="",L416=""),"",IF(L416=0,"⚠ NO PARENT WIDTH",IF(K416&gt;L416,"⚠ BABY &gt; PARENT","✔ OK")))</f>
        <v/>
      </c>
      <c r="N416" s="71" t="str">
        <f>IF(D416="","",IF(COUNTIF(D$3:D416,D416)&gt;1,"⚠ DUPLICATE",""))</f>
        <v/>
      </c>
      <c r="O416" s="72" t="str">
        <f>IF(B416="","",SUMIF(B:B,B416,G:G)&amp;" / "&amp;IFERROR(VLOOKUP(B416,'Coil Sheet at Plant'!$C:$I,7,FALSE),"?")&amp;" mm")</f>
        <v/>
      </c>
    </row>
    <row r="417" spans="1:15">
      <c r="A417" s="36"/>
      <c r="B417" s="32"/>
      <c r="C417" s="39"/>
      <c r="D417" s="44" t="str">
        <f>IF(OR(B417="",C417=""),"",CONCATENATE(B417,"-",C417))</f>
        <v/>
      </c>
      <c r="E417" s="49" t="str">
        <f>IF(B417="","",IFERROR(VLOOKUP(B417,'Coil Sheet at Plant'!$C:$G,5,FALSE),"ID Not Found"))</f>
        <v/>
      </c>
      <c r="F417" s="50" t="str">
        <f>IF(B417="","",IFERROR(VLOOKUP(B417,'Coil Sheet at Plant'!$C:$H,6,FALSE),"ID Not Found"))</f>
        <v/>
      </c>
      <c r="G417" s="81">
        <v>564</v>
      </c>
      <c r="H417" s="89" t="str">
        <f>IF(OR(B417="",G417=""),"",IFERROR(VLOOKUP(B417,'Coil Sheet at Plant'!$C:$J,8,FALSE),0)*G417/SUMIF(B:B,B417,G:G))</f>
        <v/>
      </c>
      <c r="I417" s="56" t="str">
        <f>IF(B417="","",IFERROR(VLOOKUP(B417,'Coil Sheet at Plant'!$C:$L,9,FALSE),""))</f>
        <v/>
      </c>
      <c r="J417" s="85" t="str">
        <f>IF(B417="","",IFERROR(VLOOKUP(B417,'Coil Sheet at Plant'!$C:$M,10,FALSE),""))</f>
        <v/>
      </c>
      <c r="K417" s="69" t="str">
        <f>IF(B417="","",SUMIF(B:B,B417,G:G))</f>
        <v/>
      </c>
      <c r="L417" s="70" t="str">
        <f>IF(B417="","",IFERROR(VLOOKUP(B417,'Coil Sheet at Plant'!$C:$I,7,FALSE),""))</f>
        <v/>
      </c>
      <c r="M417" s="71" t="str">
        <f>IF(OR(K417="",L417=""),"",IF(L417=0,"⚠ NO PARENT WIDTH",IF(K417&gt;L417,"⚠ BABY &gt; PARENT","✔ OK")))</f>
        <v/>
      </c>
      <c r="N417" s="71" t="str">
        <f>IF(D417="","",IF(COUNTIF(D$3:D417,D417)&gt;1,"⚠ DUPLICATE",""))</f>
        <v/>
      </c>
      <c r="O417" s="72" t="str">
        <f>IF(B417="","",SUMIF(B:B,B417,G:G)&amp;" / "&amp;IFERROR(VLOOKUP(B417,'Coil Sheet at Plant'!$C:$I,7,FALSE),"?")&amp;" mm")</f>
        <v/>
      </c>
    </row>
    <row r="418" spans="1:15">
      <c r="A418" s="36"/>
      <c r="B418" s="32"/>
      <c r="C418" s="39"/>
      <c r="D418" s="44" t="str">
        <f>IF(OR(B418="",C418=""),"",CONCATENATE(B418,"-",C418))</f>
        <v/>
      </c>
      <c r="E418" s="49" t="str">
        <f>IF(B418="","",IFERROR(VLOOKUP(B418,'Coil Sheet at Plant'!$C:$G,5,FALSE),"ID Not Found"))</f>
        <v/>
      </c>
      <c r="F418" s="50" t="str">
        <f>IF(B418="","",IFERROR(VLOOKUP(B418,'Coil Sheet at Plant'!$C:$H,6,FALSE),"ID Not Found"))</f>
        <v/>
      </c>
      <c r="G418" s="81">
        <v>565</v>
      </c>
      <c r="H418" s="89" t="str">
        <f>IF(OR(B418="",G418=""),"",IFERROR(VLOOKUP(B418,'Coil Sheet at Plant'!$C:$J,8,FALSE),0)*G418/SUMIF(B:B,B418,G:G))</f>
        <v/>
      </c>
      <c r="I418" s="56" t="str">
        <f>IF(B418="","",IFERROR(VLOOKUP(B418,'Coil Sheet at Plant'!$C:$L,9,FALSE),""))</f>
        <v/>
      </c>
      <c r="J418" s="85" t="str">
        <f>IF(B418="","",IFERROR(VLOOKUP(B418,'Coil Sheet at Plant'!$C:$M,10,FALSE),""))</f>
        <v/>
      </c>
      <c r="K418" s="69" t="str">
        <f>IF(B418="","",SUMIF(B:B,B418,G:G))</f>
        <v/>
      </c>
      <c r="L418" s="70" t="str">
        <f>IF(B418="","",IFERROR(VLOOKUP(B418,'Coil Sheet at Plant'!$C:$I,7,FALSE),""))</f>
        <v/>
      </c>
      <c r="M418" s="71" t="str">
        <f>IF(OR(K418="",L418=""),"",IF(L418=0,"⚠ NO PARENT WIDTH",IF(K418&gt;L418,"⚠ BABY &gt; PARENT","✔ OK")))</f>
        <v/>
      </c>
      <c r="N418" s="71" t="str">
        <f>IF(D418="","",IF(COUNTIF(D$3:D418,D418)&gt;1,"⚠ DUPLICATE",""))</f>
        <v/>
      </c>
      <c r="O418" s="72" t="str">
        <f>IF(B418="","",SUMIF(B:B,B418,G:G)&amp;" / "&amp;IFERROR(VLOOKUP(B418,'Coil Sheet at Plant'!$C:$I,7,FALSE),"?")&amp;" mm")</f>
        <v/>
      </c>
    </row>
    <row r="419" spans="1:15">
      <c r="A419" s="36"/>
      <c r="B419" s="32"/>
      <c r="C419" s="39"/>
      <c r="D419" s="44" t="str">
        <f>IF(OR(B419="",C419=""),"",CONCATENATE(B419,"-",C419))</f>
        <v/>
      </c>
      <c r="E419" s="49" t="str">
        <f>IF(B419="","",IFERROR(VLOOKUP(B419,'Coil Sheet at Plant'!$C:$G,5,FALSE),"ID Not Found"))</f>
        <v/>
      </c>
      <c r="F419" s="50" t="str">
        <f>IF(B419="","",IFERROR(VLOOKUP(B419,'Coil Sheet at Plant'!$C:$H,6,FALSE),"ID Not Found"))</f>
        <v/>
      </c>
      <c r="G419" s="81">
        <v>566</v>
      </c>
      <c r="H419" s="89" t="str">
        <f>IF(OR(B419="",G419=""),"",IFERROR(VLOOKUP(B419,'Coil Sheet at Plant'!$C:$J,8,FALSE),0)*G419/SUMIF(B:B,B419,G:G))</f>
        <v/>
      </c>
      <c r="I419" s="56" t="str">
        <f>IF(B419="","",IFERROR(VLOOKUP(B419,'Coil Sheet at Plant'!$C:$L,9,FALSE),""))</f>
        <v/>
      </c>
      <c r="J419" s="85" t="str">
        <f>IF(B419="","",IFERROR(VLOOKUP(B419,'Coil Sheet at Plant'!$C:$M,10,FALSE),""))</f>
        <v/>
      </c>
      <c r="K419" s="69" t="str">
        <f>IF(B419="","",SUMIF(B:B,B419,G:G))</f>
        <v/>
      </c>
      <c r="L419" s="70" t="str">
        <f>IF(B419="","",IFERROR(VLOOKUP(B419,'Coil Sheet at Plant'!$C:$I,7,FALSE),""))</f>
        <v/>
      </c>
      <c r="M419" s="71" t="str">
        <f>IF(OR(K419="",L419=""),"",IF(L419=0,"⚠ NO PARENT WIDTH",IF(K419&gt;L419,"⚠ BABY &gt; PARENT","✔ OK")))</f>
        <v/>
      </c>
      <c r="N419" s="71" t="str">
        <f>IF(D419="","",IF(COUNTIF(D$3:D419,D419)&gt;1,"⚠ DUPLICATE",""))</f>
        <v/>
      </c>
      <c r="O419" s="72" t="str">
        <f>IF(B419="","",SUMIF(B:B,B419,G:G)&amp;" / "&amp;IFERROR(VLOOKUP(B419,'Coil Sheet at Plant'!$C:$I,7,FALSE),"?")&amp;" mm")</f>
        <v/>
      </c>
    </row>
    <row r="420" spans="1:15">
      <c r="A420" s="36"/>
      <c r="B420" s="32"/>
      <c r="C420" s="39"/>
      <c r="D420" s="44" t="str">
        <f>IF(OR(B420="",C420=""),"",CONCATENATE(B420,"-",C420))</f>
        <v/>
      </c>
      <c r="E420" s="49" t="str">
        <f>IF(B420="","",IFERROR(VLOOKUP(B420,'Coil Sheet at Plant'!$C:$G,5,FALSE),"ID Not Found"))</f>
        <v/>
      </c>
      <c r="F420" s="50" t="str">
        <f>IF(B420="","",IFERROR(VLOOKUP(B420,'Coil Sheet at Plant'!$C:$H,6,FALSE),"ID Not Found"))</f>
        <v/>
      </c>
      <c r="G420" s="81">
        <v>567</v>
      </c>
      <c r="H420" s="89" t="str">
        <f>IF(OR(B420="",G420=""),"",IFERROR(VLOOKUP(B420,'Coil Sheet at Plant'!$C:$J,8,FALSE),0)*G420/SUMIF(B:B,B420,G:G))</f>
        <v/>
      </c>
      <c r="I420" s="56" t="str">
        <f>IF(B420="","",IFERROR(VLOOKUP(B420,'Coil Sheet at Plant'!$C:$L,9,FALSE),""))</f>
        <v/>
      </c>
      <c r="J420" s="85" t="str">
        <f>IF(B420="","",IFERROR(VLOOKUP(B420,'Coil Sheet at Plant'!$C:$M,10,FALSE),""))</f>
        <v/>
      </c>
      <c r="K420" s="69" t="str">
        <f>IF(B420="","",SUMIF(B:B,B420,G:G))</f>
        <v/>
      </c>
      <c r="L420" s="70" t="str">
        <f>IF(B420="","",IFERROR(VLOOKUP(B420,'Coil Sheet at Plant'!$C:$I,7,FALSE),""))</f>
        <v/>
      </c>
      <c r="M420" s="71" t="str">
        <f>IF(OR(K420="",L420=""),"",IF(L420=0,"⚠ NO PARENT WIDTH",IF(K420&gt;L420,"⚠ BABY &gt; PARENT","✔ OK")))</f>
        <v/>
      </c>
      <c r="N420" s="71" t="str">
        <f>IF(D420="","",IF(COUNTIF(D$3:D420,D420)&gt;1,"⚠ DUPLICATE",""))</f>
        <v/>
      </c>
      <c r="O420" s="72" t="str">
        <f>IF(B420="","",SUMIF(B:B,B420,G:G)&amp;" / "&amp;IFERROR(VLOOKUP(B420,'Coil Sheet at Plant'!$C:$I,7,FALSE),"?")&amp;" mm")</f>
        <v/>
      </c>
    </row>
    <row r="421" spans="1:15">
      <c r="A421" s="36"/>
      <c r="B421" s="32"/>
      <c r="C421" s="39"/>
      <c r="D421" s="44" t="str">
        <f>IF(OR(B421="",C421=""),"",CONCATENATE(B421,"-",C421))</f>
        <v/>
      </c>
      <c r="E421" s="49" t="str">
        <f>IF(B421="","",IFERROR(VLOOKUP(B421,'Coil Sheet at Plant'!$C:$G,5,FALSE),"ID Not Found"))</f>
        <v/>
      </c>
      <c r="F421" s="50" t="str">
        <f>IF(B421="","",IFERROR(VLOOKUP(B421,'Coil Sheet at Plant'!$C:$H,6,FALSE),"ID Not Found"))</f>
        <v/>
      </c>
      <c r="G421" s="81">
        <v>568</v>
      </c>
      <c r="H421" s="89" t="str">
        <f>IF(OR(B421="",G421=""),"",IFERROR(VLOOKUP(B421,'Coil Sheet at Plant'!$C:$J,8,FALSE),0)*G421/SUMIF(B:B,B421,G:G))</f>
        <v/>
      </c>
      <c r="I421" s="56" t="str">
        <f>IF(B421="","",IFERROR(VLOOKUP(B421,'Coil Sheet at Plant'!$C:$L,9,FALSE),""))</f>
        <v/>
      </c>
      <c r="J421" s="85" t="str">
        <f>IF(B421="","",IFERROR(VLOOKUP(B421,'Coil Sheet at Plant'!$C:$M,10,FALSE),""))</f>
        <v/>
      </c>
      <c r="K421" s="69" t="str">
        <f>IF(B421="","",SUMIF(B:B,B421,G:G))</f>
        <v/>
      </c>
      <c r="L421" s="70" t="str">
        <f>IF(B421="","",IFERROR(VLOOKUP(B421,'Coil Sheet at Plant'!$C:$I,7,FALSE),""))</f>
        <v/>
      </c>
      <c r="M421" s="71" t="str">
        <f>IF(OR(K421="",L421=""),"",IF(L421=0,"⚠ NO PARENT WIDTH",IF(K421&gt;L421,"⚠ BABY &gt; PARENT","✔ OK")))</f>
        <v/>
      </c>
      <c r="N421" s="71" t="str">
        <f>IF(D421="","",IF(COUNTIF(D$3:D421,D421)&gt;1,"⚠ DUPLICATE",""))</f>
        <v/>
      </c>
      <c r="O421" s="72" t="str">
        <f>IF(B421="","",SUMIF(B:B,B421,G:G)&amp;" / "&amp;IFERROR(VLOOKUP(B421,'Coil Sheet at Plant'!$C:$I,7,FALSE),"?")&amp;" mm")</f>
        <v/>
      </c>
    </row>
    <row r="422" spans="1:15">
      <c r="A422" s="36"/>
      <c r="B422" s="32"/>
      <c r="C422" s="39"/>
      <c r="D422" s="44" t="str">
        <f>IF(OR(B422="",C422=""),"",CONCATENATE(B422,"-",C422))</f>
        <v/>
      </c>
      <c r="E422" s="49" t="str">
        <f>IF(B422="","",IFERROR(VLOOKUP(B422,'Coil Sheet at Plant'!$C:$G,5,FALSE),"ID Not Found"))</f>
        <v/>
      </c>
      <c r="F422" s="50" t="str">
        <f>IF(B422="","",IFERROR(VLOOKUP(B422,'Coil Sheet at Plant'!$C:$H,6,FALSE),"ID Not Found"))</f>
        <v/>
      </c>
      <c r="G422" s="81">
        <v>569</v>
      </c>
      <c r="H422" s="89" t="str">
        <f>IF(OR(B422="",G422=""),"",IFERROR(VLOOKUP(B422,'Coil Sheet at Plant'!$C:$J,8,FALSE),0)*G422/SUMIF(B:B,B422,G:G))</f>
        <v/>
      </c>
      <c r="I422" s="56" t="str">
        <f>IF(B422="","",IFERROR(VLOOKUP(B422,'Coil Sheet at Plant'!$C:$L,9,FALSE),""))</f>
        <v/>
      </c>
      <c r="J422" s="85" t="str">
        <f>IF(B422="","",IFERROR(VLOOKUP(B422,'Coil Sheet at Plant'!$C:$M,10,FALSE),""))</f>
        <v/>
      </c>
      <c r="K422" s="69" t="str">
        <f>IF(B422="","",SUMIF(B:B,B422,G:G))</f>
        <v/>
      </c>
      <c r="L422" s="70" t="str">
        <f>IF(B422="","",IFERROR(VLOOKUP(B422,'Coil Sheet at Plant'!$C:$I,7,FALSE),""))</f>
        <v/>
      </c>
      <c r="M422" s="71" t="str">
        <f>IF(OR(K422="",L422=""),"",IF(L422=0,"⚠ NO PARENT WIDTH",IF(K422&gt;L422,"⚠ BABY &gt; PARENT","✔ OK")))</f>
        <v/>
      </c>
      <c r="N422" s="71" t="str">
        <f>IF(D422="","",IF(COUNTIF(D$3:D422,D422)&gt;1,"⚠ DUPLICATE",""))</f>
        <v/>
      </c>
      <c r="O422" s="72" t="str">
        <f>IF(B422="","",SUMIF(B:B,B422,G:G)&amp;" / "&amp;IFERROR(VLOOKUP(B422,'Coil Sheet at Plant'!$C:$I,7,FALSE),"?")&amp;" mm")</f>
        <v/>
      </c>
    </row>
    <row r="423" spans="1:15">
      <c r="A423" s="36"/>
      <c r="B423" s="32"/>
      <c r="C423" s="39"/>
      <c r="D423" s="44" t="str">
        <f>IF(OR(B423="",C423=""),"",CONCATENATE(B423,"-",C423))</f>
        <v/>
      </c>
      <c r="E423" s="49" t="str">
        <f>IF(B423="","",IFERROR(VLOOKUP(B423,'Coil Sheet at Plant'!$C:$G,5,FALSE),"ID Not Found"))</f>
        <v/>
      </c>
      <c r="F423" s="50" t="str">
        <f>IF(B423="","",IFERROR(VLOOKUP(B423,'Coil Sheet at Plant'!$C:$H,6,FALSE),"ID Not Found"))</f>
        <v/>
      </c>
      <c r="G423" s="81">
        <v>570</v>
      </c>
      <c r="H423" s="89" t="str">
        <f>IF(OR(B423="",G423=""),"",IFERROR(VLOOKUP(B423,'Coil Sheet at Plant'!$C:$J,8,FALSE),0)*G423/SUMIF(B:B,B423,G:G))</f>
        <v/>
      </c>
      <c r="I423" s="56" t="str">
        <f>IF(B423="","",IFERROR(VLOOKUP(B423,'Coil Sheet at Plant'!$C:$L,9,FALSE),""))</f>
        <v/>
      </c>
      <c r="J423" s="85" t="str">
        <f>IF(B423="","",IFERROR(VLOOKUP(B423,'Coil Sheet at Plant'!$C:$M,10,FALSE),""))</f>
        <v/>
      </c>
      <c r="K423" s="69" t="str">
        <f>IF(B423="","",SUMIF(B:B,B423,G:G))</f>
        <v/>
      </c>
      <c r="L423" s="70" t="str">
        <f>IF(B423="","",IFERROR(VLOOKUP(B423,'Coil Sheet at Plant'!$C:$I,7,FALSE),""))</f>
        <v/>
      </c>
      <c r="M423" s="71" t="str">
        <f>IF(OR(K423="",L423=""),"",IF(L423=0,"⚠ NO PARENT WIDTH",IF(K423&gt;L423,"⚠ BABY &gt; PARENT","✔ OK")))</f>
        <v/>
      </c>
      <c r="N423" s="71" t="str">
        <f>IF(D423="","",IF(COUNTIF(D$3:D423,D423)&gt;1,"⚠ DUPLICATE",""))</f>
        <v/>
      </c>
      <c r="O423" s="72" t="str">
        <f>IF(B423="","",SUMIF(B:B,B423,G:G)&amp;" / "&amp;IFERROR(VLOOKUP(B423,'Coil Sheet at Plant'!$C:$I,7,FALSE),"?")&amp;" mm")</f>
        <v/>
      </c>
    </row>
    <row r="424" spans="1:15">
      <c r="A424" s="36"/>
      <c r="B424" s="32"/>
      <c r="C424" s="39"/>
      <c r="D424" s="44" t="str">
        <f>IF(OR(B424="",C424=""),"",CONCATENATE(B424,"-",C424))</f>
        <v/>
      </c>
      <c r="E424" s="49" t="str">
        <f>IF(B424="","",IFERROR(VLOOKUP(B424,'Coil Sheet at Plant'!$C:$G,5,FALSE),"ID Not Found"))</f>
        <v/>
      </c>
      <c r="F424" s="50" t="str">
        <f>IF(B424="","",IFERROR(VLOOKUP(B424,'Coil Sheet at Plant'!$C:$H,6,FALSE),"ID Not Found"))</f>
        <v/>
      </c>
      <c r="G424" s="81">
        <v>571</v>
      </c>
      <c r="H424" s="89" t="str">
        <f>IF(OR(B424="",G424=""),"",IFERROR(VLOOKUP(B424,'Coil Sheet at Plant'!$C:$J,8,FALSE),0)*G424/SUMIF(B:B,B424,G:G))</f>
        <v/>
      </c>
      <c r="I424" s="56" t="str">
        <f>IF(B424="","",IFERROR(VLOOKUP(B424,'Coil Sheet at Plant'!$C:$L,9,FALSE),""))</f>
        <v/>
      </c>
      <c r="J424" s="85" t="str">
        <f>IF(B424="","",IFERROR(VLOOKUP(B424,'Coil Sheet at Plant'!$C:$M,10,FALSE),""))</f>
        <v/>
      </c>
      <c r="K424" s="69" t="str">
        <f>IF(B424="","",SUMIF(B:B,B424,G:G))</f>
        <v/>
      </c>
      <c r="L424" s="70" t="str">
        <f>IF(B424="","",IFERROR(VLOOKUP(B424,'Coil Sheet at Plant'!$C:$I,7,FALSE),""))</f>
        <v/>
      </c>
      <c r="M424" s="71" t="str">
        <f>IF(OR(K424="",L424=""),"",IF(L424=0,"⚠ NO PARENT WIDTH",IF(K424&gt;L424,"⚠ BABY &gt; PARENT","✔ OK")))</f>
        <v/>
      </c>
      <c r="N424" s="71" t="str">
        <f>IF(D424="","",IF(COUNTIF(D$3:D424,D424)&gt;1,"⚠ DUPLICATE",""))</f>
        <v/>
      </c>
      <c r="O424" s="72" t="str">
        <f>IF(B424="","",SUMIF(B:B,B424,G:G)&amp;" / "&amp;IFERROR(VLOOKUP(B424,'Coil Sheet at Plant'!$C:$I,7,FALSE),"?")&amp;" mm")</f>
        <v/>
      </c>
    </row>
    <row r="425" spans="1:15">
      <c r="A425" s="36"/>
      <c r="B425" s="32"/>
      <c r="C425" s="39"/>
      <c r="D425" s="44" t="str">
        <f>IF(OR(B425="",C425=""),"",CONCATENATE(B425,"-",C425))</f>
        <v/>
      </c>
      <c r="E425" s="49" t="str">
        <f>IF(B425="","",IFERROR(VLOOKUP(B425,'Coil Sheet at Plant'!$C:$G,5,FALSE),"ID Not Found"))</f>
        <v/>
      </c>
      <c r="F425" s="50" t="str">
        <f>IF(B425="","",IFERROR(VLOOKUP(B425,'Coil Sheet at Plant'!$C:$H,6,FALSE),"ID Not Found"))</f>
        <v/>
      </c>
      <c r="G425" s="81">
        <v>572</v>
      </c>
      <c r="H425" s="89" t="str">
        <f>IF(OR(B425="",G425=""),"",IFERROR(VLOOKUP(B425,'Coil Sheet at Plant'!$C:$J,8,FALSE),0)*G425/SUMIF(B:B,B425,G:G))</f>
        <v/>
      </c>
      <c r="I425" s="56" t="str">
        <f>IF(B425="","",IFERROR(VLOOKUP(B425,'Coil Sheet at Plant'!$C:$L,9,FALSE),""))</f>
        <v/>
      </c>
      <c r="J425" s="85" t="str">
        <f>IF(B425="","",IFERROR(VLOOKUP(B425,'Coil Sheet at Plant'!$C:$M,10,FALSE),""))</f>
        <v/>
      </c>
      <c r="K425" s="69" t="str">
        <f>IF(B425="","",SUMIF(B:B,B425,G:G))</f>
        <v/>
      </c>
      <c r="L425" s="70" t="str">
        <f>IF(B425="","",IFERROR(VLOOKUP(B425,'Coil Sheet at Plant'!$C:$I,7,FALSE),""))</f>
        <v/>
      </c>
      <c r="M425" s="71" t="str">
        <f>IF(OR(K425="",L425=""),"",IF(L425=0,"⚠ NO PARENT WIDTH",IF(K425&gt;L425,"⚠ BABY &gt; PARENT","✔ OK")))</f>
        <v/>
      </c>
      <c r="N425" s="71" t="str">
        <f>IF(D425="","",IF(COUNTIF(D$3:D425,D425)&gt;1,"⚠ DUPLICATE",""))</f>
        <v/>
      </c>
      <c r="O425" s="72" t="str">
        <f>IF(B425="","",SUMIF(B:B,B425,G:G)&amp;" / "&amp;IFERROR(VLOOKUP(B425,'Coil Sheet at Plant'!$C:$I,7,FALSE),"?")&amp;" mm")</f>
        <v/>
      </c>
    </row>
    <row r="426" spans="1:15">
      <c r="A426" s="36"/>
      <c r="B426" s="32"/>
      <c r="C426" s="39"/>
      <c r="D426" s="44" t="str">
        <f>IF(OR(B426="",C426=""),"",CONCATENATE(B426,"-",C426))</f>
        <v/>
      </c>
      <c r="E426" s="49" t="str">
        <f>IF(B426="","",IFERROR(VLOOKUP(B426,'Coil Sheet at Plant'!$C:$G,5,FALSE),"ID Not Found"))</f>
        <v/>
      </c>
      <c r="F426" s="50" t="str">
        <f>IF(B426="","",IFERROR(VLOOKUP(B426,'Coil Sheet at Plant'!$C:$H,6,FALSE),"ID Not Found"))</f>
        <v/>
      </c>
      <c r="G426" s="81">
        <v>573</v>
      </c>
      <c r="H426" s="89" t="str">
        <f>IF(OR(B426="",G426=""),"",IFERROR(VLOOKUP(B426,'Coil Sheet at Plant'!$C:$J,8,FALSE),0)*G426/SUMIF(B:B,B426,G:G))</f>
        <v/>
      </c>
      <c r="I426" s="56" t="str">
        <f>IF(B426="","",IFERROR(VLOOKUP(B426,'Coil Sheet at Plant'!$C:$L,9,FALSE),""))</f>
        <v/>
      </c>
      <c r="J426" s="85" t="str">
        <f>IF(B426="","",IFERROR(VLOOKUP(B426,'Coil Sheet at Plant'!$C:$M,10,FALSE),""))</f>
        <v/>
      </c>
      <c r="K426" s="69" t="str">
        <f>IF(B426="","",SUMIF(B:B,B426,G:G))</f>
        <v/>
      </c>
      <c r="L426" s="70" t="str">
        <f>IF(B426="","",IFERROR(VLOOKUP(B426,'Coil Sheet at Plant'!$C:$I,7,FALSE),""))</f>
        <v/>
      </c>
      <c r="M426" s="71" t="str">
        <f>IF(OR(K426="",L426=""),"",IF(L426=0,"⚠ NO PARENT WIDTH",IF(K426&gt;L426,"⚠ BABY &gt; PARENT","✔ OK")))</f>
        <v/>
      </c>
      <c r="N426" s="71" t="str">
        <f>IF(D426="","",IF(COUNTIF(D$3:D426,D426)&gt;1,"⚠ DUPLICATE",""))</f>
        <v/>
      </c>
      <c r="O426" s="72" t="str">
        <f>IF(B426="","",SUMIF(B:B,B426,G:G)&amp;" / "&amp;IFERROR(VLOOKUP(B426,'Coil Sheet at Plant'!$C:$I,7,FALSE),"?")&amp;" mm")</f>
        <v/>
      </c>
    </row>
    <row r="427" spans="1:15">
      <c r="A427" s="36"/>
      <c r="B427" s="32"/>
      <c r="C427" s="39"/>
      <c r="D427" s="44" t="str">
        <f>IF(OR(B427="",C427=""),"",CONCATENATE(B427,"-",C427))</f>
        <v/>
      </c>
      <c r="E427" s="49" t="str">
        <f>IF(B427="","",IFERROR(VLOOKUP(B427,'Coil Sheet at Plant'!$C:$G,5,FALSE),"ID Not Found"))</f>
        <v/>
      </c>
      <c r="F427" s="50" t="str">
        <f>IF(B427="","",IFERROR(VLOOKUP(B427,'Coil Sheet at Plant'!$C:$H,6,FALSE),"ID Not Found"))</f>
        <v/>
      </c>
      <c r="G427" s="81">
        <v>574</v>
      </c>
      <c r="H427" s="89" t="str">
        <f>IF(OR(B427="",G427=""),"",IFERROR(VLOOKUP(B427,'Coil Sheet at Plant'!$C:$J,8,FALSE),0)*G427/SUMIF(B:B,B427,G:G))</f>
        <v/>
      </c>
      <c r="I427" s="56" t="str">
        <f>IF(B427="","",IFERROR(VLOOKUP(B427,'Coil Sheet at Plant'!$C:$L,9,FALSE),""))</f>
        <v/>
      </c>
      <c r="J427" s="85" t="str">
        <f>IF(B427="","",IFERROR(VLOOKUP(B427,'Coil Sheet at Plant'!$C:$M,10,FALSE),""))</f>
        <v/>
      </c>
      <c r="K427" s="69" t="str">
        <f>IF(B427="","",SUMIF(B:B,B427,G:G))</f>
        <v/>
      </c>
      <c r="L427" s="70" t="str">
        <f>IF(B427="","",IFERROR(VLOOKUP(B427,'Coil Sheet at Plant'!$C:$I,7,FALSE),""))</f>
        <v/>
      </c>
      <c r="M427" s="71" t="str">
        <f>IF(OR(K427="",L427=""),"",IF(L427=0,"⚠ NO PARENT WIDTH",IF(K427&gt;L427,"⚠ BABY &gt; PARENT","✔ OK")))</f>
        <v/>
      </c>
      <c r="N427" s="71" t="str">
        <f>IF(D427="","",IF(COUNTIF(D$3:D427,D427)&gt;1,"⚠ DUPLICATE",""))</f>
        <v/>
      </c>
      <c r="O427" s="72" t="str">
        <f>IF(B427="","",SUMIF(B:B,B427,G:G)&amp;" / "&amp;IFERROR(VLOOKUP(B427,'Coil Sheet at Plant'!$C:$I,7,FALSE),"?")&amp;" mm")</f>
        <v/>
      </c>
    </row>
    <row r="428" spans="1:15">
      <c r="A428" s="36"/>
      <c r="B428" s="32"/>
      <c r="C428" s="39"/>
      <c r="D428" s="44" t="str">
        <f>IF(OR(B428="",C428=""),"",CONCATENATE(B428,"-",C428))</f>
        <v/>
      </c>
      <c r="E428" s="49" t="str">
        <f>IF(B428="","",IFERROR(VLOOKUP(B428,'Coil Sheet at Plant'!$C:$G,5,FALSE),"ID Not Found"))</f>
        <v/>
      </c>
      <c r="F428" s="50" t="str">
        <f>IF(B428="","",IFERROR(VLOOKUP(B428,'Coil Sheet at Plant'!$C:$H,6,FALSE),"ID Not Found"))</f>
        <v/>
      </c>
      <c r="G428" s="81">
        <v>575</v>
      </c>
      <c r="H428" s="89" t="str">
        <f>IF(OR(B428="",G428=""),"",IFERROR(VLOOKUP(B428,'Coil Sheet at Plant'!$C:$J,8,FALSE),0)*G428/SUMIF(B:B,B428,G:G))</f>
        <v/>
      </c>
      <c r="I428" s="56" t="str">
        <f>IF(B428="","",IFERROR(VLOOKUP(B428,'Coil Sheet at Plant'!$C:$L,9,FALSE),""))</f>
        <v/>
      </c>
      <c r="J428" s="85" t="str">
        <f>IF(B428="","",IFERROR(VLOOKUP(B428,'Coil Sheet at Plant'!$C:$M,10,FALSE),""))</f>
        <v/>
      </c>
      <c r="K428" s="69" t="str">
        <f>IF(B428="","",SUMIF(B:B,B428,G:G))</f>
        <v/>
      </c>
      <c r="L428" s="70" t="str">
        <f>IF(B428="","",IFERROR(VLOOKUP(B428,'Coil Sheet at Plant'!$C:$I,7,FALSE),""))</f>
        <v/>
      </c>
      <c r="M428" s="71" t="str">
        <f>IF(OR(K428="",L428=""),"",IF(L428=0,"⚠ NO PARENT WIDTH",IF(K428&gt;L428,"⚠ BABY &gt; PARENT","✔ OK")))</f>
        <v/>
      </c>
      <c r="N428" s="71" t="str">
        <f>IF(D428="","",IF(COUNTIF(D$3:D428,D428)&gt;1,"⚠ DUPLICATE",""))</f>
        <v/>
      </c>
      <c r="O428" s="72" t="str">
        <f>IF(B428="","",SUMIF(B:B,B428,G:G)&amp;" / "&amp;IFERROR(VLOOKUP(B428,'Coil Sheet at Plant'!$C:$I,7,FALSE),"?")&amp;" mm")</f>
        <v/>
      </c>
    </row>
    <row r="429" spans="1:15">
      <c r="A429" s="36"/>
      <c r="B429" s="32"/>
      <c r="C429" s="39"/>
      <c r="D429" s="44" t="str">
        <f>IF(OR(B429="",C429=""),"",CONCATENATE(B429,"-",C429))</f>
        <v/>
      </c>
      <c r="E429" s="49" t="str">
        <f>IF(B429="","",IFERROR(VLOOKUP(B429,'Coil Sheet at Plant'!$C:$G,5,FALSE),"ID Not Found"))</f>
        <v/>
      </c>
      <c r="F429" s="50" t="str">
        <f>IF(B429="","",IFERROR(VLOOKUP(B429,'Coil Sheet at Plant'!$C:$H,6,FALSE),"ID Not Found"))</f>
        <v/>
      </c>
      <c r="G429" s="81">
        <v>576</v>
      </c>
      <c r="H429" s="89" t="str">
        <f>IF(OR(B429="",G429=""),"",IFERROR(VLOOKUP(B429,'Coil Sheet at Plant'!$C:$J,8,FALSE),0)*G429/SUMIF(B:B,B429,G:G))</f>
        <v/>
      </c>
      <c r="I429" s="56" t="str">
        <f>IF(B429="","",IFERROR(VLOOKUP(B429,'Coil Sheet at Plant'!$C:$L,9,FALSE),""))</f>
        <v/>
      </c>
      <c r="J429" s="85" t="str">
        <f>IF(B429="","",IFERROR(VLOOKUP(B429,'Coil Sheet at Plant'!$C:$M,10,FALSE),""))</f>
        <v/>
      </c>
      <c r="K429" s="69" t="str">
        <f>IF(B429="","",SUMIF(B:B,B429,G:G))</f>
        <v/>
      </c>
      <c r="L429" s="70" t="str">
        <f>IF(B429="","",IFERROR(VLOOKUP(B429,'Coil Sheet at Plant'!$C:$I,7,FALSE),""))</f>
        <v/>
      </c>
      <c r="M429" s="71" t="str">
        <f>IF(OR(K429="",L429=""),"",IF(L429=0,"⚠ NO PARENT WIDTH",IF(K429&gt;L429,"⚠ BABY &gt; PARENT","✔ OK")))</f>
        <v/>
      </c>
      <c r="N429" s="71" t="str">
        <f>IF(D429="","",IF(COUNTIF(D$3:D429,D429)&gt;1,"⚠ DUPLICATE",""))</f>
        <v/>
      </c>
      <c r="O429" s="72" t="str">
        <f>IF(B429="","",SUMIF(B:B,B429,G:G)&amp;" / "&amp;IFERROR(VLOOKUP(B429,'Coil Sheet at Plant'!$C:$I,7,FALSE),"?")&amp;" mm")</f>
        <v/>
      </c>
    </row>
    <row r="430" spans="1:15">
      <c r="A430" s="36"/>
      <c r="B430" s="32"/>
      <c r="C430" s="39"/>
      <c r="D430" s="44" t="str">
        <f>IF(OR(B430="",C430=""),"",CONCATENATE(B430,"-",C430))</f>
        <v/>
      </c>
      <c r="E430" s="49" t="str">
        <f>IF(B430="","",IFERROR(VLOOKUP(B430,'Coil Sheet at Plant'!$C:$G,5,FALSE),"ID Not Found"))</f>
        <v/>
      </c>
      <c r="F430" s="50" t="str">
        <f>IF(B430="","",IFERROR(VLOOKUP(B430,'Coil Sheet at Plant'!$C:$H,6,FALSE),"ID Not Found"))</f>
        <v/>
      </c>
      <c r="G430" s="81">
        <v>577</v>
      </c>
      <c r="H430" s="89" t="str">
        <f>IF(OR(B430="",G430=""),"",IFERROR(VLOOKUP(B430,'Coil Sheet at Plant'!$C:$J,8,FALSE),0)*G430/SUMIF(B:B,B430,G:G))</f>
        <v/>
      </c>
      <c r="I430" s="56" t="str">
        <f>IF(B430="","",IFERROR(VLOOKUP(B430,'Coil Sheet at Plant'!$C:$L,9,FALSE),""))</f>
        <v/>
      </c>
      <c r="J430" s="85" t="str">
        <f>IF(B430="","",IFERROR(VLOOKUP(B430,'Coil Sheet at Plant'!$C:$M,10,FALSE),""))</f>
        <v/>
      </c>
      <c r="K430" s="69" t="str">
        <f>IF(B430="","",SUMIF(B:B,B430,G:G))</f>
        <v/>
      </c>
      <c r="L430" s="70" t="str">
        <f>IF(B430="","",IFERROR(VLOOKUP(B430,'Coil Sheet at Plant'!$C:$I,7,FALSE),""))</f>
        <v/>
      </c>
      <c r="M430" s="71" t="str">
        <f>IF(OR(K430="",L430=""),"",IF(L430=0,"⚠ NO PARENT WIDTH",IF(K430&gt;L430,"⚠ BABY &gt; PARENT","✔ OK")))</f>
        <v/>
      </c>
      <c r="N430" s="71" t="str">
        <f>IF(D430="","",IF(COUNTIF(D$3:D430,D430)&gt;1,"⚠ DUPLICATE",""))</f>
        <v/>
      </c>
      <c r="O430" s="72" t="str">
        <f>IF(B430="","",SUMIF(B:B,B430,G:G)&amp;" / "&amp;IFERROR(VLOOKUP(B430,'Coil Sheet at Plant'!$C:$I,7,FALSE),"?")&amp;" mm")</f>
        <v/>
      </c>
    </row>
    <row r="431" spans="1:15">
      <c r="A431" s="36"/>
      <c r="B431" s="32"/>
      <c r="C431" s="39"/>
      <c r="D431" s="44" t="str">
        <f>IF(OR(B431="",C431=""),"",CONCATENATE(B431,"-",C431))</f>
        <v/>
      </c>
      <c r="E431" s="49" t="str">
        <f>IF(B431="","",IFERROR(VLOOKUP(B431,'Coil Sheet at Plant'!$C:$G,5,FALSE),"ID Not Found"))</f>
        <v/>
      </c>
      <c r="F431" s="50" t="str">
        <f>IF(B431="","",IFERROR(VLOOKUP(B431,'Coil Sheet at Plant'!$C:$H,6,FALSE),"ID Not Found"))</f>
        <v/>
      </c>
      <c r="G431" s="81">
        <v>578</v>
      </c>
      <c r="H431" s="89" t="str">
        <f>IF(OR(B431="",G431=""),"",IFERROR(VLOOKUP(B431,'Coil Sheet at Plant'!$C:$J,8,FALSE),0)*G431/SUMIF(B:B,B431,G:G))</f>
        <v/>
      </c>
      <c r="I431" s="56" t="str">
        <f>IF(B431="","",IFERROR(VLOOKUP(B431,'Coil Sheet at Plant'!$C:$L,9,FALSE),""))</f>
        <v/>
      </c>
      <c r="J431" s="85" t="str">
        <f>IF(B431="","",IFERROR(VLOOKUP(B431,'Coil Sheet at Plant'!$C:$M,10,FALSE),""))</f>
        <v/>
      </c>
      <c r="K431" s="69" t="str">
        <f>IF(B431="","",SUMIF(B:B,B431,G:G))</f>
        <v/>
      </c>
      <c r="L431" s="70" t="str">
        <f>IF(B431="","",IFERROR(VLOOKUP(B431,'Coil Sheet at Plant'!$C:$I,7,FALSE),""))</f>
        <v/>
      </c>
      <c r="M431" s="71" t="str">
        <f>IF(OR(K431="",L431=""),"",IF(L431=0,"⚠ NO PARENT WIDTH",IF(K431&gt;L431,"⚠ BABY &gt; PARENT","✔ OK")))</f>
        <v/>
      </c>
      <c r="N431" s="71" t="str">
        <f>IF(D431="","",IF(COUNTIF(D$3:D431,D431)&gt;1,"⚠ DUPLICATE",""))</f>
        <v/>
      </c>
      <c r="O431" s="72" t="str">
        <f>IF(B431="","",SUMIF(B:B,B431,G:G)&amp;" / "&amp;IFERROR(VLOOKUP(B431,'Coil Sheet at Plant'!$C:$I,7,FALSE),"?")&amp;" mm")</f>
        <v/>
      </c>
    </row>
    <row r="432" spans="1:15">
      <c r="A432" s="36"/>
      <c r="B432" s="32"/>
      <c r="C432" s="39"/>
      <c r="D432" s="44" t="str">
        <f>IF(OR(B432="",C432=""),"",CONCATENATE(B432,"-",C432))</f>
        <v/>
      </c>
      <c r="E432" s="49" t="str">
        <f>IF(B432="","",IFERROR(VLOOKUP(B432,'Coil Sheet at Plant'!$C:$G,5,FALSE),"ID Not Found"))</f>
        <v/>
      </c>
      <c r="F432" s="50" t="str">
        <f>IF(B432="","",IFERROR(VLOOKUP(B432,'Coil Sheet at Plant'!$C:$H,6,FALSE),"ID Not Found"))</f>
        <v/>
      </c>
      <c r="G432" s="81">
        <v>579</v>
      </c>
      <c r="H432" s="89" t="str">
        <f>IF(OR(B432="",G432=""),"",IFERROR(VLOOKUP(B432,'Coil Sheet at Plant'!$C:$J,8,FALSE),0)*G432/SUMIF(B:B,B432,G:G))</f>
        <v/>
      </c>
      <c r="I432" s="56" t="str">
        <f>IF(B432="","",IFERROR(VLOOKUP(B432,'Coil Sheet at Plant'!$C:$L,9,FALSE),""))</f>
        <v/>
      </c>
      <c r="J432" s="85" t="str">
        <f>IF(B432="","",IFERROR(VLOOKUP(B432,'Coil Sheet at Plant'!$C:$M,10,FALSE),""))</f>
        <v/>
      </c>
      <c r="K432" s="69" t="str">
        <f>IF(B432="","",SUMIF(B:B,B432,G:G))</f>
        <v/>
      </c>
      <c r="L432" s="70" t="str">
        <f>IF(B432="","",IFERROR(VLOOKUP(B432,'Coil Sheet at Plant'!$C:$I,7,FALSE),""))</f>
        <v/>
      </c>
      <c r="M432" s="71" t="str">
        <f>IF(OR(K432="",L432=""),"",IF(L432=0,"⚠ NO PARENT WIDTH",IF(K432&gt;L432,"⚠ BABY &gt; PARENT","✔ OK")))</f>
        <v/>
      </c>
      <c r="N432" s="71" t="str">
        <f>IF(D432="","",IF(COUNTIF(D$3:D432,D432)&gt;1,"⚠ DUPLICATE",""))</f>
        <v/>
      </c>
      <c r="O432" s="72" t="str">
        <f>IF(B432="","",SUMIF(B:B,B432,G:G)&amp;" / "&amp;IFERROR(VLOOKUP(B432,'Coil Sheet at Plant'!$C:$I,7,FALSE),"?")&amp;" mm")</f>
        <v/>
      </c>
    </row>
    <row r="433" spans="1:15">
      <c r="A433" s="36"/>
      <c r="B433" s="32"/>
      <c r="C433" s="39"/>
      <c r="D433" s="44" t="str">
        <f>IF(OR(B433="",C433=""),"",CONCATENATE(B433,"-",C433))</f>
        <v/>
      </c>
      <c r="E433" s="49" t="str">
        <f>IF(B433="","",IFERROR(VLOOKUP(B433,'Coil Sheet at Plant'!$C:$G,5,FALSE),"ID Not Found"))</f>
        <v/>
      </c>
      <c r="F433" s="50" t="str">
        <f>IF(B433="","",IFERROR(VLOOKUP(B433,'Coil Sheet at Plant'!$C:$H,6,FALSE),"ID Not Found"))</f>
        <v/>
      </c>
      <c r="G433" s="81">
        <v>580</v>
      </c>
      <c r="H433" s="89" t="str">
        <f>IF(OR(B433="",G433=""),"",IFERROR(VLOOKUP(B433,'Coil Sheet at Plant'!$C:$J,8,FALSE),0)*G433/SUMIF(B:B,B433,G:G))</f>
        <v/>
      </c>
      <c r="I433" s="56" t="str">
        <f>IF(B433="","",IFERROR(VLOOKUP(B433,'Coil Sheet at Plant'!$C:$L,9,FALSE),""))</f>
        <v/>
      </c>
      <c r="J433" s="85" t="str">
        <f>IF(B433="","",IFERROR(VLOOKUP(B433,'Coil Sheet at Plant'!$C:$M,10,FALSE),""))</f>
        <v/>
      </c>
      <c r="K433" s="69" t="str">
        <f>IF(B433="","",SUMIF(B:B,B433,G:G))</f>
        <v/>
      </c>
      <c r="L433" s="70" t="str">
        <f>IF(B433="","",IFERROR(VLOOKUP(B433,'Coil Sheet at Plant'!$C:$I,7,FALSE),""))</f>
        <v/>
      </c>
      <c r="M433" s="71" t="str">
        <f>IF(OR(K433="",L433=""),"",IF(L433=0,"⚠ NO PARENT WIDTH",IF(K433&gt;L433,"⚠ BABY &gt; PARENT","✔ OK")))</f>
        <v/>
      </c>
      <c r="N433" s="71" t="str">
        <f>IF(D433="","",IF(COUNTIF(D$3:D433,D433)&gt;1,"⚠ DUPLICATE",""))</f>
        <v/>
      </c>
      <c r="O433" s="72" t="str">
        <f>IF(B433="","",SUMIF(B:B,B433,G:G)&amp;" / "&amp;IFERROR(VLOOKUP(B433,'Coil Sheet at Plant'!$C:$I,7,FALSE),"?")&amp;" mm")</f>
        <v/>
      </c>
    </row>
    <row r="434" spans="1:15">
      <c r="A434" s="36"/>
      <c r="B434" s="32"/>
      <c r="C434" s="39"/>
      <c r="D434" s="44" t="str">
        <f>IF(OR(B434="",C434=""),"",CONCATENATE(B434,"-",C434))</f>
        <v/>
      </c>
      <c r="E434" s="49" t="str">
        <f>IF(B434="","",IFERROR(VLOOKUP(B434,'Coil Sheet at Plant'!$C:$G,5,FALSE),"ID Not Found"))</f>
        <v/>
      </c>
      <c r="F434" s="50" t="str">
        <f>IF(B434="","",IFERROR(VLOOKUP(B434,'Coil Sheet at Plant'!$C:$H,6,FALSE),"ID Not Found"))</f>
        <v/>
      </c>
      <c r="G434" s="81">
        <v>581</v>
      </c>
      <c r="H434" s="89" t="str">
        <f>IF(OR(B434="",G434=""),"",IFERROR(VLOOKUP(B434,'Coil Sheet at Plant'!$C:$J,8,FALSE),0)*G434/SUMIF(B:B,B434,G:G))</f>
        <v/>
      </c>
      <c r="I434" s="56" t="str">
        <f>IF(B434="","",IFERROR(VLOOKUP(B434,'Coil Sheet at Plant'!$C:$L,9,FALSE),""))</f>
        <v/>
      </c>
      <c r="J434" s="85" t="str">
        <f>IF(B434="","",IFERROR(VLOOKUP(B434,'Coil Sheet at Plant'!$C:$M,10,FALSE),""))</f>
        <v/>
      </c>
      <c r="K434" s="69" t="str">
        <f>IF(B434="","",SUMIF(B:B,B434,G:G))</f>
        <v/>
      </c>
      <c r="L434" s="70" t="str">
        <f>IF(B434="","",IFERROR(VLOOKUP(B434,'Coil Sheet at Plant'!$C:$I,7,FALSE),""))</f>
        <v/>
      </c>
      <c r="M434" s="71" t="str">
        <f>IF(OR(K434="",L434=""),"",IF(L434=0,"⚠ NO PARENT WIDTH",IF(K434&gt;L434,"⚠ BABY &gt; PARENT","✔ OK")))</f>
        <v/>
      </c>
      <c r="N434" s="71" t="str">
        <f>IF(D434="","",IF(COUNTIF(D$3:D434,D434)&gt;1,"⚠ DUPLICATE",""))</f>
        <v/>
      </c>
      <c r="O434" s="72" t="str">
        <f>IF(B434="","",SUMIF(B:B,B434,G:G)&amp;" / "&amp;IFERROR(VLOOKUP(B434,'Coil Sheet at Plant'!$C:$I,7,FALSE),"?")&amp;" mm")</f>
        <v/>
      </c>
    </row>
    <row r="435" spans="1:15">
      <c r="A435" s="36"/>
      <c r="B435" s="32"/>
      <c r="C435" s="39"/>
      <c r="D435" s="44" t="str">
        <f>IF(OR(B435="",C435=""),"",CONCATENATE(B435,"-",C435))</f>
        <v/>
      </c>
      <c r="E435" s="49" t="str">
        <f>IF(B435="","",IFERROR(VLOOKUP(B435,'Coil Sheet at Plant'!$C:$G,5,FALSE),"ID Not Found"))</f>
        <v/>
      </c>
      <c r="F435" s="50" t="str">
        <f>IF(B435="","",IFERROR(VLOOKUP(B435,'Coil Sheet at Plant'!$C:$H,6,FALSE),"ID Not Found"))</f>
        <v/>
      </c>
      <c r="G435" s="81">
        <v>582</v>
      </c>
      <c r="H435" s="89" t="str">
        <f>IF(OR(B435="",G435=""),"",IFERROR(VLOOKUP(B435,'Coil Sheet at Plant'!$C:$J,8,FALSE),0)*G435/SUMIF(B:B,B435,G:G))</f>
        <v/>
      </c>
      <c r="I435" s="56" t="str">
        <f>IF(B435="","",IFERROR(VLOOKUP(B435,'Coil Sheet at Plant'!$C:$L,9,FALSE),""))</f>
        <v/>
      </c>
      <c r="J435" s="85" t="str">
        <f>IF(B435="","",IFERROR(VLOOKUP(B435,'Coil Sheet at Plant'!$C:$M,10,FALSE),""))</f>
        <v/>
      </c>
      <c r="K435" s="69" t="str">
        <f>IF(B435="","",SUMIF(B:B,B435,G:G))</f>
        <v/>
      </c>
      <c r="L435" s="70" t="str">
        <f>IF(B435="","",IFERROR(VLOOKUP(B435,'Coil Sheet at Plant'!$C:$I,7,FALSE),""))</f>
        <v/>
      </c>
      <c r="M435" s="71" t="str">
        <f>IF(OR(K435="",L435=""),"",IF(L435=0,"⚠ NO PARENT WIDTH",IF(K435&gt;L435,"⚠ BABY &gt; PARENT","✔ OK")))</f>
        <v/>
      </c>
      <c r="N435" s="71" t="str">
        <f>IF(D435="","",IF(COUNTIF(D$3:D435,D435)&gt;1,"⚠ DUPLICATE",""))</f>
        <v/>
      </c>
      <c r="O435" s="72" t="str">
        <f>IF(B435="","",SUMIF(B:B,B435,G:G)&amp;" / "&amp;IFERROR(VLOOKUP(B435,'Coil Sheet at Plant'!$C:$I,7,FALSE),"?")&amp;" mm")</f>
        <v/>
      </c>
    </row>
    <row r="436" spans="1:15">
      <c r="A436" s="36"/>
      <c r="B436" s="32"/>
      <c r="C436" s="39"/>
      <c r="D436" s="44" t="str">
        <f>IF(OR(B436="",C436=""),"",CONCATENATE(B436,"-",C436))</f>
        <v/>
      </c>
      <c r="E436" s="49" t="str">
        <f>IF(B436="","",IFERROR(VLOOKUP(B436,'Coil Sheet at Plant'!$C:$G,5,FALSE),"ID Not Found"))</f>
        <v/>
      </c>
      <c r="F436" s="50" t="str">
        <f>IF(B436="","",IFERROR(VLOOKUP(B436,'Coil Sheet at Plant'!$C:$H,6,FALSE),"ID Not Found"))</f>
        <v/>
      </c>
      <c r="G436" s="81">
        <v>583</v>
      </c>
      <c r="H436" s="89" t="str">
        <f>IF(OR(B436="",G436=""),"",IFERROR(VLOOKUP(B436,'Coil Sheet at Plant'!$C:$J,8,FALSE),0)*G436/SUMIF(B:B,B436,G:G))</f>
        <v/>
      </c>
      <c r="I436" s="56" t="str">
        <f>IF(B436="","",IFERROR(VLOOKUP(B436,'Coil Sheet at Plant'!$C:$L,9,FALSE),""))</f>
        <v/>
      </c>
      <c r="J436" s="85" t="str">
        <f>IF(B436="","",IFERROR(VLOOKUP(B436,'Coil Sheet at Plant'!$C:$M,10,FALSE),""))</f>
        <v/>
      </c>
      <c r="K436" s="69" t="str">
        <f>IF(B436="","",SUMIF(B:B,B436,G:G))</f>
        <v/>
      </c>
      <c r="L436" s="70" t="str">
        <f>IF(B436="","",IFERROR(VLOOKUP(B436,'Coil Sheet at Plant'!$C:$I,7,FALSE),""))</f>
        <v/>
      </c>
      <c r="M436" s="71" t="str">
        <f>IF(OR(K436="",L436=""),"",IF(L436=0,"⚠ NO PARENT WIDTH",IF(K436&gt;L436,"⚠ BABY &gt; PARENT","✔ OK")))</f>
        <v/>
      </c>
      <c r="N436" s="71" t="str">
        <f>IF(D436="","",IF(COUNTIF(D$3:D436,D436)&gt;1,"⚠ DUPLICATE",""))</f>
        <v/>
      </c>
      <c r="O436" s="72" t="str">
        <f>IF(B436="","",SUMIF(B:B,B436,G:G)&amp;" / "&amp;IFERROR(VLOOKUP(B436,'Coil Sheet at Plant'!$C:$I,7,FALSE),"?")&amp;" mm")</f>
        <v/>
      </c>
    </row>
    <row r="437" spans="1:15">
      <c r="A437" s="36"/>
      <c r="B437" s="32"/>
      <c r="C437" s="39"/>
      <c r="D437" s="44" t="str">
        <f>IF(OR(B437="",C437=""),"",CONCATENATE(B437,"-",C437))</f>
        <v/>
      </c>
      <c r="E437" s="49" t="str">
        <f>IF(B437="","",IFERROR(VLOOKUP(B437,'Coil Sheet at Plant'!$C:$G,5,FALSE),"ID Not Found"))</f>
        <v/>
      </c>
      <c r="F437" s="50" t="str">
        <f>IF(B437="","",IFERROR(VLOOKUP(B437,'Coil Sheet at Plant'!$C:$H,6,FALSE),"ID Not Found"))</f>
        <v/>
      </c>
      <c r="G437" s="81">
        <v>584</v>
      </c>
      <c r="H437" s="89" t="str">
        <f>IF(OR(B437="",G437=""),"",IFERROR(VLOOKUP(B437,'Coil Sheet at Plant'!$C:$J,8,FALSE),0)*G437/SUMIF(B:B,B437,G:G))</f>
        <v/>
      </c>
      <c r="I437" s="56" t="str">
        <f>IF(B437="","",IFERROR(VLOOKUP(B437,'Coil Sheet at Plant'!$C:$L,9,FALSE),""))</f>
        <v/>
      </c>
      <c r="J437" s="85" t="str">
        <f>IF(B437="","",IFERROR(VLOOKUP(B437,'Coil Sheet at Plant'!$C:$M,10,FALSE),""))</f>
        <v/>
      </c>
      <c r="K437" s="69" t="str">
        <f>IF(B437="","",SUMIF(B:B,B437,G:G))</f>
        <v/>
      </c>
      <c r="L437" s="70" t="str">
        <f>IF(B437="","",IFERROR(VLOOKUP(B437,'Coil Sheet at Plant'!$C:$I,7,FALSE),""))</f>
        <v/>
      </c>
      <c r="M437" s="71" t="str">
        <f>IF(OR(K437="",L437=""),"",IF(L437=0,"⚠ NO PARENT WIDTH",IF(K437&gt;L437,"⚠ BABY &gt; PARENT","✔ OK")))</f>
        <v/>
      </c>
      <c r="N437" s="71" t="str">
        <f>IF(D437="","",IF(COUNTIF(D$3:D437,D437)&gt;1,"⚠ DUPLICATE",""))</f>
        <v/>
      </c>
      <c r="O437" s="72" t="str">
        <f>IF(B437="","",SUMIF(B:B,B437,G:G)&amp;" / "&amp;IFERROR(VLOOKUP(B437,'Coil Sheet at Plant'!$C:$I,7,FALSE),"?")&amp;" mm")</f>
        <v/>
      </c>
    </row>
    <row r="438" spans="1:15">
      <c r="A438" s="36"/>
      <c r="B438" s="32"/>
      <c r="C438" s="39"/>
      <c r="D438" s="44" t="str">
        <f>IF(OR(B438="",C438=""),"",CONCATENATE(B438,"-",C438))</f>
        <v/>
      </c>
      <c r="E438" s="49" t="str">
        <f>IF(B438="","",IFERROR(VLOOKUP(B438,'Coil Sheet at Plant'!$C:$G,5,FALSE),"ID Not Found"))</f>
        <v/>
      </c>
      <c r="F438" s="50" t="str">
        <f>IF(B438="","",IFERROR(VLOOKUP(B438,'Coil Sheet at Plant'!$C:$H,6,FALSE),"ID Not Found"))</f>
        <v/>
      </c>
      <c r="G438" s="81">
        <v>585</v>
      </c>
      <c r="H438" s="89" t="str">
        <f>IF(OR(B438="",G438=""),"",IFERROR(VLOOKUP(B438,'Coil Sheet at Plant'!$C:$J,8,FALSE),0)*G438/SUMIF(B:B,B438,G:G))</f>
        <v/>
      </c>
      <c r="I438" s="56" t="str">
        <f>IF(B438="","",IFERROR(VLOOKUP(B438,'Coil Sheet at Plant'!$C:$L,9,FALSE),""))</f>
        <v/>
      </c>
      <c r="J438" s="85" t="str">
        <f>IF(B438="","",IFERROR(VLOOKUP(B438,'Coil Sheet at Plant'!$C:$M,10,FALSE),""))</f>
        <v/>
      </c>
      <c r="K438" s="69" t="str">
        <f>IF(B438="","",SUMIF(B:B,B438,G:G))</f>
        <v/>
      </c>
      <c r="L438" s="70" t="str">
        <f>IF(B438="","",IFERROR(VLOOKUP(B438,'Coil Sheet at Plant'!$C:$I,7,FALSE),""))</f>
        <v/>
      </c>
      <c r="M438" s="71" t="str">
        <f>IF(OR(K438="",L438=""),"",IF(L438=0,"⚠ NO PARENT WIDTH",IF(K438&gt;L438,"⚠ BABY &gt; PARENT","✔ OK")))</f>
        <v/>
      </c>
      <c r="N438" s="71" t="str">
        <f>IF(D438="","",IF(COUNTIF(D$3:D438,D438)&gt;1,"⚠ DUPLICATE",""))</f>
        <v/>
      </c>
      <c r="O438" s="72" t="str">
        <f>IF(B438="","",SUMIF(B:B,B438,G:G)&amp;" / "&amp;IFERROR(VLOOKUP(B438,'Coil Sheet at Plant'!$C:$I,7,FALSE),"?")&amp;" mm")</f>
        <v/>
      </c>
    </row>
    <row r="439" spans="1:15">
      <c r="A439" s="36"/>
      <c r="B439" s="32"/>
      <c r="C439" s="39"/>
      <c r="D439" s="44" t="str">
        <f>IF(OR(B439="",C439=""),"",CONCATENATE(B439,"-",C439))</f>
        <v/>
      </c>
      <c r="E439" s="49" t="str">
        <f>IF(B439="","",IFERROR(VLOOKUP(B439,'Coil Sheet at Plant'!$C:$G,5,FALSE),"ID Not Found"))</f>
        <v/>
      </c>
      <c r="F439" s="50" t="str">
        <f>IF(B439="","",IFERROR(VLOOKUP(B439,'Coil Sheet at Plant'!$C:$H,6,FALSE),"ID Not Found"))</f>
        <v/>
      </c>
      <c r="G439" s="81">
        <v>586</v>
      </c>
      <c r="H439" s="89" t="str">
        <f>IF(OR(B439="",G439=""),"",IFERROR(VLOOKUP(B439,'Coil Sheet at Plant'!$C:$J,8,FALSE),0)*G439/SUMIF(B:B,B439,G:G))</f>
        <v/>
      </c>
      <c r="I439" s="56" t="str">
        <f>IF(B439="","",IFERROR(VLOOKUP(B439,'Coil Sheet at Plant'!$C:$L,9,FALSE),""))</f>
        <v/>
      </c>
      <c r="J439" s="85" t="str">
        <f>IF(B439="","",IFERROR(VLOOKUP(B439,'Coil Sheet at Plant'!$C:$M,10,FALSE),""))</f>
        <v/>
      </c>
      <c r="K439" s="69" t="str">
        <f>IF(B439="","",SUMIF(B:B,B439,G:G))</f>
        <v/>
      </c>
      <c r="L439" s="70" t="str">
        <f>IF(B439="","",IFERROR(VLOOKUP(B439,'Coil Sheet at Plant'!$C:$I,7,FALSE),""))</f>
        <v/>
      </c>
      <c r="M439" s="71" t="str">
        <f>IF(OR(K439="",L439=""),"",IF(L439=0,"⚠ NO PARENT WIDTH",IF(K439&gt;L439,"⚠ BABY &gt; PARENT","✔ OK")))</f>
        <v/>
      </c>
      <c r="N439" s="71" t="str">
        <f>IF(D439="","",IF(COUNTIF(D$3:D439,D439)&gt;1,"⚠ DUPLICATE",""))</f>
        <v/>
      </c>
      <c r="O439" s="72" t="str">
        <f>IF(B439="","",SUMIF(B:B,B439,G:G)&amp;" / "&amp;IFERROR(VLOOKUP(B439,'Coil Sheet at Plant'!$C:$I,7,FALSE),"?")&amp;" mm")</f>
        <v/>
      </c>
    </row>
    <row r="440" spans="1:15">
      <c r="A440" s="36"/>
      <c r="B440" s="32"/>
      <c r="C440" s="39"/>
      <c r="D440" s="44" t="str">
        <f>IF(OR(B440="",C440=""),"",CONCATENATE(B440,"-",C440))</f>
        <v/>
      </c>
      <c r="E440" s="49" t="str">
        <f>IF(B440="","",IFERROR(VLOOKUP(B440,'Coil Sheet at Plant'!$C:$G,5,FALSE),"ID Not Found"))</f>
        <v/>
      </c>
      <c r="F440" s="50" t="str">
        <f>IF(B440="","",IFERROR(VLOOKUP(B440,'Coil Sheet at Plant'!$C:$H,6,FALSE),"ID Not Found"))</f>
        <v/>
      </c>
      <c r="G440" s="81">
        <v>587</v>
      </c>
      <c r="H440" s="89" t="str">
        <f>IF(OR(B440="",G440=""),"",IFERROR(VLOOKUP(B440,'Coil Sheet at Plant'!$C:$J,8,FALSE),0)*G440/SUMIF(B:B,B440,G:G))</f>
        <v/>
      </c>
      <c r="I440" s="56" t="str">
        <f>IF(B440="","",IFERROR(VLOOKUP(B440,'Coil Sheet at Plant'!$C:$L,9,FALSE),""))</f>
        <v/>
      </c>
      <c r="J440" s="85" t="str">
        <f>IF(B440="","",IFERROR(VLOOKUP(B440,'Coil Sheet at Plant'!$C:$M,10,FALSE),""))</f>
        <v/>
      </c>
      <c r="K440" s="69" t="str">
        <f>IF(B440="","",SUMIF(B:B,B440,G:G))</f>
        <v/>
      </c>
      <c r="L440" s="70" t="str">
        <f>IF(B440="","",IFERROR(VLOOKUP(B440,'Coil Sheet at Plant'!$C:$I,7,FALSE),""))</f>
        <v/>
      </c>
      <c r="M440" s="71" t="str">
        <f>IF(OR(K440="",L440=""),"",IF(L440=0,"⚠ NO PARENT WIDTH",IF(K440&gt;L440,"⚠ BABY &gt; PARENT","✔ OK")))</f>
        <v/>
      </c>
      <c r="N440" s="71" t="str">
        <f>IF(D440="","",IF(COUNTIF(D$3:D440,D440)&gt;1,"⚠ DUPLICATE",""))</f>
        <v/>
      </c>
      <c r="O440" s="72" t="str">
        <f>IF(B440="","",SUMIF(B:B,B440,G:G)&amp;" / "&amp;IFERROR(VLOOKUP(B440,'Coil Sheet at Plant'!$C:$I,7,FALSE),"?")&amp;" mm")</f>
        <v/>
      </c>
    </row>
    <row r="441" spans="1:15">
      <c r="A441" s="36"/>
      <c r="B441" s="32"/>
      <c r="C441" s="39"/>
      <c r="D441" s="44" t="str">
        <f>IF(OR(B441="",C441=""),"",CONCATENATE(B441,"-",C441))</f>
        <v/>
      </c>
      <c r="E441" s="49" t="str">
        <f>IF(B441="","",IFERROR(VLOOKUP(B441,'Coil Sheet at Plant'!$C:$G,5,FALSE),"ID Not Found"))</f>
        <v/>
      </c>
      <c r="F441" s="50" t="str">
        <f>IF(B441="","",IFERROR(VLOOKUP(B441,'Coil Sheet at Plant'!$C:$H,6,FALSE),"ID Not Found"))</f>
        <v/>
      </c>
      <c r="G441" s="81">
        <v>588</v>
      </c>
      <c r="H441" s="89" t="str">
        <f>IF(OR(B441="",G441=""),"",IFERROR(VLOOKUP(B441,'Coil Sheet at Plant'!$C:$J,8,FALSE),0)*G441/SUMIF(B:B,B441,G:G))</f>
        <v/>
      </c>
      <c r="I441" s="56" t="str">
        <f>IF(B441="","",IFERROR(VLOOKUP(B441,'Coil Sheet at Plant'!$C:$L,9,FALSE),""))</f>
        <v/>
      </c>
      <c r="J441" s="85" t="str">
        <f>IF(B441="","",IFERROR(VLOOKUP(B441,'Coil Sheet at Plant'!$C:$M,10,FALSE),""))</f>
        <v/>
      </c>
      <c r="K441" s="69" t="str">
        <f>IF(B441="","",SUMIF(B:B,B441,G:G))</f>
        <v/>
      </c>
      <c r="L441" s="70" t="str">
        <f>IF(B441="","",IFERROR(VLOOKUP(B441,'Coil Sheet at Plant'!$C:$I,7,FALSE),""))</f>
        <v/>
      </c>
      <c r="M441" s="71" t="str">
        <f>IF(OR(K441="",L441=""),"",IF(L441=0,"⚠ NO PARENT WIDTH",IF(K441&gt;L441,"⚠ BABY &gt; PARENT","✔ OK")))</f>
        <v/>
      </c>
      <c r="N441" s="71" t="str">
        <f>IF(D441="","",IF(COUNTIF(D$3:D441,D441)&gt;1,"⚠ DUPLICATE",""))</f>
        <v/>
      </c>
      <c r="O441" s="72" t="str">
        <f>IF(B441="","",SUMIF(B:B,B441,G:G)&amp;" / "&amp;IFERROR(VLOOKUP(B441,'Coil Sheet at Plant'!$C:$I,7,FALSE),"?")&amp;" mm")</f>
        <v/>
      </c>
    </row>
    <row r="442" spans="1:15">
      <c r="A442" s="36"/>
      <c r="B442" s="32"/>
      <c r="C442" s="39"/>
      <c r="D442" s="44" t="str">
        <f>IF(OR(B442="",C442=""),"",CONCATENATE(B442,"-",C442))</f>
        <v/>
      </c>
      <c r="E442" s="49" t="str">
        <f>IF(B442="","",IFERROR(VLOOKUP(B442,'Coil Sheet at Plant'!$C:$G,5,FALSE),"ID Not Found"))</f>
        <v/>
      </c>
      <c r="F442" s="50" t="str">
        <f>IF(B442="","",IFERROR(VLOOKUP(B442,'Coil Sheet at Plant'!$C:$H,6,FALSE),"ID Not Found"))</f>
        <v/>
      </c>
      <c r="G442" s="81">
        <v>589</v>
      </c>
      <c r="H442" s="89" t="str">
        <f>IF(OR(B442="",G442=""),"",IFERROR(VLOOKUP(B442,'Coil Sheet at Plant'!$C:$J,8,FALSE),0)*G442/SUMIF(B:B,B442,G:G))</f>
        <v/>
      </c>
      <c r="I442" s="56" t="str">
        <f>IF(B442="","",IFERROR(VLOOKUP(B442,'Coil Sheet at Plant'!$C:$L,9,FALSE),""))</f>
        <v/>
      </c>
      <c r="J442" s="85" t="str">
        <f>IF(B442="","",IFERROR(VLOOKUP(B442,'Coil Sheet at Plant'!$C:$M,10,FALSE),""))</f>
        <v/>
      </c>
      <c r="K442" s="69" t="str">
        <f>IF(B442="","",SUMIF(B:B,B442,G:G))</f>
        <v/>
      </c>
      <c r="L442" s="70" t="str">
        <f>IF(B442="","",IFERROR(VLOOKUP(B442,'Coil Sheet at Plant'!$C:$I,7,FALSE),""))</f>
        <v/>
      </c>
      <c r="M442" s="71" t="str">
        <f>IF(OR(K442="",L442=""),"",IF(L442=0,"⚠ NO PARENT WIDTH",IF(K442&gt;L442,"⚠ BABY &gt; PARENT","✔ OK")))</f>
        <v/>
      </c>
      <c r="N442" s="71" t="str">
        <f>IF(D442="","",IF(COUNTIF(D$3:D442,D442)&gt;1,"⚠ DUPLICATE",""))</f>
        <v/>
      </c>
      <c r="O442" s="72" t="str">
        <f>IF(B442="","",SUMIF(B:B,B442,G:G)&amp;" / "&amp;IFERROR(VLOOKUP(B442,'Coil Sheet at Plant'!$C:$I,7,FALSE),"?")&amp;" mm")</f>
        <v/>
      </c>
    </row>
    <row r="443" spans="1:15">
      <c r="A443" s="36"/>
      <c r="B443" s="32"/>
      <c r="C443" s="39"/>
      <c r="D443" s="44" t="str">
        <f>IF(OR(B443="",C443=""),"",CONCATENATE(B443,"-",C443))</f>
        <v/>
      </c>
      <c r="E443" s="49" t="str">
        <f>IF(B443="","",IFERROR(VLOOKUP(B443,'Coil Sheet at Plant'!$C:$G,5,FALSE),"ID Not Found"))</f>
        <v/>
      </c>
      <c r="F443" s="50" t="str">
        <f>IF(B443="","",IFERROR(VLOOKUP(B443,'Coil Sheet at Plant'!$C:$H,6,FALSE),"ID Not Found"))</f>
        <v/>
      </c>
      <c r="G443" s="81">
        <v>590</v>
      </c>
      <c r="H443" s="89" t="str">
        <f>IF(OR(B443="",G443=""),"",IFERROR(VLOOKUP(B443,'Coil Sheet at Plant'!$C:$J,8,FALSE),0)*G443/SUMIF(B:B,B443,G:G))</f>
        <v/>
      </c>
      <c r="I443" s="56" t="str">
        <f>IF(B443="","",IFERROR(VLOOKUP(B443,'Coil Sheet at Plant'!$C:$L,9,FALSE),""))</f>
        <v/>
      </c>
      <c r="J443" s="85" t="str">
        <f>IF(B443="","",IFERROR(VLOOKUP(B443,'Coil Sheet at Plant'!$C:$M,10,FALSE),""))</f>
        <v/>
      </c>
      <c r="K443" s="69" t="str">
        <f>IF(B443="","",SUMIF(B:B,B443,G:G))</f>
        <v/>
      </c>
      <c r="L443" s="70" t="str">
        <f>IF(B443="","",IFERROR(VLOOKUP(B443,'Coil Sheet at Plant'!$C:$I,7,FALSE),""))</f>
        <v/>
      </c>
      <c r="M443" s="71" t="str">
        <f>IF(OR(K443="",L443=""),"",IF(L443=0,"⚠ NO PARENT WIDTH",IF(K443&gt;L443,"⚠ BABY &gt; PARENT","✔ OK")))</f>
        <v/>
      </c>
      <c r="N443" s="71" t="str">
        <f>IF(D443="","",IF(COUNTIF(D$3:D443,D443)&gt;1,"⚠ DUPLICATE",""))</f>
        <v/>
      </c>
      <c r="O443" s="72" t="str">
        <f>IF(B443="","",SUMIF(B:B,B443,G:G)&amp;" / "&amp;IFERROR(VLOOKUP(B443,'Coil Sheet at Plant'!$C:$I,7,FALSE),"?")&amp;" mm")</f>
        <v/>
      </c>
    </row>
    <row r="444" spans="1:15">
      <c r="A444" s="36"/>
      <c r="B444" s="32"/>
      <c r="C444" s="39"/>
      <c r="D444" s="44" t="str">
        <f>IF(OR(B444="",C444=""),"",CONCATENATE(B444,"-",C444))</f>
        <v/>
      </c>
      <c r="E444" s="49" t="str">
        <f>IF(B444="","",IFERROR(VLOOKUP(B444,'Coil Sheet at Plant'!$C:$G,5,FALSE),"ID Not Found"))</f>
        <v/>
      </c>
      <c r="F444" s="50" t="str">
        <f>IF(B444="","",IFERROR(VLOOKUP(B444,'Coil Sheet at Plant'!$C:$H,6,FALSE),"ID Not Found"))</f>
        <v/>
      </c>
      <c r="G444" s="81">
        <v>591</v>
      </c>
      <c r="H444" s="89" t="str">
        <f>IF(OR(B444="",G444=""),"",IFERROR(VLOOKUP(B444,'Coil Sheet at Plant'!$C:$J,8,FALSE),0)*G444/SUMIF(B:B,B444,G:G))</f>
        <v/>
      </c>
      <c r="I444" s="56" t="str">
        <f>IF(B444="","",IFERROR(VLOOKUP(B444,'Coil Sheet at Plant'!$C:$L,9,FALSE),""))</f>
        <v/>
      </c>
      <c r="J444" s="85" t="str">
        <f>IF(B444="","",IFERROR(VLOOKUP(B444,'Coil Sheet at Plant'!$C:$M,10,FALSE),""))</f>
        <v/>
      </c>
      <c r="K444" s="69" t="str">
        <f>IF(B444="","",SUMIF(B:B,B444,G:G))</f>
        <v/>
      </c>
      <c r="L444" s="70" t="str">
        <f>IF(B444="","",IFERROR(VLOOKUP(B444,'Coil Sheet at Plant'!$C:$I,7,FALSE),""))</f>
        <v/>
      </c>
      <c r="M444" s="71" t="str">
        <f>IF(OR(K444="",L444=""),"",IF(L444=0,"⚠ NO PARENT WIDTH",IF(K444&gt;L444,"⚠ BABY &gt; PARENT","✔ OK")))</f>
        <v/>
      </c>
      <c r="N444" s="71" t="str">
        <f>IF(D444="","",IF(COUNTIF(D$3:D444,D444)&gt;1,"⚠ DUPLICATE",""))</f>
        <v/>
      </c>
      <c r="O444" s="72" t="str">
        <f>IF(B444="","",SUMIF(B:B,B444,G:G)&amp;" / "&amp;IFERROR(VLOOKUP(B444,'Coil Sheet at Plant'!$C:$I,7,FALSE),"?")&amp;" mm")</f>
        <v/>
      </c>
    </row>
    <row r="445" spans="1:15">
      <c r="A445" s="36"/>
      <c r="B445" s="32"/>
      <c r="C445" s="39"/>
      <c r="D445" s="44" t="str">
        <f>IF(OR(B445="",C445=""),"",CONCATENATE(B445,"-",C445))</f>
        <v/>
      </c>
      <c r="E445" s="49" t="str">
        <f>IF(B445="","",IFERROR(VLOOKUP(B445,'Coil Sheet at Plant'!$C:$G,5,FALSE),"ID Not Found"))</f>
        <v/>
      </c>
      <c r="F445" s="50" t="str">
        <f>IF(B445="","",IFERROR(VLOOKUP(B445,'Coil Sheet at Plant'!$C:$H,6,FALSE),"ID Not Found"))</f>
        <v/>
      </c>
      <c r="G445" s="81">
        <v>592</v>
      </c>
      <c r="H445" s="89" t="str">
        <f>IF(OR(B445="",G445=""),"",IFERROR(VLOOKUP(B445,'Coil Sheet at Plant'!$C:$J,8,FALSE),0)*G445/SUMIF(B:B,B445,G:G))</f>
        <v/>
      </c>
      <c r="I445" s="56" t="str">
        <f>IF(B445="","",IFERROR(VLOOKUP(B445,'Coil Sheet at Plant'!$C:$L,9,FALSE),""))</f>
        <v/>
      </c>
      <c r="J445" s="85" t="str">
        <f>IF(B445="","",IFERROR(VLOOKUP(B445,'Coil Sheet at Plant'!$C:$M,10,FALSE),""))</f>
        <v/>
      </c>
      <c r="K445" s="69" t="str">
        <f>IF(B445="","",SUMIF(B:B,B445,G:G))</f>
        <v/>
      </c>
      <c r="L445" s="70" t="str">
        <f>IF(B445="","",IFERROR(VLOOKUP(B445,'Coil Sheet at Plant'!$C:$I,7,FALSE),""))</f>
        <v/>
      </c>
      <c r="M445" s="71" t="str">
        <f>IF(OR(K445="",L445=""),"",IF(L445=0,"⚠ NO PARENT WIDTH",IF(K445&gt;L445,"⚠ BABY &gt; PARENT","✔ OK")))</f>
        <v/>
      </c>
      <c r="N445" s="71" t="str">
        <f>IF(D445="","",IF(COUNTIF(D$3:D445,D445)&gt;1,"⚠ DUPLICATE",""))</f>
        <v/>
      </c>
      <c r="O445" s="72" t="str">
        <f>IF(B445="","",SUMIF(B:B,B445,G:G)&amp;" / "&amp;IFERROR(VLOOKUP(B445,'Coil Sheet at Plant'!$C:$I,7,FALSE),"?")&amp;" mm")</f>
        <v/>
      </c>
    </row>
    <row r="446" spans="1:15">
      <c r="A446" s="36"/>
      <c r="B446" s="32"/>
      <c r="C446" s="39"/>
      <c r="D446" s="44" t="str">
        <f>IF(OR(B446="",C446=""),"",CONCATENATE(B446,"-",C446))</f>
        <v/>
      </c>
      <c r="E446" s="49" t="str">
        <f>IF(B446="","",IFERROR(VLOOKUP(B446,'Coil Sheet at Plant'!$C:$G,5,FALSE),"ID Not Found"))</f>
        <v/>
      </c>
      <c r="F446" s="50" t="str">
        <f>IF(B446="","",IFERROR(VLOOKUP(B446,'Coil Sheet at Plant'!$C:$H,6,FALSE),"ID Not Found"))</f>
        <v/>
      </c>
      <c r="G446" s="81">
        <v>593</v>
      </c>
      <c r="H446" s="89" t="str">
        <f>IF(OR(B446="",G446=""),"",IFERROR(VLOOKUP(B446,'Coil Sheet at Plant'!$C:$J,8,FALSE),0)*G446/SUMIF(B:B,B446,G:G))</f>
        <v/>
      </c>
      <c r="I446" s="56" t="str">
        <f>IF(B446="","",IFERROR(VLOOKUP(B446,'Coil Sheet at Plant'!$C:$L,9,FALSE),""))</f>
        <v/>
      </c>
      <c r="J446" s="85" t="str">
        <f>IF(B446="","",IFERROR(VLOOKUP(B446,'Coil Sheet at Plant'!$C:$M,10,FALSE),""))</f>
        <v/>
      </c>
      <c r="K446" s="69" t="str">
        <f>IF(B446="","",SUMIF(B:B,B446,G:G))</f>
        <v/>
      </c>
      <c r="L446" s="70" t="str">
        <f>IF(B446="","",IFERROR(VLOOKUP(B446,'Coil Sheet at Plant'!$C:$I,7,FALSE),""))</f>
        <v/>
      </c>
      <c r="M446" s="71" t="str">
        <f>IF(OR(K446="",L446=""),"",IF(L446=0,"⚠ NO PARENT WIDTH",IF(K446&gt;L446,"⚠ BABY &gt; PARENT","✔ OK")))</f>
        <v/>
      </c>
      <c r="N446" s="71" t="str">
        <f>IF(D446="","",IF(COUNTIF(D$3:D446,D446)&gt;1,"⚠ DUPLICATE",""))</f>
        <v/>
      </c>
      <c r="O446" s="72" t="str">
        <f>IF(B446="","",SUMIF(B:B,B446,G:G)&amp;" / "&amp;IFERROR(VLOOKUP(B446,'Coil Sheet at Plant'!$C:$I,7,FALSE),"?")&amp;" mm")</f>
        <v/>
      </c>
    </row>
    <row r="447" spans="1:15">
      <c r="A447" s="36"/>
      <c r="B447" s="32"/>
      <c r="C447" s="39"/>
      <c r="D447" s="44" t="str">
        <f>IF(OR(B447="",C447=""),"",CONCATENATE(B447,"-",C447))</f>
        <v/>
      </c>
      <c r="E447" s="49" t="str">
        <f>IF(B447="","",IFERROR(VLOOKUP(B447,'Coil Sheet at Plant'!$C:$G,5,FALSE),"ID Not Found"))</f>
        <v/>
      </c>
      <c r="F447" s="50" t="str">
        <f>IF(B447="","",IFERROR(VLOOKUP(B447,'Coil Sheet at Plant'!$C:$H,6,FALSE),"ID Not Found"))</f>
        <v/>
      </c>
      <c r="G447" s="81">
        <v>594</v>
      </c>
      <c r="H447" s="89" t="str">
        <f>IF(OR(B447="",G447=""),"",IFERROR(VLOOKUP(B447,'Coil Sheet at Plant'!$C:$J,8,FALSE),0)*G447/SUMIF(B:B,B447,G:G))</f>
        <v/>
      </c>
      <c r="I447" s="56" t="str">
        <f>IF(B447="","",IFERROR(VLOOKUP(B447,'Coil Sheet at Plant'!$C:$L,9,FALSE),""))</f>
        <v/>
      </c>
      <c r="J447" s="85" t="str">
        <f>IF(B447="","",IFERROR(VLOOKUP(B447,'Coil Sheet at Plant'!$C:$M,10,FALSE),""))</f>
        <v/>
      </c>
      <c r="K447" s="69" t="str">
        <f>IF(B447="","",SUMIF(B:B,B447,G:G))</f>
        <v/>
      </c>
      <c r="L447" s="70" t="str">
        <f>IF(B447="","",IFERROR(VLOOKUP(B447,'Coil Sheet at Plant'!$C:$I,7,FALSE),""))</f>
        <v/>
      </c>
      <c r="M447" s="71" t="str">
        <f>IF(OR(K447="",L447=""),"",IF(L447=0,"⚠ NO PARENT WIDTH",IF(K447&gt;L447,"⚠ BABY &gt; PARENT","✔ OK")))</f>
        <v/>
      </c>
      <c r="N447" s="71" t="str">
        <f>IF(D447="","",IF(COUNTIF(D$3:D447,D447)&gt;1,"⚠ DUPLICATE",""))</f>
        <v/>
      </c>
      <c r="O447" s="72" t="str">
        <f>IF(B447="","",SUMIF(B:B,B447,G:G)&amp;" / "&amp;IFERROR(VLOOKUP(B447,'Coil Sheet at Plant'!$C:$I,7,FALSE),"?")&amp;" mm")</f>
        <v/>
      </c>
    </row>
    <row r="448" spans="1:15">
      <c r="A448" s="36"/>
      <c r="B448" s="32"/>
      <c r="C448" s="39"/>
      <c r="D448" s="44" t="str">
        <f>IF(OR(B448="",C448=""),"",CONCATENATE(B448,"-",C448))</f>
        <v/>
      </c>
      <c r="E448" s="49" t="str">
        <f>IF(B448="","",IFERROR(VLOOKUP(B448,'Coil Sheet at Plant'!$C:$G,5,FALSE),"ID Not Found"))</f>
        <v/>
      </c>
      <c r="F448" s="50" t="str">
        <f>IF(B448="","",IFERROR(VLOOKUP(B448,'Coil Sheet at Plant'!$C:$H,6,FALSE),"ID Not Found"))</f>
        <v/>
      </c>
      <c r="G448" s="81">
        <v>595</v>
      </c>
      <c r="H448" s="89" t="str">
        <f>IF(OR(B448="",G448=""),"",IFERROR(VLOOKUP(B448,'Coil Sheet at Plant'!$C:$J,8,FALSE),0)*G448/SUMIF(B:B,B448,G:G))</f>
        <v/>
      </c>
      <c r="I448" s="56" t="str">
        <f>IF(B448="","",IFERROR(VLOOKUP(B448,'Coil Sheet at Plant'!$C:$L,9,FALSE),""))</f>
        <v/>
      </c>
      <c r="J448" s="85" t="str">
        <f>IF(B448="","",IFERROR(VLOOKUP(B448,'Coil Sheet at Plant'!$C:$M,10,FALSE),""))</f>
        <v/>
      </c>
      <c r="K448" s="69" t="str">
        <f>IF(B448="","",SUMIF(B:B,B448,G:G))</f>
        <v/>
      </c>
      <c r="L448" s="70" t="str">
        <f>IF(B448="","",IFERROR(VLOOKUP(B448,'Coil Sheet at Plant'!$C:$I,7,FALSE),""))</f>
        <v/>
      </c>
      <c r="M448" s="71" t="str">
        <f>IF(OR(K448="",L448=""),"",IF(L448=0,"⚠ NO PARENT WIDTH",IF(K448&gt;L448,"⚠ BABY &gt; PARENT","✔ OK")))</f>
        <v/>
      </c>
      <c r="N448" s="71" t="str">
        <f>IF(D448="","",IF(COUNTIF(D$3:D448,D448)&gt;1,"⚠ DUPLICATE",""))</f>
        <v/>
      </c>
      <c r="O448" s="72" t="str">
        <f>IF(B448="","",SUMIF(B:B,B448,G:G)&amp;" / "&amp;IFERROR(VLOOKUP(B448,'Coil Sheet at Plant'!$C:$I,7,FALSE),"?")&amp;" mm")</f>
        <v/>
      </c>
    </row>
    <row r="449" spans="1:15">
      <c r="A449" s="36"/>
      <c r="B449" s="32"/>
      <c r="C449" s="39"/>
      <c r="D449" s="44" t="str">
        <f>IF(OR(B449="",C449=""),"",CONCATENATE(B449,"-",C449))</f>
        <v/>
      </c>
      <c r="E449" s="49" t="str">
        <f>IF(B449="","",IFERROR(VLOOKUP(B449,'Coil Sheet at Plant'!$C:$G,5,FALSE),"ID Not Found"))</f>
        <v/>
      </c>
      <c r="F449" s="50" t="str">
        <f>IF(B449="","",IFERROR(VLOOKUP(B449,'Coil Sheet at Plant'!$C:$H,6,FALSE),"ID Not Found"))</f>
        <v/>
      </c>
      <c r="G449" s="81">
        <v>596</v>
      </c>
      <c r="H449" s="89" t="str">
        <f>IF(OR(B449="",G449=""),"",IFERROR(VLOOKUP(B449,'Coil Sheet at Plant'!$C:$J,8,FALSE),0)*G449/SUMIF(B:B,B449,G:G))</f>
        <v/>
      </c>
      <c r="I449" s="56" t="str">
        <f>IF(B449="","",IFERROR(VLOOKUP(B449,'Coil Sheet at Plant'!$C:$L,9,FALSE),""))</f>
        <v/>
      </c>
      <c r="J449" s="85" t="str">
        <f>IF(B449="","",IFERROR(VLOOKUP(B449,'Coil Sheet at Plant'!$C:$M,10,FALSE),""))</f>
        <v/>
      </c>
      <c r="K449" s="69" t="str">
        <f>IF(B449="","",SUMIF(B:B,B449,G:G))</f>
        <v/>
      </c>
      <c r="L449" s="70" t="str">
        <f>IF(B449="","",IFERROR(VLOOKUP(B449,'Coil Sheet at Plant'!$C:$I,7,FALSE),""))</f>
        <v/>
      </c>
      <c r="M449" s="71" t="str">
        <f>IF(OR(K449="",L449=""),"",IF(L449=0,"⚠ NO PARENT WIDTH",IF(K449&gt;L449,"⚠ BABY &gt; PARENT","✔ OK")))</f>
        <v/>
      </c>
      <c r="N449" s="71" t="str">
        <f>IF(D449="","",IF(COUNTIF(D$3:D449,D449)&gt;1,"⚠ DUPLICATE",""))</f>
        <v/>
      </c>
      <c r="O449" s="72" t="str">
        <f>IF(B449="","",SUMIF(B:B,B449,G:G)&amp;" / "&amp;IFERROR(VLOOKUP(B449,'Coil Sheet at Plant'!$C:$I,7,FALSE),"?")&amp;" mm")</f>
        <v/>
      </c>
    </row>
    <row r="450" spans="1:15">
      <c r="A450" s="36"/>
      <c r="B450" s="32"/>
      <c r="C450" s="39"/>
      <c r="D450" s="44" t="str">
        <f>IF(OR(B450="",C450=""),"",CONCATENATE(B450,"-",C450))</f>
        <v/>
      </c>
      <c r="E450" s="49" t="str">
        <f>IF(B450="","",IFERROR(VLOOKUP(B450,'Coil Sheet at Plant'!$C:$G,5,FALSE),"ID Not Found"))</f>
        <v/>
      </c>
      <c r="F450" s="50" t="str">
        <f>IF(B450="","",IFERROR(VLOOKUP(B450,'Coil Sheet at Plant'!$C:$H,6,FALSE),"ID Not Found"))</f>
        <v/>
      </c>
      <c r="G450" s="81">
        <v>597</v>
      </c>
      <c r="H450" s="89" t="str">
        <f>IF(OR(B450="",G450=""),"",IFERROR(VLOOKUP(B450,'Coil Sheet at Plant'!$C:$J,8,FALSE),0)*G450/SUMIF(B:B,B450,G:G))</f>
        <v/>
      </c>
      <c r="I450" s="56" t="str">
        <f>IF(B450="","",IFERROR(VLOOKUP(B450,'Coil Sheet at Plant'!$C:$L,9,FALSE),""))</f>
        <v/>
      </c>
      <c r="J450" s="85" t="str">
        <f>IF(B450="","",IFERROR(VLOOKUP(B450,'Coil Sheet at Plant'!$C:$M,10,FALSE),""))</f>
        <v/>
      </c>
      <c r="K450" s="69" t="str">
        <f>IF(B450="","",SUMIF(B:B,B450,G:G))</f>
        <v/>
      </c>
      <c r="L450" s="70" t="str">
        <f>IF(B450="","",IFERROR(VLOOKUP(B450,'Coil Sheet at Plant'!$C:$I,7,FALSE),""))</f>
        <v/>
      </c>
      <c r="M450" s="71" t="str">
        <f>IF(OR(K450="",L450=""),"",IF(L450=0,"⚠ NO PARENT WIDTH",IF(K450&gt;L450,"⚠ BABY &gt; PARENT","✔ OK")))</f>
        <v/>
      </c>
      <c r="N450" s="71" t="str">
        <f>IF(D450="","",IF(COUNTIF(D$3:D450,D450)&gt;1,"⚠ DUPLICATE",""))</f>
        <v/>
      </c>
      <c r="O450" s="72" t="str">
        <f>IF(B450="","",SUMIF(B:B,B450,G:G)&amp;" / "&amp;IFERROR(VLOOKUP(B450,'Coil Sheet at Plant'!$C:$I,7,FALSE),"?")&amp;" mm")</f>
        <v/>
      </c>
    </row>
    <row r="451" spans="1:15">
      <c r="A451" s="36"/>
      <c r="B451" s="32"/>
      <c r="C451" s="39"/>
      <c r="D451" s="44" t="str">
        <f>IF(OR(B451="",C451=""),"",CONCATENATE(B451,"-",C451))</f>
        <v/>
      </c>
      <c r="E451" s="49" t="str">
        <f>IF(B451="","",IFERROR(VLOOKUP(B451,'Coil Sheet at Plant'!$C:$G,5,FALSE),"ID Not Found"))</f>
        <v/>
      </c>
      <c r="F451" s="50" t="str">
        <f>IF(B451="","",IFERROR(VLOOKUP(B451,'Coil Sheet at Plant'!$C:$H,6,FALSE),"ID Not Found"))</f>
        <v/>
      </c>
      <c r="G451" s="81">
        <v>598</v>
      </c>
      <c r="H451" s="89" t="str">
        <f>IF(OR(B451="",G451=""),"",IFERROR(VLOOKUP(B451,'Coil Sheet at Plant'!$C:$J,8,FALSE),0)*G451/SUMIF(B:B,B451,G:G))</f>
        <v/>
      </c>
      <c r="I451" s="56" t="str">
        <f>IF(B451="","",IFERROR(VLOOKUP(B451,'Coil Sheet at Plant'!$C:$L,9,FALSE),""))</f>
        <v/>
      </c>
      <c r="J451" s="85" t="str">
        <f>IF(B451="","",IFERROR(VLOOKUP(B451,'Coil Sheet at Plant'!$C:$M,10,FALSE),""))</f>
        <v/>
      </c>
      <c r="K451" s="69" t="str">
        <f>IF(B451="","",SUMIF(B:B,B451,G:G))</f>
        <v/>
      </c>
      <c r="L451" s="70" t="str">
        <f>IF(B451="","",IFERROR(VLOOKUP(B451,'Coil Sheet at Plant'!$C:$I,7,FALSE),""))</f>
        <v/>
      </c>
      <c r="M451" s="71" t="str">
        <f>IF(OR(K451="",L451=""),"",IF(L451=0,"⚠ NO PARENT WIDTH",IF(K451&gt;L451,"⚠ BABY &gt; PARENT","✔ OK")))</f>
        <v/>
      </c>
      <c r="N451" s="71" t="str">
        <f>IF(D451="","",IF(COUNTIF(D$3:D451,D451)&gt;1,"⚠ DUPLICATE",""))</f>
        <v/>
      </c>
      <c r="O451" s="72" t="str">
        <f>IF(B451="","",SUMIF(B:B,B451,G:G)&amp;" / "&amp;IFERROR(VLOOKUP(B451,'Coil Sheet at Plant'!$C:$I,7,FALSE),"?")&amp;" mm")</f>
        <v/>
      </c>
    </row>
    <row r="452" spans="1:15">
      <c r="A452" s="36"/>
      <c r="B452" s="32"/>
      <c r="C452" s="39"/>
      <c r="D452" s="44" t="str">
        <f>IF(OR(B452="",C452=""),"",CONCATENATE(B452,"-",C452))</f>
        <v/>
      </c>
      <c r="E452" s="49" t="str">
        <f>IF(B452="","",IFERROR(VLOOKUP(B452,'Coil Sheet at Plant'!$C:$G,5,FALSE),"ID Not Found"))</f>
        <v/>
      </c>
      <c r="F452" s="50" t="str">
        <f>IF(B452="","",IFERROR(VLOOKUP(B452,'Coil Sheet at Plant'!$C:$H,6,FALSE),"ID Not Found"))</f>
        <v/>
      </c>
      <c r="G452" s="81">
        <v>599</v>
      </c>
      <c r="H452" s="89" t="str">
        <f>IF(OR(B452="",G452=""),"",IFERROR(VLOOKUP(B452,'Coil Sheet at Plant'!$C:$J,8,FALSE),0)*G452/SUMIF(B:B,B452,G:G))</f>
        <v/>
      </c>
      <c r="I452" s="56" t="str">
        <f>IF(B452="","",IFERROR(VLOOKUP(B452,'Coil Sheet at Plant'!$C:$L,9,FALSE),""))</f>
        <v/>
      </c>
      <c r="J452" s="85" t="str">
        <f>IF(B452="","",IFERROR(VLOOKUP(B452,'Coil Sheet at Plant'!$C:$M,10,FALSE),""))</f>
        <v/>
      </c>
      <c r="K452" s="69" t="str">
        <f>IF(B452="","",SUMIF(B:B,B452,G:G))</f>
        <v/>
      </c>
      <c r="L452" s="70" t="str">
        <f>IF(B452="","",IFERROR(VLOOKUP(B452,'Coil Sheet at Plant'!$C:$I,7,FALSE),""))</f>
        <v/>
      </c>
      <c r="M452" s="71" t="str">
        <f>IF(OR(K452="",L452=""),"",IF(L452=0,"⚠ NO PARENT WIDTH",IF(K452&gt;L452,"⚠ BABY &gt; PARENT","✔ OK")))</f>
        <v/>
      </c>
      <c r="N452" s="71" t="str">
        <f>IF(D452="","",IF(COUNTIF(D$3:D452,D452)&gt;1,"⚠ DUPLICATE",""))</f>
        <v/>
      </c>
      <c r="O452" s="72" t="str">
        <f>IF(B452="","",SUMIF(B:B,B452,G:G)&amp;" / "&amp;IFERROR(VLOOKUP(B452,'Coil Sheet at Plant'!$C:$I,7,FALSE),"?")&amp;" mm")</f>
        <v/>
      </c>
    </row>
    <row r="453" spans="1:15">
      <c r="A453" s="36"/>
      <c r="B453" s="32"/>
      <c r="C453" s="39"/>
      <c r="D453" s="44" t="str">
        <f>IF(OR(B453="",C453=""),"",CONCATENATE(B453,"-",C453))</f>
        <v/>
      </c>
      <c r="E453" s="49" t="str">
        <f>IF(B453="","",IFERROR(VLOOKUP(B453,'Coil Sheet at Plant'!$C:$G,5,FALSE),"ID Not Found"))</f>
        <v/>
      </c>
      <c r="F453" s="50" t="str">
        <f>IF(B453="","",IFERROR(VLOOKUP(B453,'Coil Sheet at Plant'!$C:$H,6,FALSE),"ID Not Found"))</f>
        <v/>
      </c>
      <c r="G453" s="81">
        <v>600</v>
      </c>
      <c r="H453" s="89" t="str">
        <f>IF(OR(B453="",G453=""),"",IFERROR(VLOOKUP(B453,'Coil Sheet at Plant'!$C:$J,8,FALSE),0)*G453/SUMIF(B:B,B453,G:G))</f>
        <v/>
      </c>
      <c r="I453" s="56" t="str">
        <f>IF(B453="","",IFERROR(VLOOKUP(B453,'Coil Sheet at Plant'!$C:$L,9,FALSE),""))</f>
        <v/>
      </c>
      <c r="J453" s="85" t="str">
        <f>IF(B453="","",IFERROR(VLOOKUP(B453,'Coil Sheet at Plant'!$C:$M,10,FALSE),""))</f>
        <v/>
      </c>
      <c r="K453" s="69" t="str">
        <f>IF(B453="","",SUMIF(B:B,B453,G:G))</f>
        <v/>
      </c>
      <c r="L453" s="70" t="str">
        <f>IF(B453="","",IFERROR(VLOOKUP(B453,'Coil Sheet at Plant'!$C:$I,7,FALSE),""))</f>
        <v/>
      </c>
      <c r="M453" s="71" t="str">
        <f>IF(OR(K453="",L453=""),"",IF(L453=0,"⚠ NO PARENT WIDTH",IF(K453&gt;L453,"⚠ BABY &gt; PARENT","✔ OK")))</f>
        <v/>
      </c>
      <c r="N453" s="71" t="str">
        <f>IF(D453="","",IF(COUNTIF(D$3:D453,D453)&gt;1,"⚠ DUPLICATE",""))</f>
        <v/>
      </c>
      <c r="O453" s="72" t="str">
        <f>IF(B453="","",SUMIF(B:B,B453,G:G)&amp;" / "&amp;IFERROR(VLOOKUP(B453,'Coil Sheet at Plant'!$C:$I,7,FALSE),"?")&amp;" mm")</f>
        <v/>
      </c>
    </row>
    <row r="454" spans="1:15">
      <c r="A454" s="36"/>
      <c r="B454" s="32"/>
      <c r="C454" s="39"/>
      <c r="D454" s="44" t="str">
        <f>IF(OR(B454="",C454=""),"",CONCATENATE(B454,"-",C454))</f>
        <v/>
      </c>
      <c r="E454" s="49" t="str">
        <f>IF(B454="","",IFERROR(VLOOKUP(B454,'Coil Sheet at Plant'!$C:$G,5,FALSE),"ID Not Found"))</f>
        <v/>
      </c>
      <c r="F454" s="50" t="str">
        <f>IF(B454="","",IFERROR(VLOOKUP(B454,'Coil Sheet at Plant'!$C:$H,6,FALSE),"ID Not Found"))</f>
        <v/>
      </c>
      <c r="G454" s="81">
        <v>601</v>
      </c>
      <c r="H454" s="89" t="str">
        <f>IF(OR(B454="",G454=""),"",IFERROR(VLOOKUP(B454,'Coil Sheet at Plant'!$C:$J,8,FALSE),0)*G454/SUMIF(B:B,B454,G:G))</f>
        <v/>
      </c>
      <c r="I454" s="56" t="str">
        <f>IF(B454="","",IFERROR(VLOOKUP(B454,'Coil Sheet at Plant'!$C:$L,9,FALSE),""))</f>
        <v/>
      </c>
      <c r="J454" s="85" t="str">
        <f>IF(B454="","",IFERROR(VLOOKUP(B454,'Coil Sheet at Plant'!$C:$M,10,FALSE),""))</f>
        <v/>
      </c>
      <c r="K454" s="69" t="str">
        <f>IF(B454="","",SUMIF(B:B,B454,G:G))</f>
        <v/>
      </c>
      <c r="L454" s="70" t="str">
        <f>IF(B454="","",IFERROR(VLOOKUP(B454,'Coil Sheet at Plant'!$C:$I,7,FALSE),""))</f>
        <v/>
      </c>
      <c r="M454" s="71" t="str">
        <f>IF(OR(K454="",L454=""),"",IF(L454=0,"⚠ NO PARENT WIDTH",IF(K454&gt;L454,"⚠ BABY &gt; PARENT","✔ OK")))</f>
        <v/>
      </c>
      <c r="N454" s="71" t="str">
        <f>IF(D454="","",IF(COUNTIF(D$3:D454,D454)&gt;1,"⚠ DUPLICATE",""))</f>
        <v/>
      </c>
      <c r="O454" s="72" t="str">
        <f>IF(B454="","",SUMIF(B:B,B454,G:G)&amp;" / "&amp;IFERROR(VLOOKUP(B454,'Coil Sheet at Plant'!$C:$I,7,FALSE),"?")&amp;" mm")</f>
        <v/>
      </c>
    </row>
    <row r="455" spans="1:15">
      <c r="A455" s="36"/>
      <c r="B455" s="32"/>
      <c r="C455" s="39"/>
      <c r="D455" s="44" t="str">
        <f>IF(OR(B455="",C455=""),"",CONCATENATE(B455,"-",C455))</f>
        <v/>
      </c>
      <c r="E455" s="49" t="str">
        <f>IF(B455="","",IFERROR(VLOOKUP(B455,'Coil Sheet at Plant'!$C:$G,5,FALSE),"ID Not Found"))</f>
        <v/>
      </c>
      <c r="F455" s="50" t="str">
        <f>IF(B455="","",IFERROR(VLOOKUP(B455,'Coil Sheet at Plant'!$C:$H,6,FALSE),"ID Not Found"))</f>
        <v/>
      </c>
      <c r="G455" s="81">
        <v>602</v>
      </c>
      <c r="H455" s="89" t="str">
        <f>IF(OR(B455="",G455=""),"",IFERROR(VLOOKUP(B455,'Coil Sheet at Plant'!$C:$J,8,FALSE),0)*G455/SUMIF(B:B,B455,G:G))</f>
        <v/>
      </c>
      <c r="I455" s="56" t="str">
        <f>IF(B455="","",IFERROR(VLOOKUP(B455,'Coil Sheet at Plant'!$C:$L,9,FALSE),""))</f>
        <v/>
      </c>
      <c r="J455" s="85" t="str">
        <f>IF(B455="","",IFERROR(VLOOKUP(B455,'Coil Sheet at Plant'!$C:$M,10,FALSE),""))</f>
        <v/>
      </c>
      <c r="K455" s="69" t="str">
        <f>IF(B455="","",SUMIF(B:B,B455,G:G))</f>
        <v/>
      </c>
      <c r="L455" s="70" t="str">
        <f>IF(B455="","",IFERROR(VLOOKUP(B455,'Coil Sheet at Plant'!$C:$I,7,FALSE),""))</f>
        <v/>
      </c>
      <c r="M455" s="71" t="str">
        <f>IF(OR(K455="",L455=""),"",IF(L455=0,"⚠ NO PARENT WIDTH",IF(K455&gt;L455,"⚠ BABY &gt; PARENT","✔ OK")))</f>
        <v/>
      </c>
      <c r="N455" s="71" t="str">
        <f>IF(D455="","",IF(COUNTIF(D$3:D455,D455)&gt;1,"⚠ DUPLICATE",""))</f>
        <v/>
      </c>
      <c r="O455" s="72" t="str">
        <f>IF(B455="","",SUMIF(B:B,B455,G:G)&amp;" / "&amp;IFERROR(VLOOKUP(B455,'Coil Sheet at Plant'!$C:$I,7,FALSE),"?")&amp;" mm")</f>
        <v/>
      </c>
    </row>
    <row r="456" spans="1:15">
      <c r="A456" s="36"/>
      <c r="B456" s="32"/>
      <c r="C456" s="39"/>
      <c r="D456" s="44" t="str">
        <f>IF(OR(B456="",C456=""),"",CONCATENATE(B456,"-",C456))</f>
        <v/>
      </c>
      <c r="E456" s="49" t="str">
        <f>IF(B456="","",IFERROR(VLOOKUP(B456,'Coil Sheet at Plant'!$C:$G,5,FALSE),"ID Not Found"))</f>
        <v/>
      </c>
      <c r="F456" s="50" t="str">
        <f>IF(B456="","",IFERROR(VLOOKUP(B456,'Coil Sheet at Plant'!$C:$H,6,FALSE),"ID Not Found"))</f>
        <v/>
      </c>
      <c r="G456" s="81">
        <v>603</v>
      </c>
      <c r="H456" s="89" t="str">
        <f>IF(OR(B456="",G456=""),"",IFERROR(VLOOKUP(B456,'Coil Sheet at Plant'!$C:$J,8,FALSE),0)*G456/SUMIF(B:B,B456,G:G))</f>
        <v/>
      </c>
      <c r="I456" s="56" t="str">
        <f>IF(B456="","",IFERROR(VLOOKUP(B456,'Coil Sheet at Plant'!$C:$L,9,FALSE),""))</f>
        <v/>
      </c>
      <c r="J456" s="85" t="str">
        <f>IF(B456="","",IFERROR(VLOOKUP(B456,'Coil Sheet at Plant'!$C:$M,10,FALSE),""))</f>
        <v/>
      </c>
      <c r="K456" s="69" t="str">
        <f>IF(B456="","",SUMIF(B:B,B456,G:G))</f>
        <v/>
      </c>
      <c r="L456" s="70" t="str">
        <f>IF(B456="","",IFERROR(VLOOKUP(B456,'Coil Sheet at Plant'!$C:$I,7,FALSE),""))</f>
        <v/>
      </c>
      <c r="M456" s="71" t="str">
        <f>IF(OR(K456="",L456=""),"",IF(L456=0,"⚠ NO PARENT WIDTH",IF(K456&gt;L456,"⚠ BABY &gt; PARENT","✔ OK")))</f>
        <v/>
      </c>
      <c r="N456" s="71" t="str">
        <f>IF(D456="","",IF(COUNTIF(D$3:D456,D456)&gt;1,"⚠ DUPLICATE",""))</f>
        <v/>
      </c>
      <c r="O456" s="72" t="str">
        <f>IF(B456="","",SUMIF(B:B,B456,G:G)&amp;" / "&amp;IFERROR(VLOOKUP(B456,'Coil Sheet at Plant'!$C:$I,7,FALSE),"?")&amp;" mm")</f>
        <v/>
      </c>
    </row>
    <row r="457" spans="1:15">
      <c r="A457" s="36"/>
      <c r="B457" s="32"/>
      <c r="C457" s="39"/>
      <c r="D457" s="44" t="str">
        <f>IF(OR(B457="",C457=""),"",CONCATENATE(B457,"-",C457))</f>
        <v/>
      </c>
      <c r="E457" s="49" t="str">
        <f>IF(B457="","",IFERROR(VLOOKUP(B457,'Coil Sheet at Plant'!$C:$G,5,FALSE),"ID Not Found"))</f>
        <v/>
      </c>
      <c r="F457" s="50" t="str">
        <f>IF(B457="","",IFERROR(VLOOKUP(B457,'Coil Sheet at Plant'!$C:$H,6,FALSE),"ID Not Found"))</f>
        <v/>
      </c>
      <c r="G457" s="81">
        <v>604</v>
      </c>
      <c r="H457" s="89" t="str">
        <f>IF(OR(B457="",G457=""),"",IFERROR(VLOOKUP(B457,'Coil Sheet at Plant'!$C:$J,8,FALSE),0)*G457/SUMIF(B:B,B457,G:G))</f>
        <v/>
      </c>
      <c r="I457" s="56" t="str">
        <f>IF(B457="","",IFERROR(VLOOKUP(B457,'Coil Sheet at Plant'!$C:$L,9,FALSE),""))</f>
        <v/>
      </c>
      <c r="J457" s="85" t="str">
        <f>IF(B457="","",IFERROR(VLOOKUP(B457,'Coil Sheet at Plant'!$C:$M,10,FALSE),""))</f>
        <v/>
      </c>
      <c r="K457" s="69" t="str">
        <f>IF(B457="","",SUMIF(B:B,B457,G:G))</f>
        <v/>
      </c>
      <c r="L457" s="70" t="str">
        <f>IF(B457="","",IFERROR(VLOOKUP(B457,'Coil Sheet at Plant'!$C:$I,7,FALSE),""))</f>
        <v/>
      </c>
      <c r="M457" s="71" t="str">
        <f>IF(OR(K457="",L457=""),"",IF(L457=0,"⚠ NO PARENT WIDTH",IF(K457&gt;L457,"⚠ BABY &gt; PARENT","✔ OK")))</f>
        <v/>
      </c>
      <c r="N457" s="71" t="str">
        <f>IF(D457="","",IF(COUNTIF(D$3:D457,D457)&gt;1,"⚠ DUPLICATE",""))</f>
        <v/>
      </c>
      <c r="O457" s="72" t="str">
        <f>IF(B457="","",SUMIF(B:B,B457,G:G)&amp;" / "&amp;IFERROR(VLOOKUP(B457,'Coil Sheet at Plant'!$C:$I,7,FALSE),"?")&amp;" mm")</f>
        <v/>
      </c>
    </row>
    <row r="458" spans="1:15">
      <c r="A458" s="36"/>
      <c r="B458" s="32"/>
      <c r="C458" s="39"/>
      <c r="D458" s="44" t="str">
        <f>IF(OR(B458="",C458=""),"",CONCATENATE(B458,"-",C458))</f>
        <v/>
      </c>
      <c r="E458" s="49" t="str">
        <f>IF(B458="","",IFERROR(VLOOKUP(B458,'Coil Sheet at Plant'!$C:$G,5,FALSE),"ID Not Found"))</f>
        <v/>
      </c>
      <c r="F458" s="50" t="str">
        <f>IF(B458="","",IFERROR(VLOOKUP(B458,'Coil Sheet at Plant'!$C:$H,6,FALSE),"ID Not Found"))</f>
        <v/>
      </c>
      <c r="G458" s="81">
        <v>605</v>
      </c>
      <c r="H458" s="89" t="str">
        <f>IF(OR(B458="",G458=""),"",IFERROR(VLOOKUP(B458,'Coil Sheet at Plant'!$C:$J,8,FALSE),0)*G458/SUMIF(B:B,B458,G:G))</f>
        <v/>
      </c>
      <c r="I458" s="56" t="str">
        <f>IF(B458="","",IFERROR(VLOOKUP(B458,'Coil Sheet at Plant'!$C:$L,9,FALSE),""))</f>
        <v/>
      </c>
      <c r="J458" s="85" t="str">
        <f>IF(B458="","",IFERROR(VLOOKUP(B458,'Coil Sheet at Plant'!$C:$M,10,FALSE),""))</f>
        <v/>
      </c>
      <c r="K458" s="69" t="str">
        <f>IF(B458="","",SUMIF(B:B,B458,G:G))</f>
        <v/>
      </c>
      <c r="L458" s="70" t="str">
        <f>IF(B458="","",IFERROR(VLOOKUP(B458,'Coil Sheet at Plant'!$C:$I,7,FALSE),""))</f>
        <v/>
      </c>
      <c r="M458" s="71" t="str">
        <f>IF(OR(K458="",L458=""),"",IF(L458=0,"⚠ NO PARENT WIDTH",IF(K458&gt;L458,"⚠ BABY &gt; PARENT","✔ OK")))</f>
        <v/>
      </c>
      <c r="N458" s="71" t="str">
        <f>IF(D458="","",IF(COUNTIF(D$3:D458,D458)&gt;1,"⚠ DUPLICATE",""))</f>
        <v/>
      </c>
      <c r="O458" s="72" t="str">
        <f>IF(B458="","",SUMIF(B:B,B458,G:G)&amp;" / "&amp;IFERROR(VLOOKUP(B458,'Coil Sheet at Plant'!$C:$I,7,FALSE),"?")&amp;" mm")</f>
        <v/>
      </c>
    </row>
    <row r="459" spans="1:15">
      <c r="A459" s="36"/>
      <c r="B459" s="32"/>
      <c r="C459" s="39"/>
      <c r="D459" s="44" t="str">
        <f>IF(OR(B459="",C459=""),"",CONCATENATE(B459,"-",C459))</f>
        <v/>
      </c>
      <c r="E459" s="49" t="str">
        <f>IF(B459="","",IFERROR(VLOOKUP(B459,'Coil Sheet at Plant'!$C:$G,5,FALSE),"ID Not Found"))</f>
        <v/>
      </c>
      <c r="F459" s="50" t="str">
        <f>IF(B459="","",IFERROR(VLOOKUP(B459,'Coil Sheet at Plant'!$C:$H,6,FALSE),"ID Not Found"))</f>
        <v/>
      </c>
      <c r="G459" s="81">
        <v>606</v>
      </c>
      <c r="H459" s="89" t="str">
        <f>IF(OR(B459="",G459=""),"",IFERROR(VLOOKUP(B459,'Coil Sheet at Plant'!$C:$J,8,FALSE),0)*G459/SUMIF(B:B,B459,G:G))</f>
        <v/>
      </c>
      <c r="I459" s="56" t="str">
        <f>IF(B459="","",IFERROR(VLOOKUP(B459,'Coil Sheet at Plant'!$C:$L,9,FALSE),""))</f>
        <v/>
      </c>
      <c r="J459" s="85" t="str">
        <f>IF(B459="","",IFERROR(VLOOKUP(B459,'Coil Sheet at Plant'!$C:$M,10,FALSE),""))</f>
        <v/>
      </c>
      <c r="K459" s="69" t="str">
        <f>IF(B459="","",SUMIF(B:B,B459,G:G))</f>
        <v/>
      </c>
      <c r="L459" s="70" t="str">
        <f>IF(B459="","",IFERROR(VLOOKUP(B459,'Coil Sheet at Plant'!$C:$I,7,FALSE),""))</f>
        <v/>
      </c>
      <c r="M459" s="71" t="str">
        <f>IF(OR(K459="",L459=""),"",IF(L459=0,"⚠ NO PARENT WIDTH",IF(K459&gt;L459,"⚠ BABY &gt; PARENT","✔ OK")))</f>
        <v/>
      </c>
      <c r="N459" s="71" t="str">
        <f>IF(D459="","",IF(COUNTIF(D$3:D459,D459)&gt;1,"⚠ DUPLICATE",""))</f>
        <v/>
      </c>
      <c r="O459" s="72" t="str">
        <f>IF(B459="","",SUMIF(B:B,B459,G:G)&amp;" / "&amp;IFERROR(VLOOKUP(B459,'Coil Sheet at Plant'!$C:$I,7,FALSE),"?")&amp;" mm")</f>
        <v/>
      </c>
    </row>
    <row r="460" spans="1:15">
      <c r="A460" s="36"/>
      <c r="B460" s="32"/>
      <c r="C460" s="39"/>
      <c r="D460" s="44" t="str">
        <f>IF(OR(B460="",C460=""),"",CONCATENATE(B460,"-",C460))</f>
        <v/>
      </c>
      <c r="E460" s="49" t="str">
        <f>IF(B460="","",IFERROR(VLOOKUP(B460,'Coil Sheet at Plant'!$C:$G,5,FALSE),"ID Not Found"))</f>
        <v/>
      </c>
      <c r="F460" s="50" t="str">
        <f>IF(B460="","",IFERROR(VLOOKUP(B460,'Coil Sheet at Plant'!$C:$H,6,FALSE),"ID Not Found"))</f>
        <v/>
      </c>
      <c r="G460" s="81">
        <v>607</v>
      </c>
      <c r="H460" s="89" t="str">
        <f>IF(OR(B460="",G460=""),"",IFERROR(VLOOKUP(B460,'Coil Sheet at Plant'!$C:$J,8,FALSE),0)*G460/SUMIF(B:B,B460,G:G))</f>
        <v/>
      </c>
      <c r="I460" s="56" t="str">
        <f>IF(B460="","",IFERROR(VLOOKUP(B460,'Coil Sheet at Plant'!$C:$L,9,FALSE),""))</f>
        <v/>
      </c>
      <c r="J460" s="85" t="str">
        <f>IF(B460="","",IFERROR(VLOOKUP(B460,'Coil Sheet at Plant'!$C:$M,10,FALSE),""))</f>
        <v/>
      </c>
      <c r="K460" s="69" t="str">
        <f>IF(B460="","",SUMIF(B:B,B460,G:G))</f>
        <v/>
      </c>
      <c r="L460" s="70" t="str">
        <f>IF(B460="","",IFERROR(VLOOKUP(B460,'Coil Sheet at Plant'!$C:$I,7,FALSE),""))</f>
        <v/>
      </c>
      <c r="M460" s="71" t="str">
        <f>IF(OR(K460="",L460=""),"",IF(L460=0,"⚠ NO PARENT WIDTH",IF(K460&gt;L460,"⚠ BABY &gt; PARENT","✔ OK")))</f>
        <v/>
      </c>
      <c r="N460" s="71" t="str">
        <f>IF(D460="","",IF(COUNTIF(D$3:D460,D460)&gt;1,"⚠ DUPLICATE",""))</f>
        <v/>
      </c>
      <c r="O460" s="72" t="str">
        <f>IF(B460="","",SUMIF(B:B,B460,G:G)&amp;" / "&amp;IFERROR(VLOOKUP(B460,'Coil Sheet at Plant'!$C:$I,7,FALSE),"?")&amp;" mm")</f>
        <v/>
      </c>
    </row>
    <row r="461" spans="1:15">
      <c r="A461" s="36"/>
      <c r="B461" s="32"/>
      <c r="C461" s="39"/>
      <c r="D461" s="44" t="str">
        <f>IF(OR(B461="",C461=""),"",CONCATENATE(B461,"-",C461))</f>
        <v/>
      </c>
      <c r="E461" s="49" t="str">
        <f>IF(B461="","",IFERROR(VLOOKUP(B461,'Coil Sheet at Plant'!$C:$G,5,FALSE),"ID Not Found"))</f>
        <v/>
      </c>
      <c r="F461" s="50" t="str">
        <f>IF(B461="","",IFERROR(VLOOKUP(B461,'Coil Sheet at Plant'!$C:$H,6,FALSE),"ID Not Found"))</f>
        <v/>
      </c>
      <c r="G461" s="81">
        <v>608</v>
      </c>
      <c r="H461" s="89" t="str">
        <f>IF(OR(B461="",G461=""),"",IFERROR(VLOOKUP(B461,'Coil Sheet at Plant'!$C:$J,8,FALSE),0)*G461/SUMIF(B:B,B461,G:G))</f>
        <v/>
      </c>
      <c r="I461" s="56" t="str">
        <f>IF(B461="","",IFERROR(VLOOKUP(B461,'Coil Sheet at Plant'!$C:$L,9,FALSE),""))</f>
        <v/>
      </c>
      <c r="J461" s="85" t="str">
        <f>IF(B461="","",IFERROR(VLOOKUP(B461,'Coil Sheet at Plant'!$C:$M,10,FALSE),""))</f>
        <v/>
      </c>
      <c r="K461" s="69" t="str">
        <f>IF(B461="","",SUMIF(B:B,B461,G:G))</f>
        <v/>
      </c>
      <c r="L461" s="70" t="str">
        <f>IF(B461="","",IFERROR(VLOOKUP(B461,'Coil Sheet at Plant'!$C:$I,7,FALSE),""))</f>
        <v/>
      </c>
      <c r="M461" s="71" t="str">
        <f>IF(OR(K461="",L461=""),"",IF(L461=0,"⚠ NO PARENT WIDTH",IF(K461&gt;L461,"⚠ BABY &gt; PARENT","✔ OK")))</f>
        <v/>
      </c>
      <c r="N461" s="71" t="str">
        <f>IF(D461="","",IF(COUNTIF(D$3:D461,D461)&gt;1,"⚠ DUPLICATE",""))</f>
        <v/>
      </c>
      <c r="O461" s="72" t="str">
        <f>IF(B461="","",SUMIF(B:B,B461,G:G)&amp;" / "&amp;IFERROR(VLOOKUP(B461,'Coil Sheet at Plant'!$C:$I,7,FALSE),"?")&amp;" mm")</f>
        <v/>
      </c>
    </row>
    <row r="462" spans="1:15">
      <c r="A462" s="36"/>
      <c r="B462" s="32"/>
      <c r="C462" s="39"/>
      <c r="D462" s="44" t="str">
        <f>IF(OR(B462="",C462=""),"",CONCATENATE(B462,"-",C462))</f>
        <v/>
      </c>
      <c r="E462" s="49" t="str">
        <f>IF(B462="","",IFERROR(VLOOKUP(B462,'Coil Sheet at Plant'!$C:$G,5,FALSE),"ID Not Found"))</f>
        <v/>
      </c>
      <c r="F462" s="50" t="str">
        <f>IF(B462="","",IFERROR(VLOOKUP(B462,'Coil Sheet at Plant'!$C:$H,6,FALSE),"ID Not Found"))</f>
        <v/>
      </c>
      <c r="G462" s="81">
        <v>609</v>
      </c>
      <c r="H462" s="89" t="str">
        <f>IF(OR(B462="",G462=""),"",IFERROR(VLOOKUP(B462,'Coil Sheet at Plant'!$C:$J,8,FALSE),0)*G462/SUMIF(B:B,B462,G:G))</f>
        <v/>
      </c>
      <c r="I462" s="56" t="str">
        <f>IF(B462="","",IFERROR(VLOOKUP(B462,'Coil Sheet at Plant'!$C:$L,9,FALSE),""))</f>
        <v/>
      </c>
      <c r="J462" s="85" t="str">
        <f>IF(B462="","",IFERROR(VLOOKUP(B462,'Coil Sheet at Plant'!$C:$M,10,FALSE),""))</f>
        <v/>
      </c>
      <c r="K462" s="69" t="str">
        <f>IF(B462="","",SUMIF(B:B,B462,G:G))</f>
        <v/>
      </c>
      <c r="L462" s="70" t="str">
        <f>IF(B462="","",IFERROR(VLOOKUP(B462,'Coil Sheet at Plant'!$C:$I,7,FALSE),""))</f>
        <v/>
      </c>
      <c r="M462" s="71" t="str">
        <f>IF(OR(K462="",L462=""),"",IF(L462=0,"⚠ NO PARENT WIDTH",IF(K462&gt;L462,"⚠ BABY &gt; PARENT","✔ OK")))</f>
        <v/>
      </c>
      <c r="N462" s="71" t="str">
        <f>IF(D462="","",IF(COUNTIF(D$3:D462,D462)&gt;1,"⚠ DUPLICATE",""))</f>
        <v/>
      </c>
      <c r="O462" s="72" t="str">
        <f>IF(B462="","",SUMIF(B:B,B462,G:G)&amp;" / "&amp;IFERROR(VLOOKUP(B462,'Coil Sheet at Plant'!$C:$I,7,FALSE),"?")&amp;" mm")</f>
        <v/>
      </c>
    </row>
    <row r="463" spans="1:15">
      <c r="A463" s="36"/>
      <c r="B463" s="32"/>
      <c r="C463" s="39"/>
      <c r="D463" s="44" t="str">
        <f>IF(OR(B463="",C463=""),"",CONCATENATE(B463,"-",C463))</f>
        <v/>
      </c>
      <c r="E463" s="49" t="str">
        <f>IF(B463="","",IFERROR(VLOOKUP(B463,'Coil Sheet at Plant'!$C:$G,5,FALSE),"ID Not Found"))</f>
        <v/>
      </c>
      <c r="F463" s="50" t="str">
        <f>IF(B463="","",IFERROR(VLOOKUP(B463,'Coil Sheet at Plant'!$C:$H,6,FALSE),"ID Not Found"))</f>
        <v/>
      </c>
      <c r="G463" s="81">
        <v>610</v>
      </c>
      <c r="H463" s="89" t="str">
        <f>IF(OR(B463="",G463=""),"",IFERROR(VLOOKUP(B463,'Coil Sheet at Plant'!$C:$J,8,FALSE),0)*G463/SUMIF(B:B,B463,G:G))</f>
        <v/>
      </c>
      <c r="I463" s="56" t="str">
        <f>IF(B463="","",IFERROR(VLOOKUP(B463,'Coil Sheet at Plant'!$C:$L,9,FALSE),""))</f>
        <v/>
      </c>
      <c r="J463" s="85" t="str">
        <f>IF(B463="","",IFERROR(VLOOKUP(B463,'Coil Sheet at Plant'!$C:$M,10,FALSE),""))</f>
        <v/>
      </c>
      <c r="K463" s="69" t="str">
        <f>IF(B463="","",SUMIF(B:B,B463,G:G))</f>
        <v/>
      </c>
      <c r="L463" s="70" t="str">
        <f>IF(B463="","",IFERROR(VLOOKUP(B463,'Coil Sheet at Plant'!$C:$I,7,FALSE),""))</f>
        <v/>
      </c>
      <c r="M463" s="71" t="str">
        <f>IF(OR(K463="",L463=""),"",IF(L463=0,"⚠ NO PARENT WIDTH",IF(K463&gt;L463,"⚠ BABY &gt; PARENT","✔ OK")))</f>
        <v/>
      </c>
      <c r="N463" s="71" t="str">
        <f>IF(D463="","",IF(COUNTIF(D$3:D463,D463)&gt;1,"⚠ DUPLICATE",""))</f>
        <v/>
      </c>
      <c r="O463" s="72" t="str">
        <f>IF(B463="","",SUMIF(B:B,B463,G:G)&amp;" / "&amp;IFERROR(VLOOKUP(B463,'Coil Sheet at Plant'!$C:$I,7,FALSE),"?")&amp;" mm")</f>
        <v/>
      </c>
    </row>
    <row r="464" spans="1:15">
      <c r="A464" s="36"/>
      <c r="B464" s="32"/>
      <c r="C464" s="39"/>
      <c r="D464" s="44" t="str">
        <f>IF(OR(B464="",C464=""),"",CONCATENATE(B464,"-",C464))</f>
        <v/>
      </c>
      <c r="E464" s="49" t="str">
        <f>IF(B464="","",IFERROR(VLOOKUP(B464,'Coil Sheet at Plant'!$C:$G,5,FALSE),"ID Not Found"))</f>
        <v/>
      </c>
      <c r="F464" s="50" t="str">
        <f>IF(B464="","",IFERROR(VLOOKUP(B464,'Coil Sheet at Plant'!$C:$H,6,FALSE),"ID Not Found"))</f>
        <v/>
      </c>
      <c r="G464" s="81">
        <v>611</v>
      </c>
      <c r="H464" s="89" t="str">
        <f>IF(OR(B464="",G464=""),"",IFERROR(VLOOKUP(B464,'Coil Sheet at Plant'!$C:$J,8,FALSE),0)*G464/SUMIF(B:B,B464,G:G))</f>
        <v/>
      </c>
      <c r="I464" s="56" t="str">
        <f>IF(B464="","",IFERROR(VLOOKUP(B464,'Coil Sheet at Plant'!$C:$L,9,FALSE),""))</f>
        <v/>
      </c>
      <c r="J464" s="85" t="str">
        <f>IF(B464="","",IFERROR(VLOOKUP(B464,'Coil Sheet at Plant'!$C:$M,10,FALSE),""))</f>
        <v/>
      </c>
      <c r="K464" s="69" t="str">
        <f>IF(B464="","",SUMIF(B:B,B464,G:G))</f>
        <v/>
      </c>
      <c r="L464" s="70" t="str">
        <f>IF(B464="","",IFERROR(VLOOKUP(B464,'Coil Sheet at Plant'!$C:$I,7,FALSE),""))</f>
        <v/>
      </c>
      <c r="M464" s="71" t="str">
        <f>IF(OR(K464="",L464=""),"",IF(L464=0,"⚠ NO PARENT WIDTH",IF(K464&gt;L464,"⚠ BABY &gt; PARENT","✔ OK")))</f>
        <v/>
      </c>
      <c r="N464" s="71" t="str">
        <f>IF(D464="","",IF(COUNTIF(D$3:D464,D464)&gt;1,"⚠ DUPLICATE",""))</f>
        <v/>
      </c>
      <c r="O464" s="72" t="str">
        <f>IF(B464="","",SUMIF(B:B,B464,G:G)&amp;" / "&amp;IFERROR(VLOOKUP(B464,'Coil Sheet at Plant'!$C:$I,7,FALSE),"?")&amp;" mm")</f>
        <v/>
      </c>
    </row>
    <row r="465" spans="1:15">
      <c r="A465" s="36"/>
      <c r="B465" s="32"/>
      <c r="C465" s="39"/>
      <c r="D465" s="44" t="str">
        <f>IF(OR(B465="",C465=""),"",CONCATENATE(B465,"-",C465))</f>
        <v/>
      </c>
      <c r="E465" s="49" t="str">
        <f>IF(B465="","",IFERROR(VLOOKUP(B465,'Coil Sheet at Plant'!$C:$G,5,FALSE),"ID Not Found"))</f>
        <v/>
      </c>
      <c r="F465" s="50" t="str">
        <f>IF(B465="","",IFERROR(VLOOKUP(B465,'Coil Sheet at Plant'!$C:$H,6,FALSE),"ID Not Found"))</f>
        <v/>
      </c>
      <c r="G465" s="81">
        <v>612</v>
      </c>
      <c r="H465" s="89" t="str">
        <f>IF(OR(B465="",G465=""),"",IFERROR(VLOOKUP(B465,'Coil Sheet at Plant'!$C:$J,8,FALSE),0)*G465/SUMIF(B:B,B465,G:G))</f>
        <v/>
      </c>
      <c r="I465" s="56" t="str">
        <f>IF(B465="","",IFERROR(VLOOKUP(B465,'Coil Sheet at Plant'!$C:$L,9,FALSE),""))</f>
        <v/>
      </c>
      <c r="J465" s="85" t="str">
        <f>IF(B465="","",IFERROR(VLOOKUP(B465,'Coil Sheet at Plant'!$C:$M,10,FALSE),""))</f>
        <v/>
      </c>
      <c r="K465" s="69" t="str">
        <f>IF(B465="","",SUMIF(B:B,B465,G:G))</f>
        <v/>
      </c>
      <c r="L465" s="70" t="str">
        <f>IF(B465="","",IFERROR(VLOOKUP(B465,'Coil Sheet at Plant'!$C:$I,7,FALSE),""))</f>
        <v/>
      </c>
      <c r="M465" s="71" t="str">
        <f>IF(OR(K465="",L465=""),"",IF(L465=0,"⚠ NO PARENT WIDTH",IF(K465&gt;L465,"⚠ BABY &gt; PARENT","✔ OK")))</f>
        <v/>
      </c>
      <c r="N465" s="71" t="str">
        <f>IF(D465="","",IF(COUNTIF(D$3:D465,D465)&gt;1,"⚠ DUPLICATE",""))</f>
        <v/>
      </c>
      <c r="O465" s="72" t="str">
        <f>IF(B465="","",SUMIF(B:B,B465,G:G)&amp;" / "&amp;IFERROR(VLOOKUP(B465,'Coil Sheet at Plant'!$C:$I,7,FALSE),"?")&amp;" mm")</f>
        <v/>
      </c>
    </row>
    <row r="466" spans="1:15">
      <c r="A466" s="36"/>
      <c r="B466" s="32"/>
      <c r="C466" s="39"/>
      <c r="D466" s="44" t="str">
        <f>IF(OR(B466="",C466=""),"",CONCATENATE(B466,"-",C466))</f>
        <v/>
      </c>
      <c r="E466" s="49" t="str">
        <f>IF(B466="","",IFERROR(VLOOKUP(B466,'Coil Sheet at Plant'!$C:$G,5,FALSE),"ID Not Found"))</f>
        <v/>
      </c>
      <c r="F466" s="50" t="str">
        <f>IF(B466="","",IFERROR(VLOOKUP(B466,'Coil Sheet at Plant'!$C:$H,6,FALSE),"ID Not Found"))</f>
        <v/>
      </c>
      <c r="G466" s="81">
        <v>613</v>
      </c>
      <c r="H466" s="89" t="str">
        <f>IF(OR(B466="",G466=""),"",IFERROR(VLOOKUP(B466,'Coil Sheet at Plant'!$C:$J,8,FALSE),0)*G466/SUMIF(B:B,B466,G:G))</f>
        <v/>
      </c>
      <c r="I466" s="56" t="str">
        <f>IF(B466="","",IFERROR(VLOOKUP(B466,'Coil Sheet at Plant'!$C:$L,9,FALSE),""))</f>
        <v/>
      </c>
      <c r="J466" s="85" t="str">
        <f>IF(B466="","",IFERROR(VLOOKUP(B466,'Coil Sheet at Plant'!$C:$M,10,FALSE),""))</f>
        <v/>
      </c>
      <c r="K466" s="69" t="str">
        <f>IF(B466="","",SUMIF(B:B,B466,G:G))</f>
        <v/>
      </c>
      <c r="L466" s="70" t="str">
        <f>IF(B466="","",IFERROR(VLOOKUP(B466,'Coil Sheet at Plant'!$C:$I,7,FALSE),""))</f>
        <v/>
      </c>
      <c r="M466" s="71" t="str">
        <f>IF(OR(K466="",L466=""),"",IF(L466=0,"⚠ NO PARENT WIDTH",IF(K466&gt;L466,"⚠ BABY &gt; PARENT","✔ OK")))</f>
        <v/>
      </c>
      <c r="N466" s="71" t="str">
        <f>IF(D466="","",IF(COUNTIF(D$3:D466,D466)&gt;1,"⚠ DUPLICATE",""))</f>
        <v/>
      </c>
      <c r="O466" s="72" t="str">
        <f>IF(B466="","",SUMIF(B:B,B466,G:G)&amp;" / "&amp;IFERROR(VLOOKUP(B466,'Coil Sheet at Plant'!$C:$I,7,FALSE),"?")&amp;" mm")</f>
        <v/>
      </c>
    </row>
    <row r="467" spans="1:15">
      <c r="A467" s="36"/>
      <c r="B467" s="32"/>
      <c r="C467" s="39"/>
      <c r="D467" s="44" t="str">
        <f>IF(OR(B467="",C467=""),"",CONCATENATE(B467,"-",C467))</f>
        <v/>
      </c>
      <c r="E467" s="49" t="str">
        <f>IF(B467="","",IFERROR(VLOOKUP(B467,'Coil Sheet at Plant'!$C:$G,5,FALSE),"ID Not Found"))</f>
        <v/>
      </c>
      <c r="F467" s="50" t="str">
        <f>IF(B467="","",IFERROR(VLOOKUP(B467,'Coil Sheet at Plant'!$C:$H,6,FALSE),"ID Not Found"))</f>
        <v/>
      </c>
      <c r="G467" s="81">
        <v>614</v>
      </c>
      <c r="H467" s="89" t="str">
        <f>IF(OR(B467="",G467=""),"",IFERROR(VLOOKUP(B467,'Coil Sheet at Plant'!$C:$J,8,FALSE),0)*G467/SUMIF(B:B,B467,G:G))</f>
        <v/>
      </c>
      <c r="I467" s="56" t="str">
        <f>IF(B467="","",IFERROR(VLOOKUP(B467,'Coil Sheet at Plant'!$C:$L,9,FALSE),""))</f>
        <v/>
      </c>
      <c r="J467" s="85" t="str">
        <f>IF(B467="","",IFERROR(VLOOKUP(B467,'Coil Sheet at Plant'!$C:$M,10,FALSE),""))</f>
        <v/>
      </c>
      <c r="K467" s="69" t="str">
        <f>IF(B467="","",SUMIF(B:B,B467,G:G))</f>
        <v/>
      </c>
      <c r="L467" s="70" t="str">
        <f>IF(B467="","",IFERROR(VLOOKUP(B467,'Coil Sheet at Plant'!$C:$I,7,FALSE),""))</f>
        <v/>
      </c>
      <c r="M467" s="71" t="str">
        <f>IF(OR(K467="",L467=""),"",IF(L467=0,"⚠ NO PARENT WIDTH",IF(K467&gt;L467,"⚠ BABY &gt; PARENT","✔ OK")))</f>
        <v/>
      </c>
      <c r="N467" s="71" t="str">
        <f>IF(D467="","",IF(COUNTIF(D$3:D467,D467)&gt;1,"⚠ DUPLICATE",""))</f>
        <v/>
      </c>
      <c r="O467" s="72" t="str">
        <f>IF(B467="","",SUMIF(B:B,B467,G:G)&amp;" / "&amp;IFERROR(VLOOKUP(B467,'Coil Sheet at Plant'!$C:$I,7,FALSE),"?")&amp;" mm")</f>
        <v/>
      </c>
    </row>
    <row r="468" spans="1:15">
      <c r="A468" s="36"/>
      <c r="B468" s="32"/>
      <c r="C468" s="39"/>
      <c r="D468" s="44" t="str">
        <f>IF(OR(B468="",C468=""),"",CONCATENATE(B468,"-",C468))</f>
        <v/>
      </c>
      <c r="E468" s="49" t="str">
        <f>IF(B468="","",IFERROR(VLOOKUP(B468,'Coil Sheet at Plant'!$C:$G,5,FALSE),"ID Not Found"))</f>
        <v/>
      </c>
      <c r="F468" s="50" t="str">
        <f>IF(B468="","",IFERROR(VLOOKUP(B468,'Coil Sheet at Plant'!$C:$H,6,FALSE),"ID Not Found"))</f>
        <v/>
      </c>
      <c r="G468" s="81">
        <v>615</v>
      </c>
      <c r="H468" s="89" t="str">
        <f>IF(OR(B468="",G468=""),"",IFERROR(VLOOKUP(B468,'Coil Sheet at Plant'!$C:$J,8,FALSE),0)*G468/SUMIF(B:B,B468,G:G))</f>
        <v/>
      </c>
      <c r="I468" s="56" t="str">
        <f>IF(B468="","",IFERROR(VLOOKUP(B468,'Coil Sheet at Plant'!$C:$L,9,FALSE),""))</f>
        <v/>
      </c>
      <c r="J468" s="85" t="str">
        <f>IF(B468="","",IFERROR(VLOOKUP(B468,'Coil Sheet at Plant'!$C:$M,10,FALSE),""))</f>
        <v/>
      </c>
      <c r="K468" s="69" t="str">
        <f>IF(B468="","",SUMIF(B:B,B468,G:G))</f>
        <v/>
      </c>
      <c r="L468" s="70" t="str">
        <f>IF(B468="","",IFERROR(VLOOKUP(B468,'Coil Sheet at Plant'!$C:$I,7,FALSE),""))</f>
        <v/>
      </c>
      <c r="M468" s="71" t="str">
        <f>IF(OR(K468="",L468=""),"",IF(L468=0,"⚠ NO PARENT WIDTH",IF(K468&gt;L468,"⚠ BABY &gt; PARENT","✔ OK")))</f>
        <v/>
      </c>
      <c r="N468" s="71" t="str">
        <f>IF(D468="","",IF(COUNTIF(D$3:D468,D468)&gt;1,"⚠ DUPLICATE",""))</f>
        <v/>
      </c>
      <c r="O468" s="72" t="str">
        <f>IF(B468="","",SUMIF(B:B,B468,G:G)&amp;" / "&amp;IFERROR(VLOOKUP(B468,'Coil Sheet at Plant'!$C:$I,7,FALSE),"?")&amp;" mm")</f>
        <v/>
      </c>
    </row>
    <row r="469" spans="1:15">
      <c r="A469" s="36"/>
      <c r="B469" s="32"/>
      <c r="C469" s="39"/>
      <c r="D469" s="44" t="str">
        <f>IF(OR(B469="",C469=""),"",CONCATENATE(B469,"-",C469))</f>
        <v/>
      </c>
      <c r="E469" s="49" t="str">
        <f>IF(B469="","",IFERROR(VLOOKUP(B469,'Coil Sheet at Plant'!$C:$G,5,FALSE),"ID Not Found"))</f>
        <v/>
      </c>
      <c r="F469" s="50" t="str">
        <f>IF(B469="","",IFERROR(VLOOKUP(B469,'Coil Sheet at Plant'!$C:$H,6,FALSE),"ID Not Found"))</f>
        <v/>
      </c>
      <c r="G469" s="81">
        <v>616</v>
      </c>
      <c r="H469" s="89" t="str">
        <f>IF(OR(B469="",G469=""),"",IFERROR(VLOOKUP(B469,'Coil Sheet at Plant'!$C:$J,8,FALSE),0)*G469/SUMIF(B:B,B469,G:G))</f>
        <v/>
      </c>
      <c r="I469" s="56" t="str">
        <f>IF(B469="","",IFERROR(VLOOKUP(B469,'Coil Sheet at Plant'!$C:$L,9,FALSE),""))</f>
        <v/>
      </c>
      <c r="J469" s="85" t="str">
        <f>IF(B469="","",IFERROR(VLOOKUP(B469,'Coil Sheet at Plant'!$C:$M,10,FALSE),""))</f>
        <v/>
      </c>
      <c r="K469" s="69" t="str">
        <f>IF(B469="","",SUMIF(B:B,B469,G:G))</f>
        <v/>
      </c>
      <c r="L469" s="70" t="str">
        <f>IF(B469="","",IFERROR(VLOOKUP(B469,'Coil Sheet at Plant'!$C:$I,7,FALSE),""))</f>
        <v/>
      </c>
      <c r="M469" s="71" t="str">
        <f>IF(OR(K469="",L469=""),"",IF(L469=0,"⚠ NO PARENT WIDTH",IF(K469&gt;L469,"⚠ BABY &gt; PARENT","✔ OK")))</f>
        <v/>
      </c>
      <c r="N469" s="71" t="str">
        <f>IF(D469="","",IF(COUNTIF(D$3:D469,D469)&gt;1,"⚠ DUPLICATE",""))</f>
        <v/>
      </c>
      <c r="O469" s="72" t="str">
        <f>IF(B469="","",SUMIF(B:B,B469,G:G)&amp;" / "&amp;IFERROR(VLOOKUP(B469,'Coil Sheet at Plant'!$C:$I,7,FALSE),"?")&amp;" mm")</f>
        <v/>
      </c>
    </row>
    <row r="470" spans="1:15">
      <c r="A470" s="36"/>
      <c r="B470" s="32"/>
      <c r="C470" s="39"/>
      <c r="D470" s="44" t="str">
        <f>IF(OR(B470="",C470=""),"",CONCATENATE(B470,"-",C470))</f>
        <v/>
      </c>
      <c r="E470" s="49" t="str">
        <f>IF(B470="","",IFERROR(VLOOKUP(B470,'Coil Sheet at Plant'!$C:$G,5,FALSE),"ID Not Found"))</f>
        <v/>
      </c>
      <c r="F470" s="50" t="str">
        <f>IF(B470="","",IFERROR(VLOOKUP(B470,'Coil Sheet at Plant'!$C:$H,6,FALSE),"ID Not Found"))</f>
        <v/>
      </c>
      <c r="G470" s="81">
        <v>617</v>
      </c>
      <c r="H470" s="89" t="str">
        <f>IF(OR(B470="",G470=""),"",IFERROR(VLOOKUP(B470,'Coil Sheet at Plant'!$C:$J,8,FALSE),0)*G470/SUMIF(B:B,B470,G:G))</f>
        <v/>
      </c>
      <c r="I470" s="56" t="str">
        <f>IF(B470="","",IFERROR(VLOOKUP(B470,'Coil Sheet at Plant'!$C:$L,9,FALSE),""))</f>
        <v/>
      </c>
      <c r="J470" s="85" t="str">
        <f>IF(B470="","",IFERROR(VLOOKUP(B470,'Coil Sheet at Plant'!$C:$M,10,FALSE),""))</f>
        <v/>
      </c>
      <c r="K470" s="69" t="str">
        <f>IF(B470="","",SUMIF(B:B,B470,G:G))</f>
        <v/>
      </c>
      <c r="L470" s="70" t="str">
        <f>IF(B470="","",IFERROR(VLOOKUP(B470,'Coil Sheet at Plant'!$C:$I,7,FALSE),""))</f>
        <v/>
      </c>
      <c r="M470" s="71" t="str">
        <f>IF(OR(K470="",L470=""),"",IF(L470=0,"⚠ NO PARENT WIDTH",IF(K470&gt;L470,"⚠ BABY &gt; PARENT","✔ OK")))</f>
        <v/>
      </c>
      <c r="N470" s="71" t="str">
        <f>IF(D470="","",IF(COUNTIF(D$3:D470,D470)&gt;1,"⚠ DUPLICATE",""))</f>
        <v/>
      </c>
      <c r="O470" s="72" t="str">
        <f>IF(B470="","",SUMIF(B:B,B470,G:G)&amp;" / "&amp;IFERROR(VLOOKUP(B470,'Coil Sheet at Plant'!$C:$I,7,FALSE),"?")&amp;" mm")</f>
        <v/>
      </c>
    </row>
    <row r="471" spans="1:15">
      <c r="A471" s="36"/>
      <c r="B471" s="32"/>
      <c r="C471" s="39"/>
      <c r="D471" s="44" t="str">
        <f>IF(OR(B471="",C471=""),"",CONCATENATE(B471,"-",C471))</f>
        <v/>
      </c>
      <c r="E471" s="49" t="str">
        <f>IF(B471="","",IFERROR(VLOOKUP(B471,'Coil Sheet at Plant'!$C:$G,5,FALSE),"ID Not Found"))</f>
        <v/>
      </c>
      <c r="F471" s="50" t="str">
        <f>IF(B471="","",IFERROR(VLOOKUP(B471,'Coil Sheet at Plant'!$C:$H,6,FALSE),"ID Not Found"))</f>
        <v/>
      </c>
      <c r="G471" s="81">
        <v>618</v>
      </c>
      <c r="H471" s="89" t="str">
        <f>IF(OR(B471="",G471=""),"",IFERROR(VLOOKUP(B471,'Coil Sheet at Plant'!$C:$J,8,FALSE),0)*G471/SUMIF(B:B,B471,G:G))</f>
        <v/>
      </c>
      <c r="I471" s="56" t="str">
        <f>IF(B471="","",IFERROR(VLOOKUP(B471,'Coil Sheet at Plant'!$C:$L,9,FALSE),""))</f>
        <v/>
      </c>
      <c r="J471" s="85" t="str">
        <f>IF(B471="","",IFERROR(VLOOKUP(B471,'Coil Sheet at Plant'!$C:$M,10,FALSE),""))</f>
        <v/>
      </c>
      <c r="K471" s="69" t="str">
        <f>IF(B471="","",SUMIF(B:B,B471,G:G))</f>
        <v/>
      </c>
      <c r="L471" s="70" t="str">
        <f>IF(B471="","",IFERROR(VLOOKUP(B471,'Coil Sheet at Plant'!$C:$I,7,FALSE),""))</f>
        <v/>
      </c>
      <c r="M471" s="71" t="str">
        <f>IF(OR(K471="",L471=""),"",IF(L471=0,"⚠ NO PARENT WIDTH",IF(K471&gt;L471,"⚠ BABY &gt; PARENT","✔ OK")))</f>
        <v/>
      </c>
      <c r="N471" s="71" t="str">
        <f>IF(D471="","",IF(COUNTIF(D$3:D471,D471)&gt;1,"⚠ DUPLICATE",""))</f>
        <v/>
      </c>
      <c r="O471" s="72" t="str">
        <f>IF(B471="","",SUMIF(B:B,B471,G:G)&amp;" / "&amp;IFERROR(VLOOKUP(B471,'Coil Sheet at Plant'!$C:$I,7,FALSE),"?")&amp;" mm")</f>
        <v/>
      </c>
    </row>
    <row r="472" spans="1:15">
      <c r="A472" s="36"/>
      <c r="B472" s="32"/>
      <c r="C472" s="39"/>
      <c r="D472" s="44" t="str">
        <f>IF(OR(B472="",C472=""),"",CONCATENATE(B472,"-",C472))</f>
        <v/>
      </c>
      <c r="E472" s="49" t="str">
        <f>IF(B472="","",IFERROR(VLOOKUP(B472,'Coil Sheet at Plant'!$C:$G,5,FALSE),"ID Not Found"))</f>
        <v/>
      </c>
      <c r="F472" s="50" t="str">
        <f>IF(B472="","",IFERROR(VLOOKUP(B472,'Coil Sheet at Plant'!$C:$H,6,FALSE),"ID Not Found"))</f>
        <v/>
      </c>
      <c r="G472" s="81">
        <v>619</v>
      </c>
      <c r="H472" s="89" t="str">
        <f>IF(OR(B472="",G472=""),"",IFERROR(VLOOKUP(B472,'Coil Sheet at Plant'!$C:$J,8,FALSE),0)*G472/SUMIF(B:B,B472,G:G))</f>
        <v/>
      </c>
      <c r="I472" s="56" t="str">
        <f>IF(B472="","",IFERROR(VLOOKUP(B472,'Coil Sheet at Plant'!$C:$L,9,FALSE),""))</f>
        <v/>
      </c>
      <c r="J472" s="85" t="str">
        <f>IF(B472="","",IFERROR(VLOOKUP(B472,'Coil Sheet at Plant'!$C:$M,10,FALSE),""))</f>
        <v/>
      </c>
      <c r="K472" s="69" t="str">
        <f>IF(B472="","",SUMIF(B:B,B472,G:G))</f>
        <v/>
      </c>
      <c r="L472" s="70" t="str">
        <f>IF(B472="","",IFERROR(VLOOKUP(B472,'Coil Sheet at Plant'!$C:$I,7,FALSE),""))</f>
        <v/>
      </c>
      <c r="M472" s="71" t="str">
        <f>IF(OR(K472="",L472=""),"",IF(L472=0,"⚠ NO PARENT WIDTH",IF(K472&gt;L472,"⚠ BABY &gt; PARENT","✔ OK")))</f>
        <v/>
      </c>
      <c r="N472" s="71" t="str">
        <f>IF(D472="","",IF(COUNTIF(D$3:D472,D472)&gt;1,"⚠ DUPLICATE",""))</f>
        <v/>
      </c>
      <c r="O472" s="72" t="str">
        <f>IF(B472="","",SUMIF(B:B,B472,G:G)&amp;" / "&amp;IFERROR(VLOOKUP(B472,'Coil Sheet at Plant'!$C:$I,7,FALSE),"?")&amp;" mm")</f>
        <v/>
      </c>
    </row>
    <row r="473" spans="1:15">
      <c r="A473" s="36"/>
      <c r="B473" s="32"/>
      <c r="C473" s="39"/>
      <c r="D473" s="44" t="str">
        <f>IF(OR(B473="",C473=""),"",CONCATENATE(B473,"-",C473))</f>
        <v/>
      </c>
      <c r="E473" s="49" t="str">
        <f>IF(B473="","",IFERROR(VLOOKUP(B473,'Coil Sheet at Plant'!$C:$G,5,FALSE),"ID Not Found"))</f>
        <v/>
      </c>
      <c r="F473" s="50" t="str">
        <f>IF(B473="","",IFERROR(VLOOKUP(B473,'Coil Sheet at Plant'!$C:$H,6,FALSE),"ID Not Found"))</f>
        <v/>
      </c>
      <c r="G473" s="81">
        <v>620</v>
      </c>
      <c r="H473" s="89" t="str">
        <f>IF(OR(B473="",G473=""),"",IFERROR(VLOOKUP(B473,'Coil Sheet at Plant'!$C:$J,8,FALSE),0)*G473/SUMIF(B:B,B473,G:G))</f>
        <v/>
      </c>
      <c r="I473" s="56" t="str">
        <f>IF(B473="","",IFERROR(VLOOKUP(B473,'Coil Sheet at Plant'!$C:$L,9,FALSE),""))</f>
        <v/>
      </c>
      <c r="J473" s="85" t="str">
        <f>IF(B473="","",IFERROR(VLOOKUP(B473,'Coil Sheet at Plant'!$C:$M,10,FALSE),""))</f>
        <v/>
      </c>
      <c r="K473" s="69" t="str">
        <f>IF(B473="","",SUMIF(B:B,B473,G:G))</f>
        <v/>
      </c>
      <c r="L473" s="70" t="str">
        <f>IF(B473="","",IFERROR(VLOOKUP(B473,'Coil Sheet at Plant'!$C:$I,7,FALSE),""))</f>
        <v/>
      </c>
      <c r="M473" s="71" t="str">
        <f>IF(OR(K473="",L473=""),"",IF(L473=0,"⚠ NO PARENT WIDTH",IF(K473&gt;L473,"⚠ BABY &gt; PARENT","✔ OK")))</f>
        <v/>
      </c>
      <c r="N473" s="71" t="str">
        <f>IF(D473="","",IF(COUNTIF(D$3:D473,D473)&gt;1,"⚠ DUPLICATE",""))</f>
        <v/>
      </c>
      <c r="O473" s="72" t="str">
        <f>IF(B473="","",SUMIF(B:B,B473,G:G)&amp;" / "&amp;IFERROR(VLOOKUP(B473,'Coil Sheet at Plant'!$C:$I,7,FALSE),"?")&amp;" mm")</f>
        <v/>
      </c>
    </row>
    <row r="474" spans="1:15">
      <c r="A474" s="36"/>
      <c r="B474" s="32"/>
      <c r="C474" s="39"/>
      <c r="D474" s="44" t="str">
        <f>IF(OR(B474="",C474=""),"",CONCATENATE(B474,"-",C474))</f>
        <v/>
      </c>
      <c r="E474" s="49" t="str">
        <f>IF(B474="","",IFERROR(VLOOKUP(B474,'Coil Sheet at Plant'!$C:$G,5,FALSE),"ID Not Found"))</f>
        <v/>
      </c>
      <c r="F474" s="50" t="str">
        <f>IF(B474="","",IFERROR(VLOOKUP(B474,'Coil Sheet at Plant'!$C:$H,6,FALSE),"ID Not Found"))</f>
        <v/>
      </c>
      <c r="G474" s="81">
        <v>621</v>
      </c>
      <c r="H474" s="89" t="str">
        <f>IF(OR(B474="",G474=""),"",IFERROR(VLOOKUP(B474,'Coil Sheet at Plant'!$C:$J,8,FALSE),0)*G474/SUMIF(B:B,B474,G:G))</f>
        <v/>
      </c>
      <c r="I474" s="56" t="str">
        <f>IF(B474="","",IFERROR(VLOOKUP(B474,'Coil Sheet at Plant'!$C:$L,9,FALSE),""))</f>
        <v/>
      </c>
      <c r="J474" s="85" t="str">
        <f>IF(B474="","",IFERROR(VLOOKUP(B474,'Coil Sheet at Plant'!$C:$M,10,FALSE),""))</f>
        <v/>
      </c>
      <c r="K474" s="69" t="str">
        <f>IF(B474="","",SUMIF(B:B,B474,G:G))</f>
        <v/>
      </c>
      <c r="L474" s="70" t="str">
        <f>IF(B474="","",IFERROR(VLOOKUP(B474,'Coil Sheet at Plant'!$C:$I,7,FALSE),""))</f>
        <v/>
      </c>
      <c r="M474" s="71" t="str">
        <f>IF(OR(K474="",L474=""),"",IF(L474=0,"⚠ NO PARENT WIDTH",IF(K474&gt;L474,"⚠ BABY &gt; PARENT","✔ OK")))</f>
        <v/>
      </c>
      <c r="N474" s="71" t="str">
        <f>IF(D474="","",IF(COUNTIF(D$3:D474,D474)&gt;1,"⚠ DUPLICATE",""))</f>
        <v/>
      </c>
      <c r="O474" s="72" t="str">
        <f>IF(B474="","",SUMIF(B:B,B474,G:G)&amp;" / "&amp;IFERROR(VLOOKUP(B474,'Coil Sheet at Plant'!$C:$I,7,FALSE),"?")&amp;" mm")</f>
        <v/>
      </c>
    </row>
    <row r="475" spans="1:15">
      <c r="A475" s="36"/>
      <c r="B475" s="32"/>
      <c r="C475" s="39"/>
      <c r="D475" s="44" t="str">
        <f>IF(OR(B475="",C475=""),"",CONCATENATE(B475,"-",C475))</f>
        <v/>
      </c>
      <c r="E475" s="49" t="str">
        <f>IF(B475="","",IFERROR(VLOOKUP(B475,'Coil Sheet at Plant'!$C:$G,5,FALSE),"ID Not Found"))</f>
        <v/>
      </c>
      <c r="F475" s="50" t="str">
        <f>IF(B475="","",IFERROR(VLOOKUP(B475,'Coil Sheet at Plant'!$C:$H,6,FALSE),"ID Not Found"))</f>
        <v/>
      </c>
      <c r="G475" s="81">
        <v>622</v>
      </c>
      <c r="H475" s="89" t="str">
        <f>IF(OR(B475="",G475=""),"",IFERROR(VLOOKUP(B475,'Coil Sheet at Plant'!$C:$J,8,FALSE),0)*G475/SUMIF(B:B,B475,G:G))</f>
        <v/>
      </c>
      <c r="I475" s="56" t="str">
        <f>IF(B475="","",IFERROR(VLOOKUP(B475,'Coil Sheet at Plant'!$C:$L,9,FALSE),""))</f>
        <v/>
      </c>
      <c r="J475" s="85" t="str">
        <f>IF(B475="","",IFERROR(VLOOKUP(B475,'Coil Sheet at Plant'!$C:$M,10,FALSE),""))</f>
        <v/>
      </c>
      <c r="K475" s="69" t="str">
        <f>IF(B475="","",SUMIF(B:B,B475,G:G))</f>
        <v/>
      </c>
      <c r="L475" s="70" t="str">
        <f>IF(B475="","",IFERROR(VLOOKUP(B475,'Coil Sheet at Plant'!$C:$I,7,FALSE),""))</f>
        <v/>
      </c>
      <c r="M475" s="71" t="str">
        <f>IF(OR(K475="",L475=""),"",IF(L475=0,"⚠ NO PARENT WIDTH",IF(K475&gt;L475,"⚠ BABY &gt; PARENT","✔ OK")))</f>
        <v/>
      </c>
      <c r="N475" s="71" t="str">
        <f>IF(D475="","",IF(COUNTIF(D$3:D475,D475)&gt;1,"⚠ DUPLICATE",""))</f>
        <v/>
      </c>
      <c r="O475" s="72" t="str">
        <f>IF(B475="","",SUMIF(B:B,B475,G:G)&amp;" / "&amp;IFERROR(VLOOKUP(B475,'Coil Sheet at Plant'!$C:$I,7,FALSE),"?")&amp;" mm")</f>
        <v/>
      </c>
    </row>
    <row r="476" spans="1:15">
      <c r="A476" s="36"/>
      <c r="B476" s="32"/>
      <c r="C476" s="39"/>
      <c r="D476" s="44" t="str">
        <f>IF(OR(B476="",C476=""),"",CONCATENATE(B476,"-",C476))</f>
        <v/>
      </c>
      <c r="E476" s="49" t="str">
        <f>IF(B476="","",IFERROR(VLOOKUP(B476,'Coil Sheet at Plant'!$C:$G,5,FALSE),"ID Not Found"))</f>
        <v/>
      </c>
      <c r="F476" s="50" t="str">
        <f>IF(B476="","",IFERROR(VLOOKUP(B476,'Coil Sheet at Plant'!$C:$H,6,FALSE),"ID Not Found"))</f>
        <v/>
      </c>
      <c r="G476" s="81">
        <v>623</v>
      </c>
      <c r="H476" s="89" t="str">
        <f>IF(OR(B476="",G476=""),"",IFERROR(VLOOKUP(B476,'Coil Sheet at Plant'!$C:$J,8,FALSE),0)*G476/SUMIF(B:B,B476,G:G))</f>
        <v/>
      </c>
      <c r="I476" s="56" t="str">
        <f>IF(B476="","",IFERROR(VLOOKUP(B476,'Coil Sheet at Plant'!$C:$L,9,FALSE),""))</f>
        <v/>
      </c>
      <c r="J476" s="85" t="str">
        <f>IF(B476="","",IFERROR(VLOOKUP(B476,'Coil Sheet at Plant'!$C:$M,10,FALSE),""))</f>
        <v/>
      </c>
      <c r="K476" s="69" t="str">
        <f>IF(B476="","",SUMIF(B:B,B476,G:G))</f>
        <v/>
      </c>
      <c r="L476" s="70" t="str">
        <f>IF(B476="","",IFERROR(VLOOKUP(B476,'Coil Sheet at Plant'!$C:$I,7,FALSE),""))</f>
        <v/>
      </c>
      <c r="M476" s="71" t="str">
        <f>IF(OR(K476="",L476=""),"",IF(L476=0,"⚠ NO PARENT WIDTH",IF(K476&gt;L476,"⚠ BABY &gt; PARENT","✔ OK")))</f>
        <v/>
      </c>
      <c r="N476" s="71" t="str">
        <f>IF(D476="","",IF(COUNTIF(D$3:D476,D476)&gt;1,"⚠ DUPLICATE",""))</f>
        <v/>
      </c>
      <c r="O476" s="72" t="str">
        <f>IF(B476="","",SUMIF(B:B,B476,G:G)&amp;" / "&amp;IFERROR(VLOOKUP(B476,'Coil Sheet at Plant'!$C:$I,7,FALSE),"?")&amp;" mm")</f>
        <v/>
      </c>
    </row>
    <row r="477" spans="1:15">
      <c r="A477" s="36"/>
      <c r="B477" s="32"/>
      <c r="C477" s="39"/>
      <c r="D477" s="44" t="str">
        <f>IF(OR(B477="",C477=""),"",CONCATENATE(B477,"-",C477))</f>
        <v/>
      </c>
      <c r="E477" s="49" t="str">
        <f>IF(B477="","",IFERROR(VLOOKUP(B477,'Coil Sheet at Plant'!$C:$G,5,FALSE),"ID Not Found"))</f>
        <v/>
      </c>
      <c r="F477" s="50" t="str">
        <f>IF(B477="","",IFERROR(VLOOKUP(B477,'Coil Sheet at Plant'!$C:$H,6,FALSE),"ID Not Found"))</f>
        <v/>
      </c>
      <c r="G477" s="81">
        <v>624</v>
      </c>
      <c r="H477" s="89" t="str">
        <f>IF(OR(B477="",G477=""),"",IFERROR(VLOOKUP(B477,'Coil Sheet at Plant'!$C:$J,8,FALSE),0)*G477/SUMIF(B:B,B477,G:G))</f>
        <v/>
      </c>
      <c r="I477" s="56" t="str">
        <f>IF(B477="","",IFERROR(VLOOKUP(B477,'Coil Sheet at Plant'!$C:$L,9,FALSE),""))</f>
        <v/>
      </c>
      <c r="J477" s="85" t="str">
        <f>IF(B477="","",IFERROR(VLOOKUP(B477,'Coil Sheet at Plant'!$C:$M,10,FALSE),""))</f>
        <v/>
      </c>
      <c r="K477" s="69" t="str">
        <f>IF(B477="","",SUMIF(B:B,B477,G:G))</f>
        <v/>
      </c>
      <c r="L477" s="70" t="str">
        <f>IF(B477="","",IFERROR(VLOOKUP(B477,'Coil Sheet at Plant'!$C:$I,7,FALSE),""))</f>
        <v/>
      </c>
      <c r="M477" s="71" t="str">
        <f>IF(OR(K477="",L477=""),"",IF(L477=0,"⚠ NO PARENT WIDTH",IF(K477&gt;L477,"⚠ BABY &gt; PARENT","✔ OK")))</f>
        <v/>
      </c>
      <c r="N477" s="71" t="str">
        <f>IF(D477="","",IF(COUNTIF(D$3:D477,D477)&gt;1,"⚠ DUPLICATE",""))</f>
        <v/>
      </c>
      <c r="O477" s="72" t="str">
        <f>IF(B477="","",SUMIF(B:B,B477,G:G)&amp;" / "&amp;IFERROR(VLOOKUP(B477,'Coil Sheet at Plant'!$C:$I,7,FALSE),"?")&amp;" mm")</f>
        <v/>
      </c>
    </row>
    <row r="478" spans="1:15">
      <c r="A478" s="36"/>
      <c r="B478" s="32"/>
      <c r="C478" s="39"/>
      <c r="D478" s="44" t="str">
        <f>IF(OR(B478="",C478=""),"",CONCATENATE(B478,"-",C478))</f>
        <v/>
      </c>
      <c r="E478" s="49" t="str">
        <f>IF(B478="","",IFERROR(VLOOKUP(B478,'Coil Sheet at Plant'!$C:$G,5,FALSE),"ID Not Found"))</f>
        <v/>
      </c>
      <c r="F478" s="50" t="str">
        <f>IF(B478="","",IFERROR(VLOOKUP(B478,'Coil Sheet at Plant'!$C:$H,6,FALSE),"ID Not Found"))</f>
        <v/>
      </c>
      <c r="G478" s="81">
        <v>625</v>
      </c>
      <c r="H478" s="89" t="str">
        <f>IF(OR(B478="",G478=""),"",IFERROR(VLOOKUP(B478,'Coil Sheet at Plant'!$C:$J,8,FALSE),0)*G478/SUMIF(B:B,B478,G:G))</f>
        <v/>
      </c>
      <c r="I478" s="56" t="str">
        <f>IF(B478="","",IFERROR(VLOOKUP(B478,'Coil Sheet at Plant'!$C:$L,9,FALSE),""))</f>
        <v/>
      </c>
      <c r="J478" s="85" t="str">
        <f>IF(B478="","",IFERROR(VLOOKUP(B478,'Coil Sheet at Plant'!$C:$M,10,FALSE),""))</f>
        <v/>
      </c>
      <c r="K478" s="69" t="str">
        <f>IF(B478="","",SUMIF(B:B,B478,G:G))</f>
        <v/>
      </c>
      <c r="L478" s="70" t="str">
        <f>IF(B478="","",IFERROR(VLOOKUP(B478,'Coil Sheet at Plant'!$C:$I,7,FALSE),""))</f>
        <v/>
      </c>
      <c r="M478" s="71" t="str">
        <f>IF(OR(K478="",L478=""),"",IF(L478=0,"⚠ NO PARENT WIDTH",IF(K478&gt;L478,"⚠ BABY &gt; PARENT","✔ OK")))</f>
        <v/>
      </c>
      <c r="N478" s="71" t="str">
        <f>IF(D478="","",IF(COUNTIF(D$3:D478,D478)&gt;1,"⚠ DUPLICATE",""))</f>
        <v/>
      </c>
      <c r="O478" s="72" t="str">
        <f>IF(B478="","",SUMIF(B:B,B478,G:G)&amp;" / "&amp;IFERROR(VLOOKUP(B478,'Coil Sheet at Plant'!$C:$I,7,FALSE),"?")&amp;" mm")</f>
        <v/>
      </c>
    </row>
    <row r="479" spans="1:15">
      <c r="A479" s="36"/>
      <c r="B479" s="32"/>
      <c r="C479" s="39"/>
      <c r="D479" s="44" t="str">
        <f>IF(OR(B479="",C479=""),"",CONCATENATE(B479,"-",C479))</f>
        <v/>
      </c>
      <c r="E479" s="49" t="str">
        <f>IF(B479="","",IFERROR(VLOOKUP(B479,'Coil Sheet at Plant'!$C:$G,5,FALSE),"ID Not Found"))</f>
        <v/>
      </c>
      <c r="F479" s="50" t="str">
        <f>IF(B479="","",IFERROR(VLOOKUP(B479,'Coil Sheet at Plant'!$C:$H,6,FALSE),"ID Not Found"))</f>
        <v/>
      </c>
      <c r="G479" s="81">
        <v>626</v>
      </c>
      <c r="H479" s="89" t="str">
        <f>IF(OR(B479="",G479=""),"",IFERROR(VLOOKUP(B479,'Coil Sheet at Plant'!$C:$J,8,FALSE),0)*G479/SUMIF(B:B,B479,G:G))</f>
        <v/>
      </c>
      <c r="I479" s="56" t="str">
        <f>IF(B479="","",IFERROR(VLOOKUP(B479,'Coil Sheet at Plant'!$C:$L,9,FALSE),""))</f>
        <v/>
      </c>
      <c r="J479" s="85" t="str">
        <f>IF(B479="","",IFERROR(VLOOKUP(B479,'Coil Sheet at Plant'!$C:$M,10,FALSE),""))</f>
        <v/>
      </c>
      <c r="K479" s="69" t="str">
        <f>IF(B479="","",SUMIF(B:B,B479,G:G))</f>
        <v/>
      </c>
      <c r="L479" s="70" t="str">
        <f>IF(B479="","",IFERROR(VLOOKUP(B479,'Coil Sheet at Plant'!$C:$I,7,FALSE),""))</f>
        <v/>
      </c>
      <c r="M479" s="71" t="str">
        <f>IF(OR(K479="",L479=""),"",IF(L479=0,"⚠ NO PARENT WIDTH",IF(K479&gt;L479,"⚠ BABY &gt; PARENT","✔ OK")))</f>
        <v/>
      </c>
      <c r="N479" s="71" t="str">
        <f>IF(D479="","",IF(COUNTIF(D$3:D479,D479)&gt;1,"⚠ DUPLICATE",""))</f>
        <v/>
      </c>
      <c r="O479" s="72" t="str">
        <f>IF(B479="","",SUMIF(B:B,B479,G:G)&amp;" / "&amp;IFERROR(VLOOKUP(B479,'Coil Sheet at Plant'!$C:$I,7,FALSE),"?")&amp;" mm")</f>
        <v/>
      </c>
    </row>
    <row r="480" spans="1:15">
      <c r="A480" s="36"/>
      <c r="B480" s="32"/>
      <c r="C480" s="39"/>
      <c r="D480" s="44" t="str">
        <f>IF(OR(B480="",C480=""),"",CONCATENATE(B480,"-",C480))</f>
        <v/>
      </c>
      <c r="E480" s="49" t="str">
        <f>IF(B480="","",IFERROR(VLOOKUP(B480,'Coil Sheet at Plant'!$C:$G,5,FALSE),"ID Not Found"))</f>
        <v/>
      </c>
      <c r="F480" s="50" t="str">
        <f>IF(B480="","",IFERROR(VLOOKUP(B480,'Coil Sheet at Plant'!$C:$H,6,FALSE),"ID Not Found"))</f>
        <v/>
      </c>
      <c r="G480" s="81">
        <v>627</v>
      </c>
      <c r="H480" s="89" t="str">
        <f>IF(OR(B480="",G480=""),"",IFERROR(VLOOKUP(B480,'Coil Sheet at Plant'!$C:$J,8,FALSE),0)*G480/SUMIF(B:B,B480,G:G))</f>
        <v/>
      </c>
      <c r="I480" s="56" t="str">
        <f>IF(B480="","",IFERROR(VLOOKUP(B480,'Coil Sheet at Plant'!$C:$L,9,FALSE),""))</f>
        <v/>
      </c>
      <c r="J480" s="85" t="str">
        <f>IF(B480="","",IFERROR(VLOOKUP(B480,'Coil Sheet at Plant'!$C:$M,10,FALSE),""))</f>
        <v/>
      </c>
      <c r="K480" s="69" t="str">
        <f>IF(B480="","",SUMIF(B:B,B480,G:G))</f>
        <v/>
      </c>
      <c r="L480" s="70" t="str">
        <f>IF(B480="","",IFERROR(VLOOKUP(B480,'Coil Sheet at Plant'!$C:$I,7,FALSE),""))</f>
        <v/>
      </c>
      <c r="M480" s="71" t="str">
        <f>IF(OR(K480="",L480=""),"",IF(L480=0,"⚠ NO PARENT WIDTH",IF(K480&gt;L480,"⚠ BABY &gt; PARENT","✔ OK")))</f>
        <v/>
      </c>
      <c r="N480" s="71" t="str">
        <f>IF(D480="","",IF(COUNTIF(D$3:D480,D480)&gt;1,"⚠ DUPLICATE",""))</f>
        <v/>
      </c>
      <c r="O480" s="72" t="str">
        <f>IF(B480="","",SUMIF(B:B,B480,G:G)&amp;" / "&amp;IFERROR(VLOOKUP(B480,'Coil Sheet at Plant'!$C:$I,7,FALSE),"?")&amp;" mm")</f>
        <v/>
      </c>
    </row>
    <row r="481" spans="1:15">
      <c r="A481" s="36"/>
      <c r="B481" s="32"/>
      <c r="C481" s="39"/>
      <c r="D481" s="44" t="str">
        <f>IF(OR(B481="",C481=""),"",CONCATENATE(B481,"-",C481))</f>
        <v/>
      </c>
      <c r="E481" s="49" t="str">
        <f>IF(B481="","",IFERROR(VLOOKUP(B481,'Coil Sheet at Plant'!$C:$G,5,FALSE),"ID Not Found"))</f>
        <v/>
      </c>
      <c r="F481" s="50" t="str">
        <f>IF(B481="","",IFERROR(VLOOKUP(B481,'Coil Sheet at Plant'!$C:$H,6,FALSE),"ID Not Found"))</f>
        <v/>
      </c>
      <c r="G481" s="81">
        <v>628</v>
      </c>
      <c r="H481" s="89" t="str">
        <f>IF(OR(B481="",G481=""),"",IFERROR(VLOOKUP(B481,'Coil Sheet at Plant'!$C:$J,8,FALSE),0)*G481/SUMIF(B:B,B481,G:G))</f>
        <v/>
      </c>
      <c r="I481" s="56" t="str">
        <f>IF(B481="","",IFERROR(VLOOKUP(B481,'Coil Sheet at Plant'!$C:$L,9,FALSE),""))</f>
        <v/>
      </c>
      <c r="J481" s="85" t="str">
        <f>IF(B481="","",IFERROR(VLOOKUP(B481,'Coil Sheet at Plant'!$C:$M,10,FALSE),""))</f>
        <v/>
      </c>
      <c r="K481" s="69" t="str">
        <f>IF(B481="","",SUMIF(B:B,B481,G:G))</f>
        <v/>
      </c>
      <c r="L481" s="70" t="str">
        <f>IF(B481="","",IFERROR(VLOOKUP(B481,'Coil Sheet at Plant'!$C:$I,7,FALSE),""))</f>
        <v/>
      </c>
      <c r="M481" s="71" t="str">
        <f>IF(OR(K481="",L481=""),"",IF(L481=0,"⚠ NO PARENT WIDTH",IF(K481&gt;L481,"⚠ BABY &gt; PARENT","✔ OK")))</f>
        <v/>
      </c>
      <c r="N481" s="71" t="str">
        <f>IF(D481="","",IF(COUNTIF(D$3:D481,D481)&gt;1,"⚠ DUPLICATE",""))</f>
        <v/>
      </c>
      <c r="O481" s="72" t="str">
        <f>IF(B481="","",SUMIF(B:B,B481,G:G)&amp;" / "&amp;IFERROR(VLOOKUP(B481,'Coil Sheet at Plant'!$C:$I,7,FALSE),"?")&amp;" mm")</f>
        <v/>
      </c>
    </row>
    <row r="482" spans="1:15">
      <c r="A482" s="36"/>
      <c r="B482" s="32"/>
      <c r="C482" s="39"/>
      <c r="D482" s="44" t="str">
        <f>IF(OR(B482="",C482=""),"",CONCATENATE(B482,"-",C482))</f>
        <v/>
      </c>
      <c r="E482" s="49" t="str">
        <f>IF(B482="","",IFERROR(VLOOKUP(B482,'Coil Sheet at Plant'!$C:$G,5,FALSE),"ID Not Found"))</f>
        <v/>
      </c>
      <c r="F482" s="50" t="str">
        <f>IF(B482="","",IFERROR(VLOOKUP(B482,'Coil Sheet at Plant'!$C:$H,6,FALSE),"ID Not Found"))</f>
        <v/>
      </c>
      <c r="G482" s="81">
        <v>629</v>
      </c>
      <c r="H482" s="89" t="str">
        <f>IF(OR(B482="",G482=""),"",IFERROR(VLOOKUP(B482,'Coil Sheet at Plant'!$C:$J,8,FALSE),0)*G482/SUMIF(B:B,B482,G:G))</f>
        <v/>
      </c>
      <c r="I482" s="56" t="str">
        <f>IF(B482="","",IFERROR(VLOOKUP(B482,'Coil Sheet at Plant'!$C:$L,9,FALSE),""))</f>
        <v/>
      </c>
      <c r="J482" s="85" t="str">
        <f>IF(B482="","",IFERROR(VLOOKUP(B482,'Coil Sheet at Plant'!$C:$M,10,FALSE),""))</f>
        <v/>
      </c>
      <c r="K482" s="69" t="str">
        <f>IF(B482="","",SUMIF(B:B,B482,G:G))</f>
        <v/>
      </c>
      <c r="L482" s="70" t="str">
        <f>IF(B482="","",IFERROR(VLOOKUP(B482,'Coil Sheet at Plant'!$C:$I,7,FALSE),""))</f>
        <v/>
      </c>
      <c r="M482" s="71" t="str">
        <f>IF(OR(K482="",L482=""),"",IF(L482=0,"⚠ NO PARENT WIDTH",IF(K482&gt;L482,"⚠ BABY &gt; PARENT","✔ OK")))</f>
        <v/>
      </c>
      <c r="N482" s="71" t="str">
        <f>IF(D482="","",IF(COUNTIF(D$3:D482,D482)&gt;1,"⚠ DUPLICATE",""))</f>
        <v/>
      </c>
      <c r="O482" s="72" t="str">
        <f>IF(B482="","",SUMIF(B:B,B482,G:G)&amp;" / "&amp;IFERROR(VLOOKUP(B482,'Coil Sheet at Plant'!$C:$I,7,FALSE),"?")&amp;" mm")</f>
        <v/>
      </c>
    </row>
    <row r="483" spans="1:15">
      <c r="A483" s="36"/>
      <c r="B483" s="32"/>
      <c r="C483" s="39"/>
      <c r="D483" s="44" t="str">
        <f>IF(OR(B483="",C483=""),"",CONCATENATE(B483,"-",C483))</f>
        <v/>
      </c>
      <c r="E483" s="49" t="str">
        <f>IF(B483="","",IFERROR(VLOOKUP(B483,'Coil Sheet at Plant'!$C:$G,5,FALSE),"ID Not Found"))</f>
        <v/>
      </c>
      <c r="F483" s="50" t="str">
        <f>IF(B483="","",IFERROR(VLOOKUP(B483,'Coil Sheet at Plant'!$C:$H,6,FALSE),"ID Not Found"))</f>
        <v/>
      </c>
      <c r="G483" s="81">
        <v>630</v>
      </c>
      <c r="H483" s="89" t="str">
        <f>IF(OR(B483="",G483=""),"",IFERROR(VLOOKUP(B483,'Coil Sheet at Plant'!$C:$J,8,FALSE),0)*G483/SUMIF(B:B,B483,G:G))</f>
        <v/>
      </c>
      <c r="I483" s="56" t="str">
        <f>IF(B483="","",IFERROR(VLOOKUP(B483,'Coil Sheet at Plant'!$C:$L,9,FALSE),""))</f>
        <v/>
      </c>
      <c r="J483" s="85" t="str">
        <f>IF(B483="","",IFERROR(VLOOKUP(B483,'Coil Sheet at Plant'!$C:$M,10,FALSE),""))</f>
        <v/>
      </c>
      <c r="K483" s="69" t="str">
        <f>IF(B483="","",SUMIF(B:B,B483,G:G))</f>
        <v/>
      </c>
      <c r="L483" s="70" t="str">
        <f>IF(B483="","",IFERROR(VLOOKUP(B483,'Coil Sheet at Plant'!$C:$I,7,FALSE),""))</f>
        <v/>
      </c>
      <c r="M483" s="71" t="str">
        <f>IF(OR(K483="",L483=""),"",IF(L483=0,"⚠ NO PARENT WIDTH",IF(K483&gt;L483,"⚠ BABY &gt; PARENT","✔ OK")))</f>
        <v/>
      </c>
      <c r="N483" s="71" t="str">
        <f>IF(D483="","",IF(COUNTIF(D$3:D483,D483)&gt;1,"⚠ DUPLICATE",""))</f>
        <v/>
      </c>
      <c r="O483" s="72" t="str">
        <f>IF(B483="","",SUMIF(B:B,B483,G:G)&amp;" / "&amp;IFERROR(VLOOKUP(B483,'Coil Sheet at Plant'!$C:$I,7,FALSE),"?")&amp;" mm")</f>
        <v/>
      </c>
    </row>
    <row r="484" spans="1:15">
      <c r="A484" s="36"/>
      <c r="B484" s="32"/>
      <c r="C484" s="39"/>
      <c r="D484" s="44" t="str">
        <f>IF(OR(B484="",C484=""),"",CONCATENATE(B484,"-",C484))</f>
        <v/>
      </c>
      <c r="E484" s="49" t="str">
        <f>IF(B484="","",IFERROR(VLOOKUP(B484,'Coil Sheet at Plant'!$C:$G,5,FALSE),"ID Not Found"))</f>
        <v/>
      </c>
      <c r="F484" s="50" t="str">
        <f>IF(B484="","",IFERROR(VLOOKUP(B484,'Coil Sheet at Plant'!$C:$H,6,FALSE),"ID Not Found"))</f>
        <v/>
      </c>
      <c r="G484" s="81">
        <v>631</v>
      </c>
      <c r="H484" s="89" t="str">
        <f>IF(OR(B484="",G484=""),"",IFERROR(VLOOKUP(B484,'Coil Sheet at Plant'!$C:$J,8,FALSE),0)*G484/SUMIF(B:B,B484,G:G))</f>
        <v/>
      </c>
      <c r="I484" s="56" t="str">
        <f>IF(B484="","",IFERROR(VLOOKUP(B484,'Coil Sheet at Plant'!$C:$L,9,FALSE),""))</f>
        <v/>
      </c>
      <c r="J484" s="85" t="str">
        <f>IF(B484="","",IFERROR(VLOOKUP(B484,'Coil Sheet at Plant'!$C:$M,10,FALSE),""))</f>
        <v/>
      </c>
      <c r="K484" s="69" t="str">
        <f>IF(B484="","",SUMIF(B:B,B484,G:G))</f>
        <v/>
      </c>
      <c r="L484" s="70" t="str">
        <f>IF(B484="","",IFERROR(VLOOKUP(B484,'Coil Sheet at Plant'!$C:$I,7,FALSE),""))</f>
        <v/>
      </c>
      <c r="M484" s="71" t="str">
        <f>IF(OR(K484="",L484=""),"",IF(L484=0,"⚠ NO PARENT WIDTH",IF(K484&gt;L484,"⚠ BABY &gt; PARENT","✔ OK")))</f>
        <v/>
      </c>
      <c r="N484" s="71" t="str">
        <f>IF(D484="","",IF(COUNTIF(D$3:D484,D484)&gt;1,"⚠ DUPLICATE",""))</f>
        <v/>
      </c>
      <c r="O484" s="72" t="str">
        <f>IF(B484="","",SUMIF(B:B,B484,G:G)&amp;" / "&amp;IFERROR(VLOOKUP(B484,'Coil Sheet at Plant'!$C:$I,7,FALSE),"?")&amp;" mm")</f>
        <v/>
      </c>
    </row>
    <row r="485" spans="1:15">
      <c r="A485" s="36"/>
      <c r="B485" s="32"/>
      <c r="C485" s="39"/>
      <c r="D485" s="44" t="str">
        <f>IF(OR(B485="",C485=""),"",CONCATENATE(B485,"-",C485))</f>
        <v/>
      </c>
      <c r="E485" s="49" t="str">
        <f>IF(B485="","",IFERROR(VLOOKUP(B485,'Coil Sheet at Plant'!$C:$G,5,FALSE),"ID Not Found"))</f>
        <v/>
      </c>
      <c r="F485" s="50" t="str">
        <f>IF(B485="","",IFERROR(VLOOKUP(B485,'Coil Sheet at Plant'!$C:$H,6,FALSE),"ID Not Found"))</f>
        <v/>
      </c>
      <c r="G485" s="81">
        <v>632</v>
      </c>
      <c r="H485" s="89" t="str">
        <f>IF(OR(B485="",G485=""),"",IFERROR(VLOOKUP(B485,'Coil Sheet at Plant'!$C:$J,8,FALSE),0)*G485/SUMIF(B:B,B485,G:G))</f>
        <v/>
      </c>
      <c r="I485" s="56" t="str">
        <f>IF(B485="","",IFERROR(VLOOKUP(B485,'Coil Sheet at Plant'!$C:$L,9,FALSE),""))</f>
        <v/>
      </c>
      <c r="J485" s="85" t="str">
        <f>IF(B485="","",IFERROR(VLOOKUP(B485,'Coil Sheet at Plant'!$C:$M,10,FALSE),""))</f>
        <v/>
      </c>
      <c r="K485" s="69" t="str">
        <f>IF(B485="","",SUMIF(B:B,B485,G:G))</f>
        <v/>
      </c>
      <c r="L485" s="70" t="str">
        <f>IF(B485="","",IFERROR(VLOOKUP(B485,'Coil Sheet at Plant'!$C:$I,7,FALSE),""))</f>
        <v/>
      </c>
      <c r="M485" s="71" t="str">
        <f>IF(OR(K485="",L485=""),"",IF(L485=0,"⚠ NO PARENT WIDTH",IF(K485&gt;L485,"⚠ BABY &gt; PARENT","✔ OK")))</f>
        <v/>
      </c>
      <c r="N485" s="71" t="str">
        <f>IF(D485="","",IF(COUNTIF(D$3:D485,D485)&gt;1,"⚠ DUPLICATE",""))</f>
        <v/>
      </c>
      <c r="O485" s="72" t="str">
        <f>IF(B485="","",SUMIF(B:B,B485,G:G)&amp;" / "&amp;IFERROR(VLOOKUP(B485,'Coil Sheet at Plant'!$C:$I,7,FALSE),"?")&amp;" mm")</f>
        <v/>
      </c>
    </row>
    <row r="486" spans="1:15">
      <c r="A486" s="36"/>
      <c r="B486" s="32"/>
      <c r="C486" s="39"/>
      <c r="D486" s="44" t="str">
        <f>IF(OR(B486="",C486=""),"",CONCATENATE(B486,"-",C486))</f>
        <v/>
      </c>
      <c r="E486" s="49" t="str">
        <f>IF(B486="","",IFERROR(VLOOKUP(B486,'Coil Sheet at Plant'!$C:$G,5,FALSE),"ID Not Found"))</f>
        <v/>
      </c>
      <c r="F486" s="50" t="str">
        <f>IF(B486="","",IFERROR(VLOOKUP(B486,'Coil Sheet at Plant'!$C:$H,6,FALSE),"ID Not Found"))</f>
        <v/>
      </c>
      <c r="G486" s="81">
        <v>633</v>
      </c>
      <c r="H486" s="89" t="str">
        <f>IF(OR(B486="",G486=""),"",IFERROR(VLOOKUP(B486,'Coil Sheet at Plant'!$C:$J,8,FALSE),0)*G486/SUMIF(B:B,B486,G:G))</f>
        <v/>
      </c>
      <c r="I486" s="56" t="str">
        <f>IF(B486="","",IFERROR(VLOOKUP(B486,'Coil Sheet at Plant'!$C:$L,9,FALSE),""))</f>
        <v/>
      </c>
      <c r="J486" s="85" t="str">
        <f>IF(B486="","",IFERROR(VLOOKUP(B486,'Coil Sheet at Plant'!$C:$M,10,FALSE),""))</f>
        <v/>
      </c>
      <c r="K486" s="69" t="str">
        <f>IF(B486="","",SUMIF(B:B,B486,G:G))</f>
        <v/>
      </c>
      <c r="L486" s="70" t="str">
        <f>IF(B486="","",IFERROR(VLOOKUP(B486,'Coil Sheet at Plant'!$C:$I,7,FALSE),""))</f>
        <v/>
      </c>
      <c r="M486" s="71" t="str">
        <f>IF(OR(K486="",L486=""),"",IF(L486=0,"⚠ NO PARENT WIDTH",IF(K486&gt;L486,"⚠ BABY &gt; PARENT","✔ OK")))</f>
        <v/>
      </c>
      <c r="N486" s="71" t="str">
        <f>IF(D486="","",IF(COUNTIF(D$3:D486,D486)&gt;1,"⚠ DUPLICATE",""))</f>
        <v/>
      </c>
      <c r="O486" s="72" t="str">
        <f>IF(B486="","",SUMIF(B:B,B486,G:G)&amp;" / "&amp;IFERROR(VLOOKUP(B486,'Coil Sheet at Plant'!$C:$I,7,FALSE),"?")&amp;" mm")</f>
        <v/>
      </c>
    </row>
    <row r="487" spans="1:15">
      <c r="A487" s="36"/>
      <c r="B487" s="32"/>
      <c r="C487" s="39"/>
      <c r="D487" s="44" t="str">
        <f>IF(OR(B487="",C487=""),"",CONCATENATE(B487,"-",C487))</f>
        <v/>
      </c>
      <c r="E487" s="49" t="str">
        <f>IF(B487="","",IFERROR(VLOOKUP(B487,'Coil Sheet at Plant'!$C:$G,5,FALSE),"ID Not Found"))</f>
        <v/>
      </c>
      <c r="F487" s="50" t="str">
        <f>IF(B487="","",IFERROR(VLOOKUP(B487,'Coil Sheet at Plant'!$C:$H,6,FALSE),"ID Not Found"))</f>
        <v/>
      </c>
      <c r="G487" s="81">
        <v>634</v>
      </c>
      <c r="H487" s="89" t="str">
        <f>IF(OR(B487="",G487=""),"",IFERROR(VLOOKUP(B487,'Coil Sheet at Plant'!$C:$J,8,FALSE),0)*G487/SUMIF(B:B,B487,G:G))</f>
        <v/>
      </c>
      <c r="I487" s="56" t="str">
        <f>IF(B487="","",IFERROR(VLOOKUP(B487,'Coil Sheet at Plant'!$C:$L,9,FALSE),""))</f>
        <v/>
      </c>
      <c r="J487" s="85" t="str">
        <f>IF(B487="","",IFERROR(VLOOKUP(B487,'Coil Sheet at Plant'!$C:$M,10,FALSE),""))</f>
        <v/>
      </c>
      <c r="K487" s="69" t="str">
        <f>IF(B487="","",SUMIF(B:B,B487,G:G))</f>
        <v/>
      </c>
      <c r="L487" s="70" t="str">
        <f>IF(B487="","",IFERROR(VLOOKUP(B487,'Coil Sheet at Plant'!$C:$I,7,FALSE),""))</f>
        <v/>
      </c>
      <c r="M487" s="71" t="str">
        <f>IF(OR(K487="",L487=""),"",IF(L487=0,"⚠ NO PARENT WIDTH",IF(K487&gt;L487,"⚠ BABY &gt; PARENT","✔ OK")))</f>
        <v/>
      </c>
      <c r="N487" s="71" t="str">
        <f>IF(D487="","",IF(COUNTIF(D$3:D487,D487)&gt;1,"⚠ DUPLICATE",""))</f>
        <v/>
      </c>
      <c r="O487" s="72" t="str">
        <f>IF(B487="","",SUMIF(B:B,B487,G:G)&amp;" / "&amp;IFERROR(VLOOKUP(B487,'Coil Sheet at Plant'!$C:$I,7,FALSE),"?")&amp;" mm")</f>
        <v/>
      </c>
    </row>
    <row r="488" spans="1:15">
      <c r="A488" s="36"/>
      <c r="B488" s="32"/>
      <c r="C488" s="39"/>
      <c r="D488" s="44" t="str">
        <f>IF(OR(B488="",C488=""),"",CONCATENATE(B488,"-",C488))</f>
        <v/>
      </c>
      <c r="E488" s="49" t="str">
        <f>IF(B488="","",IFERROR(VLOOKUP(B488,'Coil Sheet at Plant'!$C:$G,5,FALSE),"ID Not Found"))</f>
        <v/>
      </c>
      <c r="F488" s="50" t="str">
        <f>IF(B488="","",IFERROR(VLOOKUP(B488,'Coil Sheet at Plant'!$C:$H,6,FALSE),"ID Not Found"))</f>
        <v/>
      </c>
      <c r="G488" s="81">
        <v>635</v>
      </c>
      <c r="H488" s="89" t="str">
        <f>IF(OR(B488="",G488=""),"",IFERROR(VLOOKUP(B488,'Coil Sheet at Plant'!$C:$J,8,FALSE),0)*G488/SUMIF(B:B,B488,G:G))</f>
        <v/>
      </c>
      <c r="I488" s="56" t="str">
        <f>IF(B488="","",IFERROR(VLOOKUP(B488,'Coil Sheet at Plant'!$C:$L,9,FALSE),""))</f>
        <v/>
      </c>
      <c r="J488" s="85" t="str">
        <f>IF(B488="","",IFERROR(VLOOKUP(B488,'Coil Sheet at Plant'!$C:$M,10,FALSE),""))</f>
        <v/>
      </c>
      <c r="K488" s="69" t="str">
        <f>IF(B488="","",SUMIF(B:B,B488,G:G))</f>
        <v/>
      </c>
      <c r="L488" s="70" t="str">
        <f>IF(B488="","",IFERROR(VLOOKUP(B488,'Coil Sheet at Plant'!$C:$I,7,FALSE),""))</f>
        <v/>
      </c>
      <c r="M488" s="71" t="str">
        <f>IF(OR(K488="",L488=""),"",IF(L488=0,"⚠ NO PARENT WIDTH",IF(K488&gt;L488,"⚠ BABY &gt; PARENT","✔ OK")))</f>
        <v/>
      </c>
      <c r="N488" s="71" t="str">
        <f>IF(D488="","",IF(COUNTIF(D$3:D488,D488)&gt;1,"⚠ DUPLICATE",""))</f>
        <v/>
      </c>
      <c r="O488" s="72" t="str">
        <f>IF(B488="","",SUMIF(B:B,B488,G:G)&amp;" / "&amp;IFERROR(VLOOKUP(B488,'Coil Sheet at Plant'!$C:$I,7,FALSE),"?")&amp;" mm")</f>
        <v/>
      </c>
    </row>
    <row r="489" spans="1:15">
      <c r="A489" s="36"/>
      <c r="B489" s="32"/>
      <c r="C489" s="39"/>
      <c r="D489" s="44" t="str">
        <f>IF(OR(B489="",C489=""),"",CONCATENATE(B489,"-",C489))</f>
        <v/>
      </c>
      <c r="E489" s="49" t="str">
        <f>IF(B489="","",IFERROR(VLOOKUP(B489,'Coil Sheet at Plant'!$C:$G,5,FALSE),"ID Not Found"))</f>
        <v/>
      </c>
      <c r="F489" s="50" t="str">
        <f>IF(B489="","",IFERROR(VLOOKUP(B489,'Coil Sheet at Plant'!$C:$H,6,FALSE),"ID Not Found"))</f>
        <v/>
      </c>
      <c r="G489" s="81">
        <v>636</v>
      </c>
      <c r="H489" s="89" t="str">
        <f>IF(OR(B489="",G489=""),"",IFERROR(VLOOKUP(B489,'Coil Sheet at Plant'!$C:$J,8,FALSE),0)*G489/SUMIF(B:B,B489,G:G))</f>
        <v/>
      </c>
      <c r="I489" s="56" t="str">
        <f>IF(B489="","",IFERROR(VLOOKUP(B489,'Coil Sheet at Plant'!$C:$L,9,FALSE),""))</f>
        <v/>
      </c>
      <c r="J489" s="85" t="str">
        <f>IF(B489="","",IFERROR(VLOOKUP(B489,'Coil Sheet at Plant'!$C:$M,10,FALSE),""))</f>
        <v/>
      </c>
      <c r="K489" s="69" t="str">
        <f>IF(B489="","",SUMIF(B:B,B489,G:G))</f>
        <v/>
      </c>
      <c r="L489" s="70" t="str">
        <f>IF(B489="","",IFERROR(VLOOKUP(B489,'Coil Sheet at Plant'!$C:$I,7,FALSE),""))</f>
        <v/>
      </c>
      <c r="M489" s="71" t="str">
        <f>IF(OR(K489="",L489=""),"",IF(L489=0,"⚠ NO PARENT WIDTH",IF(K489&gt;L489,"⚠ BABY &gt; PARENT","✔ OK")))</f>
        <v/>
      </c>
      <c r="N489" s="71" t="str">
        <f>IF(D489="","",IF(COUNTIF(D$3:D489,D489)&gt;1,"⚠ DUPLICATE",""))</f>
        <v/>
      </c>
      <c r="O489" s="72" t="str">
        <f>IF(B489="","",SUMIF(B:B,B489,G:G)&amp;" / "&amp;IFERROR(VLOOKUP(B489,'Coil Sheet at Plant'!$C:$I,7,FALSE),"?")&amp;" mm")</f>
        <v/>
      </c>
    </row>
    <row r="490" spans="1:15">
      <c r="A490" s="36"/>
      <c r="B490" s="32"/>
      <c r="C490" s="39"/>
      <c r="D490" s="44" t="str">
        <f>IF(OR(B490="",C490=""),"",CONCATENATE(B490,"-",C490))</f>
        <v/>
      </c>
      <c r="E490" s="49" t="str">
        <f>IF(B490="","",IFERROR(VLOOKUP(B490,'Coil Sheet at Plant'!$C:$G,5,FALSE),"ID Not Found"))</f>
        <v/>
      </c>
      <c r="F490" s="50" t="str">
        <f>IF(B490="","",IFERROR(VLOOKUP(B490,'Coil Sheet at Plant'!$C:$H,6,FALSE),"ID Not Found"))</f>
        <v/>
      </c>
      <c r="G490" s="81">
        <v>637</v>
      </c>
      <c r="H490" s="89" t="str">
        <f>IF(OR(B490="",G490=""),"",IFERROR(VLOOKUP(B490,'Coil Sheet at Plant'!$C:$J,8,FALSE),0)*G490/SUMIF(B:B,B490,G:G))</f>
        <v/>
      </c>
      <c r="I490" s="56" t="str">
        <f>IF(B490="","",IFERROR(VLOOKUP(B490,'Coil Sheet at Plant'!$C:$L,9,FALSE),""))</f>
        <v/>
      </c>
      <c r="J490" s="85" t="str">
        <f>IF(B490="","",IFERROR(VLOOKUP(B490,'Coil Sheet at Plant'!$C:$M,10,FALSE),""))</f>
        <v/>
      </c>
      <c r="K490" s="69" t="str">
        <f>IF(B490="","",SUMIF(B:B,B490,G:G))</f>
        <v/>
      </c>
      <c r="L490" s="70" t="str">
        <f>IF(B490="","",IFERROR(VLOOKUP(B490,'Coil Sheet at Plant'!$C:$I,7,FALSE),""))</f>
        <v/>
      </c>
      <c r="M490" s="71" t="str">
        <f>IF(OR(K490="",L490=""),"",IF(L490=0,"⚠ NO PARENT WIDTH",IF(K490&gt;L490,"⚠ BABY &gt; PARENT","✔ OK")))</f>
        <v/>
      </c>
      <c r="N490" s="71" t="str">
        <f>IF(D490="","",IF(COUNTIF(D$3:D490,D490)&gt;1,"⚠ DUPLICATE",""))</f>
        <v/>
      </c>
      <c r="O490" s="72" t="str">
        <f>IF(B490="","",SUMIF(B:B,B490,G:G)&amp;" / "&amp;IFERROR(VLOOKUP(B490,'Coil Sheet at Plant'!$C:$I,7,FALSE),"?")&amp;" mm")</f>
        <v/>
      </c>
    </row>
    <row r="491" spans="1:15">
      <c r="A491" s="36"/>
      <c r="B491" s="32"/>
      <c r="C491" s="39"/>
      <c r="D491" s="44" t="str">
        <f>IF(OR(B491="",C491=""),"",CONCATENATE(B491,"-",C491))</f>
        <v/>
      </c>
      <c r="E491" s="49" t="str">
        <f>IF(B491="","",IFERROR(VLOOKUP(B491,'Coil Sheet at Plant'!$C:$G,5,FALSE),"ID Not Found"))</f>
        <v/>
      </c>
      <c r="F491" s="50" t="str">
        <f>IF(B491="","",IFERROR(VLOOKUP(B491,'Coil Sheet at Plant'!$C:$H,6,FALSE),"ID Not Found"))</f>
        <v/>
      </c>
      <c r="G491" s="81">
        <v>638</v>
      </c>
      <c r="H491" s="89" t="str">
        <f>IF(OR(B491="",G491=""),"",IFERROR(VLOOKUP(B491,'Coil Sheet at Plant'!$C:$J,8,FALSE),0)*G491/SUMIF(B:B,B491,G:G))</f>
        <v/>
      </c>
      <c r="I491" s="56" t="str">
        <f>IF(B491="","",IFERROR(VLOOKUP(B491,'Coil Sheet at Plant'!$C:$L,9,FALSE),""))</f>
        <v/>
      </c>
      <c r="J491" s="85" t="str">
        <f>IF(B491="","",IFERROR(VLOOKUP(B491,'Coil Sheet at Plant'!$C:$M,10,FALSE),""))</f>
        <v/>
      </c>
      <c r="K491" s="69" t="str">
        <f>IF(B491="","",SUMIF(B:B,B491,G:G))</f>
        <v/>
      </c>
      <c r="L491" s="70" t="str">
        <f>IF(B491="","",IFERROR(VLOOKUP(B491,'Coil Sheet at Plant'!$C:$I,7,FALSE),""))</f>
        <v/>
      </c>
      <c r="M491" s="71" t="str">
        <f>IF(OR(K491="",L491=""),"",IF(L491=0,"⚠ NO PARENT WIDTH",IF(K491&gt;L491,"⚠ BABY &gt; PARENT","✔ OK")))</f>
        <v/>
      </c>
      <c r="N491" s="71" t="str">
        <f>IF(D491="","",IF(COUNTIF(D$3:D491,D491)&gt;1,"⚠ DUPLICATE",""))</f>
        <v/>
      </c>
      <c r="O491" s="72" t="str">
        <f>IF(B491="","",SUMIF(B:B,B491,G:G)&amp;" / "&amp;IFERROR(VLOOKUP(B491,'Coil Sheet at Plant'!$C:$I,7,FALSE),"?")&amp;" mm")</f>
        <v/>
      </c>
    </row>
    <row r="492" spans="1:15">
      <c r="A492" s="36"/>
      <c r="B492" s="32"/>
      <c r="C492" s="39"/>
      <c r="D492" s="44" t="str">
        <f>IF(OR(B492="",C492=""),"",CONCATENATE(B492,"-",C492))</f>
        <v/>
      </c>
      <c r="E492" s="49" t="str">
        <f>IF(B492="","",IFERROR(VLOOKUP(B492,'Coil Sheet at Plant'!$C:$G,5,FALSE),"ID Not Found"))</f>
        <v/>
      </c>
      <c r="F492" s="50" t="str">
        <f>IF(B492="","",IFERROR(VLOOKUP(B492,'Coil Sheet at Plant'!$C:$H,6,FALSE),"ID Not Found"))</f>
        <v/>
      </c>
      <c r="G492" s="81">
        <v>639</v>
      </c>
      <c r="H492" s="89" t="str">
        <f>IF(OR(B492="",G492=""),"",IFERROR(VLOOKUP(B492,'Coil Sheet at Plant'!$C:$J,8,FALSE),0)*G492/SUMIF(B:B,B492,G:G))</f>
        <v/>
      </c>
      <c r="I492" s="56" t="str">
        <f>IF(B492="","",IFERROR(VLOOKUP(B492,'Coil Sheet at Plant'!$C:$L,9,FALSE),""))</f>
        <v/>
      </c>
      <c r="J492" s="85" t="str">
        <f>IF(B492="","",IFERROR(VLOOKUP(B492,'Coil Sheet at Plant'!$C:$M,10,FALSE),""))</f>
        <v/>
      </c>
      <c r="K492" s="69" t="str">
        <f>IF(B492="","",SUMIF(B:B,B492,G:G))</f>
        <v/>
      </c>
      <c r="L492" s="70" t="str">
        <f>IF(B492="","",IFERROR(VLOOKUP(B492,'Coil Sheet at Plant'!$C:$I,7,FALSE),""))</f>
        <v/>
      </c>
      <c r="M492" s="71" t="str">
        <f>IF(OR(K492="",L492=""),"",IF(L492=0,"⚠ NO PARENT WIDTH",IF(K492&gt;L492,"⚠ BABY &gt; PARENT","✔ OK")))</f>
        <v/>
      </c>
      <c r="N492" s="71" t="str">
        <f>IF(D492="","",IF(COUNTIF(D$3:D492,D492)&gt;1,"⚠ DUPLICATE",""))</f>
        <v/>
      </c>
      <c r="O492" s="72" t="str">
        <f>IF(B492="","",SUMIF(B:B,B492,G:G)&amp;" / "&amp;IFERROR(VLOOKUP(B492,'Coil Sheet at Plant'!$C:$I,7,FALSE),"?")&amp;" mm")</f>
        <v/>
      </c>
    </row>
    <row r="493" spans="1:15">
      <c r="A493" s="36"/>
      <c r="B493" s="32"/>
      <c r="C493" s="39"/>
      <c r="D493" s="44" t="str">
        <f>IF(OR(B493="",C493=""),"",CONCATENATE(B493,"-",C493))</f>
        <v/>
      </c>
      <c r="E493" s="49" t="str">
        <f>IF(B493="","",IFERROR(VLOOKUP(B493,'Coil Sheet at Plant'!$C:$G,5,FALSE),"ID Not Found"))</f>
        <v/>
      </c>
      <c r="F493" s="50" t="str">
        <f>IF(B493="","",IFERROR(VLOOKUP(B493,'Coil Sheet at Plant'!$C:$H,6,FALSE),"ID Not Found"))</f>
        <v/>
      </c>
      <c r="G493" s="81">
        <v>640</v>
      </c>
      <c r="H493" s="89" t="str">
        <f>IF(OR(B493="",G493=""),"",IFERROR(VLOOKUP(B493,'Coil Sheet at Plant'!$C:$J,8,FALSE),0)*G493/SUMIF(B:B,B493,G:G))</f>
        <v/>
      </c>
      <c r="I493" s="56" t="str">
        <f>IF(B493="","",IFERROR(VLOOKUP(B493,'Coil Sheet at Plant'!$C:$L,9,FALSE),""))</f>
        <v/>
      </c>
      <c r="J493" s="85" t="str">
        <f>IF(B493="","",IFERROR(VLOOKUP(B493,'Coil Sheet at Plant'!$C:$M,10,FALSE),""))</f>
        <v/>
      </c>
      <c r="K493" s="69" t="str">
        <f>IF(B493="","",SUMIF(B:B,B493,G:G))</f>
        <v/>
      </c>
      <c r="L493" s="70" t="str">
        <f>IF(B493="","",IFERROR(VLOOKUP(B493,'Coil Sheet at Plant'!$C:$I,7,FALSE),""))</f>
        <v/>
      </c>
      <c r="M493" s="71" t="str">
        <f>IF(OR(K493="",L493=""),"",IF(L493=0,"⚠ NO PARENT WIDTH",IF(K493&gt;L493,"⚠ BABY &gt; PARENT","✔ OK")))</f>
        <v/>
      </c>
      <c r="N493" s="71" t="str">
        <f>IF(D493="","",IF(COUNTIF(D$3:D493,D493)&gt;1,"⚠ DUPLICATE",""))</f>
        <v/>
      </c>
      <c r="O493" s="72" t="str">
        <f>IF(B493="","",SUMIF(B:B,B493,G:G)&amp;" / "&amp;IFERROR(VLOOKUP(B493,'Coil Sheet at Plant'!$C:$I,7,FALSE),"?")&amp;" mm")</f>
        <v/>
      </c>
    </row>
    <row r="494" spans="1:15">
      <c r="A494" s="36"/>
      <c r="B494" s="32"/>
      <c r="C494" s="39"/>
      <c r="D494" s="44" t="str">
        <f>IF(OR(B494="",C494=""),"",CONCATENATE(B494,"-",C494))</f>
        <v/>
      </c>
      <c r="E494" s="49" t="str">
        <f>IF(B494="","",IFERROR(VLOOKUP(B494,'Coil Sheet at Plant'!$C:$G,5,FALSE),"ID Not Found"))</f>
        <v/>
      </c>
      <c r="F494" s="50" t="str">
        <f>IF(B494="","",IFERROR(VLOOKUP(B494,'Coil Sheet at Plant'!$C:$H,6,FALSE),"ID Not Found"))</f>
        <v/>
      </c>
      <c r="G494" s="81">
        <v>641</v>
      </c>
      <c r="H494" s="89" t="str">
        <f>IF(OR(B494="",G494=""),"",IFERROR(VLOOKUP(B494,'Coil Sheet at Plant'!$C:$J,8,FALSE),0)*G494/SUMIF(B:B,B494,G:G))</f>
        <v/>
      </c>
      <c r="I494" s="56" t="str">
        <f>IF(B494="","",IFERROR(VLOOKUP(B494,'Coil Sheet at Plant'!$C:$L,9,FALSE),""))</f>
        <v/>
      </c>
      <c r="J494" s="85" t="str">
        <f>IF(B494="","",IFERROR(VLOOKUP(B494,'Coil Sheet at Plant'!$C:$M,10,FALSE),""))</f>
        <v/>
      </c>
      <c r="K494" s="69" t="str">
        <f>IF(B494="","",SUMIF(B:B,B494,G:G))</f>
        <v/>
      </c>
      <c r="L494" s="70" t="str">
        <f>IF(B494="","",IFERROR(VLOOKUP(B494,'Coil Sheet at Plant'!$C:$I,7,FALSE),""))</f>
        <v/>
      </c>
      <c r="M494" s="71" t="str">
        <f>IF(OR(K494="",L494=""),"",IF(L494=0,"⚠ NO PARENT WIDTH",IF(K494&gt;L494,"⚠ BABY &gt; PARENT","✔ OK")))</f>
        <v/>
      </c>
      <c r="N494" s="71" t="str">
        <f>IF(D494="","",IF(COUNTIF(D$3:D494,D494)&gt;1,"⚠ DUPLICATE",""))</f>
        <v/>
      </c>
      <c r="O494" s="72" t="str">
        <f>IF(B494="","",SUMIF(B:B,B494,G:G)&amp;" / "&amp;IFERROR(VLOOKUP(B494,'Coil Sheet at Plant'!$C:$I,7,FALSE),"?")&amp;" mm")</f>
        <v/>
      </c>
    </row>
    <row r="495" spans="1:15">
      <c r="A495" s="36"/>
      <c r="B495" s="32"/>
      <c r="C495" s="39"/>
      <c r="D495" s="44" t="str">
        <f>IF(OR(B495="",C495=""),"",CONCATENATE(B495,"-",C495))</f>
        <v/>
      </c>
      <c r="E495" s="49" t="str">
        <f>IF(B495="","",IFERROR(VLOOKUP(B495,'Coil Sheet at Plant'!$C:$G,5,FALSE),"ID Not Found"))</f>
        <v/>
      </c>
      <c r="F495" s="50" t="str">
        <f>IF(B495="","",IFERROR(VLOOKUP(B495,'Coil Sheet at Plant'!$C:$H,6,FALSE),"ID Not Found"))</f>
        <v/>
      </c>
      <c r="G495" s="81">
        <v>642</v>
      </c>
      <c r="H495" s="89" t="str">
        <f>IF(OR(B495="",G495=""),"",IFERROR(VLOOKUP(B495,'Coil Sheet at Plant'!$C:$J,8,FALSE),0)*G495/SUMIF(B:B,B495,G:G))</f>
        <v/>
      </c>
      <c r="I495" s="56" t="str">
        <f>IF(B495="","",IFERROR(VLOOKUP(B495,'Coil Sheet at Plant'!$C:$L,9,FALSE),""))</f>
        <v/>
      </c>
      <c r="J495" s="85" t="str">
        <f>IF(B495="","",IFERROR(VLOOKUP(B495,'Coil Sheet at Plant'!$C:$M,10,FALSE),""))</f>
        <v/>
      </c>
      <c r="K495" s="69" t="str">
        <f>IF(B495="","",SUMIF(B:B,B495,G:G))</f>
        <v/>
      </c>
      <c r="L495" s="70" t="str">
        <f>IF(B495="","",IFERROR(VLOOKUP(B495,'Coil Sheet at Plant'!$C:$I,7,FALSE),""))</f>
        <v/>
      </c>
      <c r="M495" s="71" t="str">
        <f>IF(OR(K495="",L495=""),"",IF(L495=0,"⚠ NO PARENT WIDTH",IF(K495&gt;L495,"⚠ BABY &gt; PARENT","✔ OK")))</f>
        <v/>
      </c>
      <c r="N495" s="71" t="str">
        <f>IF(D495="","",IF(COUNTIF(D$3:D495,D495)&gt;1,"⚠ DUPLICATE",""))</f>
        <v/>
      </c>
      <c r="O495" s="72" t="str">
        <f>IF(B495="","",SUMIF(B:B,B495,G:G)&amp;" / "&amp;IFERROR(VLOOKUP(B495,'Coil Sheet at Plant'!$C:$I,7,FALSE),"?")&amp;" mm")</f>
        <v/>
      </c>
    </row>
    <row r="496" spans="1:15">
      <c r="A496" s="36"/>
      <c r="B496" s="32"/>
      <c r="C496" s="39"/>
      <c r="D496" s="44" t="str">
        <f>IF(OR(B496="",C496=""),"",CONCATENATE(B496,"-",C496))</f>
        <v/>
      </c>
      <c r="E496" s="49" t="str">
        <f>IF(B496="","",IFERROR(VLOOKUP(B496,'Coil Sheet at Plant'!$C:$G,5,FALSE),"ID Not Found"))</f>
        <v/>
      </c>
      <c r="F496" s="50" t="str">
        <f>IF(B496="","",IFERROR(VLOOKUP(B496,'Coil Sheet at Plant'!$C:$H,6,FALSE),"ID Not Found"))</f>
        <v/>
      </c>
      <c r="G496" s="81">
        <v>643</v>
      </c>
      <c r="H496" s="89" t="str">
        <f>IF(OR(B496="",G496=""),"",IFERROR(VLOOKUP(B496,'Coil Sheet at Plant'!$C:$J,8,FALSE),0)*G496/SUMIF(B:B,B496,G:G))</f>
        <v/>
      </c>
      <c r="I496" s="56" t="str">
        <f>IF(B496="","",IFERROR(VLOOKUP(B496,'Coil Sheet at Plant'!$C:$L,9,FALSE),""))</f>
        <v/>
      </c>
      <c r="J496" s="85" t="str">
        <f>IF(B496="","",IFERROR(VLOOKUP(B496,'Coil Sheet at Plant'!$C:$M,10,FALSE),""))</f>
        <v/>
      </c>
      <c r="K496" s="69" t="str">
        <f>IF(B496="","",SUMIF(B:B,B496,G:G))</f>
        <v/>
      </c>
      <c r="L496" s="70" t="str">
        <f>IF(B496="","",IFERROR(VLOOKUP(B496,'Coil Sheet at Plant'!$C:$I,7,FALSE),""))</f>
        <v/>
      </c>
      <c r="M496" s="71" t="str">
        <f>IF(OR(K496="",L496=""),"",IF(L496=0,"⚠ NO PARENT WIDTH",IF(K496&gt;L496,"⚠ BABY &gt; PARENT","✔ OK")))</f>
        <v/>
      </c>
      <c r="N496" s="71" t="str">
        <f>IF(D496="","",IF(COUNTIF(D$3:D496,D496)&gt;1,"⚠ DUPLICATE",""))</f>
        <v/>
      </c>
      <c r="O496" s="72" t="str">
        <f>IF(B496="","",SUMIF(B:B,B496,G:G)&amp;" / "&amp;IFERROR(VLOOKUP(B496,'Coil Sheet at Plant'!$C:$I,7,FALSE),"?")&amp;" mm")</f>
        <v/>
      </c>
    </row>
    <row r="497" spans="1:15">
      <c r="A497" s="36"/>
      <c r="B497" s="32"/>
      <c r="C497" s="39"/>
      <c r="D497" s="44" t="str">
        <f>IF(OR(B497="",C497=""),"",CONCATENATE(B497,"-",C497))</f>
        <v/>
      </c>
      <c r="E497" s="49" t="str">
        <f>IF(B497="","",IFERROR(VLOOKUP(B497,'Coil Sheet at Plant'!$C:$G,5,FALSE),"ID Not Found"))</f>
        <v/>
      </c>
      <c r="F497" s="50" t="str">
        <f>IF(B497="","",IFERROR(VLOOKUP(B497,'Coil Sheet at Plant'!$C:$H,6,FALSE),"ID Not Found"))</f>
        <v/>
      </c>
      <c r="G497" s="81">
        <v>644</v>
      </c>
      <c r="H497" s="89" t="str">
        <f>IF(OR(B497="",G497=""),"",IFERROR(VLOOKUP(B497,'Coil Sheet at Plant'!$C:$J,8,FALSE),0)*G497/SUMIF(B:B,B497,G:G))</f>
        <v/>
      </c>
      <c r="I497" s="56" t="str">
        <f>IF(B497="","",IFERROR(VLOOKUP(B497,'Coil Sheet at Plant'!$C:$L,9,FALSE),""))</f>
        <v/>
      </c>
      <c r="J497" s="85" t="str">
        <f>IF(B497="","",IFERROR(VLOOKUP(B497,'Coil Sheet at Plant'!$C:$M,10,FALSE),""))</f>
        <v/>
      </c>
      <c r="K497" s="69" t="str">
        <f>IF(B497="","",SUMIF(B:B,B497,G:G))</f>
        <v/>
      </c>
      <c r="L497" s="70" t="str">
        <f>IF(B497="","",IFERROR(VLOOKUP(B497,'Coil Sheet at Plant'!$C:$I,7,FALSE),""))</f>
        <v/>
      </c>
      <c r="M497" s="71" t="str">
        <f>IF(OR(K497="",L497=""),"",IF(L497=0,"⚠ NO PARENT WIDTH",IF(K497&gt;L497,"⚠ BABY &gt; PARENT","✔ OK")))</f>
        <v/>
      </c>
      <c r="N497" s="71" t="str">
        <f>IF(D497="","",IF(COUNTIF(D$3:D497,D497)&gt;1,"⚠ DUPLICATE",""))</f>
        <v/>
      </c>
      <c r="O497" s="72" t="str">
        <f>IF(B497="","",SUMIF(B:B,B497,G:G)&amp;" / "&amp;IFERROR(VLOOKUP(B497,'Coil Sheet at Plant'!$C:$I,7,FALSE),"?")&amp;" mm")</f>
        <v/>
      </c>
    </row>
    <row r="498" spans="1:15">
      <c r="A498" s="36"/>
      <c r="B498" s="32"/>
      <c r="C498" s="39"/>
      <c r="D498" s="44" t="str">
        <f>IF(OR(B498="",C498=""),"",CONCATENATE(B498,"-",C498))</f>
        <v/>
      </c>
      <c r="E498" s="49" t="str">
        <f>IF(B498="","",IFERROR(VLOOKUP(B498,'Coil Sheet at Plant'!$C:$G,5,FALSE),"ID Not Found"))</f>
        <v/>
      </c>
      <c r="F498" s="50" t="str">
        <f>IF(B498="","",IFERROR(VLOOKUP(B498,'Coil Sheet at Plant'!$C:$H,6,FALSE),"ID Not Found"))</f>
        <v/>
      </c>
      <c r="G498" s="81">
        <v>645</v>
      </c>
      <c r="H498" s="89" t="str">
        <f>IF(OR(B498="",G498=""),"",IFERROR(VLOOKUP(B498,'Coil Sheet at Plant'!$C:$J,8,FALSE),0)*G498/SUMIF(B:B,B498,G:G))</f>
        <v/>
      </c>
      <c r="I498" s="56" t="str">
        <f>IF(B498="","",IFERROR(VLOOKUP(B498,'Coil Sheet at Plant'!$C:$L,9,FALSE),""))</f>
        <v/>
      </c>
      <c r="J498" s="85" t="str">
        <f>IF(B498="","",IFERROR(VLOOKUP(B498,'Coil Sheet at Plant'!$C:$M,10,FALSE),""))</f>
        <v/>
      </c>
      <c r="K498" s="69" t="str">
        <f>IF(B498="","",SUMIF(B:B,B498,G:G))</f>
        <v/>
      </c>
      <c r="L498" s="70" t="str">
        <f>IF(B498="","",IFERROR(VLOOKUP(B498,'Coil Sheet at Plant'!$C:$I,7,FALSE),""))</f>
        <v/>
      </c>
      <c r="M498" s="71" t="str">
        <f>IF(OR(K498="",L498=""),"",IF(L498=0,"⚠ NO PARENT WIDTH",IF(K498&gt;L498,"⚠ BABY &gt; PARENT","✔ OK")))</f>
        <v/>
      </c>
      <c r="N498" s="71" t="str">
        <f>IF(D498="","",IF(COUNTIF(D$3:D498,D498)&gt;1,"⚠ DUPLICATE",""))</f>
        <v/>
      </c>
      <c r="O498" s="72" t="str">
        <f>IF(B498="","",SUMIF(B:B,B498,G:G)&amp;" / "&amp;IFERROR(VLOOKUP(B498,'Coil Sheet at Plant'!$C:$I,7,FALSE),"?")&amp;" mm")</f>
        <v/>
      </c>
    </row>
    <row r="499" spans="1:15">
      <c r="A499" s="36"/>
      <c r="B499" s="32"/>
      <c r="C499" s="39"/>
      <c r="D499" s="44" t="str">
        <f>IF(OR(B499="",C499=""),"",CONCATENATE(B499,"-",C499))</f>
        <v/>
      </c>
      <c r="E499" s="49" t="str">
        <f>IF(B499="","",IFERROR(VLOOKUP(B499,'Coil Sheet at Plant'!$C:$G,5,FALSE),"ID Not Found"))</f>
        <v/>
      </c>
      <c r="F499" s="50" t="str">
        <f>IF(B499="","",IFERROR(VLOOKUP(B499,'Coil Sheet at Plant'!$C:$H,6,FALSE),"ID Not Found"))</f>
        <v/>
      </c>
      <c r="G499" s="81">
        <v>646</v>
      </c>
      <c r="H499" s="89" t="str">
        <f>IF(OR(B499="",G499=""),"",IFERROR(VLOOKUP(B499,'Coil Sheet at Plant'!$C:$J,8,FALSE),0)*G499/SUMIF(B:B,B499,G:G))</f>
        <v/>
      </c>
      <c r="I499" s="56" t="str">
        <f>IF(B499="","",IFERROR(VLOOKUP(B499,'Coil Sheet at Plant'!$C:$L,9,FALSE),""))</f>
        <v/>
      </c>
      <c r="J499" s="85" t="str">
        <f>IF(B499="","",IFERROR(VLOOKUP(B499,'Coil Sheet at Plant'!$C:$M,10,FALSE),""))</f>
        <v/>
      </c>
      <c r="K499" s="69" t="str">
        <f>IF(B499="","",SUMIF(B:B,B499,G:G))</f>
        <v/>
      </c>
      <c r="L499" s="70" t="str">
        <f>IF(B499="","",IFERROR(VLOOKUP(B499,'Coil Sheet at Plant'!$C:$I,7,FALSE),""))</f>
        <v/>
      </c>
      <c r="M499" s="71" t="str">
        <f>IF(OR(K499="",L499=""),"",IF(L499=0,"⚠ NO PARENT WIDTH",IF(K499&gt;L499,"⚠ BABY &gt; PARENT","✔ OK")))</f>
        <v/>
      </c>
      <c r="N499" s="71" t="str">
        <f>IF(D499="","",IF(COUNTIF(D$3:D499,D499)&gt;1,"⚠ DUPLICATE",""))</f>
        <v/>
      </c>
      <c r="O499" s="72" t="str">
        <f>IF(B499="","",SUMIF(B:B,B499,G:G)&amp;" / "&amp;IFERROR(VLOOKUP(B499,'Coil Sheet at Plant'!$C:$I,7,FALSE),"?")&amp;" mm")</f>
        <v/>
      </c>
    </row>
    <row r="500" spans="1:15">
      <c r="A500" s="36"/>
      <c r="B500" s="32"/>
      <c r="C500" s="39"/>
      <c r="D500" s="44" t="str">
        <f>IF(OR(B500="",C500=""),"",CONCATENATE(B500,"-",C500))</f>
        <v/>
      </c>
      <c r="E500" s="49" t="str">
        <f>IF(B500="","",IFERROR(VLOOKUP(B500,'Coil Sheet at Plant'!$C:$G,5,FALSE),"ID Not Found"))</f>
        <v/>
      </c>
      <c r="F500" s="50" t="str">
        <f>IF(B500="","",IFERROR(VLOOKUP(B500,'Coil Sheet at Plant'!$C:$H,6,FALSE),"ID Not Found"))</f>
        <v/>
      </c>
      <c r="G500" s="81">
        <v>647</v>
      </c>
      <c r="H500" s="89" t="str">
        <f>IF(OR(B500="",G500=""),"",IFERROR(VLOOKUP(B500,'Coil Sheet at Plant'!$C:$J,8,FALSE),0)*G500/SUMIF(B:B,B500,G:G))</f>
        <v/>
      </c>
      <c r="I500" s="56" t="str">
        <f>IF(B500="","",IFERROR(VLOOKUP(B500,'Coil Sheet at Plant'!$C:$L,9,FALSE),""))</f>
        <v/>
      </c>
      <c r="J500" s="85" t="str">
        <f>IF(B500="","",IFERROR(VLOOKUP(B500,'Coil Sheet at Plant'!$C:$M,10,FALSE),""))</f>
        <v/>
      </c>
      <c r="K500" s="69" t="str">
        <f>IF(B500="","",SUMIF(B:B,B500,G:G))</f>
        <v/>
      </c>
      <c r="L500" s="70" t="str">
        <f>IF(B500="","",IFERROR(VLOOKUP(B500,'Coil Sheet at Plant'!$C:$I,7,FALSE),""))</f>
        <v/>
      </c>
      <c r="M500" s="71" t="str">
        <f>IF(OR(K500="",L500=""),"",IF(L500=0,"⚠ NO PARENT WIDTH",IF(K500&gt;L500,"⚠ BABY &gt; PARENT","✔ OK")))</f>
        <v/>
      </c>
      <c r="N500" s="71" t="str">
        <f>IF(D500="","",IF(COUNTIF(D$3:D500,D500)&gt;1,"⚠ DUPLICATE",""))</f>
        <v/>
      </c>
      <c r="O500" s="72" t="str">
        <f>IF(B500="","",SUMIF(B:B,B500,G:G)&amp;" / "&amp;IFERROR(VLOOKUP(B500,'Coil Sheet at Plant'!$C:$I,7,FALSE),"?")&amp;" mm")</f>
        <v/>
      </c>
    </row>
    <row r="501" spans="1:15">
      <c r="A501" s="36"/>
      <c r="B501" s="32"/>
      <c r="C501" s="39"/>
      <c r="D501" s="44" t="str">
        <f>IF(OR(B501="",C501=""),"",CONCATENATE(B501,"-",C501))</f>
        <v/>
      </c>
      <c r="E501" s="49" t="str">
        <f>IF(B501="","",IFERROR(VLOOKUP(B501,'Coil Sheet at Plant'!$C:$G,5,FALSE),"ID Not Found"))</f>
        <v/>
      </c>
      <c r="F501" s="50" t="str">
        <f>IF(B501="","",IFERROR(VLOOKUP(B501,'Coil Sheet at Plant'!$C:$H,6,FALSE),"ID Not Found"))</f>
        <v/>
      </c>
      <c r="G501" s="81">
        <v>648</v>
      </c>
      <c r="H501" s="89" t="str">
        <f>IF(OR(B501="",G501=""),"",IFERROR(VLOOKUP(B501,'Coil Sheet at Plant'!$C:$J,8,FALSE),0)*G501/SUMIF(B:B,B501,G:G))</f>
        <v/>
      </c>
      <c r="I501" s="56" t="str">
        <f>IF(B501="","",IFERROR(VLOOKUP(B501,'Coil Sheet at Plant'!$C:$L,9,FALSE),""))</f>
        <v/>
      </c>
      <c r="J501" s="85" t="str">
        <f>IF(B501="","",IFERROR(VLOOKUP(B501,'Coil Sheet at Plant'!$C:$M,10,FALSE),""))</f>
        <v/>
      </c>
      <c r="K501" s="69" t="str">
        <f>IF(B501="","",SUMIF(B:B,B501,G:G))</f>
        <v/>
      </c>
      <c r="L501" s="70" t="str">
        <f>IF(B501="","",IFERROR(VLOOKUP(B501,'Coil Sheet at Plant'!$C:$I,7,FALSE),""))</f>
        <v/>
      </c>
      <c r="M501" s="71" t="str">
        <f>IF(OR(K501="",L501=""),"",IF(L501=0,"⚠ NO PARENT WIDTH",IF(K501&gt;L501,"⚠ BABY &gt; PARENT","✔ OK")))</f>
        <v/>
      </c>
      <c r="N501" s="71" t="str">
        <f>IF(D501="","",IF(COUNTIF(D$3:D501,D501)&gt;1,"⚠ DUPLICATE",""))</f>
        <v/>
      </c>
      <c r="O501" s="72" t="str">
        <f>IF(B501="","",SUMIF(B:B,B501,G:G)&amp;" / "&amp;IFERROR(VLOOKUP(B501,'Coil Sheet at Plant'!$C:$I,7,FALSE),"?")&amp;" mm")</f>
        <v/>
      </c>
    </row>
    <row r="502" spans="1:15">
      <c r="A502" s="36"/>
      <c r="B502" s="32"/>
      <c r="C502" s="39"/>
      <c r="D502" s="44" t="str">
        <f>IF(OR(B502="",C502=""),"",CONCATENATE(B502,"-",C502))</f>
        <v/>
      </c>
      <c r="E502" s="49" t="str">
        <f>IF(B502="","",IFERROR(VLOOKUP(B502,'Coil Sheet at Plant'!$C:$G,5,FALSE),"ID Not Found"))</f>
        <v/>
      </c>
      <c r="F502" s="50" t="str">
        <f>IF(B502="","",IFERROR(VLOOKUP(B502,'Coil Sheet at Plant'!$C:$H,6,FALSE),"ID Not Found"))</f>
        <v/>
      </c>
      <c r="G502" s="81">
        <v>649</v>
      </c>
      <c r="H502" s="89" t="str">
        <f>IF(OR(B502="",G502=""),"",IFERROR(VLOOKUP(B502,'Coil Sheet at Plant'!$C:$J,8,FALSE),0)*G502/SUMIF(B:B,B502,G:G))</f>
        <v/>
      </c>
      <c r="I502" s="56" t="str">
        <f>IF(B502="","",IFERROR(VLOOKUP(B502,'Coil Sheet at Plant'!$C:$L,9,FALSE),""))</f>
        <v/>
      </c>
      <c r="J502" s="85" t="str">
        <f>IF(B502="","",IFERROR(VLOOKUP(B502,'Coil Sheet at Plant'!$C:$M,10,FALSE),""))</f>
        <v/>
      </c>
      <c r="K502" s="69" t="str">
        <f>IF(B502="","",SUMIF(B:B,B502,G:G))</f>
        <v/>
      </c>
      <c r="L502" s="70" t="str">
        <f>IF(B502="","",IFERROR(VLOOKUP(B502,'Coil Sheet at Plant'!$C:$I,7,FALSE),""))</f>
        <v/>
      </c>
      <c r="M502" s="71" t="str">
        <f>IF(OR(K502="",L502=""),"",IF(L502=0,"⚠ NO PARENT WIDTH",IF(K502&gt;L502,"⚠ BABY &gt; PARENT","✔ OK")))</f>
        <v/>
      </c>
      <c r="N502" s="71" t="str">
        <f>IF(D502="","",IF(COUNTIF(D$3:D502,D502)&gt;1,"⚠ DUPLICATE",""))</f>
        <v/>
      </c>
      <c r="O502" s="72" t="str">
        <f>IF(B502="","",SUMIF(B:B,B502,G:G)&amp;" / "&amp;IFERROR(VLOOKUP(B502,'Coil Sheet at Plant'!$C:$I,7,FALSE),"?")&amp;" mm")</f>
        <v/>
      </c>
    </row>
    <row r="503" spans="1:15">
      <c r="A503" s="36"/>
      <c r="B503" s="32"/>
      <c r="C503" s="39"/>
      <c r="D503" s="44" t="str">
        <f>IF(OR(B503="",C503=""),"",CONCATENATE(B503,"-",C503))</f>
        <v/>
      </c>
      <c r="E503" s="49" t="str">
        <f>IF(B503="","",IFERROR(VLOOKUP(B503,'Coil Sheet at Plant'!$C:$G,5,FALSE),"ID Not Found"))</f>
        <v/>
      </c>
      <c r="F503" s="50" t="str">
        <f>IF(B503="","",IFERROR(VLOOKUP(B503,'Coil Sheet at Plant'!$C:$H,6,FALSE),"ID Not Found"))</f>
        <v/>
      </c>
      <c r="G503" s="81">
        <v>650</v>
      </c>
      <c r="H503" s="89" t="str">
        <f>IF(OR(B503="",G503=""),"",IFERROR(VLOOKUP(B503,'Coil Sheet at Plant'!$C:$J,8,FALSE),0)*G503/SUMIF(B:B,B503,G:G))</f>
        <v/>
      </c>
      <c r="I503" s="56" t="str">
        <f>IF(B503="","",IFERROR(VLOOKUP(B503,'Coil Sheet at Plant'!$C:$L,9,FALSE),""))</f>
        <v/>
      </c>
      <c r="J503" s="85" t="str">
        <f>IF(B503="","",IFERROR(VLOOKUP(B503,'Coil Sheet at Plant'!$C:$M,10,FALSE),""))</f>
        <v/>
      </c>
      <c r="K503" s="69" t="str">
        <f>IF(B503="","",SUMIF(B:B,B503,G:G))</f>
        <v/>
      </c>
      <c r="L503" s="70" t="str">
        <f>IF(B503="","",IFERROR(VLOOKUP(B503,'Coil Sheet at Plant'!$C:$I,7,FALSE),""))</f>
        <v/>
      </c>
      <c r="M503" s="71" t="str">
        <f>IF(OR(K503="",L503=""),"",IF(L503=0,"⚠ NO PARENT WIDTH",IF(K503&gt;L503,"⚠ BABY &gt; PARENT","✔ OK")))</f>
        <v/>
      </c>
      <c r="N503" s="71" t="str">
        <f>IF(D503="","",IF(COUNTIF(D$3:D503,D503)&gt;1,"⚠ DUPLICATE",""))</f>
        <v/>
      </c>
      <c r="O503" s="72" t="str">
        <f>IF(B503="","",SUMIF(B:B,B503,G:G)&amp;" / "&amp;IFERROR(VLOOKUP(B503,'Coil Sheet at Plant'!$C:$I,7,FALSE),"?")&amp;" mm")</f>
        <v/>
      </c>
    </row>
    <row r="504" spans="1:15">
      <c r="A504" s="36"/>
      <c r="B504" s="32"/>
      <c r="C504" s="39"/>
      <c r="D504" s="44" t="str">
        <f>IF(OR(B504="",C504=""),"",CONCATENATE(B504,"-",C504))</f>
        <v/>
      </c>
      <c r="E504" s="49" t="str">
        <f>IF(B504="","",IFERROR(VLOOKUP(B504,'Coil Sheet at Plant'!$C:$G,5,FALSE),"ID Not Found"))</f>
        <v/>
      </c>
      <c r="F504" s="50" t="str">
        <f>IF(B504="","",IFERROR(VLOOKUP(B504,'Coil Sheet at Plant'!$C:$H,6,FALSE),"ID Not Found"))</f>
        <v/>
      </c>
      <c r="G504" s="81">
        <v>651</v>
      </c>
      <c r="H504" s="89" t="str">
        <f>IF(OR(B504="",G504=""),"",IFERROR(VLOOKUP(B504,'Coil Sheet at Plant'!$C:$J,8,FALSE),0)*G504/SUMIF(B:B,B504,G:G))</f>
        <v/>
      </c>
      <c r="I504" s="56" t="str">
        <f>IF(B504="","",IFERROR(VLOOKUP(B504,'Coil Sheet at Plant'!$C:$L,9,FALSE),""))</f>
        <v/>
      </c>
      <c r="J504" s="85" t="str">
        <f>IF(B504="","",IFERROR(VLOOKUP(B504,'Coil Sheet at Plant'!$C:$M,10,FALSE),""))</f>
        <v/>
      </c>
      <c r="K504" s="69" t="str">
        <f>IF(B504="","",SUMIF(B:B,B504,G:G))</f>
        <v/>
      </c>
      <c r="L504" s="70" t="str">
        <f>IF(B504="","",IFERROR(VLOOKUP(B504,'Coil Sheet at Plant'!$C:$I,7,FALSE),""))</f>
        <v/>
      </c>
      <c r="M504" s="71" t="str">
        <f>IF(OR(K504="",L504=""),"",IF(L504=0,"⚠ NO PARENT WIDTH",IF(K504&gt;L504,"⚠ BABY &gt; PARENT","✔ OK")))</f>
        <v/>
      </c>
      <c r="N504" s="71" t="str">
        <f>IF(D504="","",IF(COUNTIF(D$3:D504,D504)&gt;1,"⚠ DUPLICATE",""))</f>
        <v/>
      </c>
      <c r="O504" s="72" t="str">
        <f>IF(B504="","",SUMIF(B:B,B504,G:G)&amp;" / "&amp;IFERROR(VLOOKUP(B504,'Coil Sheet at Plant'!$C:$I,7,FALSE),"?")&amp;" mm")</f>
        <v/>
      </c>
    </row>
    <row r="505" spans="1:15">
      <c r="A505" s="36"/>
      <c r="B505" s="32"/>
      <c r="C505" s="39"/>
      <c r="D505" s="44" t="str">
        <f>IF(OR(B505="",C505=""),"",CONCATENATE(B505,"-",C505))</f>
        <v/>
      </c>
      <c r="E505" s="49" t="str">
        <f>IF(B505="","",IFERROR(VLOOKUP(B505,'Coil Sheet at Plant'!$C:$G,5,FALSE),"ID Not Found"))</f>
        <v/>
      </c>
      <c r="F505" s="50" t="str">
        <f>IF(B505="","",IFERROR(VLOOKUP(B505,'Coil Sheet at Plant'!$C:$H,6,FALSE),"ID Not Found"))</f>
        <v/>
      </c>
      <c r="G505" s="81">
        <v>652</v>
      </c>
      <c r="H505" s="89" t="str">
        <f>IF(OR(B505="",G505=""),"",IFERROR(VLOOKUP(B505,'Coil Sheet at Plant'!$C:$J,8,FALSE),0)*G505/SUMIF(B:B,B505,G:G))</f>
        <v/>
      </c>
      <c r="I505" s="56" t="str">
        <f>IF(B505="","",IFERROR(VLOOKUP(B505,'Coil Sheet at Plant'!$C:$L,9,FALSE),""))</f>
        <v/>
      </c>
      <c r="J505" s="85" t="str">
        <f>IF(B505="","",IFERROR(VLOOKUP(B505,'Coil Sheet at Plant'!$C:$M,10,FALSE),""))</f>
        <v/>
      </c>
      <c r="K505" s="69" t="str">
        <f>IF(B505="","",SUMIF(B:B,B505,G:G))</f>
        <v/>
      </c>
      <c r="L505" s="70" t="str">
        <f>IF(B505="","",IFERROR(VLOOKUP(B505,'Coil Sheet at Plant'!$C:$I,7,FALSE),""))</f>
        <v/>
      </c>
      <c r="M505" s="71" t="str">
        <f>IF(OR(K505="",L505=""),"",IF(L505=0,"⚠ NO PARENT WIDTH",IF(K505&gt;L505,"⚠ BABY &gt; PARENT","✔ OK")))</f>
        <v/>
      </c>
      <c r="N505" s="71" t="str">
        <f>IF(D505="","",IF(COUNTIF(D$3:D505,D505)&gt;1,"⚠ DUPLICATE",""))</f>
        <v/>
      </c>
      <c r="O505" s="72" t="str">
        <f>IF(B505="","",SUMIF(B:B,B505,G:G)&amp;" / "&amp;IFERROR(VLOOKUP(B505,'Coil Sheet at Plant'!$C:$I,7,FALSE),"?")&amp;" mm")</f>
        <v/>
      </c>
    </row>
    <row r="506" spans="1:15">
      <c r="A506" s="36"/>
      <c r="B506" s="32"/>
      <c r="C506" s="39"/>
      <c r="D506" s="44" t="str">
        <f>IF(OR(B506="",C506=""),"",CONCATENATE(B506,"-",C506))</f>
        <v/>
      </c>
      <c r="E506" s="49" t="str">
        <f>IF(B506="","",IFERROR(VLOOKUP(B506,'Coil Sheet at Plant'!$C:$G,5,FALSE),"ID Not Found"))</f>
        <v/>
      </c>
      <c r="F506" s="50" t="str">
        <f>IF(B506="","",IFERROR(VLOOKUP(B506,'Coil Sheet at Plant'!$C:$H,6,FALSE),"ID Not Found"))</f>
        <v/>
      </c>
      <c r="G506" s="81">
        <v>653</v>
      </c>
      <c r="H506" s="89" t="str">
        <f>IF(OR(B506="",G506=""),"",IFERROR(VLOOKUP(B506,'Coil Sheet at Plant'!$C:$J,8,FALSE),0)*G506/SUMIF(B:B,B506,G:G))</f>
        <v/>
      </c>
      <c r="I506" s="56" t="str">
        <f>IF(B506="","",IFERROR(VLOOKUP(B506,'Coil Sheet at Plant'!$C:$L,9,FALSE),""))</f>
        <v/>
      </c>
      <c r="J506" s="85" t="str">
        <f>IF(B506="","",IFERROR(VLOOKUP(B506,'Coil Sheet at Plant'!$C:$M,10,FALSE),""))</f>
        <v/>
      </c>
      <c r="K506" s="69" t="str">
        <f>IF(B506="","",SUMIF(B:B,B506,G:G))</f>
        <v/>
      </c>
      <c r="L506" s="70" t="str">
        <f>IF(B506="","",IFERROR(VLOOKUP(B506,'Coil Sheet at Plant'!$C:$I,7,FALSE),""))</f>
        <v/>
      </c>
      <c r="M506" s="71" t="str">
        <f>IF(OR(K506="",L506=""),"",IF(L506=0,"⚠ NO PARENT WIDTH",IF(K506&gt;L506,"⚠ BABY &gt; PARENT","✔ OK")))</f>
        <v/>
      </c>
      <c r="N506" s="71" t="str">
        <f>IF(D506="","",IF(COUNTIF(D$3:D506,D506)&gt;1,"⚠ DUPLICATE",""))</f>
        <v/>
      </c>
      <c r="O506" s="72" t="str">
        <f>IF(B506="","",SUMIF(B:B,B506,G:G)&amp;" / "&amp;IFERROR(VLOOKUP(B506,'Coil Sheet at Plant'!$C:$I,7,FALSE),"?")&amp;" mm")</f>
        <v/>
      </c>
    </row>
    <row r="507" spans="1:15">
      <c r="A507" s="36"/>
      <c r="B507" s="32"/>
      <c r="C507" s="39"/>
      <c r="D507" s="44" t="str">
        <f>IF(OR(B507="",C507=""),"",CONCATENATE(B507,"-",C507))</f>
        <v/>
      </c>
      <c r="E507" s="49" t="str">
        <f>IF(B507="","",IFERROR(VLOOKUP(B507,'Coil Sheet at Plant'!$C:$G,5,FALSE),"ID Not Found"))</f>
        <v/>
      </c>
      <c r="F507" s="50" t="str">
        <f>IF(B507="","",IFERROR(VLOOKUP(B507,'Coil Sheet at Plant'!$C:$H,6,FALSE),"ID Not Found"))</f>
        <v/>
      </c>
      <c r="G507" s="81">
        <v>654</v>
      </c>
      <c r="H507" s="89" t="str">
        <f>IF(OR(B507="",G507=""),"",IFERROR(VLOOKUP(B507,'Coil Sheet at Plant'!$C:$J,8,FALSE),0)*G507/SUMIF(B:B,B507,G:G))</f>
        <v/>
      </c>
      <c r="I507" s="56" t="str">
        <f>IF(B507="","",IFERROR(VLOOKUP(B507,'Coil Sheet at Plant'!$C:$L,9,FALSE),""))</f>
        <v/>
      </c>
      <c r="J507" s="85" t="str">
        <f>IF(B507="","",IFERROR(VLOOKUP(B507,'Coil Sheet at Plant'!$C:$M,10,FALSE),""))</f>
        <v/>
      </c>
      <c r="K507" s="69" t="str">
        <f>IF(B507="","",SUMIF(B:B,B507,G:G))</f>
        <v/>
      </c>
      <c r="L507" s="70" t="str">
        <f>IF(B507="","",IFERROR(VLOOKUP(B507,'Coil Sheet at Plant'!$C:$I,7,FALSE),""))</f>
        <v/>
      </c>
      <c r="M507" s="71" t="str">
        <f>IF(OR(K507="",L507=""),"",IF(L507=0,"⚠ NO PARENT WIDTH",IF(K507&gt;L507,"⚠ BABY &gt; PARENT","✔ OK")))</f>
        <v/>
      </c>
      <c r="N507" s="71" t="str">
        <f>IF(D507="","",IF(COUNTIF(D$3:D507,D507)&gt;1,"⚠ DUPLICATE",""))</f>
        <v/>
      </c>
      <c r="O507" s="72" t="str">
        <f>IF(B507="","",SUMIF(B:B,B507,G:G)&amp;" / "&amp;IFERROR(VLOOKUP(B507,'Coil Sheet at Plant'!$C:$I,7,FALSE),"?")&amp;" mm")</f>
        <v/>
      </c>
    </row>
    <row r="508" spans="1:15">
      <c r="A508" s="36"/>
      <c r="B508" s="32"/>
      <c r="C508" s="39"/>
      <c r="D508" s="44" t="str">
        <f>IF(OR(B508="",C508=""),"",CONCATENATE(B508,"-",C508))</f>
        <v/>
      </c>
      <c r="E508" s="49" t="str">
        <f>IF(B508="","",IFERROR(VLOOKUP(B508,'Coil Sheet at Plant'!$C:$G,5,FALSE),"ID Not Found"))</f>
        <v/>
      </c>
      <c r="F508" s="50" t="str">
        <f>IF(B508="","",IFERROR(VLOOKUP(B508,'Coil Sheet at Plant'!$C:$H,6,FALSE),"ID Not Found"))</f>
        <v/>
      </c>
      <c r="G508" s="81">
        <v>655</v>
      </c>
      <c r="H508" s="89" t="str">
        <f>IF(OR(B508="",G508=""),"",IFERROR(VLOOKUP(B508,'Coil Sheet at Plant'!$C:$J,8,FALSE),0)*G508/SUMIF(B:B,B508,G:G))</f>
        <v/>
      </c>
      <c r="I508" s="56" t="str">
        <f>IF(B508="","",IFERROR(VLOOKUP(B508,'Coil Sheet at Plant'!$C:$L,9,FALSE),""))</f>
        <v/>
      </c>
      <c r="J508" s="85" t="str">
        <f>IF(B508="","",IFERROR(VLOOKUP(B508,'Coil Sheet at Plant'!$C:$M,10,FALSE),""))</f>
        <v/>
      </c>
      <c r="K508" s="69" t="str">
        <f>IF(B508="","",SUMIF(B:B,B508,G:G))</f>
        <v/>
      </c>
      <c r="L508" s="70" t="str">
        <f>IF(B508="","",IFERROR(VLOOKUP(B508,'Coil Sheet at Plant'!$C:$I,7,FALSE),""))</f>
        <v/>
      </c>
      <c r="M508" s="71" t="str">
        <f>IF(OR(K508="",L508=""),"",IF(L508=0,"⚠ NO PARENT WIDTH",IF(K508&gt;L508,"⚠ BABY &gt; PARENT","✔ OK")))</f>
        <v/>
      </c>
      <c r="N508" s="71" t="str">
        <f>IF(D508="","",IF(COUNTIF(D$3:D508,D508)&gt;1,"⚠ DUPLICATE",""))</f>
        <v/>
      </c>
      <c r="O508" s="72" t="str">
        <f>IF(B508="","",SUMIF(B:B,B508,G:G)&amp;" / "&amp;IFERROR(VLOOKUP(B508,'Coil Sheet at Plant'!$C:$I,7,FALSE),"?")&amp;" mm")</f>
        <v/>
      </c>
    </row>
    <row r="509" spans="1:15">
      <c r="A509" s="36"/>
      <c r="B509" s="32"/>
      <c r="C509" s="39"/>
      <c r="D509" s="44" t="str">
        <f>IF(OR(B509="",C509=""),"",CONCATENATE(B509,"-",C509))</f>
        <v/>
      </c>
      <c r="E509" s="49" t="str">
        <f>IF(B509="","",IFERROR(VLOOKUP(B509,'Coil Sheet at Plant'!$C:$G,5,FALSE),"ID Not Found"))</f>
        <v/>
      </c>
      <c r="F509" s="50" t="str">
        <f>IF(B509="","",IFERROR(VLOOKUP(B509,'Coil Sheet at Plant'!$C:$H,6,FALSE),"ID Not Found"))</f>
        <v/>
      </c>
      <c r="G509" s="81">
        <v>656</v>
      </c>
      <c r="H509" s="89" t="str">
        <f>IF(OR(B509="",G509=""),"",IFERROR(VLOOKUP(B509,'Coil Sheet at Plant'!$C:$J,8,FALSE),0)*G509/SUMIF(B:B,B509,G:G))</f>
        <v/>
      </c>
      <c r="I509" s="56" t="str">
        <f>IF(B509="","",IFERROR(VLOOKUP(B509,'Coil Sheet at Plant'!$C:$L,9,FALSE),""))</f>
        <v/>
      </c>
      <c r="J509" s="85" t="str">
        <f>IF(B509="","",IFERROR(VLOOKUP(B509,'Coil Sheet at Plant'!$C:$M,10,FALSE),""))</f>
        <v/>
      </c>
      <c r="K509" s="69" t="str">
        <f>IF(B509="","",SUMIF(B:B,B509,G:G))</f>
        <v/>
      </c>
      <c r="L509" s="70" t="str">
        <f>IF(B509="","",IFERROR(VLOOKUP(B509,'Coil Sheet at Plant'!$C:$I,7,FALSE),""))</f>
        <v/>
      </c>
      <c r="M509" s="71" t="str">
        <f>IF(OR(K509="",L509=""),"",IF(L509=0,"⚠ NO PARENT WIDTH",IF(K509&gt;L509,"⚠ BABY &gt; PARENT","✔ OK")))</f>
        <v/>
      </c>
      <c r="N509" s="71" t="str">
        <f>IF(D509="","",IF(COUNTIF(D$3:D509,D509)&gt;1,"⚠ DUPLICATE",""))</f>
        <v/>
      </c>
      <c r="O509" s="72" t="str">
        <f>IF(B509="","",SUMIF(B:B,B509,G:G)&amp;" / "&amp;IFERROR(VLOOKUP(B509,'Coil Sheet at Plant'!$C:$I,7,FALSE),"?")&amp;" mm")</f>
        <v/>
      </c>
    </row>
    <row r="510" spans="1:15">
      <c r="A510" s="36"/>
      <c r="B510" s="32"/>
      <c r="C510" s="39"/>
      <c r="D510" s="44" t="str">
        <f>IF(OR(B510="",C510=""),"",CONCATENATE(B510,"-",C510))</f>
        <v/>
      </c>
      <c r="E510" s="49" t="str">
        <f>IF(B510="","",IFERROR(VLOOKUP(B510,'Coil Sheet at Plant'!$C:$G,5,FALSE),"ID Not Found"))</f>
        <v/>
      </c>
      <c r="F510" s="50" t="str">
        <f>IF(B510="","",IFERROR(VLOOKUP(B510,'Coil Sheet at Plant'!$C:$H,6,FALSE),"ID Not Found"))</f>
        <v/>
      </c>
      <c r="G510" s="81">
        <v>657</v>
      </c>
      <c r="H510" s="89" t="str">
        <f>IF(OR(B510="",G510=""),"",IFERROR(VLOOKUP(B510,'Coil Sheet at Plant'!$C:$J,8,FALSE),0)*G510/SUMIF(B:B,B510,G:G))</f>
        <v/>
      </c>
      <c r="I510" s="56" t="str">
        <f>IF(B510="","",IFERROR(VLOOKUP(B510,'Coil Sheet at Plant'!$C:$L,9,FALSE),""))</f>
        <v/>
      </c>
      <c r="J510" s="85" t="str">
        <f>IF(B510="","",IFERROR(VLOOKUP(B510,'Coil Sheet at Plant'!$C:$M,10,FALSE),""))</f>
        <v/>
      </c>
      <c r="K510" s="69" t="str">
        <f>IF(B510="","",SUMIF(B:B,B510,G:G))</f>
        <v/>
      </c>
      <c r="L510" s="70" t="str">
        <f>IF(B510="","",IFERROR(VLOOKUP(B510,'Coil Sheet at Plant'!$C:$I,7,FALSE),""))</f>
        <v/>
      </c>
      <c r="M510" s="71" t="str">
        <f>IF(OR(K510="",L510=""),"",IF(L510=0,"⚠ NO PARENT WIDTH",IF(K510&gt;L510,"⚠ BABY &gt; PARENT","✔ OK")))</f>
        <v/>
      </c>
      <c r="N510" s="71" t="str">
        <f>IF(D510="","",IF(COUNTIF(D$3:D510,D510)&gt;1,"⚠ DUPLICATE",""))</f>
        <v/>
      </c>
      <c r="O510" s="72" t="str">
        <f>IF(B510="","",SUMIF(B:B,B510,G:G)&amp;" / "&amp;IFERROR(VLOOKUP(B510,'Coil Sheet at Plant'!$C:$I,7,FALSE),"?")&amp;" mm")</f>
        <v/>
      </c>
    </row>
    <row r="511" spans="1:15">
      <c r="A511" s="36"/>
      <c r="B511" s="32"/>
      <c r="C511" s="39"/>
      <c r="D511" s="44" t="str">
        <f>IF(OR(B511="",C511=""),"",CONCATENATE(B511,"-",C511))</f>
        <v/>
      </c>
      <c r="E511" s="49" t="str">
        <f>IF(B511="","",IFERROR(VLOOKUP(B511,'Coil Sheet at Plant'!$C:$G,5,FALSE),"ID Not Found"))</f>
        <v/>
      </c>
      <c r="F511" s="50" t="str">
        <f>IF(B511="","",IFERROR(VLOOKUP(B511,'Coil Sheet at Plant'!$C:$H,6,FALSE),"ID Not Found"))</f>
        <v/>
      </c>
      <c r="G511" s="81">
        <v>658</v>
      </c>
      <c r="H511" s="89" t="str">
        <f>IF(OR(B511="",G511=""),"",IFERROR(VLOOKUP(B511,'Coil Sheet at Plant'!$C:$J,8,FALSE),0)*G511/SUMIF(B:B,B511,G:G))</f>
        <v/>
      </c>
      <c r="I511" s="56" t="str">
        <f>IF(B511="","",IFERROR(VLOOKUP(B511,'Coil Sheet at Plant'!$C:$L,9,FALSE),""))</f>
        <v/>
      </c>
      <c r="J511" s="85" t="str">
        <f>IF(B511="","",IFERROR(VLOOKUP(B511,'Coil Sheet at Plant'!$C:$M,10,FALSE),""))</f>
        <v/>
      </c>
      <c r="K511" s="69" t="str">
        <f>IF(B511="","",SUMIF(B:B,B511,G:G))</f>
        <v/>
      </c>
      <c r="L511" s="70" t="str">
        <f>IF(B511="","",IFERROR(VLOOKUP(B511,'Coil Sheet at Plant'!$C:$I,7,FALSE),""))</f>
        <v/>
      </c>
      <c r="M511" s="71" t="str">
        <f>IF(OR(K511="",L511=""),"",IF(L511=0,"⚠ NO PARENT WIDTH",IF(K511&gt;L511,"⚠ BABY &gt; PARENT","✔ OK")))</f>
        <v/>
      </c>
      <c r="N511" s="71" t="str">
        <f>IF(D511="","",IF(COUNTIF(D$3:D511,D511)&gt;1,"⚠ DUPLICATE",""))</f>
        <v/>
      </c>
      <c r="O511" s="72" t="str">
        <f>IF(B511="","",SUMIF(B:B,B511,G:G)&amp;" / "&amp;IFERROR(VLOOKUP(B511,'Coil Sheet at Plant'!$C:$I,7,FALSE),"?")&amp;" mm")</f>
        <v/>
      </c>
    </row>
    <row r="512" spans="1:15">
      <c r="A512" s="36"/>
      <c r="B512" s="32"/>
      <c r="C512" s="39"/>
      <c r="D512" s="44" t="str">
        <f>IF(OR(B512="",C512=""),"",CONCATENATE(B512,"-",C512))</f>
        <v/>
      </c>
      <c r="E512" s="49" t="str">
        <f>IF(B512="","",IFERROR(VLOOKUP(B512,'Coil Sheet at Plant'!$C:$G,5,FALSE),"ID Not Found"))</f>
        <v/>
      </c>
      <c r="F512" s="50" t="str">
        <f>IF(B512="","",IFERROR(VLOOKUP(B512,'Coil Sheet at Plant'!$C:$H,6,FALSE),"ID Not Found"))</f>
        <v/>
      </c>
      <c r="G512" s="81">
        <v>659</v>
      </c>
      <c r="H512" s="89" t="str">
        <f>IF(OR(B512="",G512=""),"",IFERROR(VLOOKUP(B512,'Coil Sheet at Plant'!$C:$J,8,FALSE),0)*G512/SUMIF(B:B,B512,G:G))</f>
        <v/>
      </c>
      <c r="I512" s="56" t="str">
        <f>IF(B512="","",IFERROR(VLOOKUP(B512,'Coil Sheet at Plant'!$C:$L,9,FALSE),""))</f>
        <v/>
      </c>
      <c r="J512" s="85" t="str">
        <f>IF(B512="","",IFERROR(VLOOKUP(B512,'Coil Sheet at Plant'!$C:$M,10,FALSE),""))</f>
        <v/>
      </c>
      <c r="K512" s="69" t="str">
        <f>IF(B512="","",SUMIF(B:B,B512,G:G))</f>
        <v/>
      </c>
      <c r="L512" s="70" t="str">
        <f>IF(B512="","",IFERROR(VLOOKUP(B512,'Coil Sheet at Plant'!$C:$I,7,FALSE),""))</f>
        <v/>
      </c>
      <c r="M512" s="71" t="str">
        <f>IF(OR(K512="",L512=""),"",IF(L512=0,"⚠ NO PARENT WIDTH",IF(K512&gt;L512,"⚠ BABY &gt; PARENT","✔ OK")))</f>
        <v/>
      </c>
      <c r="N512" s="71" t="str">
        <f>IF(D512="","",IF(COUNTIF(D$3:D512,D512)&gt;1,"⚠ DUPLICATE",""))</f>
        <v/>
      </c>
      <c r="O512" s="72" t="str">
        <f>IF(B512="","",SUMIF(B:B,B512,G:G)&amp;" / "&amp;IFERROR(VLOOKUP(B512,'Coil Sheet at Plant'!$C:$I,7,FALSE),"?")&amp;" mm")</f>
        <v/>
      </c>
    </row>
    <row r="513" spans="1:15">
      <c r="A513" s="36"/>
      <c r="B513" s="32"/>
      <c r="C513" s="39"/>
      <c r="D513" s="44" t="str">
        <f>IF(OR(B513="",C513=""),"",CONCATENATE(B513,"-",C513))</f>
        <v/>
      </c>
      <c r="E513" s="49" t="str">
        <f>IF(B513="","",IFERROR(VLOOKUP(B513,'Coil Sheet at Plant'!$C:$G,5,FALSE),"ID Not Found"))</f>
        <v/>
      </c>
      <c r="F513" s="50" t="str">
        <f>IF(B513="","",IFERROR(VLOOKUP(B513,'Coil Sheet at Plant'!$C:$H,6,FALSE),"ID Not Found"))</f>
        <v/>
      </c>
      <c r="G513" s="81">
        <v>660</v>
      </c>
      <c r="H513" s="89" t="str">
        <f>IF(OR(B513="",G513=""),"",IFERROR(VLOOKUP(B513,'Coil Sheet at Plant'!$C:$J,8,FALSE),0)*G513/SUMIF(B:B,B513,G:G))</f>
        <v/>
      </c>
      <c r="I513" s="56" t="str">
        <f>IF(B513="","",IFERROR(VLOOKUP(B513,'Coil Sheet at Plant'!$C:$L,9,FALSE),""))</f>
        <v/>
      </c>
      <c r="J513" s="85" t="str">
        <f>IF(B513="","",IFERROR(VLOOKUP(B513,'Coil Sheet at Plant'!$C:$M,10,FALSE),""))</f>
        <v/>
      </c>
      <c r="K513" s="69" t="str">
        <f>IF(B513="","",SUMIF(B:B,B513,G:G))</f>
        <v/>
      </c>
      <c r="L513" s="70" t="str">
        <f>IF(B513="","",IFERROR(VLOOKUP(B513,'Coil Sheet at Plant'!$C:$I,7,FALSE),""))</f>
        <v/>
      </c>
      <c r="M513" s="71" t="str">
        <f>IF(OR(K513="",L513=""),"",IF(L513=0,"⚠ NO PARENT WIDTH",IF(K513&gt;L513,"⚠ BABY &gt; PARENT","✔ OK")))</f>
        <v/>
      </c>
      <c r="N513" s="71" t="str">
        <f>IF(D513="","",IF(COUNTIF(D$3:D513,D513)&gt;1,"⚠ DUPLICATE",""))</f>
        <v/>
      </c>
      <c r="O513" s="72" t="str">
        <f>IF(B513="","",SUMIF(B:B,B513,G:G)&amp;" / "&amp;IFERROR(VLOOKUP(B513,'Coil Sheet at Plant'!$C:$I,7,FALSE),"?")&amp;" mm")</f>
        <v/>
      </c>
    </row>
    <row r="514" spans="1:15">
      <c r="A514" s="36"/>
      <c r="B514" s="32"/>
      <c r="C514" s="39"/>
      <c r="D514" s="44" t="str">
        <f>IF(OR(B514="",C514=""),"",CONCATENATE(B514,"-",C514))</f>
        <v/>
      </c>
      <c r="E514" s="49" t="str">
        <f>IF(B514="","",IFERROR(VLOOKUP(B514,'Coil Sheet at Plant'!$C:$G,5,FALSE),"ID Not Found"))</f>
        <v/>
      </c>
      <c r="F514" s="50" t="str">
        <f>IF(B514="","",IFERROR(VLOOKUP(B514,'Coil Sheet at Plant'!$C:$H,6,FALSE),"ID Not Found"))</f>
        <v/>
      </c>
      <c r="G514" s="81">
        <v>661</v>
      </c>
      <c r="H514" s="89" t="str">
        <f>IF(OR(B514="",G514=""),"",IFERROR(VLOOKUP(B514,'Coil Sheet at Plant'!$C:$J,8,FALSE),0)*G514/SUMIF(B:B,B514,G:G))</f>
        <v/>
      </c>
      <c r="I514" s="56" t="str">
        <f>IF(B514="","",IFERROR(VLOOKUP(B514,'Coil Sheet at Plant'!$C:$L,9,FALSE),""))</f>
        <v/>
      </c>
      <c r="J514" s="85" t="str">
        <f>IF(B514="","",IFERROR(VLOOKUP(B514,'Coil Sheet at Plant'!$C:$M,10,FALSE),""))</f>
        <v/>
      </c>
      <c r="K514" s="69" t="str">
        <f>IF(B514="","",SUMIF(B:B,B514,G:G))</f>
        <v/>
      </c>
      <c r="L514" s="70" t="str">
        <f>IF(B514="","",IFERROR(VLOOKUP(B514,'Coil Sheet at Plant'!$C:$I,7,FALSE),""))</f>
        <v/>
      </c>
      <c r="M514" s="71" t="str">
        <f>IF(OR(K514="",L514=""),"",IF(L514=0,"⚠ NO PARENT WIDTH",IF(K514&gt;L514,"⚠ BABY &gt; PARENT","✔ OK")))</f>
        <v/>
      </c>
      <c r="N514" s="71" t="str">
        <f>IF(D514="","",IF(COUNTIF(D$3:D514,D514)&gt;1,"⚠ DUPLICATE",""))</f>
        <v/>
      </c>
      <c r="O514" s="72" t="str">
        <f>IF(B514="","",SUMIF(B:B,B514,G:G)&amp;" / "&amp;IFERROR(VLOOKUP(B514,'Coil Sheet at Plant'!$C:$I,7,FALSE),"?")&amp;" mm")</f>
        <v/>
      </c>
    </row>
    <row r="515" spans="1:15">
      <c r="A515" s="36"/>
      <c r="B515" s="32"/>
      <c r="C515" s="39"/>
      <c r="D515" s="44" t="str">
        <f>IF(OR(B515="",C515=""),"",CONCATENATE(B515,"-",C515))</f>
        <v/>
      </c>
      <c r="E515" s="49" t="str">
        <f>IF(B515="","",IFERROR(VLOOKUP(B515,'Coil Sheet at Plant'!$C:$G,5,FALSE),"ID Not Found"))</f>
        <v/>
      </c>
      <c r="F515" s="50" t="str">
        <f>IF(B515="","",IFERROR(VLOOKUP(B515,'Coil Sheet at Plant'!$C:$H,6,FALSE),"ID Not Found"))</f>
        <v/>
      </c>
      <c r="G515" s="81">
        <v>662</v>
      </c>
      <c r="H515" s="89" t="str">
        <f>IF(OR(B515="",G515=""),"",IFERROR(VLOOKUP(B515,'Coil Sheet at Plant'!$C:$J,8,FALSE),0)*G515/SUMIF(B:B,B515,G:G))</f>
        <v/>
      </c>
      <c r="I515" s="56" t="str">
        <f>IF(B515="","",IFERROR(VLOOKUP(B515,'Coil Sheet at Plant'!$C:$L,9,FALSE),""))</f>
        <v/>
      </c>
      <c r="J515" s="85" t="str">
        <f>IF(B515="","",IFERROR(VLOOKUP(B515,'Coil Sheet at Plant'!$C:$M,10,FALSE),""))</f>
        <v/>
      </c>
      <c r="K515" s="69" t="str">
        <f>IF(B515="","",SUMIF(B:B,B515,G:G))</f>
        <v/>
      </c>
      <c r="L515" s="70" t="str">
        <f>IF(B515="","",IFERROR(VLOOKUP(B515,'Coil Sheet at Plant'!$C:$I,7,FALSE),""))</f>
        <v/>
      </c>
      <c r="M515" s="71" t="str">
        <f>IF(OR(K515="",L515=""),"",IF(L515=0,"⚠ NO PARENT WIDTH",IF(K515&gt;L515,"⚠ BABY &gt; PARENT","✔ OK")))</f>
        <v/>
      </c>
      <c r="N515" s="71" t="str">
        <f>IF(D515="","",IF(COUNTIF(D$3:D515,D515)&gt;1,"⚠ DUPLICATE",""))</f>
        <v/>
      </c>
      <c r="O515" s="72" t="str">
        <f>IF(B515="","",SUMIF(B:B,B515,G:G)&amp;" / "&amp;IFERROR(VLOOKUP(B515,'Coil Sheet at Plant'!$C:$I,7,FALSE),"?")&amp;" mm")</f>
        <v/>
      </c>
    </row>
    <row r="516" spans="1:15">
      <c r="A516" s="36"/>
      <c r="B516" s="32"/>
      <c r="C516" s="39"/>
      <c r="D516" s="44" t="str">
        <f>IF(OR(B516="",C516=""),"",CONCATENATE(B516,"-",C516))</f>
        <v/>
      </c>
      <c r="E516" s="49" t="str">
        <f>IF(B516="","",IFERROR(VLOOKUP(B516,'Coil Sheet at Plant'!$C:$G,5,FALSE),"ID Not Found"))</f>
        <v/>
      </c>
      <c r="F516" s="50" t="str">
        <f>IF(B516="","",IFERROR(VLOOKUP(B516,'Coil Sheet at Plant'!$C:$H,6,FALSE),"ID Not Found"))</f>
        <v/>
      </c>
      <c r="G516" s="81">
        <v>663</v>
      </c>
      <c r="H516" s="89" t="str">
        <f>IF(OR(B516="",G516=""),"",IFERROR(VLOOKUP(B516,'Coil Sheet at Plant'!$C:$J,8,FALSE),0)*G516/SUMIF(B:B,B516,G:G))</f>
        <v/>
      </c>
      <c r="I516" s="56" t="str">
        <f>IF(B516="","",IFERROR(VLOOKUP(B516,'Coil Sheet at Plant'!$C:$L,9,FALSE),""))</f>
        <v/>
      </c>
      <c r="J516" s="85" t="str">
        <f>IF(B516="","",IFERROR(VLOOKUP(B516,'Coil Sheet at Plant'!$C:$M,10,FALSE),""))</f>
        <v/>
      </c>
      <c r="K516" s="69" t="str">
        <f>IF(B516="","",SUMIF(B:B,B516,G:G))</f>
        <v/>
      </c>
      <c r="L516" s="70" t="str">
        <f>IF(B516="","",IFERROR(VLOOKUP(B516,'Coil Sheet at Plant'!$C:$I,7,FALSE),""))</f>
        <v/>
      </c>
      <c r="M516" s="71" t="str">
        <f>IF(OR(K516="",L516=""),"",IF(L516=0,"⚠ NO PARENT WIDTH",IF(K516&gt;L516,"⚠ BABY &gt; PARENT","✔ OK")))</f>
        <v/>
      </c>
      <c r="N516" s="71" t="str">
        <f>IF(D516="","",IF(COUNTIF(D$3:D516,D516)&gt;1,"⚠ DUPLICATE",""))</f>
        <v/>
      </c>
      <c r="O516" s="72" t="str">
        <f>IF(B516="","",SUMIF(B:B,B516,G:G)&amp;" / "&amp;IFERROR(VLOOKUP(B516,'Coil Sheet at Plant'!$C:$I,7,FALSE),"?")&amp;" mm")</f>
        <v/>
      </c>
    </row>
    <row r="517" spans="1:15">
      <c r="A517" s="36"/>
      <c r="B517" s="32"/>
      <c r="C517" s="39"/>
      <c r="D517" s="44" t="str">
        <f>IF(OR(B517="",C517=""),"",CONCATENATE(B517,"-",C517))</f>
        <v/>
      </c>
      <c r="E517" s="49" t="str">
        <f>IF(B517="","",IFERROR(VLOOKUP(B517,'Coil Sheet at Plant'!$C:$G,5,FALSE),"ID Not Found"))</f>
        <v/>
      </c>
      <c r="F517" s="50" t="str">
        <f>IF(B517="","",IFERROR(VLOOKUP(B517,'Coil Sheet at Plant'!$C:$H,6,FALSE),"ID Not Found"))</f>
        <v/>
      </c>
      <c r="G517" s="81">
        <v>664</v>
      </c>
      <c r="H517" s="89" t="str">
        <f>IF(OR(B517="",G517=""),"",IFERROR(VLOOKUP(B517,'Coil Sheet at Plant'!$C:$J,8,FALSE),0)*G517/SUMIF(B:B,B517,G:G))</f>
        <v/>
      </c>
      <c r="I517" s="56" t="str">
        <f>IF(B517="","",IFERROR(VLOOKUP(B517,'Coil Sheet at Plant'!$C:$L,9,FALSE),""))</f>
        <v/>
      </c>
      <c r="J517" s="85" t="str">
        <f>IF(B517="","",IFERROR(VLOOKUP(B517,'Coil Sheet at Plant'!$C:$M,10,FALSE),""))</f>
        <v/>
      </c>
      <c r="K517" s="69" t="str">
        <f>IF(B517="","",SUMIF(B:B,B517,G:G))</f>
        <v/>
      </c>
      <c r="L517" s="70" t="str">
        <f>IF(B517="","",IFERROR(VLOOKUP(B517,'Coil Sheet at Plant'!$C:$I,7,FALSE),""))</f>
        <v/>
      </c>
      <c r="M517" s="71" t="str">
        <f>IF(OR(K517="",L517=""),"",IF(L517=0,"⚠ NO PARENT WIDTH",IF(K517&gt;L517,"⚠ BABY &gt; PARENT","✔ OK")))</f>
        <v/>
      </c>
      <c r="N517" s="71" t="str">
        <f>IF(D517="","",IF(COUNTIF(D$3:D517,D517)&gt;1,"⚠ DUPLICATE",""))</f>
        <v/>
      </c>
      <c r="O517" s="72" t="str">
        <f>IF(B517="","",SUMIF(B:B,B517,G:G)&amp;" / "&amp;IFERROR(VLOOKUP(B517,'Coil Sheet at Plant'!$C:$I,7,FALSE),"?")&amp;" mm")</f>
        <v/>
      </c>
    </row>
    <row r="518" spans="1:15">
      <c r="A518" s="36"/>
      <c r="B518" s="32"/>
      <c r="C518" s="39"/>
      <c r="D518" s="44" t="str">
        <f>IF(OR(B518="",C518=""),"",CONCATENATE(B518,"-",C518))</f>
        <v/>
      </c>
      <c r="E518" s="49" t="str">
        <f>IF(B518="","",IFERROR(VLOOKUP(B518,'Coil Sheet at Plant'!$C:$G,5,FALSE),"ID Not Found"))</f>
        <v/>
      </c>
      <c r="F518" s="50" t="str">
        <f>IF(B518="","",IFERROR(VLOOKUP(B518,'Coil Sheet at Plant'!$C:$H,6,FALSE),"ID Not Found"))</f>
        <v/>
      </c>
      <c r="G518" s="81">
        <v>665</v>
      </c>
      <c r="H518" s="89" t="str">
        <f>IF(OR(B518="",G518=""),"",IFERROR(VLOOKUP(B518,'Coil Sheet at Plant'!$C:$J,8,FALSE),0)*G518/SUMIF(B:B,B518,G:G))</f>
        <v/>
      </c>
      <c r="I518" s="56" t="str">
        <f>IF(B518="","",IFERROR(VLOOKUP(B518,'Coil Sheet at Plant'!$C:$L,9,FALSE),""))</f>
        <v/>
      </c>
      <c r="J518" s="85" t="str">
        <f>IF(B518="","",IFERROR(VLOOKUP(B518,'Coil Sheet at Plant'!$C:$M,10,FALSE),""))</f>
        <v/>
      </c>
      <c r="K518" s="69" t="str">
        <f>IF(B518="","",SUMIF(B:B,B518,G:G))</f>
        <v/>
      </c>
      <c r="L518" s="70" t="str">
        <f>IF(B518="","",IFERROR(VLOOKUP(B518,'Coil Sheet at Plant'!$C:$I,7,FALSE),""))</f>
        <v/>
      </c>
      <c r="M518" s="71" t="str">
        <f>IF(OR(K518="",L518=""),"",IF(L518=0,"⚠ NO PARENT WIDTH",IF(K518&gt;L518,"⚠ BABY &gt; PARENT","✔ OK")))</f>
        <v/>
      </c>
      <c r="N518" s="71" t="str">
        <f>IF(D518="","",IF(COUNTIF(D$3:D518,D518)&gt;1,"⚠ DUPLICATE",""))</f>
        <v/>
      </c>
      <c r="O518" s="72" t="str">
        <f>IF(B518="","",SUMIF(B:B,B518,G:G)&amp;" / "&amp;IFERROR(VLOOKUP(B518,'Coil Sheet at Plant'!$C:$I,7,FALSE),"?")&amp;" mm")</f>
        <v/>
      </c>
    </row>
    <row r="519" spans="1:15">
      <c r="A519" s="36"/>
      <c r="B519" s="32"/>
      <c r="C519" s="39"/>
      <c r="D519" s="44" t="str">
        <f>IF(OR(B519="",C519=""),"",CONCATENATE(B519,"-",C519))</f>
        <v/>
      </c>
      <c r="E519" s="49" t="str">
        <f>IF(B519="","",IFERROR(VLOOKUP(B519,'Coil Sheet at Plant'!$C:$G,5,FALSE),"ID Not Found"))</f>
        <v/>
      </c>
      <c r="F519" s="50" t="str">
        <f>IF(B519="","",IFERROR(VLOOKUP(B519,'Coil Sheet at Plant'!$C:$H,6,FALSE),"ID Not Found"))</f>
        <v/>
      </c>
      <c r="G519" s="81">
        <v>666</v>
      </c>
      <c r="H519" s="89" t="str">
        <f>IF(OR(B519="",G519=""),"",IFERROR(VLOOKUP(B519,'Coil Sheet at Plant'!$C:$J,8,FALSE),0)*G519/SUMIF(B:B,B519,G:G))</f>
        <v/>
      </c>
      <c r="I519" s="56" t="str">
        <f>IF(B519="","",IFERROR(VLOOKUP(B519,'Coil Sheet at Plant'!$C:$L,9,FALSE),""))</f>
        <v/>
      </c>
      <c r="J519" s="85" t="str">
        <f>IF(B519="","",IFERROR(VLOOKUP(B519,'Coil Sheet at Plant'!$C:$M,10,FALSE),""))</f>
        <v/>
      </c>
      <c r="K519" s="69" t="str">
        <f>IF(B519="","",SUMIF(B:B,B519,G:G))</f>
        <v/>
      </c>
      <c r="L519" s="70" t="str">
        <f>IF(B519="","",IFERROR(VLOOKUP(B519,'Coil Sheet at Plant'!$C:$I,7,FALSE),""))</f>
        <v/>
      </c>
      <c r="M519" s="71" t="str">
        <f>IF(OR(K519="",L519=""),"",IF(L519=0,"⚠ NO PARENT WIDTH",IF(K519&gt;L519,"⚠ BABY &gt; PARENT","✔ OK")))</f>
        <v/>
      </c>
      <c r="N519" s="71" t="str">
        <f>IF(D519="","",IF(COUNTIF(D$3:D519,D519)&gt;1,"⚠ DUPLICATE",""))</f>
        <v/>
      </c>
      <c r="O519" s="72" t="str">
        <f>IF(B519="","",SUMIF(B:B,B519,G:G)&amp;" / "&amp;IFERROR(VLOOKUP(B519,'Coil Sheet at Plant'!$C:$I,7,FALSE),"?")&amp;" mm")</f>
        <v/>
      </c>
    </row>
    <row r="520" spans="1:15">
      <c r="A520" s="36"/>
      <c r="B520" s="32"/>
      <c r="C520" s="39"/>
      <c r="D520" s="44" t="str">
        <f>IF(OR(B520="",C520=""),"",CONCATENATE(B520,"-",C520))</f>
        <v/>
      </c>
      <c r="E520" s="49" t="str">
        <f>IF(B520="","",IFERROR(VLOOKUP(B520,'Coil Sheet at Plant'!$C:$G,5,FALSE),"ID Not Found"))</f>
        <v/>
      </c>
      <c r="F520" s="50" t="str">
        <f>IF(B520="","",IFERROR(VLOOKUP(B520,'Coil Sheet at Plant'!$C:$H,6,FALSE),"ID Not Found"))</f>
        <v/>
      </c>
      <c r="G520" s="81">
        <v>667</v>
      </c>
      <c r="H520" s="89" t="str">
        <f>IF(OR(B520="",G520=""),"",IFERROR(VLOOKUP(B520,'Coil Sheet at Plant'!$C:$J,8,FALSE),0)*G520/SUMIF(B:B,B520,G:G))</f>
        <v/>
      </c>
      <c r="I520" s="56" t="str">
        <f>IF(B520="","",IFERROR(VLOOKUP(B520,'Coil Sheet at Plant'!$C:$L,9,FALSE),""))</f>
        <v/>
      </c>
      <c r="J520" s="85" t="str">
        <f>IF(B520="","",IFERROR(VLOOKUP(B520,'Coil Sheet at Plant'!$C:$M,10,FALSE),""))</f>
        <v/>
      </c>
      <c r="K520" s="69" t="str">
        <f>IF(B520="","",SUMIF(B:B,B520,G:G))</f>
        <v/>
      </c>
      <c r="L520" s="70" t="str">
        <f>IF(B520="","",IFERROR(VLOOKUP(B520,'Coil Sheet at Plant'!$C:$I,7,FALSE),""))</f>
        <v/>
      </c>
      <c r="M520" s="71" t="str">
        <f>IF(OR(K520="",L520=""),"",IF(L520=0,"⚠ NO PARENT WIDTH",IF(K520&gt;L520,"⚠ BABY &gt; PARENT","✔ OK")))</f>
        <v/>
      </c>
      <c r="N520" s="71" t="str">
        <f>IF(D520="","",IF(COUNTIF(D$3:D520,D520)&gt;1,"⚠ DUPLICATE",""))</f>
        <v/>
      </c>
      <c r="O520" s="72" t="str">
        <f>IF(B520="","",SUMIF(B:B,B520,G:G)&amp;" / "&amp;IFERROR(VLOOKUP(B520,'Coil Sheet at Plant'!$C:$I,7,FALSE),"?")&amp;" mm")</f>
        <v/>
      </c>
    </row>
    <row r="521" spans="1:15">
      <c r="A521" s="36"/>
      <c r="B521" s="32"/>
      <c r="C521" s="39"/>
      <c r="D521" s="44" t="str">
        <f>IF(OR(B521="",C521=""),"",CONCATENATE(B521,"-",C521))</f>
        <v/>
      </c>
      <c r="E521" s="49" t="str">
        <f>IF(B521="","",IFERROR(VLOOKUP(B521,'Coil Sheet at Plant'!$C:$G,5,FALSE),"ID Not Found"))</f>
        <v/>
      </c>
      <c r="F521" s="50" t="str">
        <f>IF(B521="","",IFERROR(VLOOKUP(B521,'Coil Sheet at Plant'!$C:$H,6,FALSE),"ID Not Found"))</f>
        <v/>
      </c>
      <c r="G521" s="81">
        <v>668</v>
      </c>
      <c r="H521" s="89" t="str">
        <f>IF(OR(B521="",G521=""),"",IFERROR(VLOOKUP(B521,'Coil Sheet at Plant'!$C:$J,8,FALSE),0)*G521/SUMIF(B:B,B521,G:G))</f>
        <v/>
      </c>
      <c r="I521" s="56" t="str">
        <f>IF(B521="","",IFERROR(VLOOKUP(B521,'Coil Sheet at Plant'!$C:$L,9,FALSE),""))</f>
        <v/>
      </c>
      <c r="J521" s="85" t="str">
        <f>IF(B521="","",IFERROR(VLOOKUP(B521,'Coil Sheet at Plant'!$C:$M,10,FALSE),""))</f>
        <v/>
      </c>
      <c r="K521" s="69" t="str">
        <f>IF(B521="","",SUMIF(B:B,B521,G:G))</f>
        <v/>
      </c>
      <c r="L521" s="70" t="str">
        <f>IF(B521="","",IFERROR(VLOOKUP(B521,'Coil Sheet at Plant'!$C:$I,7,FALSE),""))</f>
        <v/>
      </c>
      <c r="M521" s="71" t="str">
        <f>IF(OR(K521="",L521=""),"",IF(L521=0,"⚠ NO PARENT WIDTH",IF(K521&gt;L521,"⚠ BABY &gt; PARENT","✔ OK")))</f>
        <v/>
      </c>
      <c r="N521" s="71" t="str">
        <f>IF(D521="","",IF(COUNTIF(D$3:D521,D521)&gt;1,"⚠ DUPLICATE",""))</f>
        <v/>
      </c>
      <c r="O521" s="72" t="str">
        <f>IF(B521="","",SUMIF(B:B,B521,G:G)&amp;" / "&amp;IFERROR(VLOOKUP(B521,'Coil Sheet at Plant'!$C:$I,7,FALSE),"?")&amp;" mm")</f>
        <v/>
      </c>
    </row>
    <row r="522" spans="1:15">
      <c r="A522" s="36"/>
      <c r="B522" s="32"/>
      <c r="C522" s="39"/>
      <c r="D522" s="44" t="str">
        <f>IF(OR(B522="",C522=""),"",CONCATENATE(B522,"-",C522))</f>
        <v/>
      </c>
      <c r="E522" s="49" t="str">
        <f>IF(B522="","",IFERROR(VLOOKUP(B522,'Coil Sheet at Plant'!$C:$G,5,FALSE),"ID Not Found"))</f>
        <v/>
      </c>
      <c r="F522" s="50" t="str">
        <f>IF(B522="","",IFERROR(VLOOKUP(B522,'Coil Sheet at Plant'!$C:$H,6,FALSE),"ID Not Found"))</f>
        <v/>
      </c>
      <c r="G522" s="81">
        <v>669</v>
      </c>
      <c r="H522" s="89" t="str">
        <f>IF(OR(B522="",G522=""),"",IFERROR(VLOOKUP(B522,'Coil Sheet at Plant'!$C:$J,8,FALSE),0)*G522/SUMIF(B:B,B522,G:G))</f>
        <v/>
      </c>
      <c r="I522" s="56" t="str">
        <f>IF(B522="","",IFERROR(VLOOKUP(B522,'Coil Sheet at Plant'!$C:$L,9,FALSE),""))</f>
        <v/>
      </c>
      <c r="J522" s="85" t="str">
        <f>IF(B522="","",IFERROR(VLOOKUP(B522,'Coil Sheet at Plant'!$C:$M,10,FALSE),""))</f>
        <v/>
      </c>
      <c r="K522" s="69" t="str">
        <f>IF(B522="","",SUMIF(B:B,B522,G:G))</f>
        <v/>
      </c>
      <c r="L522" s="70" t="str">
        <f>IF(B522="","",IFERROR(VLOOKUP(B522,'Coil Sheet at Plant'!$C:$I,7,FALSE),""))</f>
        <v/>
      </c>
      <c r="M522" s="71" t="str">
        <f>IF(OR(K522="",L522=""),"",IF(L522=0,"⚠ NO PARENT WIDTH",IF(K522&gt;L522,"⚠ BABY &gt; PARENT","✔ OK")))</f>
        <v/>
      </c>
      <c r="N522" s="71" t="str">
        <f>IF(D522="","",IF(COUNTIF(D$3:D522,D522)&gt;1,"⚠ DUPLICATE",""))</f>
        <v/>
      </c>
      <c r="O522" s="72" t="str">
        <f>IF(B522="","",SUMIF(B:B,B522,G:G)&amp;" / "&amp;IFERROR(VLOOKUP(B522,'Coil Sheet at Plant'!$C:$I,7,FALSE),"?")&amp;" mm")</f>
        <v/>
      </c>
    </row>
    <row r="523" spans="1:15">
      <c r="A523" s="36"/>
      <c r="B523" s="32"/>
      <c r="C523" s="39"/>
      <c r="D523" s="44" t="str">
        <f>IF(OR(B523="",C523=""),"",CONCATENATE(B523,"-",C523))</f>
        <v/>
      </c>
      <c r="E523" s="49" t="str">
        <f>IF(B523="","",IFERROR(VLOOKUP(B523,'Coil Sheet at Plant'!$C:$G,5,FALSE),"ID Not Found"))</f>
        <v/>
      </c>
      <c r="F523" s="50" t="str">
        <f>IF(B523="","",IFERROR(VLOOKUP(B523,'Coil Sheet at Plant'!$C:$H,6,FALSE),"ID Not Found"))</f>
        <v/>
      </c>
      <c r="G523" s="81">
        <v>670</v>
      </c>
      <c r="H523" s="89" t="str">
        <f>IF(OR(B523="",G523=""),"",IFERROR(VLOOKUP(B523,'Coil Sheet at Plant'!$C:$J,8,FALSE),0)*G523/SUMIF(B:B,B523,G:G))</f>
        <v/>
      </c>
      <c r="I523" s="56" t="str">
        <f>IF(B523="","",IFERROR(VLOOKUP(B523,'Coil Sheet at Plant'!$C:$L,9,FALSE),""))</f>
        <v/>
      </c>
      <c r="J523" s="85" t="str">
        <f>IF(B523="","",IFERROR(VLOOKUP(B523,'Coil Sheet at Plant'!$C:$M,10,FALSE),""))</f>
        <v/>
      </c>
      <c r="K523" s="69" t="str">
        <f>IF(B523="","",SUMIF(B:B,B523,G:G))</f>
        <v/>
      </c>
      <c r="L523" s="70" t="str">
        <f>IF(B523="","",IFERROR(VLOOKUP(B523,'Coil Sheet at Plant'!$C:$I,7,FALSE),""))</f>
        <v/>
      </c>
      <c r="M523" s="71" t="str">
        <f>IF(OR(K523="",L523=""),"",IF(L523=0,"⚠ NO PARENT WIDTH",IF(K523&gt;L523,"⚠ BABY &gt; PARENT","✔ OK")))</f>
        <v/>
      </c>
      <c r="N523" s="71" t="str">
        <f>IF(D523="","",IF(COUNTIF(D$3:D523,D523)&gt;1,"⚠ DUPLICATE",""))</f>
        <v/>
      </c>
      <c r="O523" s="72" t="str">
        <f>IF(B523="","",SUMIF(B:B,B523,G:G)&amp;" / "&amp;IFERROR(VLOOKUP(B523,'Coil Sheet at Plant'!$C:$I,7,FALSE),"?")&amp;" mm")</f>
        <v/>
      </c>
    </row>
    <row r="524" spans="1:15">
      <c r="A524" s="36"/>
      <c r="B524" s="32"/>
      <c r="C524" s="39"/>
      <c r="D524" s="44" t="str">
        <f>IF(OR(B524="",C524=""),"",CONCATENATE(B524,"-",C524))</f>
        <v/>
      </c>
      <c r="E524" s="49" t="str">
        <f>IF(B524="","",IFERROR(VLOOKUP(B524,'Coil Sheet at Plant'!$C:$G,5,FALSE),"ID Not Found"))</f>
        <v/>
      </c>
      <c r="F524" s="50" t="str">
        <f>IF(B524="","",IFERROR(VLOOKUP(B524,'Coil Sheet at Plant'!$C:$H,6,FALSE),"ID Not Found"))</f>
        <v/>
      </c>
      <c r="G524" s="81">
        <v>671</v>
      </c>
      <c r="H524" s="89" t="str">
        <f>IF(OR(B524="",G524=""),"",IFERROR(VLOOKUP(B524,'Coil Sheet at Plant'!$C:$J,8,FALSE),0)*G524/SUMIF(B:B,B524,G:G))</f>
        <v/>
      </c>
      <c r="I524" s="56" t="str">
        <f>IF(B524="","",IFERROR(VLOOKUP(B524,'Coil Sheet at Plant'!$C:$L,9,FALSE),""))</f>
        <v/>
      </c>
      <c r="J524" s="85" t="str">
        <f>IF(B524="","",IFERROR(VLOOKUP(B524,'Coil Sheet at Plant'!$C:$M,10,FALSE),""))</f>
        <v/>
      </c>
      <c r="K524" s="69" t="str">
        <f>IF(B524="","",SUMIF(B:B,B524,G:G))</f>
        <v/>
      </c>
      <c r="L524" s="70" t="str">
        <f>IF(B524="","",IFERROR(VLOOKUP(B524,'Coil Sheet at Plant'!$C:$I,7,FALSE),""))</f>
        <v/>
      </c>
      <c r="M524" s="71" t="str">
        <f>IF(OR(K524="",L524=""),"",IF(L524=0,"⚠ NO PARENT WIDTH",IF(K524&gt;L524,"⚠ BABY &gt; PARENT","✔ OK")))</f>
        <v/>
      </c>
      <c r="N524" s="71" t="str">
        <f>IF(D524="","",IF(COUNTIF(D$3:D524,D524)&gt;1,"⚠ DUPLICATE",""))</f>
        <v/>
      </c>
      <c r="O524" s="72" t="str">
        <f>IF(B524="","",SUMIF(B:B,B524,G:G)&amp;" / "&amp;IFERROR(VLOOKUP(B524,'Coil Sheet at Plant'!$C:$I,7,FALSE),"?")&amp;" mm")</f>
        <v/>
      </c>
    </row>
    <row r="525" spans="1:15">
      <c r="A525" s="36"/>
      <c r="B525" s="32"/>
      <c r="C525" s="39"/>
      <c r="D525" s="44" t="str">
        <f>IF(OR(B525="",C525=""),"",CONCATENATE(B525,"-",C525))</f>
        <v/>
      </c>
      <c r="E525" s="49" t="str">
        <f>IF(B525="","",IFERROR(VLOOKUP(B525,'Coil Sheet at Plant'!$C:$G,5,FALSE),"ID Not Found"))</f>
        <v/>
      </c>
      <c r="F525" s="50" t="str">
        <f>IF(B525="","",IFERROR(VLOOKUP(B525,'Coil Sheet at Plant'!$C:$H,6,FALSE),"ID Not Found"))</f>
        <v/>
      </c>
      <c r="G525" s="81">
        <v>672</v>
      </c>
      <c r="H525" s="89" t="str">
        <f>IF(OR(B525="",G525=""),"",IFERROR(VLOOKUP(B525,'Coil Sheet at Plant'!$C:$J,8,FALSE),0)*G525/SUMIF(B:B,B525,G:G))</f>
        <v/>
      </c>
      <c r="I525" s="56" t="str">
        <f>IF(B525="","",IFERROR(VLOOKUP(B525,'Coil Sheet at Plant'!$C:$L,9,FALSE),""))</f>
        <v/>
      </c>
      <c r="J525" s="85" t="str">
        <f>IF(B525="","",IFERROR(VLOOKUP(B525,'Coil Sheet at Plant'!$C:$M,10,FALSE),""))</f>
        <v/>
      </c>
      <c r="K525" s="69" t="str">
        <f>IF(B525="","",SUMIF(B:B,B525,G:G))</f>
        <v/>
      </c>
      <c r="L525" s="70" t="str">
        <f>IF(B525="","",IFERROR(VLOOKUP(B525,'Coil Sheet at Plant'!$C:$I,7,FALSE),""))</f>
        <v/>
      </c>
      <c r="M525" s="71" t="str">
        <f>IF(OR(K525="",L525=""),"",IF(L525=0,"⚠ NO PARENT WIDTH",IF(K525&gt;L525,"⚠ BABY &gt; PARENT","✔ OK")))</f>
        <v/>
      </c>
      <c r="N525" s="71" t="str">
        <f>IF(D525="","",IF(COUNTIF(D$3:D525,D525)&gt;1,"⚠ DUPLICATE",""))</f>
        <v/>
      </c>
      <c r="O525" s="72" t="str">
        <f>IF(B525="","",SUMIF(B:B,B525,G:G)&amp;" / "&amp;IFERROR(VLOOKUP(B525,'Coil Sheet at Plant'!$C:$I,7,FALSE),"?")&amp;" mm")</f>
        <v/>
      </c>
    </row>
    <row r="526" spans="1:15">
      <c r="A526" s="36"/>
      <c r="B526" s="32"/>
      <c r="C526" s="39"/>
      <c r="D526" s="44" t="str">
        <f>IF(OR(B526="",C526=""),"",CONCATENATE(B526,"-",C526))</f>
        <v/>
      </c>
      <c r="E526" s="49" t="str">
        <f>IF(B526="","",IFERROR(VLOOKUP(B526,'Coil Sheet at Plant'!$C:$G,5,FALSE),"ID Not Found"))</f>
        <v/>
      </c>
      <c r="F526" s="50" t="str">
        <f>IF(B526="","",IFERROR(VLOOKUP(B526,'Coil Sheet at Plant'!$C:$H,6,FALSE),"ID Not Found"))</f>
        <v/>
      </c>
      <c r="G526" s="81">
        <v>673</v>
      </c>
      <c r="H526" s="89" t="str">
        <f>IF(OR(B526="",G526=""),"",IFERROR(VLOOKUP(B526,'Coil Sheet at Plant'!$C:$J,8,FALSE),0)*G526/SUMIF(B:B,B526,G:G))</f>
        <v/>
      </c>
      <c r="I526" s="56" t="str">
        <f>IF(B526="","",IFERROR(VLOOKUP(B526,'Coil Sheet at Plant'!$C:$L,9,FALSE),""))</f>
        <v/>
      </c>
      <c r="J526" s="85" t="str">
        <f>IF(B526="","",IFERROR(VLOOKUP(B526,'Coil Sheet at Plant'!$C:$M,10,FALSE),""))</f>
        <v/>
      </c>
      <c r="K526" s="69" t="str">
        <f>IF(B526="","",SUMIF(B:B,B526,G:G))</f>
        <v/>
      </c>
      <c r="L526" s="70" t="str">
        <f>IF(B526="","",IFERROR(VLOOKUP(B526,'Coil Sheet at Plant'!$C:$I,7,FALSE),""))</f>
        <v/>
      </c>
      <c r="M526" s="71" t="str">
        <f>IF(OR(K526="",L526=""),"",IF(L526=0,"⚠ NO PARENT WIDTH",IF(K526&gt;L526,"⚠ BABY &gt; PARENT","✔ OK")))</f>
        <v/>
      </c>
      <c r="N526" s="71" t="str">
        <f>IF(D526="","",IF(COUNTIF(D$3:D526,D526)&gt;1,"⚠ DUPLICATE",""))</f>
        <v/>
      </c>
      <c r="O526" s="72" t="str">
        <f>IF(B526="","",SUMIF(B:B,B526,G:G)&amp;" / "&amp;IFERROR(VLOOKUP(B526,'Coil Sheet at Plant'!$C:$I,7,FALSE),"?")&amp;" mm")</f>
        <v/>
      </c>
    </row>
    <row r="527" spans="1:15">
      <c r="A527" s="36"/>
      <c r="B527" s="32"/>
      <c r="C527" s="39"/>
      <c r="D527" s="44" t="str">
        <f>IF(OR(B527="",C527=""),"",CONCATENATE(B527,"-",C527))</f>
        <v/>
      </c>
      <c r="E527" s="49" t="str">
        <f>IF(B527="","",IFERROR(VLOOKUP(B527,'Coil Sheet at Plant'!$C:$G,5,FALSE),"ID Not Found"))</f>
        <v/>
      </c>
      <c r="F527" s="50" t="str">
        <f>IF(B527="","",IFERROR(VLOOKUP(B527,'Coil Sheet at Plant'!$C:$H,6,FALSE),"ID Not Found"))</f>
        <v/>
      </c>
      <c r="G527" s="81">
        <v>674</v>
      </c>
      <c r="H527" s="89" t="str">
        <f>IF(OR(B527="",G527=""),"",IFERROR(VLOOKUP(B527,'Coil Sheet at Plant'!$C:$J,8,FALSE),0)*G527/SUMIF(B:B,B527,G:G))</f>
        <v/>
      </c>
      <c r="I527" s="56" t="str">
        <f>IF(B527="","",IFERROR(VLOOKUP(B527,'Coil Sheet at Plant'!$C:$L,9,FALSE),""))</f>
        <v/>
      </c>
      <c r="J527" s="85" t="str">
        <f>IF(B527="","",IFERROR(VLOOKUP(B527,'Coil Sheet at Plant'!$C:$M,10,FALSE),""))</f>
        <v/>
      </c>
      <c r="K527" s="69" t="str">
        <f>IF(B527="","",SUMIF(B:B,B527,G:G))</f>
        <v/>
      </c>
      <c r="L527" s="70" t="str">
        <f>IF(B527="","",IFERROR(VLOOKUP(B527,'Coil Sheet at Plant'!$C:$I,7,FALSE),""))</f>
        <v/>
      </c>
      <c r="M527" s="71" t="str">
        <f>IF(OR(K527="",L527=""),"",IF(L527=0,"⚠ NO PARENT WIDTH",IF(K527&gt;L527,"⚠ BABY &gt; PARENT","✔ OK")))</f>
        <v/>
      </c>
      <c r="N527" s="71" t="str">
        <f>IF(D527="","",IF(COUNTIF(D$3:D527,D527)&gt;1,"⚠ DUPLICATE",""))</f>
        <v/>
      </c>
      <c r="O527" s="72" t="str">
        <f>IF(B527="","",SUMIF(B:B,B527,G:G)&amp;" / "&amp;IFERROR(VLOOKUP(B527,'Coil Sheet at Plant'!$C:$I,7,FALSE),"?")&amp;" mm")</f>
        <v/>
      </c>
    </row>
    <row r="528" spans="1:15">
      <c r="A528" s="36"/>
      <c r="B528" s="32"/>
      <c r="C528" s="39"/>
      <c r="D528" s="44" t="str">
        <f>IF(OR(B528="",C528=""),"",CONCATENATE(B528,"-",C528))</f>
        <v/>
      </c>
      <c r="E528" s="49" t="str">
        <f>IF(B528="","",IFERROR(VLOOKUP(B528,'Coil Sheet at Plant'!$C:$G,5,FALSE),"ID Not Found"))</f>
        <v/>
      </c>
      <c r="F528" s="50" t="str">
        <f>IF(B528="","",IFERROR(VLOOKUP(B528,'Coil Sheet at Plant'!$C:$H,6,FALSE),"ID Not Found"))</f>
        <v/>
      </c>
      <c r="G528" s="81">
        <v>675</v>
      </c>
      <c r="H528" s="89" t="str">
        <f>IF(OR(B528="",G528=""),"",IFERROR(VLOOKUP(B528,'Coil Sheet at Plant'!$C:$J,8,FALSE),0)*G528/SUMIF(B:B,B528,G:G))</f>
        <v/>
      </c>
      <c r="I528" s="56" t="str">
        <f>IF(B528="","",IFERROR(VLOOKUP(B528,'Coil Sheet at Plant'!$C:$L,9,FALSE),""))</f>
        <v/>
      </c>
      <c r="J528" s="85" t="str">
        <f>IF(B528="","",IFERROR(VLOOKUP(B528,'Coil Sheet at Plant'!$C:$M,10,FALSE),""))</f>
        <v/>
      </c>
      <c r="K528" s="69" t="str">
        <f>IF(B528="","",SUMIF(B:B,B528,G:G))</f>
        <v/>
      </c>
      <c r="L528" s="70" t="str">
        <f>IF(B528="","",IFERROR(VLOOKUP(B528,'Coil Sheet at Plant'!$C:$I,7,FALSE),""))</f>
        <v/>
      </c>
      <c r="M528" s="71" t="str">
        <f>IF(OR(K528="",L528=""),"",IF(L528=0,"⚠ NO PARENT WIDTH",IF(K528&gt;L528,"⚠ BABY &gt; PARENT","✔ OK")))</f>
        <v/>
      </c>
      <c r="N528" s="71" t="str">
        <f>IF(D528="","",IF(COUNTIF(D$3:D528,D528)&gt;1,"⚠ DUPLICATE",""))</f>
        <v/>
      </c>
      <c r="O528" s="72" t="str">
        <f>IF(B528="","",SUMIF(B:B,B528,G:G)&amp;" / "&amp;IFERROR(VLOOKUP(B528,'Coil Sheet at Plant'!$C:$I,7,FALSE),"?")&amp;" mm")</f>
        <v/>
      </c>
    </row>
    <row r="529" spans="1:15">
      <c r="A529" s="36"/>
      <c r="B529" s="32"/>
      <c r="C529" s="39"/>
      <c r="D529" s="44" t="str">
        <f>IF(OR(B529="",C529=""),"",CONCATENATE(B529,"-",C529))</f>
        <v/>
      </c>
      <c r="E529" s="49" t="str">
        <f>IF(B529="","",IFERROR(VLOOKUP(B529,'Coil Sheet at Plant'!$C:$G,5,FALSE),"ID Not Found"))</f>
        <v/>
      </c>
      <c r="F529" s="50" t="str">
        <f>IF(B529="","",IFERROR(VLOOKUP(B529,'Coil Sheet at Plant'!$C:$H,6,FALSE),"ID Not Found"))</f>
        <v/>
      </c>
      <c r="G529" s="81">
        <v>676</v>
      </c>
      <c r="H529" s="89" t="str">
        <f>IF(OR(B529="",G529=""),"",IFERROR(VLOOKUP(B529,'Coil Sheet at Plant'!$C:$J,8,FALSE),0)*G529/SUMIF(B:B,B529,G:G))</f>
        <v/>
      </c>
      <c r="I529" s="56" t="str">
        <f>IF(B529="","",IFERROR(VLOOKUP(B529,'Coil Sheet at Plant'!$C:$L,9,FALSE),""))</f>
        <v/>
      </c>
      <c r="J529" s="85" t="str">
        <f>IF(B529="","",IFERROR(VLOOKUP(B529,'Coil Sheet at Plant'!$C:$M,10,FALSE),""))</f>
        <v/>
      </c>
      <c r="K529" s="69" t="str">
        <f>IF(B529="","",SUMIF(B:B,B529,G:G))</f>
        <v/>
      </c>
      <c r="L529" s="70" t="str">
        <f>IF(B529="","",IFERROR(VLOOKUP(B529,'Coil Sheet at Plant'!$C:$I,7,FALSE),""))</f>
        <v/>
      </c>
      <c r="M529" s="71" t="str">
        <f>IF(OR(K529="",L529=""),"",IF(L529=0,"⚠ NO PARENT WIDTH",IF(K529&gt;L529,"⚠ BABY &gt; PARENT","✔ OK")))</f>
        <v/>
      </c>
      <c r="N529" s="71" t="str">
        <f>IF(D529="","",IF(COUNTIF(D$3:D529,D529)&gt;1,"⚠ DUPLICATE",""))</f>
        <v/>
      </c>
      <c r="O529" s="72" t="str">
        <f>IF(B529="","",SUMIF(B:B,B529,G:G)&amp;" / "&amp;IFERROR(VLOOKUP(B529,'Coil Sheet at Plant'!$C:$I,7,FALSE),"?")&amp;" mm")</f>
        <v/>
      </c>
    </row>
    <row r="530" spans="1:15">
      <c r="A530" s="36"/>
      <c r="B530" s="32"/>
      <c r="C530" s="39"/>
      <c r="D530" s="44" t="str">
        <f>IF(OR(B530="",C530=""),"",CONCATENATE(B530,"-",C530))</f>
        <v/>
      </c>
      <c r="E530" s="49" t="str">
        <f>IF(B530="","",IFERROR(VLOOKUP(B530,'Coil Sheet at Plant'!$C:$G,5,FALSE),"ID Not Found"))</f>
        <v/>
      </c>
      <c r="F530" s="50" t="str">
        <f>IF(B530="","",IFERROR(VLOOKUP(B530,'Coil Sheet at Plant'!$C:$H,6,FALSE),"ID Not Found"))</f>
        <v/>
      </c>
      <c r="G530" s="81">
        <v>677</v>
      </c>
      <c r="H530" s="89" t="str">
        <f>IF(OR(B530="",G530=""),"",IFERROR(VLOOKUP(B530,'Coil Sheet at Plant'!$C:$J,8,FALSE),0)*G530/SUMIF(B:B,B530,G:G))</f>
        <v/>
      </c>
      <c r="I530" s="56" t="str">
        <f>IF(B530="","",IFERROR(VLOOKUP(B530,'Coil Sheet at Plant'!$C:$L,9,FALSE),""))</f>
        <v/>
      </c>
      <c r="J530" s="85" t="str">
        <f>IF(B530="","",IFERROR(VLOOKUP(B530,'Coil Sheet at Plant'!$C:$M,10,FALSE),""))</f>
        <v/>
      </c>
      <c r="K530" s="69" t="str">
        <f>IF(B530="","",SUMIF(B:B,B530,G:G))</f>
        <v/>
      </c>
      <c r="L530" s="70" t="str">
        <f>IF(B530="","",IFERROR(VLOOKUP(B530,'Coil Sheet at Plant'!$C:$I,7,FALSE),""))</f>
        <v/>
      </c>
      <c r="M530" s="71" t="str">
        <f>IF(OR(K530="",L530=""),"",IF(L530=0,"⚠ NO PARENT WIDTH",IF(K530&gt;L530,"⚠ BABY &gt; PARENT","✔ OK")))</f>
        <v/>
      </c>
      <c r="N530" s="71" t="str">
        <f>IF(D530="","",IF(COUNTIF(D$3:D530,D530)&gt;1,"⚠ DUPLICATE",""))</f>
        <v/>
      </c>
      <c r="O530" s="72" t="str">
        <f>IF(B530="","",SUMIF(B:B,B530,G:G)&amp;" / "&amp;IFERROR(VLOOKUP(B530,'Coil Sheet at Plant'!$C:$I,7,FALSE),"?")&amp;" mm")</f>
        <v/>
      </c>
    </row>
    <row r="531" spans="1:15">
      <c r="A531" s="36"/>
      <c r="B531" s="32"/>
      <c r="C531" s="39"/>
      <c r="D531" s="44" t="str">
        <f>IF(OR(B531="",C531=""),"",CONCATENATE(B531,"-",C531))</f>
        <v/>
      </c>
      <c r="E531" s="49" t="str">
        <f>IF(B531="","",IFERROR(VLOOKUP(B531,'Coil Sheet at Plant'!$C:$G,5,FALSE),"ID Not Found"))</f>
        <v/>
      </c>
      <c r="F531" s="50" t="str">
        <f>IF(B531="","",IFERROR(VLOOKUP(B531,'Coil Sheet at Plant'!$C:$H,6,FALSE),"ID Not Found"))</f>
        <v/>
      </c>
      <c r="G531" s="81">
        <v>678</v>
      </c>
      <c r="H531" s="89" t="str">
        <f>IF(OR(B531="",G531=""),"",IFERROR(VLOOKUP(B531,'Coil Sheet at Plant'!$C:$J,8,FALSE),0)*G531/SUMIF(B:B,B531,G:G))</f>
        <v/>
      </c>
      <c r="I531" s="56" t="str">
        <f>IF(B531="","",IFERROR(VLOOKUP(B531,'Coil Sheet at Plant'!$C:$L,9,FALSE),""))</f>
        <v/>
      </c>
      <c r="J531" s="85" t="str">
        <f>IF(B531="","",IFERROR(VLOOKUP(B531,'Coil Sheet at Plant'!$C:$M,10,FALSE),""))</f>
        <v/>
      </c>
      <c r="K531" s="69" t="str">
        <f>IF(B531="","",SUMIF(B:B,B531,G:G))</f>
        <v/>
      </c>
      <c r="L531" s="70" t="str">
        <f>IF(B531="","",IFERROR(VLOOKUP(B531,'Coil Sheet at Plant'!$C:$I,7,FALSE),""))</f>
        <v/>
      </c>
      <c r="M531" s="71" t="str">
        <f>IF(OR(K531="",L531=""),"",IF(L531=0,"⚠ NO PARENT WIDTH",IF(K531&gt;L531,"⚠ BABY &gt; PARENT","✔ OK")))</f>
        <v/>
      </c>
      <c r="N531" s="71" t="str">
        <f>IF(D531="","",IF(COUNTIF(D$3:D531,D531)&gt;1,"⚠ DUPLICATE",""))</f>
        <v/>
      </c>
      <c r="O531" s="72" t="str">
        <f>IF(B531="","",SUMIF(B:B,B531,G:G)&amp;" / "&amp;IFERROR(VLOOKUP(B531,'Coil Sheet at Plant'!$C:$I,7,FALSE),"?")&amp;" mm")</f>
        <v/>
      </c>
    </row>
    <row r="532" spans="1:15">
      <c r="A532" s="36"/>
      <c r="B532" s="32"/>
      <c r="C532" s="39"/>
      <c r="D532" s="44" t="str">
        <f>IF(OR(B532="",C532=""),"",CONCATENATE(B532,"-",C532))</f>
        <v/>
      </c>
      <c r="E532" s="49" t="str">
        <f>IF(B532="","",IFERROR(VLOOKUP(B532,'Coil Sheet at Plant'!$C:$G,5,FALSE),"ID Not Found"))</f>
        <v/>
      </c>
      <c r="F532" s="50" t="str">
        <f>IF(B532="","",IFERROR(VLOOKUP(B532,'Coil Sheet at Plant'!$C:$H,6,FALSE),"ID Not Found"))</f>
        <v/>
      </c>
      <c r="G532" s="81">
        <v>679</v>
      </c>
      <c r="H532" s="89" t="str">
        <f>IF(OR(B532="",G532=""),"",IFERROR(VLOOKUP(B532,'Coil Sheet at Plant'!$C:$J,8,FALSE),0)*G532/SUMIF(B:B,B532,G:G))</f>
        <v/>
      </c>
      <c r="I532" s="56" t="str">
        <f>IF(B532="","",IFERROR(VLOOKUP(B532,'Coil Sheet at Plant'!$C:$L,9,FALSE),""))</f>
        <v/>
      </c>
      <c r="J532" s="85" t="str">
        <f>IF(B532="","",IFERROR(VLOOKUP(B532,'Coil Sheet at Plant'!$C:$M,10,FALSE),""))</f>
        <v/>
      </c>
      <c r="K532" s="69" t="str">
        <f>IF(B532="","",SUMIF(B:B,B532,G:G))</f>
        <v/>
      </c>
      <c r="L532" s="70" t="str">
        <f>IF(B532="","",IFERROR(VLOOKUP(B532,'Coil Sheet at Plant'!$C:$I,7,FALSE),""))</f>
        <v/>
      </c>
      <c r="M532" s="71" t="str">
        <f>IF(OR(K532="",L532=""),"",IF(L532=0,"⚠ NO PARENT WIDTH",IF(K532&gt;L532,"⚠ BABY &gt; PARENT","✔ OK")))</f>
        <v/>
      </c>
      <c r="N532" s="71" t="str">
        <f>IF(D532="","",IF(COUNTIF(D$3:D532,D532)&gt;1,"⚠ DUPLICATE",""))</f>
        <v/>
      </c>
      <c r="O532" s="72" t="str">
        <f>IF(B532="","",SUMIF(B:B,B532,G:G)&amp;" / "&amp;IFERROR(VLOOKUP(B532,'Coil Sheet at Plant'!$C:$I,7,FALSE),"?")&amp;" mm")</f>
        <v/>
      </c>
    </row>
    <row r="533" spans="1:15">
      <c r="A533" s="36"/>
      <c r="B533" s="32"/>
      <c r="C533" s="39"/>
      <c r="D533" s="44" t="str">
        <f>IF(OR(B533="",C533=""),"",CONCATENATE(B533,"-",C533))</f>
        <v/>
      </c>
      <c r="E533" s="49" t="str">
        <f>IF(B533="","",IFERROR(VLOOKUP(B533,'Coil Sheet at Plant'!$C:$G,5,FALSE),"ID Not Found"))</f>
        <v/>
      </c>
      <c r="F533" s="50" t="str">
        <f>IF(B533="","",IFERROR(VLOOKUP(B533,'Coil Sheet at Plant'!$C:$H,6,FALSE),"ID Not Found"))</f>
        <v/>
      </c>
      <c r="G533" s="81">
        <v>680</v>
      </c>
      <c r="H533" s="89" t="str">
        <f>IF(OR(B533="",G533=""),"",IFERROR(VLOOKUP(B533,'Coil Sheet at Plant'!$C:$J,8,FALSE),0)*G533/SUMIF(B:B,B533,G:G))</f>
        <v/>
      </c>
      <c r="I533" s="56" t="str">
        <f>IF(B533="","",IFERROR(VLOOKUP(B533,'Coil Sheet at Plant'!$C:$L,9,FALSE),""))</f>
        <v/>
      </c>
      <c r="J533" s="85" t="str">
        <f>IF(B533="","",IFERROR(VLOOKUP(B533,'Coil Sheet at Plant'!$C:$M,10,FALSE),""))</f>
        <v/>
      </c>
      <c r="K533" s="69" t="str">
        <f>IF(B533="","",SUMIF(B:B,B533,G:G))</f>
        <v/>
      </c>
      <c r="L533" s="70" t="str">
        <f>IF(B533="","",IFERROR(VLOOKUP(B533,'Coil Sheet at Plant'!$C:$I,7,FALSE),""))</f>
        <v/>
      </c>
      <c r="M533" s="71" t="str">
        <f>IF(OR(K533="",L533=""),"",IF(L533=0,"⚠ NO PARENT WIDTH",IF(K533&gt;L533,"⚠ BABY &gt; PARENT","✔ OK")))</f>
        <v/>
      </c>
      <c r="N533" s="71" t="str">
        <f>IF(D533="","",IF(COUNTIF(D$3:D533,D533)&gt;1,"⚠ DUPLICATE",""))</f>
        <v/>
      </c>
      <c r="O533" s="72" t="str">
        <f>IF(B533="","",SUMIF(B:B,B533,G:G)&amp;" / "&amp;IFERROR(VLOOKUP(B533,'Coil Sheet at Plant'!$C:$I,7,FALSE),"?")&amp;" mm")</f>
        <v/>
      </c>
    </row>
    <row r="534" spans="1:15">
      <c r="A534" s="36"/>
      <c r="B534" s="32"/>
      <c r="C534" s="39"/>
      <c r="D534" s="44" t="str">
        <f>IF(OR(B534="",C534=""),"",CONCATENATE(B534,"-",C534))</f>
        <v/>
      </c>
      <c r="E534" s="49" t="str">
        <f>IF(B534="","",IFERROR(VLOOKUP(B534,'Coil Sheet at Plant'!$C:$G,5,FALSE),"ID Not Found"))</f>
        <v/>
      </c>
      <c r="F534" s="50" t="str">
        <f>IF(B534="","",IFERROR(VLOOKUP(B534,'Coil Sheet at Plant'!$C:$H,6,FALSE),"ID Not Found"))</f>
        <v/>
      </c>
      <c r="G534" s="81">
        <v>681</v>
      </c>
      <c r="H534" s="89" t="str">
        <f>IF(OR(B534="",G534=""),"",IFERROR(VLOOKUP(B534,'Coil Sheet at Plant'!$C:$J,8,FALSE),0)*G534/SUMIF(B:B,B534,G:G))</f>
        <v/>
      </c>
      <c r="I534" s="56" t="str">
        <f>IF(B534="","",IFERROR(VLOOKUP(B534,'Coil Sheet at Plant'!$C:$L,9,FALSE),""))</f>
        <v/>
      </c>
      <c r="J534" s="85" t="str">
        <f>IF(B534="","",IFERROR(VLOOKUP(B534,'Coil Sheet at Plant'!$C:$M,10,FALSE),""))</f>
        <v/>
      </c>
      <c r="K534" s="69" t="str">
        <f>IF(B534="","",SUMIF(B:B,B534,G:G))</f>
        <v/>
      </c>
      <c r="L534" s="70" t="str">
        <f>IF(B534="","",IFERROR(VLOOKUP(B534,'Coil Sheet at Plant'!$C:$I,7,FALSE),""))</f>
        <v/>
      </c>
      <c r="M534" s="71" t="str">
        <f>IF(OR(K534="",L534=""),"",IF(L534=0,"⚠ NO PARENT WIDTH",IF(K534&gt;L534,"⚠ BABY &gt; PARENT","✔ OK")))</f>
        <v/>
      </c>
      <c r="N534" s="71" t="str">
        <f>IF(D534="","",IF(COUNTIF(D$3:D534,D534)&gt;1,"⚠ DUPLICATE",""))</f>
        <v/>
      </c>
      <c r="O534" s="72" t="str">
        <f>IF(B534="","",SUMIF(B:B,B534,G:G)&amp;" / "&amp;IFERROR(VLOOKUP(B534,'Coil Sheet at Plant'!$C:$I,7,FALSE),"?")&amp;" mm")</f>
        <v/>
      </c>
    </row>
    <row r="535" spans="1:15">
      <c r="A535" s="36"/>
      <c r="B535" s="32"/>
      <c r="C535" s="39"/>
      <c r="D535" s="44" t="str">
        <f>IF(OR(B535="",C535=""),"",CONCATENATE(B535,"-",C535))</f>
        <v/>
      </c>
      <c r="E535" s="49" t="str">
        <f>IF(B535="","",IFERROR(VLOOKUP(B535,'Coil Sheet at Plant'!$C:$G,5,FALSE),"ID Not Found"))</f>
        <v/>
      </c>
      <c r="F535" s="50" t="str">
        <f>IF(B535="","",IFERROR(VLOOKUP(B535,'Coil Sheet at Plant'!$C:$H,6,FALSE),"ID Not Found"))</f>
        <v/>
      </c>
      <c r="G535" s="81">
        <v>682</v>
      </c>
      <c r="H535" s="89" t="str">
        <f>IF(OR(B535="",G535=""),"",IFERROR(VLOOKUP(B535,'Coil Sheet at Plant'!$C:$J,8,FALSE),0)*G535/SUMIF(B:B,B535,G:G))</f>
        <v/>
      </c>
      <c r="I535" s="56" t="str">
        <f>IF(B535="","",IFERROR(VLOOKUP(B535,'Coil Sheet at Plant'!$C:$L,9,FALSE),""))</f>
        <v/>
      </c>
      <c r="J535" s="85" t="str">
        <f>IF(B535="","",IFERROR(VLOOKUP(B535,'Coil Sheet at Plant'!$C:$M,10,FALSE),""))</f>
        <v/>
      </c>
      <c r="K535" s="69" t="str">
        <f>IF(B535="","",SUMIF(B:B,B535,G:G))</f>
        <v/>
      </c>
      <c r="L535" s="70" t="str">
        <f>IF(B535="","",IFERROR(VLOOKUP(B535,'Coil Sheet at Plant'!$C:$I,7,FALSE),""))</f>
        <v/>
      </c>
      <c r="M535" s="71" t="str">
        <f>IF(OR(K535="",L535=""),"",IF(L535=0,"⚠ NO PARENT WIDTH",IF(K535&gt;L535,"⚠ BABY &gt; PARENT","✔ OK")))</f>
        <v/>
      </c>
      <c r="N535" s="71" t="str">
        <f>IF(D535="","",IF(COUNTIF(D$3:D535,D535)&gt;1,"⚠ DUPLICATE",""))</f>
        <v/>
      </c>
      <c r="O535" s="72" t="str">
        <f>IF(B535="","",SUMIF(B:B,B535,G:G)&amp;" / "&amp;IFERROR(VLOOKUP(B535,'Coil Sheet at Plant'!$C:$I,7,FALSE),"?")&amp;" mm")</f>
        <v/>
      </c>
    </row>
    <row r="536" spans="1:15">
      <c r="A536" s="36"/>
      <c r="B536" s="32"/>
      <c r="C536" s="39"/>
      <c r="D536" s="44" t="str">
        <f>IF(OR(B536="",C536=""),"",CONCATENATE(B536,"-",C536))</f>
        <v/>
      </c>
      <c r="E536" s="49" t="str">
        <f>IF(B536="","",IFERROR(VLOOKUP(B536,'Coil Sheet at Plant'!$C:$G,5,FALSE),"ID Not Found"))</f>
        <v/>
      </c>
      <c r="F536" s="50" t="str">
        <f>IF(B536="","",IFERROR(VLOOKUP(B536,'Coil Sheet at Plant'!$C:$H,6,FALSE),"ID Not Found"))</f>
        <v/>
      </c>
      <c r="G536" s="81">
        <v>683</v>
      </c>
      <c r="H536" s="89" t="str">
        <f>IF(OR(B536="",G536=""),"",IFERROR(VLOOKUP(B536,'Coil Sheet at Plant'!$C:$J,8,FALSE),0)*G536/SUMIF(B:B,B536,G:G))</f>
        <v/>
      </c>
      <c r="I536" s="56" t="str">
        <f>IF(B536="","",IFERROR(VLOOKUP(B536,'Coil Sheet at Plant'!$C:$L,9,FALSE),""))</f>
        <v/>
      </c>
      <c r="J536" s="85" t="str">
        <f>IF(B536="","",IFERROR(VLOOKUP(B536,'Coil Sheet at Plant'!$C:$M,10,FALSE),""))</f>
        <v/>
      </c>
      <c r="K536" s="69" t="str">
        <f>IF(B536="","",SUMIF(B:B,B536,G:G))</f>
        <v/>
      </c>
      <c r="L536" s="70" t="str">
        <f>IF(B536="","",IFERROR(VLOOKUP(B536,'Coil Sheet at Plant'!$C:$I,7,FALSE),""))</f>
        <v/>
      </c>
      <c r="M536" s="71" t="str">
        <f>IF(OR(K536="",L536=""),"",IF(L536=0,"⚠ NO PARENT WIDTH",IF(K536&gt;L536,"⚠ BABY &gt; PARENT","✔ OK")))</f>
        <v/>
      </c>
      <c r="N536" s="71" t="str">
        <f>IF(D536="","",IF(COUNTIF(D$3:D536,D536)&gt;1,"⚠ DUPLICATE",""))</f>
        <v/>
      </c>
      <c r="O536" s="72" t="str">
        <f>IF(B536="","",SUMIF(B:B,B536,G:G)&amp;" / "&amp;IFERROR(VLOOKUP(B536,'Coil Sheet at Plant'!$C:$I,7,FALSE),"?")&amp;" mm")</f>
        <v/>
      </c>
    </row>
    <row r="537" spans="1:15">
      <c r="A537" s="36"/>
      <c r="B537" s="32"/>
      <c r="C537" s="39"/>
      <c r="D537" s="44" t="str">
        <f>IF(OR(B537="",C537=""),"",CONCATENATE(B537,"-",C537))</f>
        <v/>
      </c>
      <c r="E537" s="49" t="str">
        <f>IF(B537="","",IFERROR(VLOOKUP(B537,'Coil Sheet at Plant'!$C:$G,5,FALSE),"ID Not Found"))</f>
        <v/>
      </c>
      <c r="F537" s="50" t="str">
        <f>IF(B537="","",IFERROR(VLOOKUP(B537,'Coil Sheet at Plant'!$C:$H,6,FALSE),"ID Not Found"))</f>
        <v/>
      </c>
      <c r="G537" s="81">
        <v>684</v>
      </c>
      <c r="H537" s="89" t="str">
        <f>IF(OR(B537="",G537=""),"",IFERROR(VLOOKUP(B537,'Coil Sheet at Plant'!$C:$J,8,FALSE),0)*G537/SUMIF(B:B,B537,G:G))</f>
        <v/>
      </c>
      <c r="I537" s="56" t="str">
        <f>IF(B537="","",IFERROR(VLOOKUP(B537,'Coil Sheet at Plant'!$C:$L,9,FALSE),""))</f>
        <v/>
      </c>
      <c r="J537" s="85" t="str">
        <f>IF(B537="","",IFERROR(VLOOKUP(B537,'Coil Sheet at Plant'!$C:$M,10,FALSE),""))</f>
        <v/>
      </c>
      <c r="K537" s="69" t="str">
        <f>IF(B537="","",SUMIF(B:B,B537,G:G))</f>
        <v/>
      </c>
      <c r="L537" s="70" t="str">
        <f>IF(B537="","",IFERROR(VLOOKUP(B537,'Coil Sheet at Plant'!$C:$I,7,FALSE),""))</f>
        <v/>
      </c>
      <c r="M537" s="71" t="str">
        <f>IF(OR(K537="",L537=""),"",IF(L537=0,"⚠ NO PARENT WIDTH",IF(K537&gt;L537,"⚠ BABY &gt; PARENT","✔ OK")))</f>
        <v/>
      </c>
      <c r="N537" s="71" t="str">
        <f>IF(D537="","",IF(COUNTIF(D$3:D537,D537)&gt;1,"⚠ DUPLICATE",""))</f>
        <v/>
      </c>
      <c r="O537" s="72" t="str">
        <f>IF(B537="","",SUMIF(B:B,B537,G:G)&amp;" / "&amp;IFERROR(VLOOKUP(B537,'Coil Sheet at Plant'!$C:$I,7,FALSE),"?")&amp;" mm")</f>
        <v/>
      </c>
    </row>
    <row r="538" spans="1:15">
      <c r="A538" s="36"/>
      <c r="B538" s="32"/>
      <c r="C538" s="39"/>
      <c r="D538" s="44" t="str">
        <f>IF(OR(B538="",C538=""),"",CONCATENATE(B538,"-",C538))</f>
        <v/>
      </c>
      <c r="E538" s="49" t="str">
        <f>IF(B538="","",IFERROR(VLOOKUP(B538,'Coil Sheet at Plant'!$C:$G,5,FALSE),"ID Not Found"))</f>
        <v/>
      </c>
      <c r="F538" s="50" t="str">
        <f>IF(B538="","",IFERROR(VLOOKUP(B538,'Coil Sheet at Plant'!$C:$H,6,FALSE),"ID Not Found"))</f>
        <v/>
      </c>
      <c r="G538" s="81">
        <v>685</v>
      </c>
      <c r="H538" s="89" t="str">
        <f>IF(OR(B538="",G538=""),"",IFERROR(VLOOKUP(B538,'Coil Sheet at Plant'!$C:$J,8,FALSE),0)*G538/SUMIF(B:B,B538,G:G))</f>
        <v/>
      </c>
      <c r="I538" s="56" t="str">
        <f>IF(B538="","",IFERROR(VLOOKUP(B538,'Coil Sheet at Plant'!$C:$L,9,FALSE),""))</f>
        <v/>
      </c>
      <c r="J538" s="85" t="str">
        <f>IF(B538="","",IFERROR(VLOOKUP(B538,'Coil Sheet at Plant'!$C:$M,10,FALSE),""))</f>
        <v/>
      </c>
      <c r="K538" s="69" t="str">
        <f>IF(B538="","",SUMIF(B:B,B538,G:G))</f>
        <v/>
      </c>
      <c r="L538" s="70" t="str">
        <f>IF(B538="","",IFERROR(VLOOKUP(B538,'Coil Sheet at Plant'!$C:$I,7,FALSE),""))</f>
        <v/>
      </c>
      <c r="M538" s="71" t="str">
        <f>IF(OR(K538="",L538=""),"",IF(L538=0,"⚠ NO PARENT WIDTH",IF(K538&gt;L538,"⚠ BABY &gt; PARENT","✔ OK")))</f>
        <v/>
      </c>
      <c r="N538" s="71" t="str">
        <f>IF(D538="","",IF(COUNTIF(D$3:D538,D538)&gt;1,"⚠ DUPLICATE",""))</f>
        <v/>
      </c>
      <c r="O538" s="72" t="str">
        <f>IF(B538="","",SUMIF(B:B,B538,G:G)&amp;" / "&amp;IFERROR(VLOOKUP(B538,'Coil Sheet at Plant'!$C:$I,7,FALSE),"?")&amp;" mm")</f>
        <v/>
      </c>
    </row>
    <row r="539" spans="1:15">
      <c r="A539" s="36"/>
      <c r="B539" s="32"/>
      <c r="C539" s="39"/>
      <c r="D539" s="44" t="str">
        <f>IF(OR(B539="",C539=""),"",CONCATENATE(B539,"-",C539))</f>
        <v/>
      </c>
      <c r="E539" s="49" t="str">
        <f>IF(B539="","",IFERROR(VLOOKUP(B539,'Coil Sheet at Plant'!$C:$G,5,FALSE),"ID Not Found"))</f>
        <v/>
      </c>
      <c r="F539" s="50" t="str">
        <f>IF(B539="","",IFERROR(VLOOKUP(B539,'Coil Sheet at Plant'!$C:$H,6,FALSE),"ID Not Found"))</f>
        <v/>
      </c>
      <c r="G539" s="81">
        <v>686</v>
      </c>
      <c r="H539" s="89" t="str">
        <f>IF(OR(B539="",G539=""),"",IFERROR(VLOOKUP(B539,'Coil Sheet at Plant'!$C:$J,8,FALSE),0)*G539/SUMIF(B:B,B539,G:G))</f>
        <v/>
      </c>
      <c r="I539" s="56" t="str">
        <f>IF(B539="","",IFERROR(VLOOKUP(B539,'Coil Sheet at Plant'!$C:$L,9,FALSE),""))</f>
        <v/>
      </c>
      <c r="J539" s="85" t="str">
        <f>IF(B539="","",IFERROR(VLOOKUP(B539,'Coil Sheet at Plant'!$C:$M,10,FALSE),""))</f>
        <v/>
      </c>
      <c r="K539" s="69" t="str">
        <f>IF(B539="","",SUMIF(B:B,B539,G:G))</f>
        <v/>
      </c>
      <c r="L539" s="70" t="str">
        <f>IF(B539="","",IFERROR(VLOOKUP(B539,'Coil Sheet at Plant'!$C:$I,7,FALSE),""))</f>
        <v/>
      </c>
      <c r="M539" s="71" t="str">
        <f>IF(OR(K539="",L539=""),"",IF(L539=0,"⚠ NO PARENT WIDTH",IF(K539&gt;L539,"⚠ BABY &gt; PARENT","✔ OK")))</f>
        <v/>
      </c>
      <c r="N539" s="71" t="str">
        <f>IF(D539="","",IF(COUNTIF(D$3:D539,D539)&gt;1,"⚠ DUPLICATE",""))</f>
        <v/>
      </c>
      <c r="O539" s="72" t="str">
        <f>IF(B539="","",SUMIF(B:B,B539,G:G)&amp;" / "&amp;IFERROR(VLOOKUP(B539,'Coil Sheet at Plant'!$C:$I,7,FALSE),"?")&amp;" mm")</f>
        <v/>
      </c>
    </row>
    <row r="540" spans="1:15">
      <c r="A540" s="36"/>
      <c r="B540" s="32"/>
      <c r="C540" s="39"/>
      <c r="D540" s="44" t="str">
        <f>IF(OR(B540="",C540=""),"",CONCATENATE(B540,"-",C540))</f>
        <v/>
      </c>
      <c r="E540" s="49" t="str">
        <f>IF(B540="","",IFERROR(VLOOKUP(B540,'Coil Sheet at Plant'!$C:$G,5,FALSE),"ID Not Found"))</f>
        <v/>
      </c>
      <c r="F540" s="50" t="str">
        <f>IF(B540="","",IFERROR(VLOOKUP(B540,'Coil Sheet at Plant'!$C:$H,6,FALSE),"ID Not Found"))</f>
        <v/>
      </c>
      <c r="G540" s="81">
        <v>687</v>
      </c>
      <c r="H540" s="89" t="str">
        <f>IF(OR(B540="",G540=""),"",IFERROR(VLOOKUP(B540,'Coil Sheet at Plant'!$C:$J,8,FALSE),0)*G540/SUMIF(B:B,B540,G:G))</f>
        <v/>
      </c>
      <c r="I540" s="56" t="str">
        <f>IF(B540="","",IFERROR(VLOOKUP(B540,'Coil Sheet at Plant'!$C:$L,9,FALSE),""))</f>
        <v/>
      </c>
      <c r="J540" s="85" t="str">
        <f>IF(B540="","",IFERROR(VLOOKUP(B540,'Coil Sheet at Plant'!$C:$M,10,FALSE),""))</f>
        <v/>
      </c>
      <c r="K540" s="69" t="str">
        <f>IF(B540="","",SUMIF(B:B,B540,G:G))</f>
        <v/>
      </c>
      <c r="L540" s="70" t="str">
        <f>IF(B540="","",IFERROR(VLOOKUP(B540,'Coil Sheet at Plant'!$C:$I,7,FALSE),""))</f>
        <v/>
      </c>
      <c r="M540" s="71" t="str">
        <f>IF(OR(K540="",L540=""),"",IF(L540=0,"⚠ NO PARENT WIDTH",IF(K540&gt;L540,"⚠ BABY &gt; PARENT","✔ OK")))</f>
        <v/>
      </c>
      <c r="N540" s="71" t="str">
        <f>IF(D540="","",IF(COUNTIF(D$3:D540,D540)&gt;1,"⚠ DUPLICATE",""))</f>
        <v/>
      </c>
      <c r="O540" s="72" t="str">
        <f>IF(B540="","",SUMIF(B:B,B540,G:G)&amp;" / "&amp;IFERROR(VLOOKUP(B540,'Coil Sheet at Plant'!$C:$I,7,FALSE),"?")&amp;" mm")</f>
        <v/>
      </c>
    </row>
    <row r="541" spans="1:15">
      <c r="A541" s="36"/>
      <c r="B541" s="32"/>
      <c r="C541" s="39"/>
      <c r="D541" s="44" t="str">
        <f>IF(OR(B541="",C541=""),"",CONCATENATE(B541,"-",C541))</f>
        <v/>
      </c>
      <c r="E541" s="49" t="str">
        <f>IF(B541="","",IFERROR(VLOOKUP(B541,'Coil Sheet at Plant'!$C:$G,5,FALSE),"ID Not Found"))</f>
        <v/>
      </c>
      <c r="F541" s="50" t="str">
        <f>IF(B541="","",IFERROR(VLOOKUP(B541,'Coil Sheet at Plant'!$C:$H,6,FALSE),"ID Not Found"))</f>
        <v/>
      </c>
      <c r="G541" s="81">
        <v>688</v>
      </c>
      <c r="H541" s="89" t="str">
        <f>IF(OR(B541="",G541=""),"",IFERROR(VLOOKUP(B541,'Coil Sheet at Plant'!$C:$J,8,FALSE),0)*G541/SUMIF(B:B,B541,G:G))</f>
        <v/>
      </c>
      <c r="I541" s="56" t="str">
        <f>IF(B541="","",IFERROR(VLOOKUP(B541,'Coil Sheet at Plant'!$C:$L,9,FALSE),""))</f>
        <v/>
      </c>
      <c r="J541" s="85" t="str">
        <f>IF(B541="","",IFERROR(VLOOKUP(B541,'Coil Sheet at Plant'!$C:$M,10,FALSE),""))</f>
        <v/>
      </c>
      <c r="K541" s="69" t="str">
        <f>IF(B541="","",SUMIF(B:B,B541,G:G))</f>
        <v/>
      </c>
      <c r="L541" s="70" t="str">
        <f>IF(B541="","",IFERROR(VLOOKUP(B541,'Coil Sheet at Plant'!$C:$I,7,FALSE),""))</f>
        <v/>
      </c>
      <c r="M541" s="71" t="str">
        <f>IF(OR(K541="",L541=""),"",IF(L541=0,"⚠ NO PARENT WIDTH",IF(K541&gt;L541,"⚠ BABY &gt; PARENT","✔ OK")))</f>
        <v/>
      </c>
      <c r="N541" s="71" t="str">
        <f>IF(D541="","",IF(COUNTIF(D$3:D541,D541)&gt;1,"⚠ DUPLICATE",""))</f>
        <v/>
      </c>
      <c r="O541" s="72" t="str">
        <f>IF(B541="","",SUMIF(B:B,B541,G:G)&amp;" / "&amp;IFERROR(VLOOKUP(B541,'Coil Sheet at Plant'!$C:$I,7,FALSE),"?")&amp;" mm")</f>
        <v/>
      </c>
    </row>
    <row r="542" spans="1:15">
      <c r="A542" s="36"/>
      <c r="B542" s="32"/>
      <c r="C542" s="39"/>
      <c r="D542" s="44" t="str">
        <f>IF(OR(B542="",C542=""),"",CONCATENATE(B542,"-",C542))</f>
        <v/>
      </c>
      <c r="E542" s="49" t="str">
        <f>IF(B542="","",IFERROR(VLOOKUP(B542,'Coil Sheet at Plant'!$C:$G,5,FALSE),"ID Not Found"))</f>
        <v/>
      </c>
      <c r="F542" s="50" t="str">
        <f>IF(B542="","",IFERROR(VLOOKUP(B542,'Coil Sheet at Plant'!$C:$H,6,FALSE),"ID Not Found"))</f>
        <v/>
      </c>
      <c r="G542" s="81">
        <v>689</v>
      </c>
      <c r="H542" s="89" t="str">
        <f>IF(OR(B542="",G542=""),"",IFERROR(VLOOKUP(B542,'Coil Sheet at Plant'!$C:$J,8,FALSE),0)*G542/SUMIF(B:B,B542,G:G))</f>
        <v/>
      </c>
      <c r="I542" s="56" t="str">
        <f>IF(B542="","",IFERROR(VLOOKUP(B542,'Coil Sheet at Plant'!$C:$L,9,FALSE),""))</f>
        <v/>
      </c>
      <c r="J542" s="85" t="str">
        <f>IF(B542="","",IFERROR(VLOOKUP(B542,'Coil Sheet at Plant'!$C:$M,10,FALSE),""))</f>
        <v/>
      </c>
      <c r="K542" s="69" t="str">
        <f>IF(B542="","",SUMIF(B:B,B542,G:G))</f>
        <v/>
      </c>
      <c r="L542" s="70" t="str">
        <f>IF(B542="","",IFERROR(VLOOKUP(B542,'Coil Sheet at Plant'!$C:$I,7,FALSE),""))</f>
        <v/>
      </c>
      <c r="M542" s="71" t="str">
        <f>IF(OR(K542="",L542=""),"",IF(L542=0,"⚠ NO PARENT WIDTH",IF(K542&gt;L542,"⚠ BABY &gt; PARENT","✔ OK")))</f>
        <v/>
      </c>
      <c r="N542" s="71" t="str">
        <f>IF(D542="","",IF(COUNTIF(D$3:D542,D542)&gt;1,"⚠ DUPLICATE",""))</f>
        <v/>
      </c>
      <c r="O542" s="72" t="str">
        <f>IF(B542="","",SUMIF(B:B,B542,G:G)&amp;" / "&amp;IFERROR(VLOOKUP(B542,'Coil Sheet at Plant'!$C:$I,7,FALSE),"?")&amp;" mm")</f>
        <v/>
      </c>
    </row>
    <row r="543" spans="1:15">
      <c r="A543" s="36"/>
      <c r="B543" s="32"/>
      <c r="C543" s="39"/>
      <c r="D543" s="44" t="str">
        <f>IF(OR(B543="",C543=""),"",CONCATENATE(B543,"-",C543))</f>
        <v/>
      </c>
      <c r="E543" s="49" t="str">
        <f>IF(B543="","",IFERROR(VLOOKUP(B543,'Coil Sheet at Plant'!$C:$G,5,FALSE),"ID Not Found"))</f>
        <v/>
      </c>
      <c r="F543" s="50" t="str">
        <f>IF(B543="","",IFERROR(VLOOKUP(B543,'Coil Sheet at Plant'!$C:$H,6,FALSE),"ID Not Found"))</f>
        <v/>
      </c>
      <c r="G543" s="81">
        <v>690</v>
      </c>
      <c r="H543" s="89" t="str">
        <f>IF(OR(B543="",G543=""),"",IFERROR(VLOOKUP(B543,'Coil Sheet at Plant'!$C:$J,8,FALSE),0)*G543/SUMIF(B:B,B543,G:G))</f>
        <v/>
      </c>
      <c r="I543" s="56" t="str">
        <f>IF(B543="","",IFERROR(VLOOKUP(B543,'Coil Sheet at Plant'!$C:$L,9,FALSE),""))</f>
        <v/>
      </c>
      <c r="J543" s="85" t="str">
        <f>IF(B543="","",IFERROR(VLOOKUP(B543,'Coil Sheet at Plant'!$C:$M,10,FALSE),""))</f>
        <v/>
      </c>
      <c r="K543" s="69" t="str">
        <f>IF(B543="","",SUMIF(B:B,B543,G:G))</f>
        <v/>
      </c>
      <c r="L543" s="70" t="str">
        <f>IF(B543="","",IFERROR(VLOOKUP(B543,'Coil Sheet at Plant'!$C:$I,7,FALSE),""))</f>
        <v/>
      </c>
      <c r="M543" s="71" t="str">
        <f>IF(OR(K543="",L543=""),"",IF(L543=0,"⚠ NO PARENT WIDTH",IF(K543&gt;L543,"⚠ BABY &gt; PARENT","✔ OK")))</f>
        <v/>
      </c>
      <c r="N543" s="71" t="str">
        <f>IF(D543="","",IF(COUNTIF(D$3:D543,D543)&gt;1,"⚠ DUPLICATE",""))</f>
        <v/>
      </c>
      <c r="O543" s="72" t="str">
        <f>IF(B543="","",SUMIF(B:B,B543,G:G)&amp;" / "&amp;IFERROR(VLOOKUP(B543,'Coil Sheet at Plant'!$C:$I,7,FALSE),"?")&amp;" mm")</f>
        <v/>
      </c>
    </row>
    <row r="544" spans="1:15">
      <c r="A544" s="36"/>
      <c r="B544" s="32"/>
      <c r="C544" s="39"/>
      <c r="D544" s="44" t="str">
        <f>IF(OR(B544="",C544=""),"",CONCATENATE(B544,"-",C544))</f>
        <v/>
      </c>
      <c r="E544" s="49" t="str">
        <f>IF(B544="","",IFERROR(VLOOKUP(B544,'Coil Sheet at Plant'!$C:$G,5,FALSE),"ID Not Found"))</f>
        <v/>
      </c>
      <c r="F544" s="50" t="str">
        <f>IF(B544="","",IFERROR(VLOOKUP(B544,'Coil Sheet at Plant'!$C:$H,6,FALSE),"ID Not Found"))</f>
        <v/>
      </c>
      <c r="G544" s="81">
        <v>691</v>
      </c>
      <c r="H544" s="89" t="str">
        <f>IF(OR(B544="",G544=""),"",IFERROR(VLOOKUP(B544,'Coil Sheet at Plant'!$C:$J,8,FALSE),0)*G544/SUMIF(B:B,B544,G:G))</f>
        <v/>
      </c>
      <c r="I544" s="56" t="str">
        <f>IF(B544="","",IFERROR(VLOOKUP(B544,'Coil Sheet at Plant'!$C:$L,9,FALSE),""))</f>
        <v/>
      </c>
      <c r="J544" s="85" t="str">
        <f>IF(B544="","",IFERROR(VLOOKUP(B544,'Coil Sheet at Plant'!$C:$M,10,FALSE),""))</f>
        <v/>
      </c>
      <c r="K544" s="69" t="str">
        <f>IF(B544="","",SUMIF(B:B,B544,G:G))</f>
        <v/>
      </c>
      <c r="L544" s="70" t="str">
        <f>IF(B544="","",IFERROR(VLOOKUP(B544,'Coil Sheet at Plant'!$C:$I,7,FALSE),""))</f>
        <v/>
      </c>
      <c r="M544" s="71" t="str">
        <f>IF(OR(K544="",L544=""),"",IF(L544=0,"⚠ NO PARENT WIDTH",IF(K544&gt;L544,"⚠ BABY &gt; PARENT","✔ OK")))</f>
        <v/>
      </c>
      <c r="N544" s="71" t="str">
        <f>IF(D544="","",IF(COUNTIF(D$3:D544,D544)&gt;1,"⚠ DUPLICATE",""))</f>
        <v/>
      </c>
      <c r="O544" s="72" t="str">
        <f>IF(B544="","",SUMIF(B:B,B544,G:G)&amp;" / "&amp;IFERROR(VLOOKUP(B544,'Coil Sheet at Plant'!$C:$I,7,FALSE),"?")&amp;" mm")</f>
        <v/>
      </c>
    </row>
    <row r="545" spans="1:15">
      <c r="A545" s="36"/>
      <c r="B545" s="32"/>
      <c r="C545" s="39"/>
      <c r="D545" s="44" t="str">
        <f>IF(OR(B545="",C545=""),"",CONCATENATE(B545,"-",C545))</f>
        <v/>
      </c>
      <c r="E545" s="49" t="str">
        <f>IF(B545="","",IFERROR(VLOOKUP(B545,'Coil Sheet at Plant'!$C:$G,5,FALSE),"ID Not Found"))</f>
        <v/>
      </c>
      <c r="F545" s="50" t="str">
        <f>IF(B545="","",IFERROR(VLOOKUP(B545,'Coil Sheet at Plant'!$C:$H,6,FALSE),"ID Not Found"))</f>
        <v/>
      </c>
      <c r="G545" s="81">
        <v>692</v>
      </c>
      <c r="H545" s="89" t="str">
        <f>IF(OR(B545="",G545=""),"",IFERROR(VLOOKUP(B545,'Coil Sheet at Plant'!$C:$J,8,FALSE),0)*G545/SUMIF(B:B,B545,G:G))</f>
        <v/>
      </c>
      <c r="I545" s="56" t="str">
        <f>IF(B545="","",IFERROR(VLOOKUP(B545,'Coil Sheet at Plant'!$C:$L,9,FALSE),""))</f>
        <v/>
      </c>
      <c r="J545" s="85" t="str">
        <f>IF(B545="","",IFERROR(VLOOKUP(B545,'Coil Sheet at Plant'!$C:$M,10,FALSE),""))</f>
        <v/>
      </c>
      <c r="K545" s="69" t="str">
        <f>IF(B545="","",SUMIF(B:B,B545,G:G))</f>
        <v/>
      </c>
      <c r="L545" s="70" t="str">
        <f>IF(B545="","",IFERROR(VLOOKUP(B545,'Coil Sheet at Plant'!$C:$I,7,FALSE),""))</f>
        <v/>
      </c>
      <c r="M545" s="71" t="str">
        <f>IF(OR(K545="",L545=""),"",IF(L545=0,"⚠ NO PARENT WIDTH",IF(K545&gt;L545,"⚠ BABY &gt; PARENT","✔ OK")))</f>
        <v/>
      </c>
      <c r="N545" s="71" t="str">
        <f>IF(D545="","",IF(COUNTIF(D$3:D545,D545)&gt;1,"⚠ DUPLICATE",""))</f>
        <v/>
      </c>
      <c r="O545" s="72" t="str">
        <f>IF(B545="","",SUMIF(B:B,B545,G:G)&amp;" / "&amp;IFERROR(VLOOKUP(B545,'Coil Sheet at Plant'!$C:$I,7,FALSE),"?")&amp;" mm")</f>
        <v/>
      </c>
    </row>
    <row r="546" spans="1:15">
      <c r="A546" s="36"/>
      <c r="B546" s="32"/>
      <c r="C546" s="39"/>
      <c r="D546" s="44" t="str">
        <f>IF(OR(B546="",C546=""),"",CONCATENATE(B546,"-",C546))</f>
        <v/>
      </c>
      <c r="E546" s="49" t="str">
        <f>IF(B546="","",IFERROR(VLOOKUP(B546,'Coil Sheet at Plant'!$C:$G,5,FALSE),"ID Not Found"))</f>
        <v/>
      </c>
      <c r="F546" s="50" t="str">
        <f>IF(B546="","",IFERROR(VLOOKUP(B546,'Coil Sheet at Plant'!$C:$H,6,FALSE),"ID Not Found"))</f>
        <v/>
      </c>
      <c r="G546" s="81">
        <v>693</v>
      </c>
      <c r="H546" s="89" t="str">
        <f>IF(OR(B546="",G546=""),"",IFERROR(VLOOKUP(B546,'Coil Sheet at Plant'!$C:$J,8,FALSE),0)*G546/SUMIF(B:B,B546,G:G))</f>
        <v/>
      </c>
      <c r="I546" s="56" t="str">
        <f>IF(B546="","",IFERROR(VLOOKUP(B546,'Coil Sheet at Plant'!$C:$L,9,FALSE),""))</f>
        <v/>
      </c>
      <c r="J546" s="85" t="str">
        <f>IF(B546="","",IFERROR(VLOOKUP(B546,'Coil Sheet at Plant'!$C:$M,10,FALSE),""))</f>
        <v/>
      </c>
      <c r="K546" s="69" t="str">
        <f>IF(B546="","",SUMIF(B:B,B546,G:G))</f>
        <v/>
      </c>
      <c r="L546" s="70" t="str">
        <f>IF(B546="","",IFERROR(VLOOKUP(B546,'Coil Sheet at Plant'!$C:$I,7,FALSE),""))</f>
        <v/>
      </c>
      <c r="M546" s="71" t="str">
        <f>IF(OR(K546="",L546=""),"",IF(L546=0,"⚠ NO PARENT WIDTH",IF(K546&gt;L546,"⚠ BABY &gt; PARENT","✔ OK")))</f>
        <v/>
      </c>
      <c r="N546" s="71" t="str">
        <f>IF(D546="","",IF(COUNTIF(D$3:D546,D546)&gt;1,"⚠ DUPLICATE",""))</f>
        <v/>
      </c>
      <c r="O546" s="72" t="str">
        <f>IF(B546="","",SUMIF(B:B,B546,G:G)&amp;" / "&amp;IFERROR(VLOOKUP(B546,'Coil Sheet at Plant'!$C:$I,7,FALSE),"?")&amp;" mm")</f>
        <v/>
      </c>
    </row>
    <row r="547" spans="1:15">
      <c r="A547" s="36"/>
      <c r="B547" s="32"/>
      <c r="C547" s="39"/>
      <c r="D547" s="44" t="str">
        <f>IF(OR(B547="",C547=""),"",CONCATENATE(B547,"-",C547))</f>
        <v/>
      </c>
      <c r="E547" s="49" t="str">
        <f>IF(B547="","",IFERROR(VLOOKUP(B547,'Coil Sheet at Plant'!$C:$G,5,FALSE),"ID Not Found"))</f>
        <v/>
      </c>
      <c r="F547" s="50" t="str">
        <f>IF(B547="","",IFERROR(VLOOKUP(B547,'Coil Sheet at Plant'!$C:$H,6,FALSE),"ID Not Found"))</f>
        <v/>
      </c>
      <c r="G547" s="81">
        <v>694</v>
      </c>
      <c r="H547" s="89" t="str">
        <f>IF(OR(B547="",G547=""),"",IFERROR(VLOOKUP(B547,'Coil Sheet at Plant'!$C:$J,8,FALSE),0)*G547/SUMIF(B:B,B547,G:G))</f>
        <v/>
      </c>
      <c r="I547" s="56" t="str">
        <f>IF(B547="","",IFERROR(VLOOKUP(B547,'Coil Sheet at Plant'!$C:$L,9,FALSE),""))</f>
        <v/>
      </c>
      <c r="J547" s="85" t="str">
        <f>IF(B547="","",IFERROR(VLOOKUP(B547,'Coil Sheet at Plant'!$C:$M,10,FALSE),""))</f>
        <v/>
      </c>
      <c r="K547" s="69" t="str">
        <f>IF(B547="","",SUMIF(B:B,B547,G:G))</f>
        <v/>
      </c>
      <c r="L547" s="70" t="str">
        <f>IF(B547="","",IFERROR(VLOOKUP(B547,'Coil Sheet at Plant'!$C:$I,7,FALSE),""))</f>
        <v/>
      </c>
      <c r="M547" s="71" t="str">
        <f>IF(OR(K547="",L547=""),"",IF(L547=0,"⚠ NO PARENT WIDTH",IF(K547&gt;L547,"⚠ BABY &gt; PARENT","✔ OK")))</f>
        <v/>
      </c>
      <c r="N547" s="71" t="str">
        <f>IF(D547="","",IF(COUNTIF(D$3:D547,D547)&gt;1,"⚠ DUPLICATE",""))</f>
        <v/>
      </c>
      <c r="O547" s="72" t="str">
        <f>IF(B547="","",SUMIF(B:B,B547,G:G)&amp;" / "&amp;IFERROR(VLOOKUP(B547,'Coil Sheet at Plant'!$C:$I,7,FALSE),"?")&amp;" mm")</f>
        <v/>
      </c>
    </row>
    <row r="548" spans="1:15">
      <c r="A548" s="36"/>
      <c r="B548" s="32"/>
      <c r="C548" s="39"/>
      <c r="D548" s="44" t="str">
        <f>IF(OR(B548="",C548=""),"",CONCATENATE(B548,"-",C548))</f>
        <v/>
      </c>
      <c r="E548" s="49" t="str">
        <f>IF(B548="","",IFERROR(VLOOKUP(B548,'Coil Sheet at Plant'!$C:$G,5,FALSE),"ID Not Found"))</f>
        <v/>
      </c>
      <c r="F548" s="50" t="str">
        <f>IF(B548="","",IFERROR(VLOOKUP(B548,'Coil Sheet at Plant'!$C:$H,6,FALSE),"ID Not Found"))</f>
        <v/>
      </c>
      <c r="G548" s="81">
        <v>695</v>
      </c>
      <c r="H548" s="89" t="str">
        <f>IF(OR(B548="",G548=""),"",IFERROR(VLOOKUP(B548,'Coil Sheet at Plant'!$C:$J,8,FALSE),0)*G548/SUMIF(B:B,B548,G:G))</f>
        <v/>
      </c>
      <c r="I548" s="56" t="str">
        <f>IF(B548="","",IFERROR(VLOOKUP(B548,'Coil Sheet at Plant'!$C:$L,9,FALSE),""))</f>
        <v/>
      </c>
      <c r="J548" s="85" t="str">
        <f>IF(B548="","",IFERROR(VLOOKUP(B548,'Coil Sheet at Plant'!$C:$M,10,FALSE),""))</f>
        <v/>
      </c>
      <c r="K548" s="69" t="str">
        <f>IF(B548="","",SUMIF(B:B,B548,G:G))</f>
        <v/>
      </c>
      <c r="L548" s="70" t="str">
        <f>IF(B548="","",IFERROR(VLOOKUP(B548,'Coil Sheet at Plant'!$C:$I,7,FALSE),""))</f>
        <v/>
      </c>
      <c r="M548" s="71" t="str">
        <f>IF(OR(K548="",L548=""),"",IF(L548=0,"⚠ NO PARENT WIDTH",IF(K548&gt;L548,"⚠ BABY &gt; PARENT","✔ OK")))</f>
        <v/>
      </c>
      <c r="N548" s="71" t="str">
        <f>IF(D548="","",IF(COUNTIF(D$3:D548,D548)&gt;1,"⚠ DUPLICATE",""))</f>
        <v/>
      </c>
      <c r="O548" s="72" t="str">
        <f>IF(B548="","",SUMIF(B:B,B548,G:G)&amp;" / "&amp;IFERROR(VLOOKUP(B548,'Coil Sheet at Plant'!$C:$I,7,FALSE),"?")&amp;" mm")</f>
        <v/>
      </c>
    </row>
    <row r="549" spans="1:15">
      <c r="A549" s="36"/>
      <c r="B549" s="32"/>
      <c r="C549" s="39"/>
      <c r="D549" s="44" t="str">
        <f>IF(OR(B549="",C549=""),"",CONCATENATE(B549,"-",C549))</f>
        <v/>
      </c>
      <c r="E549" s="49" t="str">
        <f>IF(B549="","",IFERROR(VLOOKUP(B549,'Coil Sheet at Plant'!$C:$G,5,FALSE),"ID Not Found"))</f>
        <v/>
      </c>
      <c r="F549" s="50" t="str">
        <f>IF(B549="","",IFERROR(VLOOKUP(B549,'Coil Sheet at Plant'!$C:$H,6,FALSE),"ID Not Found"))</f>
        <v/>
      </c>
      <c r="G549" s="81">
        <v>696</v>
      </c>
      <c r="H549" s="89" t="str">
        <f>IF(OR(B549="",G549=""),"",IFERROR(VLOOKUP(B549,'Coil Sheet at Plant'!$C:$J,8,FALSE),0)*G549/SUMIF(B:B,B549,G:G))</f>
        <v/>
      </c>
      <c r="I549" s="56" t="str">
        <f>IF(B549="","",IFERROR(VLOOKUP(B549,'Coil Sheet at Plant'!$C:$L,9,FALSE),""))</f>
        <v/>
      </c>
      <c r="J549" s="85" t="str">
        <f>IF(B549="","",IFERROR(VLOOKUP(B549,'Coil Sheet at Plant'!$C:$M,10,FALSE),""))</f>
        <v/>
      </c>
      <c r="K549" s="69" t="str">
        <f>IF(B549="","",SUMIF(B:B,B549,G:G))</f>
        <v/>
      </c>
      <c r="L549" s="70" t="str">
        <f>IF(B549="","",IFERROR(VLOOKUP(B549,'Coil Sheet at Plant'!$C:$I,7,FALSE),""))</f>
        <v/>
      </c>
      <c r="M549" s="71" t="str">
        <f>IF(OR(K549="",L549=""),"",IF(L549=0,"⚠ NO PARENT WIDTH",IF(K549&gt;L549,"⚠ BABY &gt; PARENT","✔ OK")))</f>
        <v/>
      </c>
      <c r="N549" s="71" t="str">
        <f>IF(D549="","",IF(COUNTIF(D$3:D549,D549)&gt;1,"⚠ DUPLICATE",""))</f>
        <v/>
      </c>
      <c r="O549" s="72" t="str">
        <f>IF(B549="","",SUMIF(B:B,B549,G:G)&amp;" / "&amp;IFERROR(VLOOKUP(B549,'Coil Sheet at Plant'!$C:$I,7,FALSE),"?")&amp;" mm")</f>
        <v/>
      </c>
    </row>
    <row r="550" spans="1:15">
      <c r="A550" s="36"/>
      <c r="B550" s="32"/>
      <c r="C550" s="39"/>
      <c r="D550" s="44" t="str">
        <f>IF(OR(B550="",C550=""),"",CONCATENATE(B550,"-",C550))</f>
        <v/>
      </c>
      <c r="E550" s="49" t="str">
        <f>IF(B550="","",IFERROR(VLOOKUP(B550,'Coil Sheet at Plant'!$C:$G,5,FALSE),"ID Not Found"))</f>
        <v/>
      </c>
      <c r="F550" s="50" t="str">
        <f>IF(B550="","",IFERROR(VLOOKUP(B550,'Coil Sheet at Plant'!$C:$H,6,FALSE),"ID Not Found"))</f>
        <v/>
      </c>
      <c r="G550" s="81">
        <v>697</v>
      </c>
      <c r="H550" s="89" t="str">
        <f>IF(OR(B550="",G550=""),"",IFERROR(VLOOKUP(B550,'Coil Sheet at Plant'!$C:$J,8,FALSE),0)*G550/SUMIF(B:B,B550,G:G))</f>
        <v/>
      </c>
      <c r="I550" s="56" t="str">
        <f>IF(B550="","",IFERROR(VLOOKUP(B550,'Coil Sheet at Plant'!$C:$L,9,FALSE),""))</f>
        <v/>
      </c>
      <c r="J550" s="85" t="str">
        <f>IF(B550="","",IFERROR(VLOOKUP(B550,'Coil Sheet at Plant'!$C:$M,10,FALSE),""))</f>
        <v/>
      </c>
      <c r="K550" s="69" t="str">
        <f>IF(B550="","",SUMIF(B:B,B550,G:G))</f>
        <v/>
      </c>
      <c r="L550" s="70" t="str">
        <f>IF(B550="","",IFERROR(VLOOKUP(B550,'Coil Sheet at Plant'!$C:$I,7,FALSE),""))</f>
        <v/>
      </c>
      <c r="M550" s="71" t="str">
        <f>IF(OR(K550="",L550=""),"",IF(L550=0,"⚠ NO PARENT WIDTH",IF(K550&gt;L550,"⚠ BABY &gt; PARENT","✔ OK")))</f>
        <v/>
      </c>
      <c r="N550" s="71" t="str">
        <f>IF(D550="","",IF(COUNTIF(D$3:D550,D550)&gt;1,"⚠ DUPLICATE",""))</f>
        <v/>
      </c>
      <c r="O550" s="72" t="str">
        <f>IF(B550="","",SUMIF(B:B,B550,G:G)&amp;" / "&amp;IFERROR(VLOOKUP(B550,'Coil Sheet at Plant'!$C:$I,7,FALSE),"?")&amp;" mm")</f>
        <v/>
      </c>
    </row>
    <row r="551" spans="1:15">
      <c r="A551" s="36"/>
      <c r="B551" s="32"/>
      <c r="C551" s="39"/>
      <c r="D551" s="44" t="str">
        <f>IF(OR(B551="",C551=""),"",CONCATENATE(B551,"-",C551))</f>
        <v/>
      </c>
      <c r="E551" s="49" t="str">
        <f>IF(B551="","",IFERROR(VLOOKUP(B551,'Coil Sheet at Plant'!$C:$G,5,FALSE),"ID Not Found"))</f>
        <v/>
      </c>
      <c r="F551" s="50" t="str">
        <f>IF(B551="","",IFERROR(VLOOKUP(B551,'Coil Sheet at Plant'!$C:$H,6,FALSE),"ID Not Found"))</f>
        <v/>
      </c>
      <c r="G551" s="81">
        <v>698</v>
      </c>
      <c r="H551" s="89" t="str">
        <f>IF(OR(B551="",G551=""),"",IFERROR(VLOOKUP(B551,'Coil Sheet at Plant'!$C:$J,8,FALSE),0)*G551/SUMIF(B:B,B551,G:G))</f>
        <v/>
      </c>
      <c r="I551" s="56" t="str">
        <f>IF(B551="","",IFERROR(VLOOKUP(B551,'Coil Sheet at Plant'!$C:$L,9,FALSE),""))</f>
        <v/>
      </c>
      <c r="J551" s="85" t="str">
        <f>IF(B551="","",IFERROR(VLOOKUP(B551,'Coil Sheet at Plant'!$C:$M,10,FALSE),""))</f>
        <v/>
      </c>
      <c r="K551" s="69" t="str">
        <f>IF(B551="","",SUMIF(B:B,B551,G:G))</f>
        <v/>
      </c>
      <c r="L551" s="70" t="str">
        <f>IF(B551="","",IFERROR(VLOOKUP(B551,'Coil Sheet at Plant'!$C:$I,7,FALSE),""))</f>
        <v/>
      </c>
      <c r="M551" s="71" t="str">
        <f>IF(OR(K551="",L551=""),"",IF(L551=0,"⚠ NO PARENT WIDTH",IF(K551&gt;L551,"⚠ BABY &gt; PARENT","✔ OK")))</f>
        <v/>
      </c>
      <c r="N551" s="71" t="str">
        <f>IF(D551="","",IF(COUNTIF(D$3:D551,D551)&gt;1,"⚠ DUPLICATE",""))</f>
        <v/>
      </c>
      <c r="O551" s="72" t="str">
        <f>IF(B551="","",SUMIF(B:B,B551,G:G)&amp;" / "&amp;IFERROR(VLOOKUP(B551,'Coil Sheet at Plant'!$C:$I,7,FALSE),"?")&amp;" mm")</f>
        <v/>
      </c>
    </row>
    <row r="552" spans="1:15">
      <c r="A552" s="36"/>
      <c r="B552" s="32"/>
      <c r="C552" s="39"/>
      <c r="D552" s="44" t="str">
        <f>IF(OR(B552="",C552=""),"",CONCATENATE(B552,"-",C552))</f>
        <v/>
      </c>
      <c r="E552" s="49" t="str">
        <f>IF(B552="","",IFERROR(VLOOKUP(B552,'Coil Sheet at Plant'!$C:$G,5,FALSE),"ID Not Found"))</f>
        <v/>
      </c>
      <c r="F552" s="50" t="str">
        <f>IF(B552="","",IFERROR(VLOOKUP(B552,'Coil Sheet at Plant'!$C:$H,6,FALSE),"ID Not Found"))</f>
        <v/>
      </c>
      <c r="G552" s="81">
        <v>699</v>
      </c>
      <c r="H552" s="89" t="str">
        <f>IF(OR(B552="",G552=""),"",IFERROR(VLOOKUP(B552,'Coil Sheet at Plant'!$C:$J,8,FALSE),0)*G552/SUMIF(B:B,B552,G:G))</f>
        <v/>
      </c>
      <c r="I552" s="56" t="str">
        <f>IF(B552="","",IFERROR(VLOOKUP(B552,'Coil Sheet at Plant'!$C:$L,9,FALSE),""))</f>
        <v/>
      </c>
      <c r="J552" s="85" t="str">
        <f>IF(B552="","",IFERROR(VLOOKUP(B552,'Coil Sheet at Plant'!$C:$M,10,FALSE),""))</f>
        <v/>
      </c>
      <c r="K552" s="69" t="str">
        <f>IF(B552="","",SUMIF(B:B,B552,G:G))</f>
        <v/>
      </c>
      <c r="L552" s="70" t="str">
        <f>IF(B552="","",IFERROR(VLOOKUP(B552,'Coil Sheet at Plant'!$C:$I,7,FALSE),""))</f>
        <v/>
      </c>
      <c r="M552" s="71" t="str">
        <f>IF(OR(K552="",L552=""),"",IF(L552=0,"⚠ NO PARENT WIDTH",IF(K552&gt;L552,"⚠ BABY &gt; PARENT","✔ OK")))</f>
        <v/>
      </c>
      <c r="N552" s="71" t="str">
        <f>IF(D552="","",IF(COUNTIF(D$3:D552,D552)&gt;1,"⚠ DUPLICATE",""))</f>
        <v/>
      </c>
      <c r="O552" s="72" t="str">
        <f>IF(B552="","",SUMIF(B:B,B552,G:G)&amp;" / "&amp;IFERROR(VLOOKUP(B552,'Coil Sheet at Plant'!$C:$I,7,FALSE),"?")&amp;" mm")</f>
        <v/>
      </c>
    </row>
    <row r="553" spans="1:15">
      <c r="A553" s="36"/>
      <c r="B553" s="32"/>
      <c r="C553" s="39"/>
      <c r="D553" s="44" t="str">
        <f>IF(OR(B553="",C553=""),"",CONCATENATE(B553,"-",C553))</f>
        <v/>
      </c>
      <c r="E553" s="49" t="str">
        <f>IF(B553="","",IFERROR(VLOOKUP(B553,'Coil Sheet at Plant'!$C:$G,5,FALSE),"ID Not Found"))</f>
        <v/>
      </c>
      <c r="F553" s="50" t="str">
        <f>IF(B553="","",IFERROR(VLOOKUP(B553,'Coil Sheet at Plant'!$C:$H,6,FALSE),"ID Not Found"))</f>
        <v/>
      </c>
      <c r="G553" s="81">
        <v>700</v>
      </c>
      <c r="H553" s="89" t="str">
        <f>IF(OR(B553="",G553=""),"",IFERROR(VLOOKUP(B553,'Coil Sheet at Plant'!$C:$J,8,FALSE),0)*G553/SUMIF(B:B,B553,G:G))</f>
        <v/>
      </c>
      <c r="I553" s="56" t="str">
        <f>IF(B553="","",IFERROR(VLOOKUP(B553,'Coil Sheet at Plant'!$C:$L,9,FALSE),""))</f>
        <v/>
      </c>
      <c r="J553" s="85" t="str">
        <f>IF(B553="","",IFERROR(VLOOKUP(B553,'Coil Sheet at Plant'!$C:$M,10,FALSE),""))</f>
        <v/>
      </c>
      <c r="K553" s="69" t="str">
        <f>IF(B553="","",SUMIF(B:B,B553,G:G))</f>
        <v/>
      </c>
      <c r="L553" s="70" t="str">
        <f>IF(B553="","",IFERROR(VLOOKUP(B553,'Coil Sheet at Plant'!$C:$I,7,FALSE),""))</f>
        <v/>
      </c>
      <c r="M553" s="71" t="str">
        <f>IF(OR(K553="",L553=""),"",IF(L553=0,"⚠ NO PARENT WIDTH",IF(K553&gt;L553,"⚠ BABY &gt; PARENT","✔ OK")))</f>
        <v/>
      </c>
      <c r="N553" s="71" t="str">
        <f>IF(D553="","",IF(COUNTIF(D$3:D553,D553)&gt;1,"⚠ DUPLICATE",""))</f>
        <v/>
      </c>
      <c r="O553" s="72" t="str">
        <f>IF(B553="","",SUMIF(B:B,B553,G:G)&amp;" / "&amp;IFERROR(VLOOKUP(B553,'Coil Sheet at Plant'!$C:$I,7,FALSE),"?")&amp;" mm")</f>
        <v/>
      </c>
    </row>
    <row r="554" spans="1:15">
      <c r="A554" s="36"/>
      <c r="B554" s="32"/>
      <c r="C554" s="39"/>
      <c r="D554" s="44" t="str">
        <f>IF(OR(B554="",C554=""),"",CONCATENATE(B554,"-",C554))</f>
        <v/>
      </c>
      <c r="E554" s="49" t="str">
        <f>IF(B554="","",IFERROR(VLOOKUP(B554,'Coil Sheet at Plant'!$C:$G,5,FALSE),"ID Not Found"))</f>
        <v/>
      </c>
      <c r="F554" s="50" t="str">
        <f>IF(B554="","",IFERROR(VLOOKUP(B554,'Coil Sheet at Plant'!$C:$H,6,FALSE),"ID Not Found"))</f>
        <v/>
      </c>
      <c r="G554" s="81">
        <v>701</v>
      </c>
      <c r="H554" s="89" t="str">
        <f>IF(OR(B554="",G554=""),"",IFERROR(VLOOKUP(B554,'Coil Sheet at Plant'!$C:$J,8,FALSE),0)*G554/SUMIF(B:B,B554,G:G))</f>
        <v/>
      </c>
      <c r="I554" s="56" t="str">
        <f>IF(B554="","",IFERROR(VLOOKUP(B554,'Coil Sheet at Plant'!$C:$L,9,FALSE),""))</f>
        <v/>
      </c>
      <c r="J554" s="85" t="str">
        <f>IF(B554="","",IFERROR(VLOOKUP(B554,'Coil Sheet at Plant'!$C:$M,10,FALSE),""))</f>
        <v/>
      </c>
      <c r="K554" s="69" t="str">
        <f>IF(B554="","",SUMIF(B:B,B554,G:G))</f>
        <v/>
      </c>
      <c r="L554" s="70" t="str">
        <f>IF(B554="","",IFERROR(VLOOKUP(B554,'Coil Sheet at Plant'!$C:$I,7,FALSE),""))</f>
        <v/>
      </c>
      <c r="M554" s="71" t="str">
        <f>IF(OR(K554="",L554=""),"",IF(L554=0,"⚠ NO PARENT WIDTH",IF(K554&gt;L554,"⚠ BABY &gt; PARENT","✔ OK")))</f>
        <v/>
      </c>
      <c r="N554" s="71" t="str">
        <f>IF(D554="","",IF(COUNTIF(D$3:D554,D554)&gt;1,"⚠ DUPLICATE",""))</f>
        <v/>
      </c>
      <c r="O554" s="72" t="str">
        <f>IF(B554="","",SUMIF(B:B,B554,G:G)&amp;" / "&amp;IFERROR(VLOOKUP(B554,'Coil Sheet at Plant'!$C:$I,7,FALSE),"?")&amp;" mm")</f>
        <v/>
      </c>
    </row>
    <row r="555" spans="1:15">
      <c r="A555" s="36"/>
      <c r="B555" s="32"/>
      <c r="C555" s="39"/>
      <c r="D555" s="44" t="str">
        <f>IF(OR(B555="",C555=""),"",CONCATENATE(B555,"-",C555))</f>
        <v/>
      </c>
      <c r="E555" s="49" t="str">
        <f>IF(B555="","",IFERROR(VLOOKUP(B555,'Coil Sheet at Plant'!$C:$G,5,FALSE),"ID Not Found"))</f>
        <v/>
      </c>
      <c r="F555" s="50" t="str">
        <f>IF(B555="","",IFERROR(VLOOKUP(B555,'Coil Sheet at Plant'!$C:$H,6,FALSE),"ID Not Found"))</f>
        <v/>
      </c>
      <c r="G555" s="81">
        <v>702</v>
      </c>
      <c r="H555" s="89" t="str">
        <f>IF(OR(B555="",G555=""),"",IFERROR(VLOOKUP(B555,'Coil Sheet at Plant'!$C:$J,8,FALSE),0)*G555/SUMIF(B:B,B555,G:G))</f>
        <v/>
      </c>
      <c r="I555" s="56" t="str">
        <f>IF(B555="","",IFERROR(VLOOKUP(B555,'Coil Sheet at Plant'!$C:$L,9,FALSE),""))</f>
        <v/>
      </c>
      <c r="J555" s="85" t="str">
        <f>IF(B555="","",IFERROR(VLOOKUP(B555,'Coil Sheet at Plant'!$C:$M,10,FALSE),""))</f>
        <v/>
      </c>
      <c r="K555" s="69" t="str">
        <f>IF(B555="","",SUMIF(B:B,B555,G:G))</f>
        <v/>
      </c>
      <c r="L555" s="70" t="str">
        <f>IF(B555="","",IFERROR(VLOOKUP(B555,'Coil Sheet at Plant'!$C:$I,7,FALSE),""))</f>
        <v/>
      </c>
      <c r="M555" s="71" t="str">
        <f>IF(OR(K555="",L555=""),"",IF(L555=0,"⚠ NO PARENT WIDTH",IF(K555&gt;L555,"⚠ BABY &gt; PARENT","✔ OK")))</f>
        <v/>
      </c>
      <c r="N555" s="71" t="str">
        <f>IF(D555="","",IF(COUNTIF(D$3:D555,D555)&gt;1,"⚠ DUPLICATE",""))</f>
        <v/>
      </c>
      <c r="O555" s="72" t="str">
        <f>IF(B555="","",SUMIF(B:B,B555,G:G)&amp;" / "&amp;IFERROR(VLOOKUP(B555,'Coil Sheet at Plant'!$C:$I,7,FALSE),"?")&amp;" mm")</f>
        <v/>
      </c>
    </row>
    <row r="556" spans="1:15">
      <c r="A556" s="36"/>
      <c r="B556" s="32"/>
      <c r="C556" s="39"/>
      <c r="D556" s="44" t="str">
        <f>IF(OR(B556="",C556=""),"",CONCATENATE(B556,"-",C556))</f>
        <v/>
      </c>
      <c r="E556" s="49" t="str">
        <f>IF(B556="","",IFERROR(VLOOKUP(B556,'Coil Sheet at Plant'!$C:$G,5,FALSE),"ID Not Found"))</f>
        <v/>
      </c>
      <c r="F556" s="50" t="str">
        <f>IF(B556="","",IFERROR(VLOOKUP(B556,'Coil Sheet at Plant'!$C:$H,6,FALSE),"ID Not Found"))</f>
        <v/>
      </c>
      <c r="G556" s="81">
        <v>703</v>
      </c>
      <c r="H556" s="89" t="str">
        <f>IF(OR(B556="",G556=""),"",IFERROR(VLOOKUP(B556,'Coil Sheet at Plant'!$C:$J,8,FALSE),0)*G556/SUMIF(B:B,B556,G:G))</f>
        <v/>
      </c>
      <c r="I556" s="56" t="str">
        <f>IF(B556="","",IFERROR(VLOOKUP(B556,'Coil Sheet at Plant'!$C:$L,9,FALSE),""))</f>
        <v/>
      </c>
      <c r="J556" s="85" t="str">
        <f>IF(B556="","",IFERROR(VLOOKUP(B556,'Coil Sheet at Plant'!$C:$M,10,FALSE),""))</f>
        <v/>
      </c>
      <c r="K556" s="69" t="str">
        <f>IF(B556="","",SUMIF(B:B,B556,G:G))</f>
        <v/>
      </c>
      <c r="L556" s="70" t="str">
        <f>IF(B556="","",IFERROR(VLOOKUP(B556,'Coil Sheet at Plant'!$C:$I,7,FALSE),""))</f>
        <v/>
      </c>
      <c r="M556" s="71" t="str">
        <f>IF(OR(K556="",L556=""),"",IF(L556=0,"⚠ NO PARENT WIDTH",IF(K556&gt;L556,"⚠ BABY &gt; PARENT","✔ OK")))</f>
        <v/>
      </c>
      <c r="N556" s="71" t="str">
        <f>IF(D556="","",IF(COUNTIF(D$3:D556,D556)&gt;1,"⚠ DUPLICATE",""))</f>
        <v/>
      </c>
      <c r="O556" s="72" t="str">
        <f>IF(B556="","",SUMIF(B:B,B556,G:G)&amp;" / "&amp;IFERROR(VLOOKUP(B556,'Coil Sheet at Plant'!$C:$I,7,FALSE),"?")&amp;" mm")</f>
        <v/>
      </c>
    </row>
    <row r="557" spans="1:15">
      <c r="A557" s="36"/>
      <c r="B557" s="32"/>
      <c r="C557" s="39"/>
      <c r="D557" s="44" t="str">
        <f>IF(OR(B557="",C557=""),"",CONCATENATE(B557,"-",C557))</f>
        <v/>
      </c>
      <c r="E557" s="49" t="str">
        <f>IF(B557="","",IFERROR(VLOOKUP(B557,'Coil Sheet at Plant'!$C:$G,5,FALSE),"ID Not Found"))</f>
        <v/>
      </c>
      <c r="F557" s="50" t="str">
        <f>IF(B557="","",IFERROR(VLOOKUP(B557,'Coil Sheet at Plant'!$C:$H,6,FALSE),"ID Not Found"))</f>
        <v/>
      </c>
      <c r="G557" s="81">
        <v>704</v>
      </c>
      <c r="H557" s="89" t="str">
        <f>IF(OR(B557="",G557=""),"",IFERROR(VLOOKUP(B557,'Coil Sheet at Plant'!$C:$J,8,FALSE),0)*G557/SUMIF(B:B,B557,G:G))</f>
        <v/>
      </c>
      <c r="I557" s="56" t="str">
        <f>IF(B557="","",IFERROR(VLOOKUP(B557,'Coil Sheet at Plant'!$C:$L,9,FALSE),""))</f>
        <v/>
      </c>
      <c r="J557" s="85" t="str">
        <f>IF(B557="","",IFERROR(VLOOKUP(B557,'Coil Sheet at Plant'!$C:$M,10,FALSE),""))</f>
        <v/>
      </c>
      <c r="K557" s="69" t="str">
        <f>IF(B557="","",SUMIF(B:B,B557,G:G))</f>
        <v/>
      </c>
      <c r="L557" s="70" t="str">
        <f>IF(B557="","",IFERROR(VLOOKUP(B557,'Coil Sheet at Plant'!$C:$I,7,FALSE),""))</f>
        <v/>
      </c>
      <c r="M557" s="71" t="str">
        <f>IF(OR(K557="",L557=""),"",IF(L557=0,"⚠ NO PARENT WIDTH",IF(K557&gt;L557,"⚠ BABY &gt; PARENT","✔ OK")))</f>
        <v/>
      </c>
      <c r="N557" s="71" t="str">
        <f>IF(D557="","",IF(COUNTIF(D$3:D557,D557)&gt;1,"⚠ DUPLICATE",""))</f>
        <v/>
      </c>
      <c r="O557" s="72" t="str">
        <f>IF(B557="","",SUMIF(B:B,B557,G:G)&amp;" / "&amp;IFERROR(VLOOKUP(B557,'Coil Sheet at Plant'!$C:$I,7,FALSE),"?")&amp;" mm")</f>
        <v/>
      </c>
    </row>
    <row r="558" spans="1:15">
      <c r="A558" s="36"/>
      <c r="B558" s="32"/>
      <c r="C558" s="39"/>
      <c r="D558" s="44" t="str">
        <f>IF(OR(B558="",C558=""),"",CONCATENATE(B558,"-",C558))</f>
        <v/>
      </c>
      <c r="E558" s="49" t="str">
        <f>IF(B558="","",IFERROR(VLOOKUP(B558,'Coil Sheet at Plant'!$C:$G,5,FALSE),"ID Not Found"))</f>
        <v/>
      </c>
      <c r="F558" s="50" t="str">
        <f>IF(B558="","",IFERROR(VLOOKUP(B558,'Coil Sheet at Plant'!$C:$H,6,FALSE),"ID Not Found"))</f>
        <v/>
      </c>
      <c r="G558" s="81">
        <v>705</v>
      </c>
      <c r="H558" s="89" t="str">
        <f>IF(OR(B558="",G558=""),"",IFERROR(VLOOKUP(B558,'Coil Sheet at Plant'!$C:$J,8,FALSE),0)*G558/SUMIF(B:B,B558,G:G))</f>
        <v/>
      </c>
      <c r="I558" s="56" t="str">
        <f>IF(B558="","",IFERROR(VLOOKUP(B558,'Coil Sheet at Plant'!$C:$L,9,FALSE),""))</f>
        <v/>
      </c>
      <c r="J558" s="85" t="str">
        <f>IF(B558="","",IFERROR(VLOOKUP(B558,'Coil Sheet at Plant'!$C:$M,10,FALSE),""))</f>
        <v/>
      </c>
      <c r="K558" s="69" t="str">
        <f>IF(B558="","",SUMIF(B:B,B558,G:G))</f>
        <v/>
      </c>
      <c r="L558" s="70" t="str">
        <f>IF(B558="","",IFERROR(VLOOKUP(B558,'Coil Sheet at Plant'!$C:$I,7,FALSE),""))</f>
        <v/>
      </c>
      <c r="M558" s="71" t="str">
        <f>IF(OR(K558="",L558=""),"",IF(L558=0,"⚠ NO PARENT WIDTH",IF(K558&gt;L558,"⚠ BABY &gt; PARENT","✔ OK")))</f>
        <v/>
      </c>
      <c r="N558" s="71" t="str">
        <f>IF(D558="","",IF(COUNTIF(D$3:D558,D558)&gt;1,"⚠ DUPLICATE",""))</f>
        <v/>
      </c>
      <c r="O558" s="72" t="str">
        <f>IF(B558="","",SUMIF(B:B,B558,G:G)&amp;" / "&amp;IFERROR(VLOOKUP(B558,'Coil Sheet at Plant'!$C:$I,7,FALSE),"?")&amp;" mm")</f>
        <v/>
      </c>
    </row>
    <row r="559" spans="1:15">
      <c r="A559" s="36"/>
      <c r="B559" s="32"/>
      <c r="C559" s="39"/>
      <c r="D559" s="44" t="str">
        <f>IF(OR(B559="",C559=""),"",CONCATENATE(B559,"-",C559))</f>
        <v/>
      </c>
      <c r="E559" s="49" t="str">
        <f>IF(B559="","",IFERROR(VLOOKUP(B559,'Coil Sheet at Plant'!$C:$G,5,FALSE),"ID Not Found"))</f>
        <v/>
      </c>
      <c r="F559" s="50" t="str">
        <f>IF(B559="","",IFERROR(VLOOKUP(B559,'Coil Sheet at Plant'!$C:$H,6,FALSE),"ID Not Found"))</f>
        <v/>
      </c>
      <c r="G559" s="81">
        <v>706</v>
      </c>
      <c r="H559" s="89" t="str">
        <f>IF(OR(B559="",G559=""),"",IFERROR(VLOOKUP(B559,'Coil Sheet at Plant'!$C:$J,8,FALSE),0)*G559/SUMIF(B:B,B559,G:G))</f>
        <v/>
      </c>
      <c r="I559" s="56" t="str">
        <f>IF(B559="","",IFERROR(VLOOKUP(B559,'Coil Sheet at Plant'!$C:$L,9,FALSE),""))</f>
        <v/>
      </c>
      <c r="J559" s="85" t="str">
        <f>IF(B559="","",IFERROR(VLOOKUP(B559,'Coil Sheet at Plant'!$C:$M,10,FALSE),""))</f>
        <v/>
      </c>
      <c r="K559" s="69" t="str">
        <f>IF(B559="","",SUMIF(B:B,B559,G:G))</f>
        <v/>
      </c>
      <c r="L559" s="70" t="str">
        <f>IF(B559="","",IFERROR(VLOOKUP(B559,'Coil Sheet at Plant'!$C:$I,7,FALSE),""))</f>
        <v/>
      </c>
      <c r="M559" s="71" t="str">
        <f>IF(OR(K559="",L559=""),"",IF(L559=0,"⚠ NO PARENT WIDTH",IF(K559&gt;L559,"⚠ BABY &gt; PARENT","✔ OK")))</f>
        <v/>
      </c>
      <c r="N559" s="71" t="str">
        <f>IF(D559="","",IF(COUNTIF(D$3:D559,D559)&gt;1,"⚠ DUPLICATE",""))</f>
        <v/>
      </c>
      <c r="O559" s="72" t="str">
        <f>IF(B559="","",SUMIF(B:B,B559,G:G)&amp;" / "&amp;IFERROR(VLOOKUP(B559,'Coil Sheet at Plant'!$C:$I,7,FALSE),"?")&amp;" mm")</f>
        <v/>
      </c>
    </row>
    <row r="560" spans="1:15">
      <c r="A560" s="36"/>
      <c r="B560" s="32"/>
      <c r="C560" s="39"/>
      <c r="D560" s="44" t="str">
        <f>IF(OR(B560="",C560=""),"",CONCATENATE(B560,"-",C560))</f>
        <v/>
      </c>
      <c r="E560" s="49" t="str">
        <f>IF(B560="","",IFERROR(VLOOKUP(B560,'Coil Sheet at Plant'!$C:$G,5,FALSE),"ID Not Found"))</f>
        <v/>
      </c>
      <c r="F560" s="50" t="str">
        <f>IF(B560="","",IFERROR(VLOOKUP(B560,'Coil Sheet at Plant'!$C:$H,6,FALSE),"ID Not Found"))</f>
        <v/>
      </c>
      <c r="G560" s="81">
        <v>707</v>
      </c>
      <c r="H560" s="89" t="str">
        <f>IF(OR(B560="",G560=""),"",IFERROR(VLOOKUP(B560,'Coil Sheet at Plant'!$C:$J,8,FALSE),0)*G560/SUMIF(B:B,B560,G:G))</f>
        <v/>
      </c>
      <c r="I560" s="56" t="str">
        <f>IF(B560="","",IFERROR(VLOOKUP(B560,'Coil Sheet at Plant'!$C:$L,9,FALSE),""))</f>
        <v/>
      </c>
      <c r="J560" s="85" t="str">
        <f>IF(B560="","",IFERROR(VLOOKUP(B560,'Coil Sheet at Plant'!$C:$M,10,FALSE),""))</f>
        <v/>
      </c>
      <c r="K560" s="69" t="str">
        <f>IF(B560="","",SUMIF(B:B,B560,G:G))</f>
        <v/>
      </c>
      <c r="L560" s="70" t="str">
        <f>IF(B560="","",IFERROR(VLOOKUP(B560,'Coil Sheet at Plant'!$C:$I,7,FALSE),""))</f>
        <v/>
      </c>
      <c r="M560" s="71" t="str">
        <f>IF(OR(K560="",L560=""),"",IF(L560=0,"⚠ NO PARENT WIDTH",IF(K560&gt;L560,"⚠ BABY &gt; PARENT","✔ OK")))</f>
        <v/>
      </c>
      <c r="N560" s="71" t="str">
        <f>IF(D560="","",IF(COUNTIF(D$3:D560,D560)&gt;1,"⚠ DUPLICATE",""))</f>
        <v/>
      </c>
      <c r="O560" s="72" t="str">
        <f>IF(B560="","",SUMIF(B:B,B560,G:G)&amp;" / "&amp;IFERROR(VLOOKUP(B560,'Coil Sheet at Plant'!$C:$I,7,FALSE),"?")&amp;" mm")</f>
        <v/>
      </c>
    </row>
    <row r="561" spans="1:15">
      <c r="A561" s="36"/>
      <c r="B561" s="32"/>
      <c r="C561" s="39"/>
      <c r="D561" s="44" t="str">
        <f>IF(OR(B561="",C561=""),"",CONCATENATE(B561,"-",C561))</f>
        <v/>
      </c>
      <c r="E561" s="49" t="str">
        <f>IF(B561="","",IFERROR(VLOOKUP(B561,'Coil Sheet at Plant'!$C:$G,5,FALSE),"ID Not Found"))</f>
        <v/>
      </c>
      <c r="F561" s="50" t="str">
        <f>IF(B561="","",IFERROR(VLOOKUP(B561,'Coil Sheet at Plant'!$C:$H,6,FALSE),"ID Not Found"))</f>
        <v/>
      </c>
      <c r="G561" s="81">
        <v>708</v>
      </c>
      <c r="H561" s="89" t="str">
        <f>IF(OR(B561="",G561=""),"",IFERROR(VLOOKUP(B561,'Coil Sheet at Plant'!$C:$J,8,FALSE),0)*G561/SUMIF(B:B,B561,G:G))</f>
        <v/>
      </c>
      <c r="I561" s="56" t="str">
        <f>IF(B561="","",IFERROR(VLOOKUP(B561,'Coil Sheet at Plant'!$C:$L,9,FALSE),""))</f>
        <v/>
      </c>
      <c r="J561" s="85" t="str">
        <f>IF(B561="","",IFERROR(VLOOKUP(B561,'Coil Sheet at Plant'!$C:$M,10,FALSE),""))</f>
        <v/>
      </c>
      <c r="K561" s="69" t="str">
        <f>IF(B561="","",SUMIF(B:B,B561,G:G))</f>
        <v/>
      </c>
      <c r="L561" s="70" t="str">
        <f>IF(B561="","",IFERROR(VLOOKUP(B561,'Coil Sheet at Plant'!$C:$I,7,FALSE),""))</f>
        <v/>
      </c>
      <c r="M561" s="71" t="str">
        <f>IF(OR(K561="",L561=""),"",IF(L561=0,"⚠ NO PARENT WIDTH",IF(K561&gt;L561,"⚠ BABY &gt; PARENT","✔ OK")))</f>
        <v/>
      </c>
      <c r="N561" s="71" t="str">
        <f>IF(D561="","",IF(COUNTIF(D$3:D561,D561)&gt;1,"⚠ DUPLICATE",""))</f>
        <v/>
      </c>
      <c r="O561" s="72" t="str">
        <f>IF(B561="","",SUMIF(B:B,B561,G:G)&amp;" / "&amp;IFERROR(VLOOKUP(B561,'Coil Sheet at Plant'!$C:$I,7,FALSE),"?")&amp;" mm")</f>
        <v/>
      </c>
    </row>
    <row r="562" spans="1:15">
      <c r="A562" s="36"/>
      <c r="B562" s="32"/>
      <c r="C562" s="39"/>
      <c r="D562" s="44" t="str">
        <f>IF(OR(B562="",C562=""),"",CONCATENATE(B562,"-",C562))</f>
        <v/>
      </c>
      <c r="E562" s="49" t="str">
        <f>IF(B562="","",IFERROR(VLOOKUP(B562,'Coil Sheet at Plant'!$C:$G,5,FALSE),"ID Not Found"))</f>
        <v/>
      </c>
      <c r="F562" s="50" t="str">
        <f>IF(B562="","",IFERROR(VLOOKUP(B562,'Coil Sheet at Plant'!$C:$H,6,FALSE),"ID Not Found"))</f>
        <v/>
      </c>
      <c r="G562" s="81">
        <v>709</v>
      </c>
      <c r="H562" s="89" t="str">
        <f>IF(OR(B562="",G562=""),"",IFERROR(VLOOKUP(B562,'Coil Sheet at Plant'!$C:$J,8,FALSE),0)*G562/SUMIF(B:B,B562,G:G))</f>
        <v/>
      </c>
      <c r="I562" s="56" t="str">
        <f>IF(B562="","",IFERROR(VLOOKUP(B562,'Coil Sheet at Plant'!$C:$L,9,FALSE),""))</f>
        <v/>
      </c>
      <c r="J562" s="85" t="str">
        <f>IF(B562="","",IFERROR(VLOOKUP(B562,'Coil Sheet at Plant'!$C:$M,10,FALSE),""))</f>
        <v/>
      </c>
      <c r="K562" s="69" t="str">
        <f>IF(B562="","",SUMIF(B:B,B562,G:G))</f>
        <v/>
      </c>
      <c r="L562" s="70" t="str">
        <f>IF(B562="","",IFERROR(VLOOKUP(B562,'Coil Sheet at Plant'!$C:$I,7,FALSE),""))</f>
        <v/>
      </c>
      <c r="M562" s="71" t="str">
        <f>IF(OR(K562="",L562=""),"",IF(L562=0,"⚠ NO PARENT WIDTH",IF(K562&gt;L562,"⚠ BABY &gt; PARENT","✔ OK")))</f>
        <v/>
      </c>
      <c r="N562" s="71" t="str">
        <f>IF(D562="","",IF(COUNTIF(D$3:D562,D562)&gt;1,"⚠ DUPLICATE",""))</f>
        <v/>
      </c>
      <c r="O562" s="72" t="str">
        <f>IF(B562="","",SUMIF(B:B,B562,G:G)&amp;" / "&amp;IFERROR(VLOOKUP(B562,'Coil Sheet at Plant'!$C:$I,7,FALSE),"?")&amp;" mm")</f>
        <v/>
      </c>
    </row>
    <row r="563" spans="1:15">
      <c r="A563" s="36"/>
      <c r="B563" s="32"/>
      <c r="C563" s="39"/>
      <c r="D563" s="44" t="str">
        <f>IF(OR(B563="",C563=""),"",CONCATENATE(B563,"-",C563))</f>
        <v/>
      </c>
      <c r="E563" s="49" t="str">
        <f>IF(B563="","",IFERROR(VLOOKUP(B563,'Coil Sheet at Plant'!$C:$G,5,FALSE),"ID Not Found"))</f>
        <v/>
      </c>
      <c r="F563" s="50" t="str">
        <f>IF(B563="","",IFERROR(VLOOKUP(B563,'Coil Sheet at Plant'!$C:$H,6,FALSE),"ID Not Found"))</f>
        <v/>
      </c>
      <c r="G563" s="81">
        <v>710</v>
      </c>
      <c r="H563" s="89" t="str">
        <f>IF(OR(B563="",G563=""),"",IFERROR(VLOOKUP(B563,'Coil Sheet at Plant'!$C:$J,8,FALSE),0)*G563/SUMIF(B:B,B563,G:G))</f>
        <v/>
      </c>
      <c r="I563" s="56" t="str">
        <f>IF(B563="","",IFERROR(VLOOKUP(B563,'Coil Sheet at Plant'!$C:$L,9,FALSE),""))</f>
        <v/>
      </c>
      <c r="J563" s="85" t="str">
        <f>IF(B563="","",IFERROR(VLOOKUP(B563,'Coil Sheet at Plant'!$C:$M,10,FALSE),""))</f>
        <v/>
      </c>
      <c r="K563" s="69" t="str">
        <f>IF(B563="","",SUMIF(B:B,B563,G:G))</f>
        <v/>
      </c>
      <c r="L563" s="70" t="str">
        <f>IF(B563="","",IFERROR(VLOOKUP(B563,'Coil Sheet at Plant'!$C:$I,7,FALSE),""))</f>
        <v/>
      </c>
      <c r="M563" s="71" t="str">
        <f>IF(OR(K563="",L563=""),"",IF(L563=0,"⚠ NO PARENT WIDTH",IF(K563&gt;L563,"⚠ BABY &gt; PARENT","✔ OK")))</f>
        <v/>
      </c>
      <c r="N563" s="71" t="str">
        <f>IF(D563="","",IF(COUNTIF(D$3:D563,D563)&gt;1,"⚠ DUPLICATE",""))</f>
        <v/>
      </c>
      <c r="O563" s="72" t="str">
        <f>IF(B563="","",SUMIF(B:B,B563,G:G)&amp;" / "&amp;IFERROR(VLOOKUP(B563,'Coil Sheet at Plant'!$C:$I,7,FALSE),"?")&amp;" mm")</f>
        <v/>
      </c>
    </row>
    <row r="564" spans="1:15">
      <c r="A564" s="36"/>
      <c r="B564" s="32"/>
      <c r="C564" s="39"/>
      <c r="D564" s="44" t="str">
        <f>IF(OR(B564="",C564=""),"",CONCATENATE(B564,"-",C564))</f>
        <v/>
      </c>
      <c r="E564" s="49" t="str">
        <f>IF(B564="","",IFERROR(VLOOKUP(B564,'Coil Sheet at Plant'!$C:$G,5,FALSE),"ID Not Found"))</f>
        <v/>
      </c>
      <c r="F564" s="50" t="str">
        <f>IF(B564="","",IFERROR(VLOOKUP(B564,'Coil Sheet at Plant'!$C:$H,6,FALSE),"ID Not Found"))</f>
        <v/>
      </c>
      <c r="G564" s="81">
        <v>711</v>
      </c>
      <c r="H564" s="89" t="str">
        <f>IF(OR(B564="",G564=""),"",IFERROR(VLOOKUP(B564,'Coil Sheet at Plant'!$C:$J,8,FALSE),0)*G564/SUMIF(B:B,B564,G:G))</f>
        <v/>
      </c>
      <c r="I564" s="56" t="str">
        <f>IF(B564="","",IFERROR(VLOOKUP(B564,'Coil Sheet at Plant'!$C:$L,9,FALSE),""))</f>
        <v/>
      </c>
      <c r="J564" s="85" t="str">
        <f>IF(B564="","",IFERROR(VLOOKUP(B564,'Coil Sheet at Plant'!$C:$M,10,FALSE),""))</f>
        <v/>
      </c>
      <c r="K564" s="69" t="str">
        <f>IF(B564="","",SUMIF(B:B,B564,G:G))</f>
        <v/>
      </c>
      <c r="L564" s="70" t="str">
        <f>IF(B564="","",IFERROR(VLOOKUP(B564,'Coil Sheet at Plant'!$C:$I,7,FALSE),""))</f>
        <v/>
      </c>
      <c r="M564" s="71" t="str">
        <f>IF(OR(K564="",L564=""),"",IF(L564=0,"⚠ NO PARENT WIDTH",IF(K564&gt;L564,"⚠ BABY &gt; PARENT","✔ OK")))</f>
        <v/>
      </c>
      <c r="N564" s="71" t="str">
        <f>IF(D564="","",IF(COUNTIF(D$3:D564,D564)&gt;1,"⚠ DUPLICATE",""))</f>
        <v/>
      </c>
      <c r="O564" s="72" t="str">
        <f>IF(B564="","",SUMIF(B:B,B564,G:G)&amp;" / "&amp;IFERROR(VLOOKUP(B564,'Coil Sheet at Plant'!$C:$I,7,FALSE),"?")&amp;" mm")</f>
        <v/>
      </c>
    </row>
    <row r="565" spans="1:15">
      <c r="A565" s="36"/>
      <c r="B565" s="32"/>
      <c r="C565" s="39"/>
      <c r="D565" s="44" t="str">
        <f>IF(OR(B565="",C565=""),"",CONCATENATE(B565,"-",C565))</f>
        <v/>
      </c>
      <c r="E565" s="49" t="str">
        <f>IF(B565="","",IFERROR(VLOOKUP(B565,'Coil Sheet at Plant'!$C:$G,5,FALSE),"ID Not Found"))</f>
        <v/>
      </c>
      <c r="F565" s="50" t="str">
        <f>IF(B565="","",IFERROR(VLOOKUP(B565,'Coil Sheet at Plant'!$C:$H,6,FALSE),"ID Not Found"))</f>
        <v/>
      </c>
      <c r="G565" s="81">
        <v>712</v>
      </c>
      <c r="H565" s="89" t="str">
        <f>IF(OR(B565="",G565=""),"",IFERROR(VLOOKUP(B565,'Coil Sheet at Plant'!$C:$J,8,FALSE),0)*G565/SUMIF(B:B,B565,G:G))</f>
        <v/>
      </c>
      <c r="I565" s="56" t="str">
        <f>IF(B565="","",IFERROR(VLOOKUP(B565,'Coil Sheet at Plant'!$C:$L,9,FALSE),""))</f>
        <v/>
      </c>
      <c r="J565" s="85" t="str">
        <f>IF(B565="","",IFERROR(VLOOKUP(B565,'Coil Sheet at Plant'!$C:$M,10,FALSE),""))</f>
        <v/>
      </c>
      <c r="K565" s="69" t="str">
        <f>IF(B565="","",SUMIF(B:B,B565,G:G))</f>
        <v/>
      </c>
      <c r="L565" s="70" t="str">
        <f>IF(B565="","",IFERROR(VLOOKUP(B565,'Coil Sheet at Plant'!$C:$I,7,FALSE),""))</f>
        <v/>
      </c>
      <c r="M565" s="71" t="str">
        <f>IF(OR(K565="",L565=""),"",IF(L565=0,"⚠ NO PARENT WIDTH",IF(K565&gt;L565,"⚠ BABY &gt; PARENT","✔ OK")))</f>
        <v/>
      </c>
      <c r="N565" s="71" t="str">
        <f>IF(D565="","",IF(COUNTIF(D$3:D565,D565)&gt;1,"⚠ DUPLICATE",""))</f>
        <v/>
      </c>
      <c r="O565" s="72" t="str">
        <f>IF(B565="","",SUMIF(B:B,B565,G:G)&amp;" / "&amp;IFERROR(VLOOKUP(B565,'Coil Sheet at Plant'!$C:$I,7,FALSE),"?")&amp;" mm")</f>
        <v/>
      </c>
    </row>
    <row r="566" spans="1:15">
      <c r="A566" s="36"/>
      <c r="B566" s="32"/>
      <c r="C566" s="39"/>
      <c r="D566" s="44" t="str">
        <f>IF(OR(B566="",C566=""),"",CONCATENATE(B566,"-",C566))</f>
        <v/>
      </c>
      <c r="E566" s="49" t="str">
        <f>IF(B566="","",IFERROR(VLOOKUP(B566,'Coil Sheet at Plant'!$C:$G,5,FALSE),"ID Not Found"))</f>
        <v/>
      </c>
      <c r="F566" s="50" t="str">
        <f>IF(B566="","",IFERROR(VLOOKUP(B566,'Coil Sheet at Plant'!$C:$H,6,FALSE),"ID Not Found"))</f>
        <v/>
      </c>
      <c r="G566" s="81">
        <v>713</v>
      </c>
      <c r="H566" s="89" t="str">
        <f>IF(OR(B566="",G566=""),"",IFERROR(VLOOKUP(B566,'Coil Sheet at Plant'!$C:$J,8,FALSE),0)*G566/SUMIF(B:B,B566,G:G))</f>
        <v/>
      </c>
      <c r="I566" s="56" t="str">
        <f>IF(B566="","",IFERROR(VLOOKUP(B566,'Coil Sheet at Plant'!$C:$L,9,FALSE),""))</f>
        <v/>
      </c>
      <c r="J566" s="85" t="str">
        <f>IF(B566="","",IFERROR(VLOOKUP(B566,'Coil Sheet at Plant'!$C:$M,10,FALSE),""))</f>
        <v/>
      </c>
      <c r="K566" s="69" t="str">
        <f>IF(B566="","",SUMIF(B:B,B566,G:G))</f>
        <v/>
      </c>
      <c r="L566" s="70" t="str">
        <f>IF(B566="","",IFERROR(VLOOKUP(B566,'Coil Sheet at Plant'!$C:$I,7,FALSE),""))</f>
        <v/>
      </c>
      <c r="M566" s="71" t="str">
        <f>IF(OR(K566="",L566=""),"",IF(L566=0,"⚠ NO PARENT WIDTH",IF(K566&gt;L566,"⚠ BABY &gt; PARENT","✔ OK")))</f>
        <v/>
      </c>
      <c r="N566" s="71" t="str">
        <f>IF(D566="","",IF(COUNTIF(D$3:D566,D566)&gt;1,"⚠ DUPLICATE",""))</f>
        <v/>
      </c>
      <c r="O566" s="72" t="str">
        <f>IF(B566="","",SUMIF(B:B,B566,G:G)&amp;" / "&amp;IFERROR(VLOOKUP(B566,'Coil Sheet at Plant'!$C:$I,7,FALSE),"?")&amp;" mm")</f>
        <v/>
      </c>
    </row>
    <row r="567" spans="1:15">
      <c r="A567" s="36"/>
      <c r="B567" s="32"/>
      <c r="C567" s="39"/>
      <c r="D567" s="44" t="str">
        <f>IF(OR(B567="",C567=""),"",CONCATENATE(B567,"-",C567))</f>
        <v/>
      </c>
      <c r="E567" s="49" t="str">
        <f>IF(B567="","",IFERROR(VLOOKUP(B567,'Coil Sheet at Plant'!$C:$G,5,FALSE),"ID Not Found"))</f>
        <v/>
      </c>
      <c r="F567" s="50" t="str">
        <f>IF(B567="","",IFERROR(VLOOKUP(B567,'Coil Sheet at Plant'!$C:$H,6,FALSE),"ID Not Found"))</f>
        <v/>
      </c>
      <c r="G567" s="81">
        <v>714</v>
      </c>
      <c r="H567" s="89" t="str">
        <f>IF(OR(B567="",G567=""),"",IFERROR(VLOOKUP(B567,'Coil Sheet at Plant'!$C:$J,8,FALSE),0)*G567/SUMIF(B:B,B567,G:G))</f>
        <v/>
      </c>
      <c r="I567" s="56" t="str">
        <f>IF(B567="","",IFERROR(VLOOKUP(B567,'Coil Sheet at Plant'!$C:$L,9,FALSE),""))</f>
        <v/>
      </c>
      <c r="J567" s="85" t="str">
        <f>IF(B567="","",IFERROR(VLOOKUP(B567,'Coil Sheet at Plant'!$C:$M,10,FALSE),""))</f>
        <v/>
      </c>
      <c r="K567" s="69" t="str">
        <f>IF(B567="","",SUMIF(B:B,B567,G:G))</f>
        <v/>
      </c>
      <c r="L567" s="70" t="str">
        <f>IF(B567="","",IFERROR(VLOOKUP(B567,'Coil Sheet at Plant'!$C:$I,7,FALSE),""))</f>
        <v/>
      </c>
      <c r="M567" s="71" t="str">
        <f>IF(OR(K567="",L567=""),"",IF(L567=0,"⚠ NO PARENT WIDTH",IF(K567&gt;L567,"⚠ BABY &gt; PARENT","✔ OK")))</f>
        <v/>
      </c>
      <c r="N567" s="71" t="str">
        <f>IF(D567="","",IF(COUNTIF(D$3:D567,D567)&gt;1,"⚠ DUPLICATE",""))</f>
        <v/>
      </c>
      <c r="O567" s="72" t="str">
        <f>IF(B567="","",SUMIF(B:B,B567,G:G)&amp;" / "&amp;IFERROR(VLOOKUP(B567,'Coil Sheet at Plant'!$C:$I,7,FALSE),"?")&amp;" mm")</f>
        <v/>
      </c>
    </row>
    <row r="568" spans="1:15">
      <c r="A568" s="36"/>
      <c r="B568" s="32"/>
      <c r="C568" s="39"/>
      <c r="D568" s="44" t="str">
        <f>IF(OR(B568="",C568=""),"",CONCATENATE(B568,"-",C568))</f>
        <v/>
      </c>
      <c r="E568" s="49" t="str">
        <f>IF(B568="","",IFERROR(VLOOKUP(B568,'Coil Sheet at Plant'!$C:$G,5,FALSE),"ID Not Found"))</f>
        <v/>
      </c>
      <c r="F568" s="50" t="str">
        <f>IF(B568="","",IFERROR(VLOOKUP(B568,'Coil Sheet at Plant'!$C:$H,6,FALSE),"ID Not Found"))</f>
        <v/>
      </c>
      <c r="G568" s="81">
        <v>715</v>
      </c>
      <c r="H568" s="89" t="str">
        <f>IF(OR(B568="",G568=""),"",IFERROR(VLOOKUP(B568,'Coil Sheet at Plant'!$C:$J,8,FALSE),0)*G568/SUMIF(B:B,B568,G:G))</f>
        <v/>
      </c>
      <c r="I568" s="56" t="str">
        <f>IF(B568="","",IFERROR(VLOOKUP(B568,'Coil Sheet at Plant'!$C:$L,9,FALSE),""))</f>
        <v/>
      </c>
      <c r="J568" s="85" t="str">
        <f>IF(B568="","",IFERROR(VLOOKUP(B568,'Coil Sheet at Plant'!$C:$M,10,FALSE),""))</f>
        <v/>
      </c>
      <c r="K568" s="69" t="str">
        <f>IF(B568="","",SUMIF(B:B,B568,G:G))</f>
        <v/>
      </c>
      <c r="L568" s="70" t="str">
        <f>IF(B568="","",IFERROR(VLOOKUP(B568,'Coil Sheet at Plant'!$C:$I,7,FALSE),""))</f>
        <v/>
      </c>
      <c r="M568" s="71" t="str">
        <f>IF(OR(K568="",L568=""),"",IF(L568=0,"⚠ NO PARENT WIDTH",IF(K568&gt;L568,"⚠ BABY &gt; PARENT","✔ OK")))</f>
        <v/>
      </c>
      <c r="N568" s="71" t="str">
        <f>IF(D568="","",IF(COUNTIF(D$3:D568,D568)&gt;1,"⚠ DUPLICATE",""))</f>
        <v/>
      </c>
      <c r="O568" s="72" t="str">
        <f>IF(B568="","",SUMIF(B:B,B568,G:G)&amp;" / "&amp;IFERROR(VLOOKUP(B568,'Coil Sheet at Plant'!$C:$I,7,FALSE),"?")&amp;" mm")</f>
        <v/>
      </c>
    </row>
    <row r="569" spans="1:15">
      <c r="A569" s="36"/>
      <c r="B569" s="32"/>
      <c r="C569" s="39"/>
      <c r="D569" s="44" t="str">
        <f>IF(OR(B569="",C569=""),"",CONCATENATE(B569,"-",C569))</f>
        <v/>
      </c>
      <c r="E569" s="49" t="str">
        <f>IF(B569="","",IFERROR(VLOOKUP(B569,'Coil Sheet at Plant'!$C:$G,5,FALSE),"ID Not Found"))</f>
        <v/>
      </c>
      <c r="F569" s="50" t="str">
        <f>IF(B569="","",IFERROR(VLOOKUP(B569,'Coil Sheet at Plant'!$C:$H,6,FALSE),"ID Not Found"))</f>
        <v/>
      </c>
      <c r="G569" s="81">
        <v>716</v>
      </c>
      <c r="H569" s="89" t="str">
        <f>IF(OR(B569="",G569=""),"",IFERROR(VLOOKUP(B569,'Coil Sheet at Plant'!$C:$J,8,FALSE),0)*G569/SUMIF(B:B,B569,G:G))</f>
        <v/>
      </c>
      <c r="I569" s="56" t="str">
        <f>IF(B569="","",IFERROR(VLOOKUP(B569,'Coil Sheet at Plant'!$C:$L,9,FALSE),""))</f>
        <v/>
      </c>
      <c r="J569" s="85" t="str">
        <f>IF(B569="","",IFERROR(VLOOKUP(B569,'Coil Sheet at Plant'!$C:$M,10,FALSE),""))</f>
        <v/>
      </c>
      <c r="K569" s="69" t="str">
        <f>IF(B569="","",SUMIF(B:B,B569,G:G))</f>
        <v/>
      </c>
      <c r="L569" s="70" t="str">
        <f>IF(B569="","",IFERROR(VLOOKUP(B569,'Coil Sheet at Plant'!$C:$I,7,FALSE),""))</f>
        <v/>
      </c>
      <c r="M569" s="71" t="str">
        <f>IF(OR(K569="",L569=""),"",IF(L569=0,"⚠ NO PARENT WIDTH",IF(K569&gt;L569,"⚠ BABY &gt; PARENT","✔ OK")))</f>
        <v/>
      </c>
      <c r="N569" s="71" t="str">
        <f>IF(D569="","",IF(COUNTIF(D$3:D569,D569)&gt;1,"⚠ DUPLICATE",""))</f>
        <v/>
      </c>
      <c r="O569" s="72" t="str">
        <f>IF(B569="","",SUMIF(B:B,B569,G:G)&amp;" / "&amp;IFERROR(VLOOKUP(B569,'Coil Sheet at Plant'!$C:$I,7,FALSE),"?")&amp;" mm")</f>
        <v/>
      </c>
    </row>
    <row r="570" spans="1:15">
      <c r="A570" s="36"/>
      <c r="B570" s="32"/>
      <c r="C570" s="39"/>
      <c r="D570" s="44" t="str">
        <f>IF(OR(B570="",C570=""),"",CONCATENATE(B570,"-",C570))</f>
        <v/>
      </c>
      <c r="E570" s="49" t="str">
        <f>IF(B570="","",IFERROR(VLOOKUP(B570,'Coil Sheet at Plant'!$C:$G,5,FALSE),"ID Not Found"))</f>
        <v/>
      </c>
      <c r="F570" s="50" t="str">
        <f>IF(B570="","",IFERROR(VLOOKUP(B570,'Coil Sheet at Plant'!$C:$H,6,FALSE),"ID Not Found"))</f>
        <v/>
      </c>
      <c r="G570" s="81">
        <v>717</v>
      </c>
      <c r="H570" s="89" t="str">
        <f>IF(OR(B570="",G570=""),"",IFERROR(VLOOKUP(B570,'Coil Sheet at Plant'!$C:$J,8,FALSE),0)*G570/SUMIF(B:B,B570,G:G))</f>
        <v/>
      </c>
      <c r="I570" s="56" t="str">
        <f>IF(B570="","",IFERROR(VLOOKUP(B570,'Coil Sheet at Plant'!$C:$L,9,FALSE),""))</f>
        <v/>
      </c>
      <c r="J570" s="85" t="str">
        <f>IF(B570="","",IFERROR(VLOOKUP(B570,'Coil Sheet at Plant'!$C:$M,10,FALSE),""))</f>
        <v/>
      </c>
      <c r="K570" s="69" t="str">
        <f>IF(B570="","",SUMIF(B:B,B570,G:G))</f>
        <v/>
      </c>
      <c r="L570" s="70" t="str">
        <f>IF(B570="","",IFERROR(VLOOKUP(B570,'Coil Sheet at Plant'!$C:$I,7,FALSE),""))</f>
        <v/>
      </c>
      <c r="M570" s="71" t="str">
        <f>IF(OR(K570="",L570=""),"",IF(L570=0,"⚠ NO PARENT WIDTH",IF(K570&gt;L570,"⚠ BABY &gt; PARENT","✔ OK")))</f>
        <v/>
      </c>
      <c r="N570" s="71" t="str">
        <f>IF(D570="","",IF(COUNTIF(D$3:D570,D570)&gt;1,"⚠ DUPLICATE",""))</f>
        <v/>
      </c>
      <c r="O570" s="72" t="str">
        <f>IF(B570="","",SUMIF(B:B,B570,G:G)&amp;" / "&amp;IFERROR(VLOOKUP(B570,'Coil Sheet at Plant'!$C:$I,7,FALSE),"?")&amp;" mm")</f>
        <v/>
      </c>
    </row>
    <row r="571" spans="1:15">
      <c r="A571" s="36"/>
      <c r="B571" s="32"/>
      <c r="C571" s="39"/>
      <c r="D571" s="44" t="str">
        <f>IF(OR(B571="",C571=""),"",CONCATENATE(B571,"-",C571))</f>
        <v/>
      </c>
      <c r="E571" s="49" t="str">
        <f>IF(B571="","",IFERROR(VLOOKUP(B571,'Coil Sheet at Plant'!$C:$G,5,FALSE),"ID Not Found"))</f>
        <v/>
      </c>
      <c r="F571" s="50" t="str">
        <f>IF(B571="","",IFERROR(VLOOKUP(B571,'Coil Sheet at Plant'!$C:$H,6,FALSE),"ID Not Found"))</f>
        <v/>
      </c>
      <c r="G571" s="81">
        <v>718</v>
      </c>
      <c r="H571" s="89" t="str">
        <f>IF(OR(B571="",G571=""),"",IFERROR(VLOOKUP(B571,'Coil Sheet at Plant'!$C:$J,8,FALSE),0)*G571/SUMIF(B:B,B571,G:G))</f>
        <v/>
      </c>
      <c r="I571" s="56" t="str">
        <f>IF(B571="","",IFERROR(VLOOKUP(B571,'Coil Sheet at Plant'!$C:$L,9,FALSE),""))</f>
        <v/>
      </c>
      <c r="J571" s="85" t="str">
        <f>IF(B571="","",IFERROR(VLOOKUP(B571,'Coil Sheet at Plant'!$C:$M,10,FALSE),""))</f>
        <v/>
      </c>
      <c r="K571" s="69" t="str">
        <f>IF(B571="","",SUMIF(B:B,B571,G:G))</f>
        <v/>
      </c>
      <c r="L571" s="70" t="str">
        <f>IF(B571="","",IFERROR(VLOOKUP(B571,'Coil Sheet at Plant'!$C:$I,7,FALSE),""))</f>
        <v/>
      </c>
      <c r="M571" s="71" t="str">
        <f>IF(OR(K571="",L571=""),"",IF(L571=0,"⚠ NO PARENT WIDTH",IF(K571&gt;L571,"⚠ BABY &gt; PARENT","✔ OK")))</f>
        <v/>
      </c>
      <c r="N571" s="71" t="str">
        <f>IF(D571="","",IF(COUNTIF(D$3:D571,D571)&gt;1,"⚠ DUPLICATE",""))</f>
        <v/>
      </c>
      <c r="O571" s="72" t="str">
        <f>IF(B571="","",SUMIF(B:B,B571,G:G)&amp;" / "&amp;IFERROR(VLOOKUP(B571,'Coil Sheet at Plant'!$C:$I,7,FALSE),"?")&amp;" mm")</f>
        <v/>
      </c>
    </row>
    <row r="572" spans="1:15">
      <c r="A572" s="36"/>
      <c r="B572" s="32"/>
      <c r="C572" s="39"/>
      <c r="D572" s="44" t="str">
        <f>IF(OR(B572="",C572=""),"",CONCATENATE(B572,"-",C572))</f>
        <v/>
      </c>
      <c r="E572" s="49" t="str">
        <f>IF(B572="","",IFERROR(VLOOKUP(B572,'Coil Sheet at Plant'!$C:$G,5,FALSE),"ID Not Found"))</f>
        <v/>
      </c>
      <c r="F572" s="50" t="str">
        <f>IF(B572="","",IFERROR(VLOOKUP(B572,'Coil Sheet at Plant'!$C:$H,6,FALSE),"ID Not Found"))</f>
        <v/>
      </c>
      <c r="G572" s="81">
        <v>719</v>
      </c>
      <c r="H572" s="89" t="str">
        <f>IF(OR(B572="",G572=""),"",IFERROR(VLOOKUP(B572,'Coil Sheet at Plant'!$C:$J,8,FALSE),0)*G572/SUMIF(B:B,B572,G:G))</f>
        <v/>
      </c>
      <c r="I572" s="56" t="str">
        <f>IF(B572="","",IFERROR(VLOOKUP(B572,'Coil Sheet at Plant'!$C:$L,9,FALSE),""))</f>
        <v/>
      </c>
      <c r="J572" s="85" t="str">
        <f>IF(B572="","",IFERROR(VLOOKUP(B572,'Coil Sheet at Plant'!$C:$M,10,FALSE),""))</f>
        <v/>
      </c>
      <c r="K572" s="69" t="str">
        <f>IF(B572="","",SUMIF(B:B,B572,G:G))</f>
        <v/>
      </c>
      <c r="L572" s="70" t="str">
        <f>IF(B572="","",IFERROR(VLOOKUP(B572,'Coil Sheet at Plant'!$C:$I,7,FALSE),""))</f>
        <v/>
      </c>
      <c r="M572" s="71" t="str">
        <f>IF(OR(K572="",L572=""),"",IF(L572=0,"⚠ NO PARENT WIDTH",IF(K572&gt;L572,"⚠ BABY &gt; PARENT","✔ OK")))</f>
        <v/>
      </c>
      <c r="N572" s="71" t="str">
        <f>IF(D572="","",IF(COUNTIF(D$3:D572,D572)&gt;1,"⚠ DUPLICATE",""))</f>
        <v/>
      </c>
      <c r="O572" s="72" t="str">
        <f>IF(B572="","",SUMIF(B:B,B572,G:G)&amp;" / "&amp;IFERROR(VLOOKUP(B572,'Coil Sheet at Plant'!$C:$I,7,FALSE),"?")&amp;" mm")</f>
        <v/>
      </c>
    </row>
    <row r="573" spans="1:15">
      <c r="A573" s="36"/>
      <c r="B573" s="32"/>
      <c r="C573" s="39"/>
      <c r="D573" s="44" t="str">
        <f>IF(OR(B573="",C573=""),"",CONCATENATE(B573,"-",C573))</f>
        <v/>
      </c>
      <c r="E573" s="49" t="str">
        <f>IF(B573="","",IFERROR(VLOOKUP(B573,'Coil Sheet at Plant'!$C:$G,5,FALSE),"ID Not Found"))</f>
        <v/>
      </c>
      <c r="F573" s="50" t="str">
        <f>IF(B573="","",IFERROR(VLOOKUP(B573,'Coil Sheet at Plant'!$C:$H,6,FALSE),"ID Not Found"))</f>
        <v/>
      </c>
      <c r="G573" s="81">
        <v>720</v>
      </c>
      <c r="H573" s="89" t="str">
        <f>IF(OR(B573="",G573=""),"",IFERROR(VLOOKUP(B573,'Coil Sheet at Plant'!$C:$J,8,FALSE),0)*G573/SUMIF(B:B,B573,G:G))</f>
        <v/>
      </c>
      <c r="I573" s="56" t="str">
        <f>IF(B573="","",IFERROR(VLOOKUP(B573,'Coil Sheet at Plant'!$C:$L,9,FALSE),""))</f>
        <v/>
      </c>
      <c r="J573" s="85" t="str">
        <f>IF(B573="","",IFERROR(VLOOKUP(B573,'Coil Sheet at Plant'!$C:$M,10,FALSE),""))</f>
        <v/>
      </c>
      <c r="K573" s="69" t="str">
        <f>IF(B573="","",SUMIF(B:B,B573,G:G))</f>
        <v/>
      </c>
      <c r="L573" s="70" t="str">
        <f>IF(B573="","",IFERROR(VLOOKUP(B573,'Coil Sheet at Plant'!$C:$I,7,FALSE),""))</f>
        <v/>
      </c>
      <c r="M573" s="71" t="str">
        <f>IF(OR(K573="",L573=""),"",IF(L573=0,"⚠ NO PARENT WIDTH",IF(K573&gt;L573,"⚠ BABY &gt; PARENT","✔ OK")))</f>
        <v/>
      </c>
      <c r="N573" s="71" t="str">
        <f>IF(D573="","",IF(COUNTIF(D$3:D573,D573)&gt;1,"⚠ DUPLICATE",""))</f>
        <v/>
      </c>
      <c r="O573" s="72" t="str">
        <f>IF(B573="","",SUMIF(B:B,B573,G:G)&amp;" / "&amp;IFERROR(VLOOKUP(B573,'Coil Sheet at Plant'!$C:$I,7,FALSE),"?")&amp;" mm")</f>
        <v/>
      </c>
    </row>
    <row r="574" spans="1:15">
      <c r="A574" s="36"/>
      <c r="B574" s="32"/>
      <c r="C574" s="39"/>
      <c r="D574" s="44" t="str">
        <f>IF(OR(B574="",C574=""),"",CONCATENATE(B574,"-",C574))</f>
        <v/>
      </c>
      <c r="E574" s="49" t="str">
        <f>IF(B574="","",IFERROR(VLOOKUP(B574,'Coil Sheet at Plant'!$C:$G,5,FALSE),"ID Not Found"))</f>
        <v/>
      </c>
      <c r="F574" s="50" t="str">
        <f>IF(B574="","",IFERROR(VLOOKUP(B574,'Coil Sheet at Plant'!$C:$H,6,FALSE),"ID Not Found"))</f>
        <v/>
      </c>
      <c r="G574" s="81">
        <v>721</v>
      </c>
      <c r="H574" s="89" t="str">
        <f>IF(OR(B574="",G574=""),"",IFERROR(VLOOKUP(B574,'Coil Sheet at Plant'!$C:$J,8,FALSE),0)*G574/SUMIF(B:B,B574,G:G))</f>
        <v/>
      </c>
      <c r="I574" s="56" t="str">
        <f>IF(B574="","",IFERROR(VLOOKUP(B574,'Coil Sheet at Plant'!$C:$L,9,FALSE),""))</f>
        <v/>
      </c>
      <c r="J574" s="85" t="str">
        <f>IF(B574="","",IFERROR(VLOOKUP(B574,'Coil Sheet at Plant'!$C:$M,10,FALSE),""))</f>
        <v/>
      </c>
      <c r="K574" s="69" t="str">
        <f>IF(B574="","",SUMIF(B:B,B574,G:G))</f>
        <v/>
      </c>
      <c r="L574" s="70" t="str">
        <f>IF(B574="","",IFERROR(VLOOKUP(B574,'Coil Sheet at Plant'!$C:$I,7,FALSE),""))</f>
        <v/>
      </c>
      <c r="M574" s="71" t="str">
        <f>IF(OR(K574="",L574=""),"",IF(L574=0,"⚠ NO PARENT WIDTH",IF(K574&gt;L574,"⚠ BABY &gt; PARENT","✔ OK")))</f>
        <v/>
      </c>
      <c r="N574" s="71" t="str">
        <f>IF(D574="","",IF(COUNTIF(D$3:D574,D574)&gt;1,"⚠ DUPLICATE",""))</f>
        <v/>
      </c>
      <c r="O574" s="72" t="str">
        <f>IF(B574="","",SUMIF(B:B,B574,G:G)&amp;" / "&amp;IFERROR(VLOOKUP(B574,'Coil Sheet at Plant'!$C:$I,7,FALSE),"?")&amp;" mm")</f>
        <v/>
      </c>
    </row>
    <row r="575" spans="1:15">
      <c r="A575" s="36"/>
      <c r="B575" s="32"/>
      <c r="C575" s="39"/>
      <c r="D575" s="44" t="str">
        <f>IF(OR(B575="",C575=""),"",CONCATENATE(B575,"-",C575))</f>
        <v/>
      </c>
      <c r="E575" s="49" t="str">
        <f>IF(B575="","",IFERROR(VLOOKUP(B575,'Coil Sheet at Plant'!$C:$G,5,FALSE),"ID Not Found"))</f>
        <v/>
      </c>
      <c r="F575" s="50" t="str">
        <f>IF(B575="","",IFERROR(VLOOKUP(B575,'Coil Sheet at Plant'!$C:$H,6,FALSE),"ID Not Found"))</f>
        <v/>
      </c>
      <c r="G575" s="81">
        <v>722</v>
      </c>
      <c r="H575" s="89" t="str">
        <f>IF(OR(B575="",G575=""),"",IFERROR(VLOOKUP(B575,'Coil Sheet at Plant'!$C:$J,8,FALSE),0)*G575/SUMIF(B:B,B575,G:G))</f>
        <v/>
      </c>
      <c r="I575" s="56" t="str">
        <f>IF(B575="","",IFERROR(VLOOKUP(B575,'Coil Sheet at Plant'!$C:$L,9,FALSE),""))</f>
        <v/>
      </c>
      <c r="J575" s="85" t="str">
        <f>IF(B575="","",IFERROR(VLOOKUP(B575,'Coil Sheet at Plant'!$C:$M,10,FALSE),""))</f>
        <v/>
      </c>
      <c r="K575" s="69" t="str">
        <f>IF(B575="","",SUMIF(B:B,B575,G:G))</f>
        <v/>
      </c>
      <c r="L575" s="70" t="str">
        <f>IF(B575="","",IFERROR(VLOOKUP(B575,'Coil Sheet at Plant'!$C:$I,7,FALSE),""))</f>
        <v/>
      </c>
      <c r="M575" s="71" t="str">
        <f>IF(OR(K575="",L575=""),"",IF(L575=0,"⚠ NO PARENT WIDTH",IF(K575&gt;L575,"⚠ BABY &gt; PARENT","✔ OK")))</f>
        <v/>
      </c>
      <c r="N575" s="71" t="str">
        <f>IF(D575="","",IF(COUNTIF(D$3:D575,D575)&gt;1,"⚠ DUPLICATE",""))</f>
        <v/>
      </c>
      <c r="O575" s="72" t="str">
        <f>IF(B575="","",SUMIF(B:B,B575,G:G)&amp;" / "&amp;IFERROR(VLOOKUP(B575,'Coil Sheet at Plant'!$C:$I,7,FALSE),"?")&amp;" mm")</f>
        <v/>
      </c>
    </row>
    <row r="576" spans="1:15">
      <c r="A576" s="36"/>
      <c r="B576" s="32"/>
      <c r="C576" s="39"/>
      <c r="D576" s="44" t="str">
        <f>IF(OR(B576="",C576=""),"",CONCATENATE(B576,"-",C576))</f>
        <v/>
      </c>
      <c r="E576" s="49" t="str">
        <f>IF(B576="","",IFERROR(VLOOKUP(B576,'Coil Sheet at Plant'!$C:$G,5,FALSE),"ID Not Found"))</f>
        <v/>
      </c>
      <c r="F576" s="50" t="str">
        <f>IF(B576="","",IFERROR(VLOOKUP(B576,'Coil Sheet at Plant'!$C:$H,6,FALSE),"ID Not Found"))</f>
        <v/>
      </c>
      <c r="G576" s="81">
        <v>723</v>
      </c>
      <c r="H576" s="89" t="str">
        <f>IF(OR(B576="",G576=""),"",IFERROR(VLOOKUP(B576,'Coil Sheet at Plant'!$C:$J,8,FALSE),0)*G576/SUMIF(B:B,B576,G:G))</f>
        <v/>
      </c>
      <c r="I576" s="56" t="str">
        <f>IF(B576="","",IFERROR(VLOOKUP(B576,'Coil Sheet at Plant'!$C:$L,9,FALSE),""))</f>
        <v/>
      </c>
      <c r="J576" s="85" t="str">
        <f>IF(B576="","",IFERROR(VLOOKUP(B576,'Coil Sheet at Plant'!$C:$M,10,FALSE),""))</f>
        <v/>
      </c>
      <c r="K576" s="69" t="str">
        <f>IF(B576="","",SUMIF(B:B,B576,G:G))</f>
        <v/>
      </c>
      <c r="L576" s="70" t="str">
        <f>IF(B576="","",IFERROR(VLOOKUP(B576,'Coil Sheet at Plant'!$C:$I,7,FALSE),""))</f>
        <v/>
      </c>
      <c r="M576" s="71" t="str">
        <f>IF(OR(K576="",L576=""),"",IF(L576=0,"⚠ NO PARENT WIDTH",IF(K576&gt;L576,"⚠ BABY &gt; PARENT","✔ OK")))</f>
        <v/>
      </c>
      <c r="N576" s="71" t="str">
        <f>IF(D576="","",IF(COUNTIF(D$3:D576,D576)&gt;1,"⚠ DUPLICATE",""))</f>
        <v/>
      </c>
      <c r="O576" s="72" t="str">
        <f>IF(B576="","",SUMIF(B:B,B576,G:G)&amp;" / "&amp;IFERROR(VLOOKUP(B576,'Coil Sheet at Plant'!$C:$I,7,FALSE),"?")&amp;" mm")</f>
        <v/>
      </c>
    </row>
    <row r="577" spans="1:15">
      <c r="A577" s="36"/>
      <c r="B577" s="32"/>
      <c r="C577" s="39"/>
      <c r="D577" s="44" t="str">
        <f>IF(OR(B577="",C577=""),"",CONCATENATE(B577,"-",C577))</f>
        <v/>
      </c>
      <c r="E577" s="49" t="str">
        <f>IF(B577="","",IFERROR(VLOOKUP(B577,'Coil Sheet at Plant'!$C:$G,5,FALSE),"ID Not Found"))</f>
        <v/>
      </c>
      <c r="F577" s="50" t="str">
        <f>IF(B577="","",IFERROR(VLOOKUP(B577,'Coil Sheet at Plant'!$C:$H,6,FALSE),"ID Not Found"))</f>
        <v/>
      </c>
      <c r="G577" s="81">
        <v>724</v>
      </c>
      <c r="H577" s="89" t="str">
        <f>IF(OR(B577="",G577=""),"",IFERROR(VLOOKUP(B577,'Coil Sheet at Plant'!$C:$J,8,FALSE),0)*G577/SUMIF(B:B,B577,G:G))</f>
        <v/>
      </c>
      <c r="I577" s="56" t="str">
        <f>IF(B577="","",IFERROR(VLOOKUP(B577,'Coil Sheet at Plant'!$C:$L,9,FALSE),""))</f>
        <v/>
      </c>
      <c r="J577" s="85" t="str">
        <f>IF(B577="","",IFERROR(VLOOKUP(B577,'Coil Sheet at Plant'!$C:$M,10,FALSE),""))</f>
        <v/>
      </c>
      <c r="K577" s="69" t="str">
        <f>IF(B577="","",SUMIF(B:B,B577,G:G))</f>
        <v/>
      </c>
      <c r="L577" s="70" t="str">
        <f>IF(B577="","",IFERROR(VLOOKUP(B577,'Coil Sheet at Plant'!$C:$I,7,FALSE),""))</f>
        <v/>
      </c>
      <c r="M577" s="71" t="str">
        <f>IF(OR(K577="",L577=""),"",IF(L577=0,"⚠ NO PARENT WIDTH",IF(K577&gt;L577,"⚠ BABY &gt; PARENT","✔ OK")))</f>
        <v/>
      </c>
      <c r="N577" s="71" t="str">
        <f>IF(D577="","",IF(COUNTIF(D$3:D577,D577)&gt;1,"⚠ DUPLICATE",""))</f>
        <v/>
      </c>
      <c r="O577" s="72" t="str">
        <f>IF(B577="","",SUMIF(B:B,B577,G:G)&amp;" / "&amp;IFERROR(VLOOKUP(B577,'Coil Sheet at Plant'!$C:$I,7,FALSE),"?")&amp;" mm")</f>
        <v/>
      </c>
    </row>
    <row r="578" spans="1:15">
      <c r="A578" s="36"/>
      <c r="B578" s="32"/>
      <c r="C578" s="39"/>
      <c r="D578" s="44" t="str">
        <f>IF(OR(B578="",C578=""),"",CONCATENATE(B578,"-",C578))</f>
        <v/>
      </c>
      <c r="E578" s="49" t="str">
        <f>IF(B578="","",IFERROR(VLOOKUP(B578,'Coil Sheet at Plant'!$C:$G,5,FALSE),"ID Not Found"))</f>
        <v/>
      </c>
      <c r="F578" s="50" t="str">
        <f>IF(B578="","",IFERROR(VLOOKUP(B578,'Coil Sheet at Plant'!$C:$H,6,FALSE),"ID Not Found"))</f>
        <v/>
      </c>
      <c r="G578" s="81">
        <v>725</v>
      </c>
      <c r="H578" s="89" t="str">
        <f>IF(OR(B578="",G578=""),"",IFERROR(VLOOKUP(B578,'Coil Sheet at Plant'!$C:$J,8,FALSE),0)*G578/SUMIF(B:B,B578,G:G))</f>
        <v/>
      </c>
      <c r="I578" s="56" t="str">
        <f>IF(B578="","",IFERROR(VLOOKUP(B578,'Coil Sheet at Plant'!$C:$L,9,FALSE),""))</f>
        <v/>
      </c>
      <c r="J578" s="85" t="str">
        <f>IF(B578="","",IFERROR(VLOOKUP(B578,'Coil Sheet at Plant'!$C:$M,10,FALSE),""))</f>
        <v/>
      </c>
      <c r="K578" s="69" t="str">
        <f>IF(B578="","",SUMIF(B:B,B578,G:G))</f>
        <v/>
      </c>
      <c r="L578" s="70" t="str">
        <f>IF(B578="","",IFERROR(VLOOKUP(B578,'Coil Sheet at Plant'!$C:$I,7,FALSE),""))</f>
        <v/>
      </c>
      <c r="M578" s="71" t="str">
        <f>IF(OR(K578="",L578=""),"",IF(L578=0,"⚠ NO PARENT WIDTH",IF(K578&gt;L578,"⚠ BABY &gt; PARENT","✔ OK")))</f>
        <v/>
      </c>
      <c r="N578" s="71" t="str">
        <f>IF(D578="","",IF(COUNTIF(D$3:D578,D578)&gt;1,"⚠ DUPLICATE",""))</f>
        <v/>
      </c>
      <c r="O578" s="72" t="str">
        <f>IF(B578="","",SUMIF(B:B,B578,G:G)&amp;" / "&amp;IFERROR(VLOOKUP(B578,'Coil Sheet at Plant'!$C:$I,7,FALSE),"?")&amp;" mm")</f>
        <v/>
      </c>
    </row>
    <row r="579" spans="1:15">
      <c r="A579" s="36"/>
      <c r="B579" s="32"/>
      <c r="C579" s="39"/>
      <c r="D579" s="44" t="str">
        <f>IF(OR(B579="",C579=""),"",CONCATENATE(B579,"-",C579))</f>
        <v/>
      </c>
      <c r="E579" s="49" t="str">
        <f>IF(B579="","",IFERROR(VLOOKUP(B579,'Coil Sheet at Plant'!$C:$G,5,FALSE),"ID Not Found"))</f>
        <v/>
      </c>
      <c r="F579" s="50" t="str">
        <f>IF(B579="","",IFERROR(VLOOKUP(B579,'Coil Sheet at Plant'!$C:$H,6,FALSE),"ID Not Found"))</f>
        <v/>
      </c>
      <c r="G579" s="81">
        <v>726</v>
      </c>
      <c r="H579" s="89" t="str">
        <f>IF(OR(B579="",G579=""),"",IFERROR(VLOOKUP(B579,'Coil Sheet at Plant'!$C:$J,8,FALSE),0)*G579/SUMIF(B:B,B579,G:G))</f>
        <v/>
      </c>
      <c r="I579" s="56" t="str">
        <f>IF(B579="","",IFERROR(VLOOKUP(B579,'Coil Sheet at Plant'!$C:$L,9,FALSE),""))</f>
        <v/>
      </c>
      <c r="J579" s="85" t="str">
        <f>IF(B579="","",IFERROR(VLOOKUP(B579,'Coil Sheet at Plant'!$C:$M,10,FALSE),""))</f>
        <v/>
      </c>
      <c r="K579" s="69" t="str">
        <f>IF(B579="","",SUMIF(B:B,B579,G:G))</f>
        <v/>
      </c>
      <c r="L579" s="70" t="str">
        <f>IF(B579="","",IFERROR(VLOOKUP(B579,'Coil Sheet at Plant'!$C:$I,7,FALSE),""))</f>
        <v/>
      </c>
      <c r="M579" s="71" t="str">
        <f>IF(OR(K579="",L579=""),"",IF(L579=0,"⚠ NO PARENT WIDTH",IF(K579&gt;L579,"⚠ BABY &gt; PARENT","✔ OK")))</f>
        <v/>
      </c>
      <c r="N579" s="71" t="str">
        <f>IF(D579="","",IF(COUNTIF(D$3:D579,D579)&gt;1,"⚠ DUPLICATE",""))</f>
        <v/>
      </c>
      <c r="O579" s="72" t="str">
        <f>IF(B579="","",SUMIF(B:B,B579,G:G)&amp;" / "&amp;IFERROR(VLOOKUP(B579,'Coil Sheet at Plant'!$C:$I,7,FALSE),"?")&amp;" mm")</f>
        <v/>
      </c>
    </row>
    <row r="580" spans="1:15">
      <c r="A580" s="36"/>
      <c r="B580" s="32"/>
      <c r="C580" s="39"/>
      <c r="D580" s="44" t="str">
        <f>IF(OR(B580="",C580=""),"",CONCATENATE(B580,"-",C580))</f>
        <v/>
      </c>
      <c r="E580" s="49" t="str">
        <f>IF(B580="","",IFERROR(VLOOKUP(B580,'Coil Sheet at Plant'!$C:$G,5,FALSE),"ID Not Found"))</f>
        <v/>
      </c>
      <c r="F580" s="50" t="str">
        <f>IF(B580="","",IFERROR(VLOOKUP(B580,'Coil Sheet at Plant'!$C:$H,6,FALSE),"ID Not Found"))</f>
        <v/>
      </c>
      <c r="G580" s="81">
        <v>727</v>
      </c>
      <c r="H580" s="89" t="str">
        <f>IF(OR(B580="",G580=""),"",IFERROR(VLOOKUP(B580,'Coil Sheet at Plant'!$C:$J,8,FALSE),0)*G580/SUMIF(B:B,B580,G:G))</f>
        <v/>
      </c>
      <c r="I580" s="56" t="str">
        <f>IF(B580="","",IFERROR(VLOOKUP(B580,'Coil Sheet at Plant'!$C:$L,9,FALSE),""))</f>
        <v/>
      </c>
      <c r="J580" s="85" t="str">
        <f>IF(B580="","",IFERROR(VLOOKUP(B580,'Coil Sheet at Plant'!$C:$M,10,FALSE),""))</f>
        <v/>
      </c>
      <c r="K580" s="69" t="str">
        <f>IF(B580="","",SUMIF(B:B,B580,G:G))</f>
        <v/>
      </c>
      <c r="L580" s="70" t="str">
        <f>IF(B580="","",IFERROR(VLOOKUP(B580,'Coil Sheet at Plant'!$C:$I,7,FALSE),""))</f>
        <v/>
      </c>
      <c r="M580" s="71" t="str">
        <f>IF(OR(K580="",L580=""),"",IF(L580=0,"⚠ NO PARENT WIDTH",IF(K580&gt;L580,"⚠ BABY &gt; PARENT","✔ OK")))</f>
        <v/>
      </c>
      <c r="N580" s="71" t="str">
        <f>IF(D580="","",IF(COUNTIF(D$3:D580,D580)&gt;1,"⚠ DUPLICATE",""))</f>
        <v/>
      </c>
      <c r="O580" s="72" t="str">
        <f>IF(B580="","",SUMIF(B:B,B580,G:G)&amp;" / "&amp;IFERROR(VLOOKUP(B580,'Coil Sheet at Plant'!$C:$I,7,FALSE),"?")&amp;" mm")</f>
        <v/>
      </c>
    </row>
    <row r="581" spans="1:15">
      <c r="A581" s="36"/>
      <c r="B581" s="32"/>
      <c r="C581" s="39"/>
      <c r="D581" s="44" t="str">
        <f>IF(OR(B581="",C581=""),"",CONCATENATE(B581,"-",C581))</f>
        <v/>
      </c>
      <c r="E581" s="49" t="str">
        <f>IF(B581="","",IFERROR(VLOOKUP(B581,'Coil Sheet at Plant'!$C:$G,5,FALSE),"ID Not Found"))</f>
        <v/>
      </c>
      <c r="F581" s="50" t="str">
        <f>IF(B581="","",IFERROR(VLOOKUP(B581,'Coil Sheet at Plant'!$C:$H,6,FALSE),"ID Not Found"))</f>
        <v/>
      </c>
      <c r="G581" s="81">
        <v>728</v>
      </c>
      <c r="H581" s="89" t="str">
        <f>IF(OR(B581="",G581=""),"",IFERROR(VLOOKUP(B581,'Coil Sheet at Plant'!$C:$J,8,FALSE),0)*G581/SUMIF(B:B,B581,G:G))</f>
        <v/>
      </c>
      <c r="I581" s="56" t="str">
        <f>IF(B581="","",IFERROR(VLOOKUP(B581,'Coil Sheet at Plant'!$C:$L,9,FALSE),""))</f>
        <v/>
      </c>
      <c r="J581" s="85" t="str">
        <f>IF(B581="","",IFERROR(VLOOKUP(B581,'Coil Sheet at Plant'!$C:$M,10,FALSE),""))</f>
        <v/>
      </c>
      <c r="K581" s="69" t="str">
        <f>IF(B581="","",SUMIF(B:B,B581,G:G))</f>
        <v/>
      </c>
      <c r="L581" s="70" t="str">
        <f>IF(B581="","",IFERROR(VLOOKUP(B581,'Coil Sheet at Plant'!$C:$I,7,FALSE),""))</f>
        <v/>
      </c>
      <c r="M581" s="71" t="str">
        <f>IF(OR(K581="",L581=""),"",IF(L581=0,"⚠ NO PARENT WIDTH",IF(K581&gt;L581,"⚠ BABY &gt; PARENT","✔ OK")))</f>
        <v/>
      </c>
      <c r="N581" s="71" t="str">
        <f>IF(D581="","",IF(COUNTIF(D$3:D581,D581)&gt;1,"⚠ DUPLICATE",""))</f>
        <v/>
      </c>
      <c r="O581" s="72" t="str">
        <f>IF(B581="","",SUMIF(B:B,B581,G:G)&amp;" / "&amp;IFERROR(VLOOKUP(B581,'Coil Sheet at Plant'!$C:$I,7,FALSE),"?")&amp;" mm")</f>
        <v/>
      </c>
    </row>
    <row r="582" spans="1:15">
      <c r="A582" s="36"/>
      <c r="B582" s="32"/>
      <c r="C582" s="39"/>
      <c r="D582" s="44" t="str">
        <f>IF(OR(B582="",C582=""),"",CONCATENATE(B582,"-",C582))</f>
        <v/>
      </c>
      <c r="E582" s="49" t="str">
        <f>IF(B582="","",IFERROR(VLOOKUP(B582,'Coil Sheet at Plant'!$C:$G,5,FALSE),"ID Not Found"))</f>
        <v/>
      </c>
      <c r="F582" s="50" t="str">
        <f>IF(B582="","",IFERROR(VLOOKUP(B582,'Coil Sheet at Plant'!$C:$H,6,FALSE),"ID Not Found"))</f>
        <v/>
      </c>
      <c r="G582" s="81">
        <v>729</v>
      </c>
      <c r="H582" s="89" t="str">
        <f>IF(OR(B582="",G582=""),"",IFERROR(VLOOKUP(B582,'Coil Sheet at Plant'!$C:$J,8,FALSE),0)*G582/SUMIF(B:B,B582,G:G))</f>
        <v/>
      </c>
      <c r="I582" s="56" t="str">
        <f>IF(B582="","",IFERROR(VLOOKUP(B582,'Coil Sheet at Plant'!$C:$L,9,FALSE),""))</f>
        <v/>
      </c>
      <c r="J582" s="85" t="str">
        <f>IF(B582="","",IFERROR(VLOOKUP(B582,'Coil Sheet at Plant'!$C:$M,10,FALSE),""))</f>
        <v/>
      </c>
      <c r="K582" s="69" t="str">
        <f>IF(B582="","",SUMIF(B:B,B582,G:G))</f>
        <v/>
      </c>
      <c r="L582" s="70" t="str">
        <f>IF(B582="","",IFERROR(VLOOKUP(B582,'Coil Sheet at Plant'!$C:$I,7,FALSE),""))</f>
        <v/>
      </c>
      <c r="M582" s="71" t="str">
        <f>IF(OR(K582="",L582=""),"",IF(L582=0,"⚠ NO PARENT WIDTH",IF(K582&gt;L582,"⚠ BABY &gt; PARENT","✔ OK")))</f>
        <v/>
      </c>
      <c r="N582" s="71" t="str">
        <f>IF(D582="","",IF(COUNTIF(D$3:D582,D582)&gt;1,"⚠ DUPLICATE",""))</f>
        <v/>
      </c>
      <c r="O582" s="72" t="str">
        <f>IF(B582="","",SUMIF(B:B,B582,G:G)&amp;" / "&amp;IFERROR(VLOOKUP(B582,'Coil Sheet at Plant'!$C:$I,7,FALSE),"?")&amp;" mm")</f>
        <v/>
      </c>
    </row>
    <row r="583" spans="1:15">
      <c r="A583" s="36"/>
      <c r="B583" s="32"/>
      <c r="C583" s="39"/>
      <c r="D583" s="44" t="str">
        <f>IF(OR(B583="",C583=""),"",CONCATENATE(B583,"-",C583))</f>
        <v/>
      </c>
      <c r="E583" s="49" t="str">
        <f>IF(B583="","",IFERROR(VLOOKUP(B583,'Coil Sheet at Plant'!$C:$G,5,FALSE),"ID Not Found"))</f>
        <v/>
      </c>
      <c r="F583" s="50" t="str">
        <f>IF(B583="","",IFERROR(VLOOKUP(B583,'Coil Sheet at Plant'!$C:$H,6,FALSE),"ID Not Found"))</f>
        <v/>
      </c>
      <c r="G583" s="81">
        <v>730</v>
      </c>
      <c r="H583" s="89" t="str">
        <f>IF(OR(B583="",G583=""),"",IFERROR(VLOOKUP(B583,'Coil Sheet at Plant'!$C:$J,8,FALSE),0)*G583/SUMIF(B:B,B583,G:G))</f>
        <v/>
      </c>
      <c r="I583" s="56" t="str">
        <f>IF(B583="","",IFERROR(VLOOKUP(B583,'Coil Sheet at Plant'!$C:$L,9,FALSE),""))</f>
        <v/>
      </c>
      <c r="J583" s="85" t="str">
        <f>IF(B583="","",IFERROR(VLOOKUP(B583,'Coil Sheet at Plant'!$C:$M,10,FALSE),""))</f>
        <v/>
      </c>
      <c r="K583" s="69" t="str">
        <f>IF(B583="","",SUMIF(B:B,B583,G:G))</f>
        <v/>
      </c>
      <c r="L583" s="70" t="str">
        <f>IF(B583="","",IFERROR(VLOOKUP(B583,'Coil Sheet at Plant'!$C:$I,7,FALSE),""))</f>
        <v/>
      </c>
      <c r="M583" s="71" t="str">
        <f>IF(OR(K583="",L583=""),"",IF(L583=0,"⚠ NO PARENT WIDTH",IF(K583&gt;L583,"⚠ BABY &gt; PARENT","✔ OK")))</f>
        <v/>
      </c>
      <c r="N583" s="71" t="str">
        <f>IF(D583="","",IF(COUNTIF(D$3:D583,D583)&gt;1,"⚠ DUPLICATE",""))</f>
        <v/>
      </c>
      <c r="O583" s="72" t="str">
        <f>IF(B583="","",SUMIF(B:B,B583,G:G)&amp;" / "&amp;IFERROR(VLOOKUP(B583,'Coil Sheet at Plant'!$C:$I,7,FALSE),"?")&amp;" mm")</f>
        <v/>
      </c>
    </row>
    <row r="584" spans="1:15">
      <c r="A584" s="36"/>
      <c r="B584" s="32"/>
      <c r="C584" s="39"/>
      <c r="D584" s="44" t="str">
        <f>IF(OR(B584="",C584=""),"",CONCATENATE(B584,"-",C584))</f>
        <v/>
      </c>
      <c r="E584" s="49" t="str">
        <f>IF(B584="","",IFERROR(VLOOKUP(B584,'Coil Sheet at Plant'!$C:$G,5,FALSE),"ID Not Found"))</f>
        <v/>
      </c>
      <c r="F584" s="50" t="str">
        <f>IF(B584="","",IFERROR(VLOOKUP(B584,'Coil Sheet at Plant'!$C:$H,6,FALSE),"ID Not Found"))</f>
        <v/>
      </c>
      <c r="G584" s="81">
        <v>731</v>
      </c>
      <c r="H584" s="89" t="str">
        <f>IF(OR(B584="",G584=""),"",IFERROR(VLOOKUP(B584,'Coil Sheet at Plant'!$C:$J,8,FALSE),0)*G584/SUMIF(B:B,B584,G:G))</f>
        <v/>
      </c>
      <c r="I584" s="56" t="str">
        <f>IF(B584="","",IFERROR(VLOOKUP(B584,'Coil Sheet at Plant'!$C:$L,9,FALSE),""))</f>
        <v/>
      </c>
      <c r="J584" s="85" t="str">
        <f>IF(B584="","",IFERROR(VLOOKUP(B584,'Coil Sheet at Plant'!$C:$M,10,FALSE),""))</f>
        <v/>
      </c>
      <c r="K584" s="69" t="str">
        <f>IF(B584="","",SUMIF(B:B,B584,G:G))</f>
        <v/>
      </c>
      <c r="L584" s="70" t="str">
        <f>IF(B584="","",IFERROR(VLOOKUP(B584,'Coil Sheet at Plant'!$C:$I,7,FALSE),""))</f>
        <v/>
      </c>
      <c r="M584" s="71" t="str">
        <f>IF(OR(K584="",L584=""),"",IF(L584=0,"⚠ NO PARENT WIDTH",IF(K584&gt;L584,"⚠ BABY &gt; PARENT","✔ OK")))</f>
        <v/>
      </c>
      <c r="N584" s="71" t="str">
        <f>IF(D584="","",IF(COUNTIF(D$3:D584,D584)&gt;1,"⚠ DUPLICATE",""))</f>
        <v/>
      </c>
      <c r="O584" s="72" t="str">
        <f>IF(B584="","",SUMIF(B:B,B584,G:G)&amp;" / "&amp;IFERROR(VLOOKUP(B584,'Coil Sheet at Plant'!$C:$I,7,FALSE),"?")&amp;" mm")</f>
        <v/>
      </c>
    </row>
    <row r="585" spans="1:15">
      <c r="A585" s="36"/>
      <c r="B585" s="32"/>
      <c r="C585" s="39"/>
      <c r="D585" s="44" t="str">
        <f>IF(OR(B585="",C585=""),"",CONCATENATE(B585,"-",C585))</f>
        <v/>
      </c>
      <c r="E585" s="49" t="str">
        <f>IF(B585="","",IFERROR(VLOOKUP(B585,'Coil Sheet at Plant'!$C:$G,5,FALSE),"ID Not Found"))</f>
        <v/>
      </c>
      <c r="F585" s="50" t="str">
        <f>IF(B585="","",IFERROR(VLOOKUP(B585,'Coil Sheet at Plant'!$C:$H,6,FALSE),"ID Not Found"))</f>
        <v/>
      </c>
      <c r="G585" s="81">
        <v>732</v>
      </c>
      <c r="H585" s="89" t="str">
        <f>IF(OR(B585="",G585=""),"",IFERROR(VLOOKUP(B585,'Coil Sheet at Plant'!$C:$J,8,FALSE),0)*G585/SUMIF(B:B,B585,G:G))</f>
        <v/>
      </c>
      <c r="I585" s="56" t="str">
        <f>IF(B585="","",IFERROR(VLOOKUP(B585,'Coil Sheet at Plant'!$C:$L,9,FALSE),""))</f>
        <v/>
      </c>
      <c r="J585" s="85" t="str">
        <f>IF(B585="","",IFERROR(VLOOKUP(B585,'Coil Sheet at Plant'!$C:$M,10,FALSE),""))</f>
        <v/>
      </c>
      <c r="K585" s="69" t="str">
        <f>IF(B585="","",SUMIF(B:B,B585,G:G))</f>
        <v/>
      </c>
      <c r="L585" s="70" t="str">
        <f>IF(B585="","",IFERROR(VLOOKUP(B585,'Coil Sheet at Plant'!$C:$I,7,FALSE),""))</f>
        <v/>
      </c>
      <c r="M585" s="71" t="str">
        <f>IF(OR(K585="",L585=""),"",IF(L585=0,"⚠ NO PARENT WIDTH",IF(K585&gt;L585,"⚠ BABY &gt; PARENT","✔ OK")))</f>
        <v/>
      </c>
      <c r="N585" s="71" t="str">
        <f>IF(D585="","",IF(COUNTIF(D$3:D585,D585)&gt;1,"⚠ DUPLICATE",""))</f>
        <v/>
      </c>
      <c r="O585" s="72" t="str">
        <f>IF(B585="","",SUMIF(B:B,B585,G:G)&amp;" / "&amp;IFERROR(VLOOKUP(B585,'Coil Sheet at Plant'!$C:$I,7,FALSE),"?")&amp;" mm")</f>
        <v/>
      </c>
    </row>
    <row r="586" spans="1:15">
      <c r="A586" s="36"/>
      <c r="B586" s="32"/>
      <c r="C586" s="39"/>
      <c r="D586" s="44" t="str">
        <f>IF(OR(B586="",C586=""),"",CONCATENATE(B586,"-",C586))</f>
        <v/>
      </c>
      <c r="E586" s="49" t="str">
        <f>IF(B586="","",IFERROR(VLOOKUP(B586,'Coil Sheet at Plant'!$C:$G,5,FALSE),"ID Not Found"))</f>
        <v/>
      </c>
      <c r="F586" s="50" t="str">
        <f>IF(B586="","",IFERROR(VLOOKUP(B586,'Coil Sheet at Plant'!$C:$H,6,FALSE),"ID Not Found"))</f>
        <v/>
      </c>
      <c r="G586" s="81">
        <v>733</v>
      </c>
      <c r="H586" s="89" t="str">
        <f>IF(OR(B586="",G586=""),"",IFERROR(VLOOKUP(B586,'Coil Sheet at Plant'!$C:$J,8,FALSE),0)*G586/SUMIF(B:B,B586,G:G))</f>
        <v/>
      </c>
      <c r="I586" s="56" t="str">
        <f>IF(B586="","",IFERROR(VLOOKUP(B586,'Coil Sheet at Plant'!$C:$L,9,FALSE),""))</f>
        <v/>
      </c>
      <c r="J586" s="85" t="str">
        <f>IF(B586="","",IFERROR(VLOOKUP(B586,'Coil Sheet at Plant'!$C:$M,10,FALSE),""))</f>
        <v/>
      </c>
      <c r="K586" s="69" t="str">
        <f>IF(B586="","",SUMIF(B:B,B586,G:G))</f>
        <v/>
      </c>
      <c r="L586" s="70" t="str">
        <f>IF(B586="","",IFERROR(VLOOKUP(B586,'Coil Sheet at Plant'!$C:$I,7,FALSE),""))</f>
        <v/>
      </c>
      <c r="M586" s="71" t="str">
        <f>IF(OR(K586="",L586=""),"",IF(L586=0,"⚠ NO PARENT WIDTH",IF(K586&gt;L586,"⚠ BABY &gt; PARENT","✔ OK")))</f>
        <v/>
      </c>
      <c r="N586" s="71" t="str">
        <f>IF(D586="","",IF(COUNTIF(D$3:D586,D586)&gt;1,"⚠ DUPLICATE",""))</f>
        <v/>
      </c>
      <c r="O586" s="72" t="str">
        <f>IF(B586="","",SUMIF(B:B,B586,G:G)&amp;" / "&amp;IFERROR(VLOOKUP(B586,'Coil Sheet at Plant'!$C:$I,7,FALSE),"?")&amp;" mm")</f>
        <v/>
      </c>
    </row>
    <row r="587" spans="1:15">
      <c r="A587" s="36"/>
      <c r="B587" s="32"/>
      <c r="C587" s="39"/>
      <c r="D587" s="44" t="str">
        <f>IF(OR(B587="",C587=""),"",CONCATENATE(B587,"-",C587))</f>
        <v/>
      </c>
      <c r="E587" s="49" t="str">
        <f>IF(B587="","",IFERROR(VLOOKUP(B587,'Coil Sheet at Plant'!$C:$G,5,FALSE),"ID Not Found"))</f>
        <v/>
      </c>
      <c r="F587" s="50" t="str">
        <f>IF(B587="","",IFERROR(VLOOKUP(B587,'Coil Sheet at Plant'!$C:$H,6,FALSE),"ID Not Found"))</f>
        <v/>
      </c>
      <c r="G587" s="81">
        <v>734</v>
      </c>
      <c r="H587" s="89" t="str">
        <f>IF(OR(B587="",G587=""),"",IFERROR(VLOOKUP(B587,'Coil Sheet at Plant'!$C:$J,8,FALSE),0)*G587/SUMIF(B:B,B587,G:G))</f>
        <v/>
      </c>
      <c r="I587" s="56" t="str">
        <f>IF(B587="","",IFERROR(VLOOKUP(B587,'Coil Sheet at Plant'!$C:$L,9,FALSE),""))</f>
        <v/>
      </c>
      <c r="J587" s="85" t="str">
        <f>IF(B587="","",IFERROR(VLOOKUP(B587,'Coil Sheet at Plant'!$C:$M,10,FALSE),""))</f>
        <v/>
      </c>
      <c r="K587" s="69" t="str">
        <f>IF(B587="","",SUMIF(B:B,B587,G:G))</f>
        <v/>
      </c>
      <c r="L587" s="70" t="str">
        <f>IF(B587="","",IFERROR(VLOOKUP(B587,'Coil Sheet at Plant'!$C:$I,7,FALSE),""))</f>
        <v/>
      </c>
      <c r="M587" s="71" t="str">
        <f>IF(OR(K587="",L587=""),"",IF(L587=0,"⚠ NO PARENT WIDTH",IF(K587&gt;L587,"⚠ BABY &gt; PARENT","✔ OK")))</f>
        <v/>
      </c>
      <c r="N587" s="71" t="str">
        <f>IF(D587="","",IF(COUNTIF(D$3:D587,D587)&gt;1,"⚠ DUPLICATE",""))</f>
        <v/>
      </c>
      <c r="O587" s="72" t="str">
        <f>IF(B587="","",SUMIF(B:B,B587,G:G)&amp;" / "&amp;IFERROR(VLOOKUP(B587,'Coil Sheet at Plant'!$C:$I,7,FALSE),"?")&amp;" mm")</f>
        <v/>
      </c>
    </row>
    <row r="588" spans="1:15">
      <c r="A588" s="36"/>
      <c r="B588" s="32"/>
      <c r="C588" s="39"/>
      <c r="D588" s="44" t="str">
        <f>IF(OR(B588="",C588=""),"",CONCATENATE(B588,"-",C588))</f>
        <v/>
      </c>
      <c r="E588" s="49" t="str">
        <f>IF(B588="","",IFERROR(VLOOKUP(B588,'Coil Sheet at Plant'!$C:$G,5,FALSE),"ID Not Found"))</f>
        <v/>
      </c>
      <c r="F588" s="50" t="str">
        <f>IF(B588="","",IFERROR(VLOOKUP(B588,'Coil Sheet at Plant'!$C:$H,6,FALSE),"ID Not Found"))</f>
        <v/>
      </c>
      <c r="G588" s="81">
        <v>735</v>
      </c>
      <c r="H588" s="89" t="str">
        <f>IF(OR(B588="",G588=""),"",IFERROR(VLOOKUP(B588,'Coil Sheet at Plant'!$C:$J,8,FALSE),0)*G588/SUMIF(B:B,B588,G:G))</f>
        <v/>
      </c>
      <c r="I588" s="56" t="str">
        <f>IF(B588="","",IFERROR(VLOOKUP(B588,'Coil Sheet at Plant'!$C:$L,9,FALSE),""))</f>
        <v/>
      </c>
      <c r="J588" s="85" t="str">
        <f>IF(B588="","",IFERROR(VLOOKUP(B588,'Coil Sheet at Plant'!$C:$M,10,FALSE),""))</f>
        <v/>
      </c>
      <c r="K588" s="69" t="str">
        <f>IF(B588="","",SUMIF(B:B,B588,G:G))</f>
        <v/>
      </c>
      <c r="L588" s="70" t="str">
        <f>IF(B588="","",IFERROR(VLOOKUP(B588,'Coil Sheet at Plant'!$C:$I,7,FALSE),""))</f>
        <v/>
      </c>
      <c r="M588" s="71" t="str">
        <f>IF(OR(K588="",L588=""),"",IF(L588=0,"⚠ NO PARENT WIDTH",IF(K588&gt;L588,"⚠ BABY &gt; PARENT","✔ OK")))</f>
        <v/>
      </c>
      <c r="N588" s="71" t="str">
        <f>IF(D588="","",IF(COUNTIF(D$3:D588,D588)&gt;1,"⚠ DUPLICATE",""))</f>
        <v/>
      </c>
      <c r="O588" s="72" t="str">
        <f>IF(B588="","",SUMIF(B:B,B588,G:G)&amp;" / "&amp;IFERROR(VLOOKUP(B588,'Coil Sheet at Plant'!$C:$I,7,FALSE),"?")&amp;" mm")</f>
        <v/>
      </c>
    </row>
    <row r="589" spans="1:15">
      <c r="A589" s="36"/>
      <c r="B589" s="32"/>
      <c r="C589" s="39"/>
      <c r="D589" s="44" t="str">
        <f>IF(OR(B589="",C589=""),"",CONCATENATE(B589,"-",C589))</f>
        <v/>
      </c>
      <c r="E589" s="49" t="str">
        <f>IF(B589="","",IFERROR(VLOOKUP(B589,'Coil Sheet at Plant'!$C:$G,5,FALSE),"ID Not Found"))</f>
        <v/>
      </c>
      <c r="F589" s="50" t="str">
        <f>IF(B589="","",IFERROR(VLOOKUP(B589,'Coil Sheet at Plant'!$C:$H,6,FALSE),"ID Not Found"))</f>
        <v/>
      </c>
      <c r="G589" s="81">
        <v>736</v>
      </c>
      <c r="H589" s="89" t="str">
        <f>IF(OR(B589="",G589=""),"",IFERROR(VLOOKUP(B589,'Coil Sheet at Plant'!$C:$J,8,FALSE),0)*G589/SUMIF(B:B,B589,G:G))</f>
        <v/>
      </c>
      <c r="I589" s="56" t="str">
        <f>IF(B589="","",IFERROR(VLOOKUP(B589,'Coil Sheet at Plant'!$C:$L,9,FALSE),""))</f>
        <v/>
      </c>
      <c r="J589" s="85" t="str">
        <f>IF(B589="","",IFERROR(VLOOKUP(B589,'Coil Sheet at Plant'!$C:$M,10,FALSE),""))</f>
        <v/>
      </c>
      <c r="K589" s="69" t="str">
        <f>IF(B589="","",SUMIF(B:B,B589,G:G))</f>
        <v/>
      </c>
      <c r="L589" s="70" t="str">
        <f>IF(B589="","",IFERROR(VLOOKUP(B589,'Coil Sheet at Plant'!$C:$I,7,FALSE),""))</f>
        <v/>
      </c>
      <c r="M589" s="71" t="str">
        <f>IF(OR(K589="",L589=""),"",IF(L589=0,"⚠ NO PARENT WIDTH",IF(K589&gt;L589,"⚠ BABY &gt; PARENT","✔ OK")))</f>
        <v/>
      </c>
      <c r="N589" s="71" t="str">
        <f>IF(D589="","",IF(COUNTIF(D$3:D589,D589)&gt;1,"⚠ DUPLICATE",""))</f>
        <v/>
      </c>
      <c r="O589" s="72" t="str">
        <f>IF(B589="","",SUMIF(B:B,B589,G:G)&amp;" / "&amp;IFERROR(VLOOKUP(B589,'Coil Sheet at Plant'!$C:$I,7,FALSE),"?")&amp;" mm")</f>
        <v/>
      </c>
    </row>
    <row r="590" spans="1:15">
      <c r="A590" s="36"/>
      <c r="B590" s="32"/>
      <c r="C590" s="39"/>
      <c r="D590" s="44" t="str">
        <f>IF(OR(B590="",C590=""),"",CONCATENATE(B590,"-",C590))</f>
        <v/>
      </c>
      <c r="E590" s="49" t="str">
        <f>IF(B590="","",IFERROR(VLOOKUP(B590,'Coil Sheet at Plant'!$C:$G,5,FALSE),"ID Not Found"))</f>
        <v/>
      </c>
      <c r="F590" s="50" t="str">
        <f>IF(B590="","",IFERROR(VLOOKUP(B590,'Coil Sheet at Plant'!$C:$H,6,FALSE),"ID Not Found"))</f>
        <v/>
      </c>
      <c r="G590" s="81">
        <v>737</v>
      </c>
      <c r="H590" s="89" t="str">
        <f>IF(OR(B590="",G590=""),"",IFERROR(VLOOKUP(B590,'Coil Sheet at Plant'!$C:$J,8,FALSE),0)*G590/SUMIF(B:B,B590,G:G))</f>
        <v/>
      </c>
      <c r="I590" s="56" t="str">
        <f>IF(B590="","",IFERROR(VLOOKUP(B590,'Coil Sheet at Plant'!$C:$L,9,FALSE),""))</f>
        <v/>
      </c>
      <c r="J590" s="85" t="str">
        <f>IF(B590="","",IFERROR(VLOOKUP(B590,'Coil Sheet at Plant'!$C:$M,10,FALSE),""))</f>
        <v/>
      </c>
      <c r="K590" s="69" t="str">
        <f>IF(B590="","",SUMIF(B:B,B590,G:G))</f>
        <v/>
      </c>
      <c r="L590" s="70" t="str">
        <f>IF(B590="","",IFERROR(VLOOKUP(B590,'Coil Sheet at Plant'!$C:$I,7,FALSE),""))</f>
        <v/>
      </c>
      <c r="M590" s="71" t="str">
        <f>IF(OR(K590="",L590=""),"",IF(L590=0,"⚠ NO PARENT WIDTH",IF(K590&gt;L590,"⚠ BABY &gt; PARENT","✔ OK")))</f>
        <v/>
      </c>
      <c r="N590" s="71" t="str">
        <f>IF(D590="","",IF(COUNTIF(D$3:D590,D590)&gt;1,"⚠ DUPLICATE",""))</f>
        <v/>
      </c>
      <c r="O590" s="72" t="str">
        <f>IF(B590="","",SUMIF(B:B,B590,G:G)&amp;" / "&amp;IFERROR(VLOOKUP(B590,'Coil Sheet at Plant'!$C:$I,7,FALSE),"?")&amp;" mm")</f>
        <v/>
      </c>
    </row>
    <row r="591" spans="1:15">
      <c r="A591" s="36"/>
      <c r="B591" s="32"/>
      <c r="C591" s="39"/>
      <c r="D591" s="44" t="str">
        <f>IF(OR(B591="",C591=""),"",CONCATENATE(B591,"-",C591))</f>
        <v/>
      </c>
      <c r="E591" s="49" t="str">
        <f>IF(B591="","",IFERROR(VLOOKUP(B591,'Coil Sheet at Plant'!$C:$G,5,FALSE),"ID Not Found"))</f>
        <v/>
      </c>
      <c r="F591" s="50" t="str">
        <f>IF(B591="","",IFERROR(VLOOKUP(B591,'Coil Sheet at Plant'!$C:$H,6,FALSE),"ID Not Found"))</f>
        <v/>
      </c>
      <c r="G591" s="81">
        <v>738</v>
      </c>
      <c r="H591" s="89" t="str">
        <f>IF(OR(B591="",G591=""),"",IFERROR(VLOOKUP(B591,'Coil Sheet at Plant'!$C:$J,8,FALSE),0)*G591/SUMIF(B:B,B591,G:G))</f>
        <v/>
      </c>
      <c r="I591" s="56" t="str">
        <f>IF(B591="","",IFERROR(VLOOKUP(B591,'Coil Sheet at Plant'!$C:$L,9,FALSE),""))</f>
        <v/>
      </c>
      <c r="J591" s="85" t="str">
        <f>IF(B591="","",IFERROR(VLOOKUP(B591,'Coil Sheet at Plant'!$C:$M,10,FALSE),""))</f>
        <v/>
      </c>
      <c r="K591" s="69" t="str">
        <f>IF(B591="","",SUMIF(B:B,B591,G:G))</f>
        <v/>
      </c>
      <c r="L591" s="70" t="str">
        <f>IF(B591="","",IFERROR(VLOOKUP(B591,'Coil Sheet at Plant'!$C:$I,7,FALSE),""))</f>
        <v/>
      </c>
      <c r="M591" s="71" t="str">
        <f>IF(OR(K591="",L591=""),"",IF(L591=0,"⚠ NO PARENT WIDTH",IF(K591&gt;L591,"⚠ BABY &gt; PARENT","✔ OK")))</f>
        <v/>
      </c>
      <c r="N591" s="71" t="str">
        <f>IF(D591="","",IF(COUNTIF(D$3:D591,D591)&gt;1,"⚠ DUPLICATE",""))</f>
        <v/>
      </c>
      <c r="O591" s="72" t="str">
        <f>IF(B591="","",SUMIF(B:B,B591,G:G)&amp;" / "&amp;IFERROR(VLOOKUP(B591,'Coil Sheet at Plant'!$C:$I,7,FALSE),"?")&amp;" mm")</f>
        <v/>
      </c>
    </row>
    <row r="592" spans="1:15">
      <c r="A592" s="36"/>
      <c r="B592" s="32"/>
      <c r="C592" s="39"/>
      <c r="D592" s="44" t="str">
        <f>IF(OR(B592="",C592=""),"",CONCATENATE(B592,"-",C592))</f>
        <v/>
      </c>
      <c r="E592" s="49" t="str">
        <f>IF(B592="","",IFERROR(VLOOKUP(B592,'Coil Sheet at Plant'!$C:$G,5,FALSE),"ID Not Found"))</f>
        <v/>
      </c>
      <c r="F592" s="50" t="str">
        <f>IF(B592="","",IFERROR(VLOOKUP(B592,'Coil Sheet at Plant'!$C:$H,6,FALSE),"ID Not Found"))</f>
        <v/>
      </c>
      <c r="G592" s="81">
        <v>739</v>
      </c>
      <c r="H592" s="89" t="str">
        <f>IF(OR(B592="",G592=""),"",IFERROR(VLOOKUP(B592,'Coil Sheet at Plant'!$C:$J,8,FALSE),0)*G592/SUMIF(B:B,B592,G:G))</f>
        <v/>
      </c>
      <c r="I592" s="56" t="str">
        <f>IF(B592="","",IFERROR(VLOOKUP(B592,'Coil Sheet at Plant'!$C:$L,9,FALSE),""))</f>
        <v/>
      </c>
      <c r="J592" s="85" t="str">
        <f>IF(B592="","",IFERROR(VLOOKUP(B592,'Coil Sheet at Plant'!$C:$M,10,FALSE),""))</f>
        <v/>
      </c>
      <c r="K592" s="69" t="str">
        <f>IF(B592="","",SUMIF(B:B,B592,G:G))</f>
        <v/>
      </c>
      <c r="L592" s="70" t="str">
        <f>IF(B592="","",IFERROR(VLOOKUP(B592,'Coil Sheet at Plant'!$C:$I,7,FALSE),""))</f>
        <v/>
      </c>
      <c r="M592" s="71" t="str">
        <f>IF(OR(K592="",L592=""),"",IF(L592=0,"⚠ NO PARENT WIDTH",IF(K592&gt;L592,"⚠ BABY &gt; PARENT","✔ OK")))</f>
        <v/>
      </c>
      <c r="N592" s="71" t="str">
        <f>IF(D592="","",IF(COUNTIF(D$3:D592,D592)&gt;1,"⚠ DUPLICATE",""))</f>
        <v/>
      </c>
      <c r="O592" s="72" t="str">
        <f>IF(B592="","",SUMIF(B:B,B592,G:G)&amp;" / "&amp;IFERROR(VLOOKUP(B592,'Coil Sheet at Plant'!$C:$I,7,FALSE),"?")&amp;" mm")</f>
        <v/>
      </c>
    </row>
    <row r="593" spans="1:15">
      <c r="A593" s="36"/>
      <c r="B593" s="32"/>
      <c r="C593" s="39"/>
      <c r="D593" s="44" t="str">
        <f>IF(OR(B593="",C593=""),"",CONCATENATE(B593,"-",C593))</f>
        <v/>
      </c>
      <c r="E593" s="49" t="str">
        <f>IF(B593="","",IFERROR(VLOOKUP(B593,'Coil Sheet at Plant'!$C:$G,5,FALSE),"ID Not Found"))</f>
        <v/>
      </c>
      <c r="F593" s="50" t="str">
        <f>IF(B593="","",IFERROR(VLOOKUP(B593,'Coil Sheet at Plant'!$C:$H,6,FALSE),"ID Not Found"))</f>
        <v/>
      </c>
      <c r="G593" s="81">
        <v>740</v>
      </c>
      <c r="H593" s="89" t="str">
        <f>IF(OR(B593="",G593=""),"",IFERROR(VLOOKUP(B593,'Coil Sheet at Plant'!$C:$J,8,FALSE),0)*G593/SUMIF(B:B,B593,G:G))</f>
        <v/>
      </c>
      <c r="I593" s="56" t="str">
        <f>IF(B593="","",IFERROR(VLOOKUP(B593,'Coil Sheet at Plant'!$C:$L,9,FALSE),""))</f>
        <v/>
      </c>
      <c r="J593" s="85" t="str">
        <f>IF(B593="","",IFERROR(VLOOKUP(B593,'Coil Sheet at Plant'!$C:$M,10,FALSE),""))</f>
        <v/>
      </c>
      <c r="K593" s="69" t="str">
        <f>IF(B593="","",SUMIF(B:B,B593,G:G))</f>
        <v/>
      </c>
      <c r="L593" s="70" t="str">
        <f>IF(B593="","",IFERROR(VLOOKUP(B593,'Coil Sheet at Plant'!$C:$I,7,FALSE),""))</f>
        <v/>
      </c>
      <c r="M593" s="71" t="str">
        <f>IF(OR(K593="",L593=""),"",IF(L593=0,"⚠ NO PARENT WIDTH",IF(K593&gt;L593,"⚠ BABY &gt; PARENT","✔ OK")))</f>
        <v/>
      </c>
      <c r="N593" s="71" t="str">
        <f>IF(D593="","",IF(COUNTIF(D$3:D593,D593)&gt;1,"⚠ DUPLICATE",""))</f>
        <v/>
      </c>
      <c r="O593" s="72" t="str">
        <f>IF(B593="","",SUMIF(B:B,B593,G:G)&amp;" / "&amp;IFERROR(VLOOKUP(B593,'Coil Sheet at Plant'!$C:$I,7,FALSE),"?")&amp;" mm")</f>
        <v/>
      </c>
    </row>
    <row r="594" spans="1:15">
      <c r="A594" s="36"/>
      <c r="B594" s="32"/>
      <c r="C594" s="39"/>
      <c r="D594" s="44" t="str">
        <f>IF(OR(B594="",C594=""),"",CONCATENATE(B594,"-",C594))</f>
        <v/>
      </c>
      <c r="E594" s="49" t="str">
        <f>IF(B594="","",IFERROR(VLOOKUP(B594,'Coil Sheet at Plant'!$C:$G,5,FALSE),"ID Not Found"))</f>
        <v/>
      </c>
      <c r="F594" s="50" t="str">
        <f>IF(B594="","",IFERROR(VLOOKUP(B594,'Coil Sheet at Plant'!$C:$H,6,FALSE),"ID Not Found"))</f>
        <v/>
      </c>
      <c r="G594" s="81">
        <v>741</v>
      </c>
      <c r="H594" s="89" t="str">
        <f>IF(OR(B594="",G594=""),"",IFERROR(VLOOKUP(B594,'Coil Sheet at Plant'!$C:$J,8,FALSE),0)*G594/SUMIF(B:B,B594,G:G))</f>
        <v/>
      </c>
      <c r="I594" s="56" t="str">
        <f>IF(B594="","",IFERROR(VLOOKUP(B594,'Coil Sheet at Plant'!$C:$L,9,FALSE),""))</f>
        <v/>
      </c>
      <c r="J594" s="85" t="str">
        <f>IF(B594="","",IFERROR(VLOOKUP(B594,'Coil Sheet at Plant'!$C:$M,10,FALSE),""))</f>
        <v/>
      </c>
      <c r="K594" s="69" t="str">
        <f>IF(B594="","",SUMIF(B:B,B594,G:G))</f>
        <v/>
      </c>
      <c r="L594" s="70" t="str">
        <f>IF(B594="","",IFERROR(VLOOKUP(B594,'Coil Sheet at Plant'!$C:$I,7,FALSE),""))</f>
        <v/>
      </c>
      <c r="M594" s="71" t="str">
        <f>IF(OR(K594="",L594=""),"",IF(L594=0,"⚠ NO PARENT WIDTH",IF(K594&gt;L594,"⚠ BABY &gt; PARENT","✔ OK")))</f>
        <v/>
      </c>
      <c r="N594" s="71" t="str">
        <f>IF(D594="","",IF(COUNTIF(D$3:D594,D594)&gt;1,"⚠ DUPLICATE",""))</f>
        <v/>
      </c>
      <c r="O594" s="72" t="str">
        <f>IF(B594="","",SUMIF(B:B,B594,G:G)&amp;" / "&amp;IFERROR(VLOOKUP(B594,'Coil Sheet at Plant'!$C:$I,7,FALSE),"?")&amp;" mm")</f>
        <v/>
      </c>
    </row>
    <row r="595" spans="1:15">
      <c r="A595" s="36"/>
      <c r="B595" s="32"/>
      <c r="C595" s="39"/>
      <c r="D595" s="44" t="str">
        <f>IF(OR(B595="",C595=""),"",CONCATENATE(B595,"-",C595))</f>
        <v/>
      </c>
      <c r="E595" s="49" t="str">
        <f>IF(B595="","",IFERROR(VLOOKUP(B595,'Coil Sheet at Plant'!$C:$G,5,FALSE),"ID Not Found"))</f>
        <v/>
      </c>
      <c r="F595" s="50" t="str">
        <f>IF(B595="","",IFERROR(VLOOKUP(B595,'Coil Sheet at Plant'!$C:$H,6,FALSE),"ID Not Found"))</f>
        <v/>
      </c>
      <c r="G595" s="81">
        <v>742</v>
      </c>
      <c r="H595" s="89" t="str">
        <f>IF(OR(B595="",G595=""),"",IFERROR(VLOOKUP(B595,'Coil Sheet at Plant'!$C:$J,8,FALSE),0)*G595/SUMIF(B:B,B595,G:G))</f>
        <v/>
      </c>
      <c r="I595" s="56" t="str">
        <f>IF(B595="","",IFERROR(VLOOKUP(B595,'Coil Sheet at Plant'!$C:$L,9,FALSE),""))</f>
        <v/>
      </c>
      <c r="J595" s="85" t="str">
        <f>IF(B595="","",IFERROR(VLOOKUP(B595,'Coil Sheet at Plant'!$C:$M,10,FALSE),""))</f>
        <v/>
      </c>
      <c r="K595" s="69" t="str">
        <f>IF(B595="","",SUMIF(B:B,B595,G:G))</f>
        <v/>
      </c>
      <c r="L595" s="70" t="str">
        <f>IF(B595="","",IFERROR(VLOOKUP(B595,'Coil Sheet at Plant'!$C:$I,7,FALSE),""))</f>
        <v/>
      </c>
      <c r="M595" s="71" t="str">
        <f>IF(OR(K595="",L595=""),"",IF(L595=0,"⚠ NO PARENT WIDTH",IF(K595&gt;L595,"⚠ BABY &gt; PARENT","✔ OK")))</f>
        <v/>
      </c>
      <c r="N595" s="71" t="str">
        <f>IF(D595="","",IF(COUNTIF(D$3:D595,D595)&gt;1,"⚠ DUPLICATE",""))</f>
        <v/>
      </c>
      <c r="O595" s="72" t="str">
        <f>IF(B595="","",SUMIF(B:B,B595,G:G)&amp;" / "&amp;IFERROR(VLOOKUP(B595,'Coil Sheet at Plant'!$C:$I,7,FALSE),"?")&amp;" mm")</f>
        <v/>
      </c>
    </row>
    <row r="596" spans="1:15">
      <c r="A596" s="36"/>
      <c r="B596" s="32"/>
      <c r="C596" s="39"/>
      <c r="D596" s="44" t="str">
        <f>IF(OR(B596="",C596=""),"",CONCATENATE(B596,"-",C596))</f>
        <v/>
      </c>
      <c r="E596" s="49" t="str">
        <f>IF(B596="","",IFERROR(VLOOKUP(B596,'Coil Sheet at Plant'!$C:$G,5,FALSE),"ID Not Found"))</f>
        <v/>
      </c>
      <c r="F596" s="50" t="str">
        <f>IF(B596="","",IFERROR(VLOOKUP(B596,'Coil Sheet at Plant'!$C:$H,6,FALSE),"ID Not Found"))</f>
        <v/>
      </c>
      <c r="G596" s="81">
        <v>743</v>
      </c>
      <c r="H596" s="89" t="str">
        <f>IF(OR(B596="",G596=""),"",IFERROR(VLOOKUP(B596,'Coil Sheet at Plant'!$C:$J,8,FALSE),0)*G596/SUMIF(B:B,B596,G:G))</f>
        <v/>
      </c>
      <c r="I596" s="56" t="str">
        <f>IF(B596="","",IFERROR(VLOOKUP(B596,'Coil Sheet at Plant'!$C:$L,9,FALSE),""))</f>
        <v/>
      </c>
      <c r="J596" s="85" t="str">
        <f>IF(B596="","",IFERROR(VLOOKUP(B596,'Coil Sheet at Plant'!$C:$M,10,FALSE),""))</f>
        <v/>
      </c>
      <c r="K596" s="69" t="str">
        <f>IF(B596="","",SUMIF(B:B,B596,G:G))</f>
        <v/>
      </c>
      <c r="L596" s="70" t="str">
        <f>IF(B596="","",IFERROR(VLOOKUP(B596,'Coil Sheet at Plant'!$C:$I,7,FALSE),""))</f>
        <v/>
      </c>
      <c r="M596" s="71" t="str">
        <f>IF(OR(K596="",L596=""),"",IF(L596=0,"⚠ NO PARENT WIDTH",IF(K596&gt;L596,"⚠ BABY &gt; PARENT","✔ OK")))</f>
        <v/>
      </c>
      <c r="N596" s="71" t="str">
        <f>IF(D596="","",IF(COUNTIF(D$3:D596,D596)&gt;1,"⚠ DUPLICATE",""))</f>
        <v/>
      </c>
      <c r="O596" s="72" t="str">
        <f>IF(B596="","",SUMIF(B:B,B596,G:G)&amp;" / "&amp;IFERROR(VLOOKUP(B596,'Coil Sheet at Plant'!$C:$I,7,FALSE),"?")&amp;" mm")</f>
        <v/>
      </c>
    </row>
    <row r="597" spans="1:15">
      <c r="A597" s="36"/>
      <c r="B597" s="32"/>
      <c r="C597" s="39"/>
      <c r="D597" s="44" t="str">
        <f>IF(OR(B597="",C597=""),"",CONCATENATE(B597,"-",C597))</f>
        <v/>
      </c>
      <c r="E597" s="49" t="str">
        <f>IF(B597="","",IFERROR(VLOOKUP(B597,'Coil Sheet at Plant'!$C:$G,5,FALSE),"ID Not Found"))</f>
        <v/>
      </c>
      <c r="F597" s="50" t="str">
        <f>IF(B597="","",IFERROR(VLOOKUP(B597,'Coil Sheet at Plant'!$C:$H,6,FALSE),"ID Not Found"))</f>
        <v/>
      </c>
      <c r="G597" s="81">
        <v>744</v>
      </c>
      <c r="H597" s="89" t="str">
        <f>IF(OR(B597="",G597=""),"",IFERROR(VLOOKUP(B597,'Coil Sheet at Plant'!$C:$J,8,FALSE),0)*G597/SUMIF(B:B,B597,G:G))</f>
        <v/>
      </c>
      <c r="I597" s="56" t="str">
        <f>IF(B597="","",IFERROR(VLOOKUP(B597,'Coil Sheet at Plant'!$C:$L,9,FALSE),""))</f>
        <v/>
      </c>
      <c r="J597" s="85" t="str">
        <f>IF(B597="","",IFERROR(VLOOKUP(B597,'Coil Sheet at Plant'!$C:$M,10,FALSE),""))</f>
        <v/>
      </c>
      <c r="K597" s="69" t="str">
        <f>IF(B597="","",SUMIF(B:B,B597,G:G))</f>
        <v/>
      </c>
      <c r="L597" s="70" t="str">
        <f>IF(B597="","",IFERROR(VLOOKUP(B597,'Coil Sheet at Plant'!$C:$I,7,FALSE),""))</f>
        <v/>
      </c>
      <c r="M597" s="71" t="str">
        <f>IF(OR(K597="",L597=""),"",IF(L597=0,"⚠ NO PARENT WIDTH",IF(K597&gt;L597,"⚠ BABY &gt; PARENT","✔ OK")))</f>
        <v/>
      </c>
      <c r="N597" s="71" t="str">
        <f>IF(D597="","",IF(COUNTIF(D$3:D597,D597)&gt;1,"⚠ DUPLICATE",""))</f>
        <v/>
      </c>
      <c r="O597" s="72" t="str">
        <f>IF(B597="","",SUMIF(B:B,B597,G:G)&amp;" / "&amp;IFERROR(VLOOKUP(B597,'Coil Sheet at Plant'!$C:$I,7,FALSE),"?")&amp;" mm")</f>
        <v/>
      </c>
    </row>
    <row r="598" spans="1:15">
      <c r="A598" s="36"/>
      <c r="B598" s="32"/>
      <c r="C598" s="39"/>
      <c r="D598" s="44" t="str">
        <f>IF(OR(B598="",C598=""),"",CONCATENATE(B598,"-",C598))</f>
        <v/>
      </c>
      <c r="E598" s="49" t="str">
        <f>IF(B598="","",IFERROR(VLOOKUP(B598,'Coil Sheet at Plant'!$C:$G,5,FALSE),"ID Not Found"))</f>
        <v/>
      </c>
      <c r="F598" s="50" t="str">
        <f>IF(B598="","",IFERROR(VLOOKUP(B598,'Coil Sheet at Plant'!$C:$H,6,FALSE),"ID Not Found"))</f>
        <v/>
      </c>
      <c r="G598" s="81">
        <v>745</v>
      </c>
      <c r="H598" s="89" t="str">
        <f>IF(OR(B598="",G598=""),"",IFERROR(VLOOKUP(B598,'Coil Sheet at Plant'!$C:$J,8,FALSE),0)*G598/SUMIF(B:B,B598,G:G))</f>
        <v/>
      </c>
      <c r="I598" s="56" t="str">
        <f>IF(B598="","",IFERROR(VLOOKUP(B598,'Coil Sheet at Plant'!$C:$L,9,FALSE),""))</f>
        <v/>
      </c>
      <c r="J598" s="85" t="str">
        <f>IF(B598="","",IFERROR(VLOOKUP(B598,'Coil Sheet at Plant'!$C:$M,10,FALSE),""))</f>
        <v/>
      </c>
      <c r="K598" s="69" t="str">
        <f>IF(B598="","",SUMIF(B:B,B598,G:G))</f>
        <v/>
      </c>
      <c r="L598" s="70" t="str">
        <f>IF(B598="","",IFERROR(VLOOKUP(B598,'Coil Sheet at Plant'!$C:$I,7,FALSE),""))</f>
        <v/>
      </c>
      <c r="M598" s="71" t="str">
        <f>IF(OR(K598="",L598=""),"",IF(L598=0,"⚠ NO PARENT WIDTH",IF(K598&gt;L598,"⚠ BABY &gt; PARENT","✔ OK")))</f>
        <v/>
      </c>
      <c r="N598" s="71" t="str">
        <f>IF(D598="","",IF(COUNTIF(D$3:D598,D598)&gt;1,"⚠ DUPLICATE",""))</f>
        <v/>
      </c>
      <c r="O598" s="72" t="str">
        <f>IF(B598="","",SUMIF(B:B,B598,G:G)&amp;" / "&amp;IFERROR(VLOOKUP(B598,'Coil Sheet at Plant'!$C:$I,7,FALSE),"?")&amp;" mm")</f>
        <v/>
      </c>
    </row>
    <row r="599" spans="1:15">
      <c r="A599" s="36"/>
      <c r="B599" s="32"/>
      <c r="C599" s="39"/>
      <c r="D599" s="44" t="str">
        <f>IF(OR(B599="",C599=""),"",CONCATENATE(B599,"-",C599))</f>
        <v/>
      </c>
      <c r="E599" s="49" t="str">
        <f>IF(B599="","",IFERROR(VLOOKUP(B599,'Coil Sheet at Plant'!$C:$G,5,FALSE),"ID Not Found"))</f>
        <v/>
      </c>
      <c r="F599" s="50" t="str">
        <f>IF(B599="","",IFERROR(VLOOKUP(B599,'Coil Sheet at Plant'!$C:$H,6,FALSE),"ID Not Found"))</f>
        <v/>
      </c>
      <c r="G599" s="81">
        <v>746</v>
      </c>
      <c r="H599" s="89" t="str">
        <f>IF(OR(B599="",G599=""),"",IFERROR(VLOOKUP(B599,'Coil Sheet at Plant'!$C:$J,8,FALSE),0)*G599/SUMIF(B:B,B599,G:G))</f>
        <v/>
      </c>
      <c r="I599" s="56" t="str">
        <f>IF(B599="","",IFERROR(VLOOKUP(B599,'Coil Sheet at Plant'!$C:$L,9,FALSE),""))</f>
        <v/>
      </c>
      <c r="J599" s="85" t="str">
        <f>IF(B599="","",IFERROR(VLOOKUP(B599,'Coil Sheet at Plant'!$C:$M,10,FALSE),""))</f>
        <v/>
      </c>
      <c r="K599" s="69" t="str">
        <f>IF(B599="","",SUMIF(B:B,B599,G:G))</f>
        <v/>
      </c>
      <c r="L599" s="70" t="str">
        <f>IF(B599="","",IFERROR(VLOOKUP(B599,'Coil Sheet at Plant'!$C:$I,7,FALSE),""))</f>
        <v/>
      </c>
      <c r="M599" s="71" t="str">
        <f>IF(OR(K599="",L599=""),"",IF(L599=0,"⚠ NO PARENT WIDTH",IF(K599&gt;L599,"⚠ BABY &gt; PARENT","✔ OK")))</f>
        <v/>
      </c>
      <c r="N599" s="71" t="str">
        <f>IF(D599="","",IF(COUNTIF(D$3:D599,D599)&gt;1,"⚠ DUPLICATE",""))</f>
        <v/>
      </c>
      <c r="O599" s="72" t="str">
        <f>IF(B599="","",SUMIF(B:B,B599,G:G)&amp;" / "&amp;IFERROR(VLOOKUP(B599,'Coil Sheet at Plant'!$C:$I,7,FALSE),"?")&amp;" mm")</f>
        <v/>
      </c>
    </row>
    <row r="600" spans="1:15">
      <c r="A600" s="36"/>
      <c r="B600" s="32"/>
      <c r="C600" s="39"/>
      <c r="D600" s="44" t="str">
        <f>IF(OR(B600="",C600=""),"",CONCATENATE(B600,"-",C600))</f>
        <v/>
      </c>
      <c r="E600" s="49" t="str">
        <f>IF(B600="","",IFERROR(VLOOKUP(B600,'Coil Sheet at Plant'!$C:$G,5,FALSE),"ID Not Found"))</f>
        <v/>
      </c>
      <c r="F600" s="50" t="str">
        <f>IF(B600="","",IFERROR(VLOOKUP(B600,'Coil Sheet at Plant'!$C:$H,6,FALSE),"ID Not Found"))</f>
        <v/>
      </c>
      <c r="G600" s="81">
        <v>747</v>
      </c>
      <c r="H600" s="89" t="str">
        <f>IF(OR(B600="",G600=""),"",IFERROR(VLOOKUP(B600,'Coil Sheet at Plant'!$C:$J,8,FALSE),0)*G600/SUMIF(B:B,B600,G:G))</f>
        <v/>
      </c>
      <c r="I600" s="56" t="str">
        <f>IF(B600="","",IFERROR(VLOOKUP(B600,'Coil Sheet at Plant'!$C:$L,9,FALSE),""))</f>
        <v/>
      </c>
      <c r="J600" s="85" t="str">
        <f>IF(B600="","",IFERROR(VLOOKUP(B600,'Coil Sheet at Plant'!$C:$M,10,FALSE),""))</f>
        <v/>
      </c>
      <c r="K600" s="69" t="str">
        <f>IF(B600="","",SUMIF(B:B,B600,G:G))</f>
        <v/>
      </c>
      <c r="L600" s="70" t="str">
        <f>IF(B600="","",IFERROR(VLOOKUP(B600,'Coil Sheet at Plant'!$C:$I,7,FALSE),""))</f>
        <v/>
      </c>
      <c r="M600" s="71" t="str">
        <f>IF(OR(K600="",L600=""),"",IF(L600=0,"⚠ NO PARENT WIDTH",IF(K600&gt;L600,"⚠ BABY &gt; PARENT","✔ OK")))</f>
        <v/>
      </c>
      <c r="N600" s="71" t="str">
        <f>IF(D600="","",IF(COUNTIF(D$3:D600,D600)&gt;1,"⚠ DUPLICATE",""))</f>
        <v/>
      </c>
      <c r="O600" s="72" t="str">
        <f>IF(B600="","",SUMIF(B:B,B600,G:G)&amp;" / "&amp;IFERROR(VLOOKUP(B600,'Coil Sheet at Plant'!$C:$I,7,FALSE),"?")&amp;" mm")</f>
        <v/>
      </c>
    </row>
    <row r="601" spans="1:15">
      <c r="A601" s="36"/>
      <c r="B601" s="32"/>
      <c r="C601" s="39"/>
      <c r="D601" s="44" t="str">
        <f>IF(OR(B601="",C601=""),"",CONCATENATE(B601,"-",C601))</f>
        <v/>
      </c>
      <c r="E601" s="49" t="str">
        <f>IF(B601="","",IFERROR(VLOOKUP(B601,'Coil Sheet at Plant'!$C:$G,5,FALSE),"ID Not Found"))</f>
        <v/>
      </c>
      <c r="F601" s="50" t="str">
        <f>IF(B601="","",IFERROR(VLOOKUP(B601,'Coil Sheet at Plant'!$C:$H,6,FALSE),"ID Not Found"))</f>
        <v/>
      </c>
      <c r="G601" s="81">
        <v>748</v>
      </c>
      <c r="H601" s="89" t="str">
        <f>IF(OR(B601="",G601=""),"",IFERROR(VLOOKUP(B601,'Coil Sheet at Plant'!$C:$J,8,FALSE),0)*G601/SUMIF(B:B,B601,G:G))</f>
        <v/>
      </c>
      <c r="I601" s="56" t="str">
        <f>IF(B601="","",IFERROR(VLOOKUP(B601,'Coil Sheet at Plant'!$C:$L,9,FALSE),""))</f>
        <v/>
      </c>
      <c r="J601" s="85" t="str">
        <f>IF(B601="","",IFERROR(VLOOKUP(B601,'Coil Sheet at Plant'!$C:$M,10,FALSE),""))</f>
        <v/>
      </c>
      <c r="K601" s="69" t="str">
        <f>IF(B601="","",SUMIF(B:B,B601,G:G))</f>
        <v/>
      </c>
      <c r="L601" s="70" t="str">
        <f>IF(B601="","",IFERROR(VLOOKUP(B601,'Coil Sheet at Plant'!$C:$I,7,FALSE),""))</f>
        <v/>
      </c>
      <c r="M601" s="71" t="str">
        <f>IF(OR(K601="",L601=""),"",IF(L601=0,"⚠ NO PARENT WIDTH",IF(K601&gt;L601,"⚠ BABY &gt; PARENT","✔ OK")))</f>
        <v/>
      </c>
      <c r="N601" s="71" t="str">
        <f>IF(D601="","",IF(COUNTIF(D$3:D601,D601)&gt;1,"⚠ DUPLICATE",""))</f>
        <v/>
      </c>
      <c r="O601" s="72" t="str">
        <f>IF(B601="","",SUMIF(B:B,B601,G:G)&amp;" / "&amp;IFERROR(VLOOKUP(B601,'Coil Sheet at Plant'!$C:$I,7,FALSE),"?")&amp;" mm")</f>
        <v/>
      </c>
    </row>
    <row r="602" spans="1:15">
      <c r="A602" s="36"/>
      <c r="B602" s="32"/>
      <c r="C602" s="39"/>
      <c r="D602" s="44" t="str">
        <f>IF(OR(B602="",C602=""),"",CONCATENATE(B602,"-",C602))</f>
        <v/>
      </c>
      <c r="E602" s="49" t="str">
        <f>IF(B602="","",IFERROR(VLOOKUP(B602,'Coil Sheet at Plant'!$C:$G,5,FALSE),"ID Not Found"))</f>
        <v/>
      </c>
      <c r="F602" s="50" t="str">
        <f>IF(B602="","",IFERROR(VLOOKUP(B602,'Coil Sheet at Plant'!$C:$H,6,FALSE),"ID Not Found"))</f>
        <v/>
      </c>
      <c r="G602" s="81">
        <v>749</v>
      </c>
      <c r="H602" s="89" t="str">
        <f>IF(OR(B602="",G602=""),"",IFERROR(VLOOKUP(B602,'Coil Sheet at Plant'!$C:$J,8,FALSE),0)*G602/SUMIF(B:B,B602,G:G))</f>
        <v/>
      </c>
      <c r="I602" s="56" t="str">
        <f>IF(B602="","",IFERROR(VLOOKUP(B602,'Coil Sheet at Plant'!$C:$L,9,FALSE),""))</f>
        <v/>
      </c>
      <c r="J602" s="85" t="str">
        <f>IF(B602="","",IFERROR(VLOOKUP(B602,'Coil Sheet at Plant'!$C:$M,10,FALSE),""))</f>
        <v/>
      </c>
      <c r="K602" s="69" t="str">
        <f>IF(B602="","",SUMIF(B:B,B602,G:G))</f>
        <v/>
      </c>
      <c r="L602" s="70" t="str">
        <f>IF(B602="","",IFERROR(VLOOKUP(B602,'Coil Sheet at Plant'!$C:$I,7,FALSE),""))</f>
        <v/>
      </c>
      <c r="M602" s="71" t="str">
        <f>IF(OR(K602="",L602=""),"",IF(L602=0,"⚠ NO PARENT WIDTH",IF(K602&gt;L602,"⚠ BABY &gt; PARENT","✔ OK")))</f>
        <v/>
      </c>
      <c r="N602" s="71" t="str">
        <f>IF(D602="","",IF(COUNTIF(D$3:D602,D602)&gt;1,"⚠ DUPLICATE",""))</f>
        <v/>
      </c>
      <c r="O602" s="72" t="str">
        <f>IF(B602="","",SUMIF(B:B,B602,G:G)&amp;" / "&amp;IFERROR(VLOOKUP(B602,'Coil Sheet at Plant'!$C:$I,7,FALSE),"?")&amp;" mm")</f>
        <v/>
      </c>
    </row>
    <row r="603" spans="1:15">
      <c r="A603" s="36"/>
      <c r="B603" s="32"/>
      <c r="C603" s="39"/>
      <c r="D603" s="44" t="str">
        <f>IF(OR(B603="",C603=""),"",CONCATENATE(B603,"-",C603))</f>
        <v/>
      </c>
      <c r="E603" s="49" t="str">
        <f>IF(B603="","",IFERROR(VLOOKUP(B603,'Coil Sheet at Plant'!$C:$G,5,FALSE),"ID Not Found"))</f>
        <v/>
      </c>
      <c r="F603" s="50" t="str">
        <f>IF(B603="","",IFERROR(VLOOKUP(B603,'Coil Sheet at Plant'!$C:$H,6,FALSE),"ID Not Found"))</f>
        <v/>
      </c>
      <c r="G603" s="81">
        <v>750</v>
      </c>
      <c r="H603" s="89" t="str">
        <f>IF(OR(B603="",G603=""),"",IFERROR(VLOOKUP(B603,'Coil Sheet at Plant'!$C:$J,8,FALSE),0)*G603/SUMIF(B:B,B603,G:G))</f>
        <v/>
      </c>
      <c r="I603" s="56" t="str">
        <f>IF(B603="","",IFERROR(VLOOKUP(B603,'Coil Sheet at Plant'!$C:$L,9,FALSE),""))</f>
        <v/>
      </c>
      <c r="J603" s="85" t="str">
        <f>IF(B603="","",IFERROR(VLOOKUP(B603,'Coil Sheet at Plant'!$C:$M,10,FALSE),""))</f>
        <v/>
      </c>
      <c r="K603" s="69" t="str">
        <f>IF(B603="","",SUMIF(B:B,B603,G:G))</f>
        <v/>
      </c>
      <c r="L603" s="70" t="str">
        <f>IF(B603="","",IFERROR(VLOOKUP(B603,'Coil Sheet at Plant'!$C:$I,7,FALSE),""))</f>
        <v/>
      </c>
      <c r="M603" s="71" t="str">
        <f>IF(OR(K603="",L603=""),"",IF(L603=0,"⚠ NO PARENT WIDTH",IF(K603&gt;L603,"⚠ BABY &gt; PARENT","✔ OK")))</f>
        <v/>
      </c>
      <c r="N603" s="71" t="str">
        <f>IF(D603="","",IF(COUNTIF(D$3:D603,D603)&gt;1,"⚠ DUPLICATE",""))</f>
        <v/>
      </c>
      <c r="O603" s="72" t="str">
        <f>IF(B603="","",SUMIF(B:B,B603,G:G)&amp;" / "&amp;IFERROR(VLOOKUP(B603,'Coil Sheet at Plant'!$C:$I,7,FALSE),"?")&amp;" mm")</f>
        <v/>
      </c>
    </row>
    <row r="604" spans="1:15">
      <c r="A604" s="36"/>
      <c r="B604" s="32"/>
      <c r="C604" s="39"/>
      <c r="D604" s="44" t="str">
        <f>IF(OR(B604="",C604=""),"",CONCATENATE(B604,"-",C604))</f>
        <v/>
      </c>
      <c r="E604" s="49" t="str">
        <f>IF(B604="","",IFERROR(VLOOKUP(B604,'Coil Sheet at Plant'!$C:$G,5,FALSE),"ID Not Found"))</f>
        <v/>
      </c>
      <c r="F604" s="50" t="str">
        <f>IF(B604="","",IFERROR(VLOOKUP(B604,'Coil Sheet at Plant'!$C:$H,6,FALSE),"ID Not Found"))</f>
        <v/>
      </c>
      <c r="G604" s="81">
        <v>751</v>
      </c>
      <c r="H604" s="89" t="str">
        <f>IF(OR(B604="",G604=""),"",IFERROR(VLOOKUP(B604,'Coil Sheet at Plant'!$C:$J,8,FALSE),0)*G604/SUMIF(B:B,B604,G:G))</f>
        <v/>
      </c>
      <c r="I604" s="56" t="str">
        <f>IF(B604="","",IFERROR(VLOOKUP(B604,'Coil Sheet at Plant'!$C:$L,9,FALSE),""))</f>
        <v/>
      </c>
      <c r="J604" s="85" t="str">
        <f>IF(B604="","",IFERROR(VLOOKUP(B604,'Coil Sheet at Plant'!$C:$M,10,FALSE),""))</f>
        <v/>
      </c>
      <c r="K604" s="69" t="str">
        <f>IF(B604="","",SUMIF(B:B,B604,G:G))</f>
        <v/>
      </c>
      <c r="L604" s="70" t="str">
        <f>IF(B604="","",IFERROR(VLOOKUP(B604,'Coil Sheet at Plant'!$C:$I,7,FALSE),""))</f>
        <v/>
      </c>
      <c r="M604" s="71" t="str">
        <f>IF(OR(K604="",L604=""),"",IF(L604=0,"⚠ NO PARENT WIDTH",IF(K604&gt;L604,"⚠ BABY &gt; PARENT","✔ OK")))</f>
        <v/>
      </c>
      <c r="N604" s="71" t="str">
        <f>IF(D604="","",IF(COUNTIF(D$3:D604,D604)&gt;1,"⚠ DUPLICATE",""))</f>
        <v/>
      </c>
      <c r="O604" s="72" t="str">
        <f>IF(B604="","",SUMIF(B:B,B604,G:G)&amp;" / "&amp;IFERROR(VLOOKUP(B604,'Coil Sheet at Plant'!$C:$I,7,FALSE),"?")&amp;" mm")</f>
        <v/>
      </c>
    </row>
    <row r="605" spans="1:15">
      <c r="A605" s="36"/>
      <c r="B605" s="32"/>
      <c r="C605" s="39"/>
      <c r="D605" s="44" t="str">
        <f>IF(OR(B605="",C605=""),"",CONCATENATE(B605,"-",C605))</f>
        <v/>
      </c>
      <c r="E605" s="49" t="str">
        <f>IF(B605="","",IFERROR(VLOOKUP(B605,'Coil Sheet at Plant'!$C:$G,5,FALSE),"ID Not Found"))</f>
        <v/>
      </c>
      <c r="F605" s="50" t="str">
        <f>IF(B605="","",IFERROR(VLOOKUP(B605,'Coil Sheet at Plant'!$C:$H,6,FALSE),"ID Not Found"))</f>
        <v/>
      </c>
      <c r="G605" s="81">
        <v>752</v>
      </c>
      <c r="H605" s="89" t="str">
        <f>IF(OR(B605="",G605=""),"",IFERROR(VLOOKUP(B605,'Coil Sheet at Plant'!$C:$J,8,FALSE),0)*G605/SUMIF(B:B,B605,G:G))</f>
        <v/>
      </c>
      <c r="I605" s="56" t="str">
        <f>IF(B605="","",IFERROR(VLOOKUP(B605,'Coil Sheet at Plant'!$C:$L,9,FALSE),""))</f>
        <v/>
      </c>
      <c r="J605" s="85" t="str">
        <f>IF(B605="","",IFERROR(VLOOKUP(B605,'Coil Sheet at Plant'!$C:$M,10,FALSE),""))</f>
        <v/>
      </c>
      <c r="K605" s="69" t="str">
        <f>IF(B605="","",SUMIF(B:B,B605,G:G))</f>
        <v/>
      </c>
      <c r="L605" s="70" t="str">
        <f>IF(B605="","",IFERROR(VLOOKUP(B605,'Coil Sheet at Plant'!$C:$I,7,FALSE),""))</f>
        <v/>
      </c>
      <c r="M605" s="71" t="str">
        <f>IF(OR(K605="",L605=""),"",IF(L605=0,"⚠ NO PARENT WIDTH",IF(K605&gt;L605,"⚠ BABY &gt; PARENT","✔ OK")))</f>
        <v/>
      </c>
      <c r="N605" s="71" t="str">
        <f>IF(D605="","",IF(COUNTIF(D$3:D605,D605)&gt;1,"⚠ DUPLICATE",""))</f>
        <v/>
      </c>
      <c r="O605" s="72" t="str">
        <f>IF(B605="","",SUMIF(B:B,B605,G:G)&amp;" / "&amp;IFERROR(VLOOKUP(B605,'Coil Sheet at Plant'!$C:$I,7,FALSE),"?")&amp;" mm")</f>
        <v/>
      </c>
    </row>
    <row r="606" spans="1:15">
      <c r="A606" s="36"/>
      <c r="B606" s="32"/>
      <c r="C606" s="39"/>
      <c r="D606" s="44" t="str">
        <f>IF(OR(B606="",C606=""),"",CONCATENATE(B606,"-",C606))</f>
        <v/>
      </c>
      <c r="E606" s="49" t="str">
        <f>IF(B606="","",IFERROR(VLOOKUP(B606,'Coil Sheet at Plant'!$C:$G,5,FALSE),"ID Not Found"))</f>
        <v/>
      </c>
      <c r="F606" s="50" t="str">
        <f>IF(B606="","",IFERROR(VLOOKUP(B606,'Coil Sheet at Plant'!$C:$H,6,FALSE),"ID Not Found"))</f>
        <v/>
      </c>
      <c r="G606" s="81">
        <v>753</v>
      </c>
      <c r="H606" s="89" t="str">
        <f>IF(OR(B606="",G606=""),"",IFERROR(VLOOKUP(B606,'Coil Sheet at Plant'!$C:$J,8,FALSE),0)*G606/SUMIF(B:B,B606,G:G))</f>
        <v/>
      </c>
      <c r="I606" s="56" t="str">
        <f>IF(B606="","",IFERROR(VLOOKUP(B606,'Coil Sheet at Plant'!$C:$L,9,FALSE),""))</f>
        <v/>
      </c>
      <c r="J606" s="85" t="str">
        <f>IF(B606="","",IFERROR(VLOOKUP(B606,'Coil Sheet at Plant'!$C:$M,10,FALSE),""))</f>
        <v/>
      </c>
      <c r="K606" s="69" t="str">
        <f>IF(B606="","",SUMIF(B:B,B606,G:G))</f>
        <v/>
      </c>
      <c r="L606" s="70" t="str">
        <f>IF(B606="","",IFERROR(VLOOKUP(B606,'Coil Sheet at Plant'!$C:$I,7,FALSE),""))</f>
        <v/>
      </c>
      <c r="M606" s="71" t="str">
        <f>IF(OR(K606="",L606=""),"",IF(L606=0,"⚠ NO PARENT WIDTH",IF(K606&gt;L606,"⚠ BABY &gt; PARENT","✔ OK")))</f>
        <v/>
      </c>
      <c r="N606" s="71" t="str">
        <f>IF(D606="","",IF(COUNTIF(D$3:D606,D606)&gt;1,"⚠ DUPLICATE",""))</f>
        <v/>
      </c>
      <c r="O606" s="72" t="str">
        <f>IF(B606="","",SUMIF(B:B,B606,G:G)&amp;" / "&amp;IFERROR(VLOOKUP(B606,'Coil Sheet at Plant'!$C:$I,7,FALSE),"?")&amp;" mm")</f>
        <v/>
      </c>
    </row>
    <row r="607" spans="1:15">
      <c r="A607" s="36"/>
      <c r="B607" s="32"/>
      <c r="C607" s="39"/>
      <c r="D607" s="44" t="str">
        <f>IF(OR(B607="",C607=""),"",CONCATENATE(B607,"-",C607))</f>
        <v/>
      </c>
      <c r="E607" s="49" t="str">
        <f>IF(B607="","",IFERROR(VLOOKUP(B607,'Coil Sheet at Plant'!$C:$G,5,FALSE),"ID Not Found"))</f>
        <v/>
      </c>
      <c r="F607" s="50" t="str">
        <f>IF(B607="","",IFERROR(VLOOKUP(B607,'Coil Sheet at Plant'!$C:$H,6,FALSE),"ID Not Found"))</f>
        <v/>
      </c>
      <c r="G607" s="81">
        <v>754</v>
      </c>
      <c r="H607" s="89" t="str">
        <f>IF(OR(B607="",G607=""),"",IFERROR(VLOOKUP(B607,'Coil Sheet at Plant'!$C:$J,8,FALSE),0)*G607/SUMIF(B:B,B607,G:G))</f>
        <v/>
      </c>
      <c r="I607" s="56" t="str">
        <f>IF(B607="","",IFERROR(VLOOKUP(B607,'Coil Sheet at Plant'!$C:$L,9,FALSE),""))</f>
        <v/>
      </c>
      <c r="J607" s="85" t="str">
        <f>IF(B607="","",IFERROR(VLOOKUP(B607,'Coil Sheet at Plant'!$C:$M,10,FALSE),""))</f>
        <v/>
      </c>
      <c r="K607" s="69" t="str">
        <f>IF(B607="","",SUMIF(B:B,B607,G:G))</f>
        <v/>
      </c>
      <c r="L607" s="70" t="str">
        <f>IF(B607="","",IFERROR(VLOOKUP(B607,'Coil Sheet at Plant'!$C:$I,7,FALSE),""))</f>
        <v/>
      </c>
      <c r="M607" s="71" t="str">
        <f>IF(OR(K607="",L607=""),"",IF(L607=0,"⚠ NO PARENT WIDTH",IF(K607&gt;L607,"⚠ BABY &gt; PARENT","✔ OK")))</f>
        <v/>
      </c>
      <c r="N607" s="71" t="str">
        <f>IF(D607="","",IF(COUNTIF(D$3:D607,D607)&gt;1,"⚠ DUPLICATE",""))</f>
        <v/>
      </c>
      <c r="O607" s="72" t="str">
        <f>IF(B607="","",SUMIF(B:B,B607,G:G)&amp;" / "&amp;IFERROR(VLOOKUP(B607,'Coil Sheet at Plant'!$C:$I,7,FALSE),"?")&amp;" mm")</f>
        <v/>
      </c>
    </row>
    <row r="608" spans="1:15">
      <c r="A608" s="36"/>
      <c r="B608" s="32"/>
      <c r="C608" s="39"/>
      <c r="D608" s="44" t="str">
        <f>IF(OR(B608="",C608=""),"",CONCATENATE(B608,"-",C608))</f>
        <v/>
      </c>
      <c r="E608" s="49" t="str">
        <f>IF(B608="","",IFERROR(VLOOKUP(B608,'Coil Sheet at Plant'!$C:$G,5,FALSE),"ID Not Found"))</f>
        <v/>
      </c>
      <c r="F608" s="50" t="str">
        <f>IF(B608="","",IFERROR(VLOOKUP(B608,'Coil Sheet at Plant'!$C:$H,6,FALSE),"ID Not Found"))</f>
        <v/>
      </c>
      <c r="G608" s="81">
        <v>755</v>
      </c>
      <c r="H608" s="89" t="str">
        <f>IF(OR(B608="",G608=""),"",IFERROR(VLOOKUP(B608,'Coil Sheet at Plant'!$C:$J,8,FALSE),0)*G608/SUMIF(B:B,B608,G:G))</f>
        <v/>
      </c>
      <c r="I608" s="56" t="str">
        <f>IF(B608="","",IFERROR(VLOOKUP(B608,'Coil Sheet at Plant'!$C:$L,9,FALSE),""))</f>
        <v/>
      </c>
      <c r="J608" s="85" t="str">
        <f>IF(B608="","",IFERROR(VLOOKUP(B608,'Coil Sheet at Plant'!$C:$M,10,FALSE),""))</f>
        <v/>
      </c>
      <c r="K608" s="69" t="str">
        <f>IF(B608="","",SUMIF(B:B,B608,G:G))</f>
        <v/>
      </c>
      <c r="L608" s="70" t="str">
        <f>IF(B608="","",IFERROR(VLOOKUP(B608,'Coil Sheet at Plant'!$C:$I,7,FALSE),""))</f>
        <v/>
      </c>
      <c r="M608" s="71" t="str">
        <f>IF(OR(K608="",L608=""),"",IF(L608=0,"⚠ NO PARENT WIDTH",IF(K608&gt;L608,"⚠ BABY &gt; PARENT","✔ OK")))</f>
        <v/>
      </c>
      <c r="N608" s="71" t="str">
        <f>IF(D608="","",IF(COUNTIF(D$3:D608,D608)&gt;1,"⚠ DUPLICATE",""))</f>
        <v/>
      </c>
      <c r="O608" s="72" t="str">
        <f>IF(B608="","",SUMIF(B:B,B608,G:G)&amp;" / "&amp;IFERROR(VLOOKUP(B608,'Coil Sheet at Plant'!$C:$I,7,FALSE),"?")&amp;" mm")</f>
        <v/>
      </c>
    </row>
    <row r="609" spans="1:15">
      <c r="A609" s="36"/>
      <c r="B609" s="32"/>
      <c r="C609" s="39"/>
      <c r="D609" s="44" t="str">
        <f>IF(OR(B609="",C609=""),"",CONCATENATE(B609,"-",C609))</f>
        <v/>
      </c>
      <c r="E609" s="49" t="str">
        <f>IF(B609="","",IFERROR(VLOOKUP(B609,'Coil Sheet at Plant'!$C:$G,5,FALSE),"ID Not Found"))</f>
        <v/>
      </c>
      <c r="F609" s="50" t="str">
        <f>IF(B609="","",IFERROR(VLOOKUP(B609,'Coil Sheet at Plant'!$C:$H,6,FALSE),"ID Not Found"))</f>
        <v/>
      </c>
      <c r="G609" s="81">
        <v>756</v>
      </c>
      <c r="H609" s="89" t="str">
        <f>IF(OR(B609="",G609=""),"",IFERROR(VLOOKUP(B609,'Coil Sheet at Plant'!$C:$J,8,FALSE),0)*G609/SUMIF(B:B,B609,G:G))</f>
        <v/>
      </c>
      <c r="I609" s="56" t="str">
        <f>IF(B609="","",IFERROR(VLOOKUP(B609,'Coil Sheet at Plant'!$C:$L,9,FALSE),""))</f>
        <v/>
      </c>
      <c r="J609" s="85" t="str">
        <f>IF(B609="","",IFERROR(VLOOKUP(B609,'Coil Sheet at Plant'!$C:$M,10,FALSE),""))</f>
        <v/>
      </c>
      <c r="K609" s="69" t="str">
        <f>IF(B609="","",SUMIF(B:B,B609,G:G))</f>
        <v/>
      </c>
      <c r="L609" s="70" t="str">
        <f>IF(B609="","",IFERROR(VLOOKUP(B609,'Coil Sheet at Plant'!$C:$I,7,FALSE),""))</f>
        <v/>
      </c>
      <c r="M609" s="71" t="str">
        <f>IF(OR(K609="",L609=""),"",IF(L609=0,"⚠ NO PARENT WIDTH",IF(K609&gt;L609,"⚠ BABY &gt; PARENT","✔ OK")))</f>
        <v/>
      </c>
      <c r="N609" s="71" t="str">
        <f>IF(D609="","",IF(COUNTIF(D$3:D609,D609)&gt;1,"⚠ DUPLICATE",""))</f>
        <v/>
      </c>
      <c r="O609" s="72" t="str">
        <f>IF(B609="","",SUMIF(B:B,B609,G:G)&amp;" / "&amp;IFERROR(VLOOKUP(B609,'Coil Sheet at Plant'!$C:$I,7,FALSE),"?")&amp;" mm")</f>
        <v/>
      </c>
    </row>
    <row r="610" spans="1:15">
      <c r="A610" s="36"/>
      <c r="B610" s="32"/>
      <c r="C610" s="39"/>
      <c r="D610" s="44" t="str">
        <f>IF(OR(B610="",C610=""),"",CONCATENATE(B610,"-",C610))</f>
        <v/>
      </c>
      <c r="E610" s="49" t="str">
        <f>IF(B610="","",IFERROR(VLOOKUP(B610,'Coil Sheet at Plant'!$C:$G,5,FALSE),"ID Not Found"))</f>
        <v/>
      </c>
      <c r="F610" s="50" t="str">
        <f>IF(B610="","",IFERROR(VLOOKUP(B610,'Coil Sheet at Plant'!$C:$H,6,FALSE),"ID Not Found"))</f>
        <v/>
      </c>
      <c r="G610" s="81">
        <v>757</v>
      </c>
      <c r="H610" s="89" t="str">
        <f>IF(OR(B610="",G610=""),"",IFERROR(VLOOKUP(B610,'Coil Sheet at Plant'!$C:$J,8,FALSE),0)*G610/SUMIF(B:B,B610,G:G))</f>
        <v/>
      </c>
      <c r="I610" s="56" t="str">
        <f>IF(B610="","",IFERROR(VLOOKUP(B610,'Coil Sheet at Plant'!$C:$L,9,FALSE),""))</f>
        <v/>
      </c>
      <c r="J610" s="85" t="str">
        <f>IF(B610="","",IFERROR(VLOOKUP(B610,'Coil Sheet at Plant'!$C:$M,10,FALSE),""))</f>
        <v/>
      </c>
      <c r="K610" s="69" t="str">
        <f>IF(B610="","",SUMIF(B:B,B610,G:G))</f>
        <v/>
      </c>
      <c r="L610" s="70" t="str">
        <f>IF(B610="","",IFERROR(VLOOKUP(B610,'Coil Sheet at Plant'!$C:$I,7,FALSE),""))</f>
        <v/>
      </c>
      <c r="M610" s="71" t="str">
        <f>IF(OR(K610="",L610=""),"",IF(L610=0,"⚠ NO PARENT WIDTH",IF(K610&gt;L610,"⚠ BABY &gt; PARENT","✔ OK")))</f>
        <v/>
      </c>
      <c r="N610" s="71" t="str">
        <f>IF(D610="","",IF(COUNTIF(D$3:D610,D610)&gt;1,"⚠ DUPLICATE",""))</f>
        <v/>
      </c>
      <c r="O610" s="72" t="str">
        <f>IF(B610="","",SUMIF(B:B,B610,G:G)&amp;" / "&amp;IFERROR(VLOOKUP(B610,'Coil Sheet at Plant'!$C:$I,7,FALSE),"?")&amp;" mm")</f>
        <v/>
      </c>
    </row>
    <row r="611" spans="1:15">
      <c r="A611" s="36"/>
      <c r="B611" s="32"/>
      <c r="C611" s="39"/>
      <c r="D611" s="44" t="str">
        <f>IF(OR(B611="",C611=""),"",CONCATENATE(B611,"-",C611))</f>
        <v/>
      </c>
      <c r="E611" s="49" t="str">
        <f>IF(B611="","",IFERROR(VLOOKUP(B611,'Coil Sheet at Plant'!$C:$G,5,FALSE),"ID Not Found"))</f>
        <v/>
      </c>
      <c r="F611" s="50" t="str">
        <f>IF(B611="","",IFERROR(VLOOKUP(B611,'Coil Sheet at Plant'!$C:$H,6,FALSE),"ID Not Found"))</f>
        <v/>
      </c>
      <c r="G611" s="81">
        <v>758</v>
      </c>
      <c r="H611" s="89" t="str">
        <f>IF(OR(B611="",G611=""),"",IFERROR(VLOOKUP(B611,'Coil Sheet at Plant'!$C:$J,8,FALSE),0)*G611/SUMIF(B:B,B611,G:G))</f>
        <v/>
      </c>
      <c r="I611" s="56" t="str">
        <f>IF(B611="","",IFERROR(VLOOKUP(B611,'Coil Sheet at Plant'!$C:$L,9,FALSE),""))</f>
        <v/>
      </c>
      <c r="J611" s="85" t="str">
        <f>IF(B611="","",IFERROR(VLOOKUP(B611,'Coil Sheet at Plant'!$C:$M,10,FALSE),""))</f>
        <v/>
      </c>
      <c r="K611" s="69" t="str">
        <f>IF(B611="","",SUMIF(B:B,B611,G:G))</f>
        <v/>
      </c>
      <c r="L611" s="70" t="str">
        <f>IF(B611="","",IFERROR(VLOOKUP(B611,'Coil Sheet at Plant'!$C:$I,7,FALSE),""))</f>
        <v/>
      </c>
      <c r="M611" s="71" t="str">
        <f>IF(OR(K611="",L611=""),"",IF(L611=0,"⚠ NO PARENT WIDTH",IF(K611&gt;L611,"⚠ BABY &gt; PARENT","✔ OK")))</f>
        <v/>
      </c>
      <c r="N611" s="71" t="str">
        <f>IF(D611="","",IF(COUNTIF(D$3:D611,D611)&gt;1,"⚠ DUPLICATE",""))</f>
        <v/>
      </c>
      <c r="O611" s="72" t="str">
        <f>IF(B611="","",SUMIF(B:B,B611,G:G)&amp;" / "&amp;IFERROR(VLOOKUP(B611,'Coil Sheet at Plant'!$C:$I,7,FALSE),"?")&amp;" mm")</f>
        <v/>
      </c>
    </row>
    <row r="612" spans="1:15">
      <c r="A612" s="36"/>
      <c r="B612" s="32"/>
      <c r="C612" s="39"/>
      <c r="D612" s="44" t="str">
        <f>IF(OR(B612="",C612=""),"",CONCATENATE(B612,"-",C612))</f>
        <v/>
      </c>
      <c r="E612" s="49" t="str">
        <f>IF(B612="","",IFERROR(VLOOKUP(B612,'Coil Sheet at Plant'!$C:$G,5,FALSE),"ID Not Found"))</f>
        <v/>
      </c>
      <c r="F612" s="50" t="str">
        <f>IF(B612="","",IFERROR(VLOOKUP(B612,'Coil Sheet at Plant'!$C:$H,6,FALSE),"ID Not Found"))</f>
        <v/>
      </c>
      <c r="G612" s="81">
        <v>759</v>
      </c>
      <c r="H612" s="89" t="str">
        <f>IF(OR(B612="",G612=""),"",IFERROR(VLOOKUP(B612,'Coil Sheet at Plant'!$C:$J,8,FALSE),0)*G612/SUMIF(B:B,B612,G:G))</f>
        <v/>
      </c>
      <c r="I612" s="56" t="str">
        <f>IF(B612="","",IFERROR(VLOOKUP(B612,'Coil Sheet at Plant'!$C:$L,9,FALSE),""))</f>
        <v/>
      </c>
      <c r="J612" s="85" t="str">
        <f>IF(B612="","",IFERROR(VLOOKUP(B612,'Coil Sheet at Plant'!$C:$M,10,FALSE),""))</f>
        <v/>
      </c>
      <c r="K612" s="69" t="str">
        <f>IF(B612="","",SUMIF(B:B,B612,G:G))</f>
        <v/>
      </c>
      <c r="L612" s="70" t="str">
        <f>IF(B612="","",IFERROR(VLOOKUP(B612,'Coil Sheet at Plant'!$C:$I,7,FALSE),""))</f>
        <v/>
      </c>
      <c r="M612" s="71" t="str">
        <f>IF(OR(K612="",L612=""),"",IF(L612=0,"⚠ NO PARENT WIDTH",IF(K612&gt;L612,"⚠ BABY &gt; PARENT","✔ OK")))</f>
        <v/>
      </c>
      <c r="N612" s="71" t="str">
        <f>IF(D612="","",IF(COUNTIF(D$3:D612,D612)&gt;1,"⚠ DUPLICATE",""))</f>
        <v/>
      </c>
      <c r="O612" s="72" t="str">
        <f>IF(B612="","",SUMIF(B:B,B612,G:G)&amp;" / "&amp;IFERROR(VLOOKUP(B612,'Coil Sheet at Plant'!$C:$I,7,FALSE),"?")&amp;" mm")</f>
        <v/>
      </c>
    </row>
    <row r="613" spans="1:15">
      <c r="A613" s="36"/>
      <c r="B613" s="32"/>
      <c r="C613" s="39"/>
      <c r="D613" s="44" t="str">
        <f>IF(OR(B613="",C613=""),"",CONCATENATE(B613,"-",C613))</f>
        <v/>
      </c>
      <c r="E613" s="49" t="str">
        <f>IF(B613="","",IFERROR(VLOOKUP(B613,'Coil Sheet at Plant'!$C:$G,5,FALSE),"ID Not Found"))</f>
        <v/>
      </c>
      <c r="F613" s="50" t="str">
        <f>IF(B613="","",IFERROR(VLOOKUP(B613,'Coil Sheet at Plant'!$C:$H,6,FALSE),"ID Not Found"))</f>
        <v/>
      </c>
      <c r="G613" s="81">
        <v>760</v>
      </c>
      <c r="H613" s="89" t="str">
        <f>IF(OR(B613="",G613=""),"",IFERROR(VLOOKUP(B613,'Coil Sheet at Plant'!$C:$J,8,FALSE),0)*G613/SUMIF(B:B,B613,G:G))</f>
        <v/>
      </c>
      <c r="I613" s="56" t="str">
        <f>IF(B613="","",IFERROR(VLOOKUP(B613,'Coil Sheet at Plant'!$C:$L,9,FALSE),""))</f>
        <v/>
      </c>
      <c r="J613" s="85" t="str">
        <f>IF(B613="","",IFERROR(VLOOKUP(B613,'Coil Sheet at Plant'!$C:$M,10,FALSE),""))</f>
        <v/>
      </c>
      <c r="K613" s="69" t="str">
        <f>IF(B613="","",SUMIF(B:B,B613,G:G))</f>
        <v/>
      </c>
      <c r="L613" s="70" t="str">
        <f>IF(B613="","",IFERROR(VLOOKUP(B613,'Coil Sheet at Plant'!$C:$I,7,FALSE),""))</f>
        <v/>
      </c>
      <c r="M613" s="71" t="str">
        <f>IF(OR(K613="",L613=""),"",IF(L613=0,"⚠ NO PARENT WIDTH",IF(K613&gt;L613,"⚠ BABY &gt; PARENT","✔ OK")))</f>
        <v/>
      </c>
      <c r="N613" s="71" t="str">
        <f>IF(D613="","",IF(COUNTIF(D$3:D613,D613)&gt;1,"⚠ DUPLICATE",""))</f>
        <v/>
      </c>
      <c r="O613" s="72" t="str">
        <f>IF(B613="","",SUMIF(B:B,B613,G:G)&amp;" / "&amp;IFERROR(VLOOKUP(B613,'Coil Sheet at Plant'!$C:$I,7,FALSE),"?")&amp;" mm")</f>
        <v/>
      </c>
    </row>
    <row r="614" spans="1:15">
      <c r="A614" s="36"/>
      <c r="B614" s="32"/>
      <c r="C614" s="39"/>
      <c r="D614" s="44" t="str">
        <f>IF(OR(B614="",C614=""),"",CONCATENATE(B614,"-",C614))</f>
        <v/>
      </c>
      <c r="E614" s="49" t="str">
        <f>IF(B614="","",IFERROR(VLOOKUP(B614,'Coil Sheet at Plant'!$C:$G,5,FALSE),"ID Not Found"))</f>
        <v/>
      </c>
      <c r="F614" s="50" t="str">
        <f>IF(B614="","",IFERROR(VLOOKUP(B614,'Coil Sheet at Plant'!$C:$H,6,FALSE),"ID Not Found"))</f>
        <v/>
      </c>
      <c r="G614" s="81">
        <v>761</v>
      </c>
      <c r="H614" s="89" t="str">
        <f>IF(OR(B614="",G614=""),"",IFERROR(VLOOKUP(B614,'Coil Sheet at Plant'!$C:$J,8,FALSE),0)*G614/SUMIF(B:B,B614,G:G))</f>
        <v/>
      </c>
      <c r="I614" s="56" t="str">
        <f>IF(B614="","",IFERROR(VLOOKUP(B614,'Coil Sheet at Plant'!$C:$L,9,FALSE),""))</f>
        <v/>
      </c>
      <c r="J614" s="85" t="str">
        <f>IF(B614="","",IFERROR(VLOOKUP(B614,'Coil Sheet at Plant'!$C:$M,10,FALSE),""))</f>
        <v/>
      </c>
      <c r="K614" s="69" t="str">
        <f>IF(B614="","",SUMIF(B:B,B614,G:G))</f>
        <v/>
      </c>
      <c r="L614" s="70" t="str">
        <f>IF(B614="","",IFERROR(VLOOKUP(B614,'Coil Sheet at Plant'!$C:$I,7,FALSE),""))</f>
        <v/>
      </c>
      <c r="M614" s="71" t="str">
        <f>IF(OR(K614="",L614=""),"",IF(L614=0,"⚠ NO PARENT WIDTH",IF(K614&gt;L614,"⚠ BABY &gt; PARENT","✔ OK")))</f>
        <v/>
      </c>
      <c r="N614" s="71" t="str">
        <f>IF(D614="","",IF(COUNTIF(D$3:D614,D614)&gt;1,"⚠ DUPLICATE",""))</f>
        <v/>
      </c>
      <c r="O614" s="72" t="str">
        <f>IF(B614="","",SUMIF(B:B,B614,G:G)&amp;" / "&amp;IFERROR(VLOOKUP(B614,'Coil Sheet at Plant'!$C:$I,7,FALSE),"?")&amp;" mm")</f>
        <v/>
      </c>
    </row>
    <row r="615" spans="1:15">
      <c r="A615" s="36"/>
      <c r="B615" s="32"/>
      <c r="C615" s="39"/>
      <c r="D615" s="44" t="str">
        <f>IF(OR(B615="",C615=""),"",CONCATENATE(B615,"-",C615))</f>
        <v/>
      </c>
      <c r="E615" s="49" t="str">
        <f>IF(B615="","",IFERROR(VLOOKUP(B615,'Coil Sheet at Plant'!$C:$G,5,FALSE),"ID Not Found"))</f>
        <v/>
      </c>
      <c r="F615" s="50" t="str">
        <f>IF(B615="","",IFERROR(VLOOKUP(B615,'Coil Sheet at Plant'!$C:$H,6,FALSE),"ID Not Found"))</f>
        <v/>
      </c>
      <c r="G615" s="81">
        <v>762</v>
      </c>
      <c r="H615" s="89" t="str">
        <f>IF(OR(B615="",G615=""),"",IFERROR(VLOOKUP(B615,'Coil Sheet at Plant'!$C:$J,8,FALSE),0)*G615/SUMIF(B:B,B615,G:G))</f>
        <v/>
      </c>
      <c r="I615" s="56" t="str">
        <f>IF(B615="","",IFERROR(VLOOKUP(B615,'Coil Sheet at Plant'!$C:$L,9,FALSE),""))</f>
        <v/>
      </c>
      <c r="J615" s="85" t="str">
        <f>IF(B615="","",IFERROR(VLOOKUP(B615,'Coil Sheet at Plant'!$C:$M,10,FALSE),""))</f>
        <v/>
      </c>
      <c r="K615" s="69" t="str">
        <f>IF(B615="","",SUMIF(B:B,B615,G:G))</f>
        <v/>
      </c>
      <c r="L615" s="70" t="str">
        <f>IF(B615="","",IFERROR(VLOOKUP(B615,'Coil Sheet at Plant'!$C:$I,7,FALSE),""))</f>
        <v/>
      </c>
      <c r="M615" s="71" t="str">
        <f>IF(OR(K615="",L615=""),"",IF(L615=0,"⚠ NO PARENT WIDTH",IF(K615&gt;L615,"⚠ BABY &gt; PARENT","✔ OK")))</f>
        <v/>
      </c>
      <c r="N615" s="71" t="str">
        <f>IF(D615="","",IF(COUNTIF(D$3:D615,D615)&gt;1,"⚠ DUPLICATE",""))</f>
        <v/>
      </c>
      <c r="O615" s="72" t="str">
        <f>IF(B615="","",SUMIF(B:B,B615,G:G)&amp;" / "&amp;IFERROR(VLOOKUP(B615,'Coil Sheet at Plant'!$C:$I,7,FALSE),"?")&amp;" mm")</f>
        <v/>
      </c>
    </row>
    <row r="616" spans="1:15">
      <c r="A616" s="36"/>
      <c r="B616" s="32"/>
      <c r="C616" s="39"/>
      <c r="D616" s="44" t="str">
        <f>IF(OR(B616="",C616=""),"",CONCATENATE(B616,"-",C616))</f>
        <v/>
      </c>
      <c r="E616" s="49" t="str">
        <f>IF(B616="","",IFERROR(VLOOKUP(B616,'Coil Sheet at Plant'!$C:$G,5,FALSE),"ID Not Found"))</f>
        <v/>
      </c>
      <c r="F616" s="50" t="str">
        <f>IF(B616="","",IFERROR(VLOOKUP(B616,'Coil Sheet at Plant'!$C:$H,6,FALSE),"ID Not Found"))</f>
        <v/>
      </c>
      <c r="G616" s="81">
        <v>763</v>
      </c>
      <c r="H616" s="89" t="str">
        <f>IF(OR(B616="",G616=""),"",IFERROR(VLOOKUP(B616,'Coil Sheet at Plant'!$C:$J,8,FALSE),0)*G616/SUMIF(B:B,B616,G:G))</f>
        <v/>
      </c>
      <c r="I616" s="56" t="str">
        <f>IF(B616="","",IFERROR(VLOOKUP(B616,'Coil Sheet at Plant'!$C:$L,9,FALSE),""))</f>
        <v/>
      </c>
      <c r="J616" s="85" t="str">
        <f>IF(B616="","",IFERROR(VLOOKUP(B616,'Coil Sheet at Plant'!$C:$M,10,FALSE),""))</f>
        <v/>
      </c>
      <c r="K616" s="69" t="str">
        <f>IF(B616="","",SUMIF(B:B,B616,G:G))</f>
        <v/>
      </c>
      <c r="L616" s="70" t="str">
        <f>IF(B616="","",IFERROR(VLOOKUP(B616,'Coil Sheet at Plant'!$C:$I,7,FALSE),""))</f>
        <v/>
      </c>
      <c r="M616" s="71" t="str">
        <f>IF(OR(K616="",L616=""),"",IF(L616=0,"⚠ NO PARENT WIDTH",IF(K616&gt;L616,"⚠ BABY &gt; PARENT","✔ OK")))</f>
        <v/>
      </c>
      <c r="N616" s="71" t="str">
        <f>IF(D616="","",IF(COUNTIF(D$3:D616,D616)&gt;1,"⚠ DUPLICATE",""))</f>
        <v/>
      </c>
      <c r="O616" s="72" t="str">
        <f>IF(B616="","",SUMIF(B:B,B616,G:G)&amp;" / "&amp;IFERROR(VLOOKUP(B616,'Coil Sheet at Plant'!$C:$I,7,FALSE),"?")&amp;" mm")</f>
        <v/>
      </c>
    </row>
    <row r="617" spans="1:15">
      <c r="A617" s="36"/>
      <c r="B617" s="32"/>
      <c r="C617" s="39"/>
      <c r="D617" s="44" t="str">
        <f>IF(OR(B617="",C617=""),"",CONCATENATE(B617,"-",C617))</f>
        <v/>
      </c>
      <c r="E617" s="49" t="str">
        <f>IF(B617="","",IFERROR(VLOOKUP(B617,'Coil Sheet at Plant'!$C:$G,5,FALSE),"ID Not Found"))</f>
        <v/>
      </c>
      <c r="F617" s="50" t="str">
        <f>IF(B617="","",IFERROR(VLOOKUP(B617,'Coil Sheet at Plant'!$C:$H,6,FALSE),"ID Not Found"))</f>
        <v/>
      </c>
      <c r="G617" s="81">
        <v>764</v>
      </c>
      <c r="H617" s="89" t="str">
        <f>IF(OR(B617="",G617=""),"",IFERROR(VLOOKUP(B617,'Coil Sheet at Plant'!$C:$J,8,FALSE),0)*G617/SUMIF(B:B,B617,G:G))</f>
        <v/>
      </c>
      <c r="I617" s="56" t="str">
        <f>IF(B617="","",IFERROR(VLOOKUP(B617,'Coil Sheet at Plant'!$C:$L,9,FALSE),""))</f>
        <v/>
      </c>
      <c r="J617" s="85" t="str">
        <f>IF(B617="","",IFERROR(VLOOKUP(B617,'Coil Sheet at Plant'!$C:$M,10,FALSE),""))</f>
        <v/>
      </c>
      <c r="K617" s="69" t="str">
        <f>IF(B617="","",SUMIF(B:B,B617,G:G))</f>
        <v/>
      </c>
      <c r="L617" s="70" t="str">
        <f>IF(B617="","",IFERROR(VLOOKUP(B617,'Coil Sheet at Plant'!$C:$I,7,FALSE),""))</f>
        <v/>
      </c>
      <c r="M617" s="71" t="str">
        <f>IF(OR(K617="",L617=""),"",IF(L617=0,"⚠ NO PARENT WIDTH",IF(K617&gt;L617,"⚠ BABY &gt; PARENT","✔ OK")))</f>
        <v/>
      </c>
      <c r="N617" s="71" t="str">
        <f>IF(D617="","",IF(COUNTIF(D$3:D617,D617)&gt;1,"⚠ DUPLICATE",""))</f>
        <v/>
      </c>
      <c r="O617" s="72" t="str">
        <f>IF(B617="","",SUMIF(B:B,B617,G:G)&amp;" / "&amp;IFERROR(VLOOKUP(B617,'Coil Sheet at Plant'!$C:$I,7,FALSE),"?")&amp;" mm")</f>
        <v/>
      </c>
    </row>
    <row r="618" spans="1:15">
      <c r="A618" s="36"/>
      <c r="B618" s="32"/>
      <c r="C618" s="39"/>
      <c r="D618" s="44" t="str">
        <f>IF(OR(B618="",C618=""),"",CONCATENATE(B618,"-",C618))</f>
        <v/>
      </c>
      <c r="E618" s="49" t="str">
        <f>IF(B618="","",IFERROR(VLOOKUP(B618,'Coil Sheet at Plant'!$C:$G,5,FALSE),"ID Not Found"))</f>
        <v/>
      </c>
      <c r="F618" s="50" t="str">
        <f>IF(B618="","",IFERROR(VLOOKUP(B618,'Coil Sheet at Plant'!$C:$H,6,FALSE),"ID Not Found"))</f>
        <v/>
      </c>
      <c r="G618" s="81">
        <v>765</v>
      </c>
      <c r="H618" s="89" t="str">
        <f>IF(OR(B618="",G618=""),"",IFERROR(VLOOKUP(B618,'Coil Sheet at Plant'!$C:$J,8,FALSE),0)*G618/SUMIF(B:B,B618,G:G))</f>
        <v/>
      </c>
      <c r="I618" s="56" t="str">
        <f>IF(B618="","",IFERROR(VLOOKUP(B618,'Coil Sheet at Plant'!$C:$L,9,FALSE),""))</f>
        <v/>
      </c>
      <c r="J618" s="85" t="str">
        <f>IF(B618="","",IFERROR(VLOOKUP(B618,'Coil Sheet at Plant'!$C:$M,10,FALSE),""))</f>
        <v/>
      </c>
      <c r="K618" s="69" t="str">
        <f>IF(B618="","",SUMIF(B:B,B618,G:G))</f>
        <v/>
      </c>
      <c r="L618" s="70" t="str">
        <f>IF(B618="","",IFERROR(VLOOKUP(B618,'Coil Sheet at Plant'!$C:$I,7,FALSE),""))</f>
        <v/>
      </c>
      <c r="M618" s="71" t="str">
        <f>IF(OR(K618="",L618=""),"",IF(L618=0,"⚠ NO PARENT WIDTH",IF(K618&gt;L618,"⚠ BABY &gt; PARENT","✔ OK")))</f>
        <v/>
      </c>
      <c r="N618" s="71" t="str">
        <f>IF(D618="","",IF(COUNTIF(D$3:D618,D618)&gt;1,"⚠ DUPLICATE",""))</f>
        <v/>
      </c>
      <c r="O618" s="72" t="str">
        <f>IF(B618="","",SUMIF(B:B,B618,G:G)&amp;" / "&amp;IFERROR(VLOOKUP(B618,'Coil Sheet at Plant'!$C:$I,7,FALSE),"?")&amp;" mm")</f>
        <v/>
      </c>
    </row>
    <row r="619" spans="1:15">
      <c r="A619" s="36"/>
      <c r="B619" s="32"/>
      <c r="C619" s="39"/>
      <c r="D619" s="44" t="str">
        <f>IF(OR(B619="",C619=""),"",CONCATENATE(B619,"-",C619))</f>
        <v/>
      </c>
      <c r="E619" s="49" t="str">
        <f>IF(B619="","",IFERROR(VLOOKUP(B619,'Coil Sheet at Plant'!$C:$G,5,FALSE),"ID Not Found"))</f>
        <v/>
      </c>
      <c r="F619" s="50" t="str">
        <f>IF(B619="","",IFERROR(VLOOKUP(B619,'Coil Sheet at Plant'!$C:$H,6,FALSE),"ID Not Found"))</f>
        <v/>
      </c>
      <c r="G619" s="81">
        <v>766</v>
      </c>
      <c r="H619" s="89" t="str">
        <f>IF(OR(B619="",G619=""),"",IFERROR(VLOOKUP(B619,'Coil Sheet at Plant'!$C:$J,8,FALSE),0)*G619/SUMIF(B:B,B619,G:G))</f>
        <v/>
      </c>
      <c r="I619" s="56" t="str">
        <f>IF(B619="","",IFERROR(VLOOKUP(B619,'Coil Sheet at Plant'!$C:$L,9,FALSE),""))</f>
        <v/>
      </c>
      <c r="J619" s="85" t="str">
        <f>IF(B619="","",IFERROR(VLOOKUP(B619,'Coil Sheet at Plant'!$C:$M,10,FALSE),""))</f>
        <v/>
      </c>
      <c r="K619" s="69" t="str">
        <f>IF(B619="","",SUMIF(B:B,B619,G:G))</f>
        <v/>
      </c>
      <c r="L619" s="70" t="str">
        <f>IF(B619="","",IFERROR(VLOOKUP(B619,'Coil Sheet at Plant'!$C:$I,7,FALSE),""))</f>
        <v/>
      </c>
      <c r="M619" s="71" t="str">
        <f>IF(OR(K619="",L619=""),"",IF(L619=0,"⚠ NO PARENT WIDTH",IF(K619&gt;L619,"⚠ BABY &gt; PARENT","✔ OK")))</f>
        <v/>
      </c>
      <c r="N619" s="71" t="str">
        <f>IF(D619="","",IF(COUNTIF(D$3:D619,D619)&gt;1,"⚠ DUPLICATE",""))</f>
        <v/>
      </c>
      <c r="O619" s="72" t="str">
        <f>IF(B619="","",SUMIF(B:B,B619,G:G)&amp;" / "&amp;IFERROR(VLOOKUP(B619,'Coil Sheet at Plant'!$C:$I,7,FALSE),"?")&amp;" mm")</f>
        <v/>
      </c>
    </row>
    <row r="620" spans="1:15">
      <c r="A620" s="36"/>
      <c r="B620" s="32"/>
      <c r="C620" s="39"/>
      <c r="D620" s="44" t="str">
        <f>IF(OR(B620="",C620=""),"",CONCATENATE(B620,"-",C620))</f>
        <v/>
      </c>
      <c r="E620" s="49" t="str">
        <f>IF(B620="","",IFERROR(VLOOKUP(B620,'Coil Sheet at Plant'!$C:$G,5,FALSE),"ID Not Found"))</f>
        <v/>
      </c>
      <c r="F620" s="50" t="str">
        <f>IF(B620="","",IFERROR(VLOOKUP(B620,'Coil Sheet at Plant'!$C:$H,6,FALSE),"ID Not Found"))</f>
        <v/>
      </c>
      <c r="G620" s="81">
        <v>767</v>
      </c>
      <c r="H620" s="89" t="str">
        <f>IF(OR(B620="",G620=""),"",IFERROR(VLOOKUP(B620,'Coil Sheet at Plant'!$C:$J,8,FALSE),0)*G620/SUMIF(B:B,B620,G:G))</f>
        <v/>
      </c>
      <c r="I620" s="56" t="str">
        <f>IF(B620="","",IFERROR(VLOOKUP(B620,'Coil Sheet at Plant'!$C:$L,9,FALSE),""))</f>
        <v/>
      </c>
      <c r="J620" s="85" t="str">
        <f>IF(B620="","",IFERROR(VLOOKUP(B620,'Coil Sheet at Plant'!$C:$M,10,FALSE),""))</f>
        <v/>
      </c>
      <c r="K620" s="69" t="str">
        <f>IF(B620="","",SUMIF(B:B,B620,G:G))</f>
        <v/>
      </c>
      <c r="L620" s="70" t="str">
        <f>IF(B620="","",IFERROR(VLOOKUP(B620,'Coil Sheet at Plant'!$C:$I,7,FALSE),""))</f>
        <v/>
      </c>
      <c r="M620" s="71" t="str">
        <f>IF(OR(K620="",L620=""),"",IF(L620=0,"⚠ NO PARENT WIDTH",IF(K620&gt;L620,"⚠ BABY &gt; PARENT","✔ OK")))</f>
        <v/>
      </c>
      <c r="N620" s="71" t="str">
        <f>IF(D620="","",IF(COUNTIF(D$3:D620,D620)&gt;1,"⚠ DUPLICATE",""))</f>
        <v/>
      </c>
      <c r="O620" s="72" t="str">
        <f>IF(B620="","",SUMIF(B:B,B620,G:G)&amp;" / "&amp;IFERROR(VLOOKUP(B620,'Coil Sheet at Plant'!$C:$I,7,FALSE),"?")&amp;" mm")</f>
        <v/>
      </c>
    </row>
    <row r="621" spans="1:15">
      <c r="A621" s="36"/>
      <c r="B621" s="32"/>
      <c r="C621" s="39"/>
      <c r="D621" s="44" t="str">
        <f>IF(OR(B621="",C621=""),"",CONCATENATE(B621,"-",C621))</f>
        <v/>
      </c>
      <c r="E621" s="49" t="str">
        <f>IF(B621="","",IFERROR(VLOOKUP(B621,'Coil Sheet at Plant'!$C:$G,5,FALSE),"ID Not Found"))</f>
        <v/>
      </c>
      <c r="F621" s="50" t="str">
        <f>IF(B621="","",IFERROR(VLOOKUP(B621,'Coil Sheet at Plant'!$C:$H,6,FALSE),"ID Not Found"))</f>
        <v/>
      </c>
      <c r="G621" s="81">
        <v>768</v>
      </c>
      <c r="H621" s="89" t="str">
        <f>IF(OR(B621="",G621=""),"",IFERROR(VLOOKUP(B621,'Coil Sheet at Plant'!$C:$J,8,FALSE),0)*G621/SUMIF(B:B,B621,G:G))</f>
        <v/>
      </c>
      <c r="I621" s="56" t="str">
        <f>IF(B621="","",IFERROR(VLOOKUP(B621,'Coil Sheet at Plant'!$C:$L,9,FALSE),""))</f>
        <v/>
      </c>
      <c r="J621" s="85" t="str">
        <f>IF(B621="","",IFERROR(VLOOKUP(B621,'Coil Sheet at Plant'!$C:$M,10,FALSE),""))</f>
        <v/>
      </c>
      <c r="K621" s="69" t="str">
        <f>IF(B621="","",SUMIF(B:B,B621,G:G))</f>
        <v/>
      </c>
      <c r="L621" s="70" t="str">
        <f>IF(B621="","",IFERROR(VLOOKUP(B621,'Coil Sheet at Plant'!$C:$I,7,FALSE),""))</f>
        <v/>
      </c>
      <c r="M621" s="71" t="str">
        <f>IF(OR(K621="",L621=""),"",IF(L621=0,"⚠ NO PARENT WIDTH",IF(K621&gt;L621,"⚠ BABY &gt; PARENT","✔ OK")))</f>
        <v/>
      </c>
      <c r="N621" s="71" t="str">
        <f>IF(D621="","",IF(COUNTIF(D$3:D621,D621)&gt;1,"⚠ DUPLICATE",""))</f>
        <v/>
      </c>
      <c r="O621" s="72" t="str">
        <f>IF(B621="","",SUMIF(B:B,B621,G:G)&amp;" / "&amp;IFERROR(VLOOKUP(B621,'Coil Sheet at Plant'!$C:$I,7,FALSE),"?")&amp;" mm")</f>
        <v/>
      </c>
    </row>
    <row r="622" spans="1:15">
      <c r="A622" s="36"/>
      <c r="B622" s="32"/>
      <c r="C622" s="39"/>
      <c r="D622" s="44" t="str">
        <f>IF(OR(B622="",C622=""),"",CONCATENATE(B622,"-",C622))</f>
        <v/>
      </c>
      <c r="E622" s="49" t="str">
        <f>IF(B622="","",IFERROR(VLOOKUP(B622,'Coil Sheet at Plant'!$C:$G,5,FALSE),"ID Not Found"))</f>
        <v/>
      </c>
      <c r="F622" s="50" t="str">
        <f>IF(B622="","",IFERROR(VLOOKUP(B622,'Coil Sheet at Plant'!$C:$H,6,FALSE),"ID Not Found"))</f>
        <v/>
      </c>
      <c r="G622" s="81">
        <v>769</v>
      </c>
      <c r="H622" s="89" t="str">
        <f>IF(OR(B622="",G622=""),"",IFERROR(VLOOKUP(B622,'Coil Sheet at Plant'!$C:$J,8,FALSE),0)*G622/SUMIF(B:B,B622,G:G))</f>
        <v/>
      </c>
      <c r="I622" s="56" t="str">
        <f>IF(B622="","",IFERROR(VLOOKUP(B622,'Coil Sheet at Plant'!$C:$L,9,FALSE),""))</f>
        <v/>
      </c>
      <c r="J622" s="85" t="str">
        <f>IF(B622="","",IFERROR(VLOOKUP(B622,'Coil Sheet at Plant'!$C:$M,10,FALSE),""))</f>
        <v/>
      </c>
      <c r="K622" s="69" t="str">
        <f>IF(B622="","",SUMIF(B:B,B622,G:G))</f>
        <v/>
      </c>
      <c r="L622" s="70" t="str">
        <f>IF(B622="","",IFERROR(VLOOKUP(B622,'Coil Sheet at Plant'!$C:$I,7,FALSE),""))</f>
        <v/>
      </c>
      <c r="M622" s="71" t="str">
        <f>IF(OR(K622="",L622=""),"",IF(L622=0,"⚠ NO PARENT WIDTH",IF(K622&gt;L622,"⚠ BABY &gt; PARENT","✔ OK")))</f>
        <v/>
      </c>
      <c r="N622" s="71" t="str">
        <f>IF(D622="","",IF(COUNTIF(D$3:D622,D622)&gt;1,"⚠ DUPLICATE",""))</f>
        <v/>
      </c>
      <c r="O622" s="72" t="str">
        <f>IF(B622="","",SUMIF(B:B,B622,G:G)&amp;" / "&amp;IFERROR(VLOOKUP(B622,'Coil Sheet at Plant'!$C:$I,7,FALSE),"?")&amp;" mm")</f>
        <v/>
      </c>
    </row>
    <row r="623" spans="1:15">
      <c r="A623" s="36"/>
      <c r="B623" s="32"/>
      <c r="C623" s="39"/>
      <c r="D623" s="44" t="str">
        <f>IF(OR(B623="",C623=""),"",CONCATENATE(B623,"-",C623))</f>
        <v/>
      </c>
      <c r="E623" s="49" t="str">
        <f>IF(B623="","",IFERROR(VLOOKUP(B623,'Coil Sheet at Plant'!$C:$G,5,FALSE),"ID Not Found"))</f>
        <v/>
      </c>
      <c r="F623" s="50" t="str">
        <f>IF(B623="","",IFERROR(VLOOKUP(B623,'Coil Sheet at Plant'!$C:$H,6,FALSE),"ID Not Found"))</f>
        <v/>
      </c>
      <c r="G623" s="81">
        <v>770</v>
      </c>
      <c r="H623" s="89" t="str">
        <f>IF(OR(B623="",G623=""),"",IFERROR(VLOOKUP(B623,'Coil Sheet at Plant'!$C:$J,8,FALSE),0)*G623/SUMIF(B:B,B623,G:G))</f>
        <v/>
      </c>
      <c r="I623" s="56" t="str">
        <f>IF(B623="","",IFERROR(VLOOKUP(B623,'Coil Sheet at Plant'!$C:$L,9,FALSE),""))</f>
        <v/>
      </c>
      <c r="J623" s="85" t="str">
        <f>IF(B623="","",IFERROR(VLOOKUP(B623,'Coil Sheet at Plant'!$C:$M,10,FALSE),""))</f>
        <v/>
      </c>
      <c r="K623" s="69" t="str">
        <f>IF(B623="","",SUMIF(B:B,B623,G:G))</f>
        <v/>
      </c>
      <c r="L623" s="70" t="str">
        <f>IF(B623="","",IFERROR(VLOOKUP(B623,'Coil Sheet at Plant'!$C:$I,7,FALSE),""))</f>
        <v/>
      </c>
      <c r="M623" s="71" t="str">
        <f>IF(OR(K623="",L623=""),"",IF(L623=0,"⚠ NO PARENT WIDTH",IF(K623&gt;L623,"⚠ BABY &gt; PARENT","✔ OK")))</f>
        <v/>
      </c>
      <c r="N623" s="71" t="str">
        <f>IF(D623="","",IF(COUNTIF(D$3:D623,D623)&gt;1,"⚠ DUPLICATE",""))</f>
        <v/>
      </c>
      <c r="O623" s="72" t="str">
        <f>IF(B623="","",SUMIF(B:B,B623,G:G)&amp;" / "&amp;IFERROR(VLOOKUP(B623,'Coil Sheet at Plant'!$C:$I,7,FALSE),"?")&amp;" mm")</f>
        <v/>
      </c>
    </row>
    <row r="624" spans="1:15">
      <c r="A624" s="36"/>
      <c r="B624" s="32"/>
      <c r="C624" s="39"/>
      <c r="D624" s="44" t="str">
        <f>IF(OR(B624="",C624=""),"",CONCATENATE(B624,"-",C624))</f>
        <v/>
      </c>
      <c r="E624" s="49" t="str">
        <f>IF(B624="","",IFERROR(VLOOKUP(B624,'Coil Sheet at Plant'!$C:$G,5,FALSE),"ID Not Found"))</f>
        <v/>
      </c>
      <c r="F624" s="50" t="str">
        <f>IF(B624="","",IFERROR(VLOOKUP(B624,'Coil Sheet at Plant'!$C:$H,6,FALSE),"ID Not Found"))</f>
        <v/>
      </c>
      <c r="G624" s="81">
        <v>771</v>
      </c>
      <c r="H624" s="89" t="str">
        <f>IF(OR(B624="",G624=""),"",IFERROR(VLOOKUP(B624,'Coil Sheet at Plant'!$C:$J,8,FALSE),0)*G624/SUMIF(B:B,B624,G:G))</f>
        <v/>
      </c>
      <c r="I624" s="56" t="str">
        <f>IF(B624="","",IFERROR(VLOOKUP(B624,'Coil Sheet at Plant'!$C:$L,9,FALSE),""))</f>
        <v/>
      </c>
      <c r="J624" s="85" t="str">
        <f>IF(B624="","",IFERROR(VLOOKUP(B624,'Coil Sheet at Plant'!$C:$M,10,FALSE),""))</f>
        <v/>
      </c>
      <c r="K624" s="69" t="str">
        <f>IF(B624="","",SUMIF(B:B,B624,G:G))</f>
        <v/>
      </c>
      <c r="L624" s="70" t="str">
        <f>IF(B624="","",IFERROR(VLOOKUP(B624,'Coil Sheet at Plant'!$C:$I,7,FALSE),""))</f>
        <v/>
      </c>
      <c r="M624" s="71" t="str">
        <f>IF(OR(K624="",L624=""),"",IF(L624=0,"⚠ NO PARENT WIDTH",IF(K624&gt;L624,"⚠ BABY &gt; PARENT","✔ OK")))</f>
        <v/>
      </c>
      <c r="N624" s="71" t="str">
        <f>IF(D624="","",IF(COUNTIF(D$3:D624,D624)&gt;1,"⚠ DUPLICATE",""))</f>
        <v/>
      </c>
      <c r="O624" s="72" t="str">
        <f>IF(B624="","",SUMIF(B:B,B624,G:G)&amp;" / "&amp;IFERROR(VLOOKUP(B624,'Coil Sheet at Plant'!$C:$I,7,FALSE),"?")&amp;" mm")</f>
        <v/>
      </c>
    </row>
    <row r="625" spans="1:15">
      <c r="A625" s="36"/>
      <c r="B625" s="32"/>
      <c r="C625" s="39"/>
      <c r="D625" s="44" t="str">
        <f>IF(OR(B625="",C625=""),"",CONCATENATE(B625,"-",C625))</f>
        <v/>
      </c>
      <c r="E625" s="49" t="str">
        <f>IF(B625="","",IFERROR(VLOOKUP(B625,'Coil Sheet at Plant'!$C:$G,5,FALSE),"ID Not Found"))</f>
        <v/>
      </c>
      <c r="F625" s="50" t="str">
        <f>IF(B625="","",IFERROR(VLOOKUP(B625,'Coil Sheet at Plant'!$C:$H,6,FALSE),"ID Not Found"))</f>
        <v/>
      </c>
      <c r="G625" s="81">
        <v>772</v>
      </c>
      <c r="H625" s="89" t="str">
        <f>IF(OR(B625="",G625=""),"",IFERROR(VLOOKUP(B625,'Coil Sheet at Plant'!$C:$J,8,FALSE),0)*G625/SUMIF(B:B,B625,G:G))</f>
        <v/>
      </c>
      <c r="I625" s="56" t="str">
        <f>IF(B625="","",IFERROR(VLOOKUP(B625,'Coil Sheet at Plant'!$C:$L,9,FALSE),""))</f>
        <v/>
      </c>
      <c r="J625" s="85" t="str">
        <f>IF(B625="","",IFERROR(VLOOKUP(B625,'Coil Sheet at Plant'!$C:$M,10,FALSE),""))</f>
        <v/>
      </c>
      <c r="K625" s="69" t="str">
        <f>IF(B625="","",SUMIF(B:B,B625,G:G))</f>
        <v/>
      </c>
      <c r="L625" s="70" t="str">
        <f>IF(B625="","",IFERROR(VLOOKUP(B625,'Coil Sheet at Plant'!$C:$I,7,FALSE),""))</f>
        <v/>
      </c>
      <c r="M625" s="71" t="str">
        <f>IF(OR(K625="",L625=""),"",IF(L625=0,"⚠ NO PARENT WIDTH",IF(K625&gt;L625,"⚠ BABY &gt; PARENT","✔ OK")))</f>
        <v/>
      </c>
      <c r="N625" s="71" t="str">
        <f>IF(D625="","",IF(COUNTIF(D$3:D625,D625)&gt;1,"⚠ DUPLICATE",""))</f>
        <v/>
      </c>
      <c r="O625" s="72" t="str">
        <f>IF(B625="","",SUMIF(B:B,B625,G:G)&amp;" / "&amp;IFERROR(VLOOKUP(B625,'Coil Sheet at Plant'!$C:$I,7,FALSE),"?")&amp;" mm")</f>
        <v/>
      </c>
    </row>
    <row r="626" spans="1:15">
      <c r="A626" s="36"/>
      <c r="B626" s="32"/>
      <c r="C626" s="39"/>
      <c r="D626" s="44" t="str">
        <f>IF(OR(B626="",C626=""),"",CONCATENATE(B626,"-",C626))</f>
        <v/>
      </c>
      <c r="E626" s="49" t="str">
        <f>IF(B626="","",IFERROR(VLOOKUP(B626,'Coil Sheet at Plant'!$C:$G,5,FALSE),"ID Not Found"))</f>
        <v/>
      </c>
      <c r="F626" s="50" t="str">
        <f>IF(B626="","",IFERROR(VLOOKUP(B626,'Coil Sheet at Plant'!$C:$H,6,FALSE),"ID Not Found"))</f>
        <v/>
      </c>
      <c r="G626" s="81">
        <v>773</v>
      </c>
      <c r="H626" s="89" t="str">
        <f>IF(OR(B626="",G626=""),"",IFERROR(VLOOKUP(B626,'Coil Sheet at Plant'!$C:$J,8,FALSE),0)*G626/SUMIF(B:B,B626,G:G))</f>
        <v/>
      </c>
      <c r="I626" s="56" t="str">
        <f>IF(B626="","",IFERROR(VLOOKUP(B626,'Coil Sheet at Plant'!$C:$L,9,FALSE),""))</f>
        <v/>
      </c>
      <c r="J626" s="85" t="str">
        <f>IF(B626="","",IFERROR(VLOOKUP(B626,'Coil Sheet at Plant'!$C:$M,10,FALSE),""))</f>
        <v/>
      </c>
      <c r="K626" s="69" t="str">
        <f>IF(B626="","",SUMIF(B:B,B626,G:G))</f>
        <v/>
      </c>
      <c r="L626" s="70" t="str">
        <f>IF(B626="","",IFERROR(VLOOKUP(B626,'Coil Sheet at Plant'!$C:$I,7,FALSE),""))</f>
        <v/>
      </c>
      <c r="M626" s="71" t="str">
        <f>IF(OR(K626="",L626=""),"",IF(L626=0,"⚠ NO PARENT WIDTH",IF(K626&gt;L626,"⚠ BABY &gt; PARENT","✔ OK")))</f>
        <v/>
      </c>
      <c r="N626" s="71" t="str">
        <f>IF(D626="","",IF(COUNTIF(D$3:D626,D626)&gt;1,"⚠ DUPLICATE",""))</f>
        <v/>
      </c>
      <c r="O626" s="72" t="str">
        <f>IF(B626="","",SUMIF(B:B,B626,G:G)&amp;" / "&amp;IFERROR(VLOOKUP(B626,'Coil Sheet at Plant'!$C:$I,7,FALSE),"?")&amp;" mm")</f>
        <v/>
      </c>
    </row>
    <row r="627" spans="1:15">
      <c r="A627" s="36"/>
      <c r="B627" s="32"/>
      <c r="C627" s="39"/>
      <c r="D627" s="44" t="str">
        <f>IF(OR(B627="",C627=""),"",CONCATENATE(B627,"-",C627))</f>
        <v/>
      </c>
      <c r="E627" s="49" t="str">
        <f>IF(B627="","",IFERROR(VLOOKUP(B627,'Coil Sheet at Plant'!$C:$G,5,FALSE),"ID Not Found"))</f>
        <v/>
      </c>
      <c r="F627" s="50" t="str">
        <f>IF(B627="","",IFERROR(VLOOKUP(B627,'Coil Sheet at Plant'!$C:$H,6,FALSE),"ID Not Found"))</f>
        <v/>
      </c>
      <c r="G627" s="81">
        <v>774</v>
      </c>
      <c r="H627" s="89" t="str">
        <f>IF(OR(B627="",G627=""),"",IFERROR(VLOOKUP(B627,'Coil Sheet at Plant'!$C:$J,8,FALSE),0)*G627/SUMIF(B:B,B627,G:G))</f>
        <v/>
      </c>
      <c r="I627" s="56" t="str">
        <f>IF(B627="","",IFERROR(VLOOKUP(B627,'Coil Sheet at Plant'!$C:$L,9,FALSE),""))</f>
        <v/>
      </c>
      <c r="J627" s="85" t="str">
        <f>IF(B627="","",IFERROR(VLOOKUP(B627,'Coil Sheet at Plant'!$C:$M,10,FALSE),""))</f>
        <v/>
      </c>
      <c r="K627" s="69" t="str">
        <f>IF(B627="","",SUMIF(B:B,B627,G:G))</f>
        <v/>
      </c>
      <c r="L627" s="70" t="str">
        <f>IF(B627="","",IFERROR(VLOOKUP(B627,'Coil Sheet at Plant'!$C:$I,7,FALSE),""))</f>
        <v/>
      </c>
      <c r="M627" s="71" t="str">
        <f>IF(OR(K627="",L627=""),"",IF(L627=0,"⚠ NO PARENT WIDTH",IF(K627&gt;L627,"⚠ BABY &gt; PARENT","✔ OK")))</f>
        <v/>
      </c>
      <c r="N627" s="71" t="str">
        <f>IF(D627="","",IF(COUNTIF(D$3:D627,D627)&gt;1,"⚠ DUPLICATE",""))</f>
        <v/>
      </c>
      <c r="O627" s="72" t="str">
        <f>IF(B627="","",SUMIF(B:B,B627,G:G)&amp;" / "&amp;IFERROR(VLOOKUP(B627,'Coil Sheet at Plant'!$C:$I,7,FALSE),"?")&amp;" mm")</f>
        <v/>
      </c>
    </row>
    <row r="628" spans="1:15">
      <c r="A628" s="36"/>
      <c r="B628" s="32"/>
      <c r="C628" s="39"/>
      <c r="D628" s="44" t="str">
        <f>IF(OR(B628="",C628=""),"",CONCATENATE(B628,"-",C628))</f>
        <v/>
      </c>
      <c r="E628" s="49" t="str">
        <f>IF(B628="","",IFERROR(VLOOKUP(B628,'Coil Sheet at Plant'!$C:$G,5,FALSE),"ID Not Found"))</f>
        <v/>
      </c>
      <c r="F628" s="50" t="str">
        <f>IF(B628="","",IFERROR(VLOOKUP(B628,'Coil Sheet at Plant'!$C:$H,6,FALSE),"ID Not Found"))</f>
        <v/>
      </c>
      <c r="G628" s="81">
        <v>775</v>
      </c>
      <c r="H628" s="89" t="str">
        <f>IF(OR(B628="",G628=""),"",IFERROR(VLOOKUP(B628,'Coil Sheet at Plant'!$C:$J,8,FALSE),0)*G628/SUMIF(B:B,B628,G:G))</f>
        <v/>
      </c>
      <c r="I628" s="56" t="str">
        <f>IF(B628="","",IFERROR(VLOOKUP(B628,'Coil Sheet at Plant'!$C:$L,9,FALSE),""))</f>
        <v/>
      </c>
      <c r="J628" s="85" t="str">
        <f>IF(B628="","",IFERROR(VLOOKUP(B628,'Coil Sheet at Plant'!$C:$M,10,FALSE),""))</f>
        <v/>
      </c>
      <c r="K628" s="69" t="str">
        <f>IF(B628="","",SUMIF(B:B,B628,G:G))</f>
        <v/>
      </c>
      <c r="L628" s="70" t="str">
        <f>IF(B628="","",IFERROR(VLOOKUP(B628,'Coil Sheet at Plant'!$C:$I,7,FALSE),""))</f>
        <v/>
      </c>
      <c r="M628" s="71" t="str">
        <f>IF(OR(K628="",L628=""),"",IF(L628=0,"⚠ NO PARENT WIDTH",IF(K628&gt;L628,"⚠ BABY &gt; PARENT","✔ OK")))</f>
        <v/>
      </c>
      <c r="N628" s="71" t="str">
        <f>IF(D628="","",IF(COUNTIF(D$3:D628,D628)&gt;1,"⚠ DUPLICATE",""))</f>
        <v/>
      </c>
      <c r="O628" s="72" t="str">
        <f>IF(B628="","",SUMIF(B:B,B628,G:G)&amp;" / "&amp;IFERROR(VLOOKUP(B628,'Coil Sheet at Plant'!$C:$I,7,FALSE),"?")&amp;" mm")</f>
        <v/>
      </c>
    </row>
    <row r="629" spans="1:15">
      <c r="A629" s="36"/>
      <c r="B629" s="32"/>
      <c r="C629" s="39"/>
      <c r="D629" s="44" t="str">
        <f>IF(OR(B629="",C629=""),"",CONCATENATE(B629,"-",C629))</f>
        <v/>
      </c>
      <c r="E629" s="49" t="str">
        <f>IF(B629="","",IFERROR(VLOOKUP(B629,'Coil Sheet at Plant'!$C:$G,5,FALSE),"ID Not Found"))</f>
        <v/>
      </c>
      <c r="F629" s="50" t="str">
        <f>IF(B629="","",IFERROR(VLOOKUP(B629,'Coil Sheet at Plant'!$C:$H,6,FALSE),"ID Not Found"))</f>
        <v/>
      </c>
      <c r="G629" s="81">
        <v>776</v>
      </c>
      <c r="H629" s="89" t="str">
        <f>IF(OR(B629="",G629=""),"",IFERROR(VLOOKUP(B629,'Coil Sheet at Plant'!$C:$J,8,FALSE),0)*G629/SUMIF(B:B,B629,G:G))</f>
        <v/>
      </c>
      <c r="I629" s="56" t="str">
        <f>IF(B629="","",IFERROR(VLOOKUP(B629,'Coil Sheet at Plant'!$C:$L,9,FALSE),""))</f>
        <v/>
      </c>
      <c r="J629" s="85" t="str">
        <f>IF(B629="","",IFERROR(VLOOKUP(B629,'Coil Sheet at Plant'!$C:$M,10,FALSE),""))</f>
        <v/>
      </c>
      <c r="K629" s="69" t="str">
        <f>IF(B629="","",SUMIF(B:B,B629,G:G))</f>
        <v/>
      </c>
      <c r="L629" s="70" t="str">
        <f>IF(B629="","",IFERROR(VLOOKUP(B629,'Coil Sheet at Plant'!$C:$I,7,FALSE),""))</f>
        <v/>
      </c>
      <c r="M629" s="71" t="str">
        <f>IF(OR(K629="",L629=""),"",IF(L629=0,"⚠ NO PARENT WIDTH",IF(K629&gt;L629,"⚠ BABY &gt; PARENT","✔ OK")))</f>
        <v/>
      </c>
      <c r="N629" s="71" t="str">
        <f>IF(D629="","",IF(COUNTIF(D$3:D629,D629)&gt;1,"⚠ DUPLICATE",""))</f>
        <v/>
      </c>
      <c r="O629" s="72" t="str">
        <f>IF(B629="","",SUMIF(B:B,B629,G:G)&amp;" / "&amp;IFERROR(VLOOKUP(B629,'Coil Sheet at Plant'!$C:$I,7,FALSE),"?")&amp;" mm")</f>
        <v/>
      </c>
    </row>
    <row r="630" spans="1:15">
      <c r="A630" s="36"/>
      <c r="B630" s="32"/>
      <c r="C630" s="39"/>
      <c r="D630" s="44" t="str">
        <f>IF(OR(B630="",C630=""),"",CONCATENATE(B630,"-",C630))</f>
        <v/>
      </c>
      <c r="E630" s="49" t="str">
        <f>IF(B630="","",IFERROR(VLOOKUP(B630,'Coil Sheet at Plant'!$C:$G,5,FALSE),"ID Not Found"))</f>
        <v/>
      </c>
      <c r="F630" s="50" t="str">
        <f>IF(B630="","",IFERROR(VLOOKUP(B630,'Coil Sheet at Plant'!$C:$H,6,FALSE),"ID Not Found"))</f>
        <v/>
      </c>
      <c r="G630" s="81">
        <v>777</v>
      </c>
      <c r="H630" s="89" t="str">
        <f>IF(OR(B630="",G630=""),"",IFERROR(VLOOKUP(B630,'Coil Sheet at Plant'!$C:$J,8,FALSE),0)*G630/SUMIF(B:B,B630,G:G))</f>
        <v/>
      </c>
      <c r="I630" s="56" t="str">
        <f>IF(B630="","",IFERROR(VLOOKUP(B630,'Coil Sheet at Plant'!$C:$L,9,FALSE),""))</f>
        <v/>
      </c>
      <c r="J630" s="85" t="str">
        <f>IF(B630="","",IFERROR(VLOOKUP(B630,'Coil Sheet at Plant'!$C:$M,10,FALSE),""))</f>
        <v/>
      </c>
      <c r="K630" s="69" t="str">
        <f>IF(B630="","",SUMIF(B:B,B630,G:G))</f>
        <v/>
      </c>
      <c r="L630" s="70" t="str">
        <f>IF(B630="","",IFERROR(VLOOKUP(B630,'Coil Sheet at Plant'!$C:$I,7,FALSE),""))</f>
        <v/>
      </c>
      <c r="M630" s="71" t="str">
        <f>IF(OR(K630="",L630=""),"",IF(L630=0,"⚠ NO PARENT WIDTH",IF(K630&gt;L630,"⚠ BABY &gt; PARENT","✔ OK")))</f>
        <v/>
      </c>
      <c r="N630" s="71" t="str">
        <f>IF(D630="","",IF(COUNTIF(D$3:D630,D630)&gt;1,"⚠ DUPLICATE",""))</f>
        <v/>
      </c>
      <c r="O630" s="72" t="str">
        <f>IF(B630="","",SUMIF(B:B,B630,G:G)&amp;" / "&amp;IFERROR(VLOOKUP(B630,'Coil Sheet at Plant'!$C:$I,7,FALSE),"?")&amp;" mm")</f>
        <v/>
      </c>
    </row>
    <row r="631" spans="1:15">
      <c r="A631" s="36"/>
      <c r="B631" s="32"/>
      <c r="C631" s="39"/>
      <c r="D631" s="44" t="str">
        <f>IF(OR(B631="",C631=""),"",CONCATENATE(B631,"-",C631))</f>
        <v/>
      </c>
      <c r="E631" s="49" t="str">
        <f>IF(B631="","",IFERROR(VLOOKUP(B631,'Coil Sheet at Plant'!$C:$G,5,FALSE),"ID Not Found"))</f>
        <v/>
      </c>
      <c r="F631" s="50" t="str">
        <f>IF(B631="","",IFERROR(VLOOKUP(B631,'Coil Sheet at Plant'!$C:$H,6,FALSE),"ID Not Found"))</f>
        <v/>
      </c>
      <c r="G631" s="81">
        <v>778</v>
      </c>
      <c r="H631" s="89" t="str">
        <f>IF(OR(B631="",G631=""),"",IFERROR(VLOOKUP(B631,'Coil Sheet at Plant'!$C:$J,8,FALSE),0)*G631/SUMIF(B:B,B631,G:G))</f>
        <v/>
      </c>
      <c r="I631" s="56" t="str">
        <f>IF(B631="","",IFERROR(VLOOKUP(B631,'Coil Sheet at Plant'!$C:$L,9,FALSE),""))</f>
        <v/>
      </c>
      <c r="J631" s="85" t="str">
        <f>IF(B631="","",IFERROR(VLOOKUP(B631,'Coil Sheet at Plant'!$C:$M,10,FALSE),""))</f>
        <v/>
      </c>
      <c r="K631" s="69" t="str">
        <f>IF(B631="","",SUMIF(B:B,B631,G:G))</f>
        <v/>
      </c>
      <c r="L631" s="70" t="str">
        <f>IF(B631="","",IFERROR(VLOOKUP(B631,'Coil Sheet at Plant'!$C:$I,7,FALSE),""))</f>
        <v/>
      </c>
      <c r="M631" s="71" t="str">
        <f>IF(OR(K631="",L631=""),"",IF(L631=0,"⚠ NO PARENT WIDTH",IF(K631&gt;L631,"⚠ BABY &gt; PARENT","✔ OK")))</f>
        <v/>
      </c>
      <c r="N631" s="71" t="str">
        <f>IF(D631="","",IF(COUNTIF(D$3:D631,D631)&gt;1,"⚠ DUPLICATE",""))</f>
        <v/>
      </c>
      <c r="O631" s="72" t="str">
        <f>IF(B631="","",SUMIF(B:B,B631,G:G)&amp;" / "&amp;IFERROR(VLOOKUP(B631,'Coil Sheet at Plant'!$C:$I,7,FALSE),"?")&amp;" mm")</f>
        <v/>
      </c>
    </row>
    <row r="632" spans="1:15">
      <c r="A632" s="36"/>
      <c r="B632" s="32"/>
      <c r="C632" s="39"/>
      <c r="D632" s="44" t="str">
        <f>IF(OR(B632="",C632=""),"",CONCATENATE(B632,"-",C632))</f>
        <v/>
      </c>
      <c r="E632" s="49" t="str">
        <f>IF(B632="","",IFERROR(VLOOKUP(B632,'Coil Sheet at Plant'!$C:$G,5,FALSE),"ID Not Found"))</f>
        <v/>
      </c>
      <c r="F632" s="50" t="str">
        <f>IF(B632="","",IFERROR(VLOOKUP(B632,'Coil Sheet at Plant'!$C:$H,6,FALSE),"ID Not Found"))</f>
        <v/>
      </c>
      <c r="G632" s="81">
        <v>779</v>
      </c>
      <c r="H632" s="89" t="str">
        <f>IF(OR(B632="",G632=""),"",IFERROR(VLOOKUP(B632,'Coil Sheet at Plant'!$C:$J,8,FALSE),0)*G632/SUMIF(B:B,B632,G:G))</f>
        <v/>
      </c>
      <c r="I632" s="56" t="str">
        <f>IF(B632="","",IFERROR(VLOOKUP(B632,'Coil Sheet at Plant'!$C:$L,9,FALSE),""))</f>
        <v/>
      </c>
      <c r="J632" s="85" t="str">
        <f>IF(B632="","",IFERROR(VLOOKUP(B632,'Coil Sheet at Plant'!$C:$M,10,FALSE),""))</f>
        <v/>
      </c>
      <c r="K632" s="69" t="str">
        <f>IF(B632="","",SUMIF(B:B,B632,G:G))</f>
        <v/>
      </c>
      <c r="L632" s="70" t="str">
        <f>IF(B632="","",IFERROR(VLOOKUP(B632,'Coil Sheet at Plant'!$C:$I,7,FALSE),""))</f>
        <v/>
      </c>
      <c r="M632" s="71" t="str">
        <f>IF(OR(K632="",L632=""),"",IF(L632=0,"⚠ NO PARENT WIDTH",IF(K632&gt;L632,"⚠ BABY &gt; PARENT","✔ OK")))</f>
        <v/>
      </c>
      <c r="N632" s="71" t="str">
        <f>IF(D632="","",IF(COUNTIF(D$3:D632,D632)&gt;1,"⚠ DUPLICATE",""))</f>
        <v/>
      </c>
      <c r="O632" s="72" t="str">
        <f>IF(B632="","",SUMIF(B:B,B632,G:G)&amp;" / "&amp;IFERROR(VLOOKUP(B632,'Coil Sheet at Plant'!$C:$I,7,FALSE),"?")&amp;" mm")</f>
        <v/>
      </c>
    </row>
    <row r="633" spans="1:15">
      <c r="A633" s="36"/>
      <c r="B633" s="32"/>
      <c r="C633" s="39"/>
      <c r="D633" s="44" t="str">
        <f>IF(OR(B633="",C633=""),"",CONCATENATE(B633,"-",C633))</f>
        <v/>
      </c>
      <c r="E633" s="49" t="str">
        <f>IF(B633="","",IFERROR(VLOOKUP(B633,'Coil Sheet at Plant'!$C:$G,5,FALSE),"ID Not Found"))</f>
        <v/>
      </c>
      <c r="F633" s="50" t="str">
        <f>IF(B633="","",IFERROR(VLOOKUP(B633,'Coil Sheet at Plant'!$C:$H,6,FALSE),"ID Not Found"))</f>
        <v/>
      </c>
      <c r="G633" s="81">
        <v>780</v>
      </c>
      <c r="H633" s="89" t="str">
        <f>IF(OR(B633="",G633=""),"",IFERROR(VLOOKUP(B633,'Coil Sheet at Plant'!$C:$J,8,FALSE),0)*G633/SUMIF(B:B,B633,G:G))</f>
        <v/>
      </c>
      <c r="I633" s="56" t="str">
        <f>IF(B633="","",IFERROR(VLOOKUP(B633,'Coil Sheet at Plant'!$C:$L,9,FALSE),""))</f>
        <v/>
      </c>
      <c r="J633" s="85" t="str">
        <f>IF(B633="","",IFERROR(VLOOKUP(B633,'Coil Sheet at Plant'!$C:$M,10,FALSE),""))</f>
        <v/>
      </c>
      <c r="K633" s="69" t="str">
        <f>IF(B633="","",SUMIF(B:B,B633,G:G))</f>
        <v/>
      </c>
      <c r="L633" s="70" t="str">
        <f>IF(B633="","",IFERROR(VLOOKUP(B633,'Coil Sheet at Plant'!$C:$I,7,FALSE),""))</f>
        <v/>
      </c>
      <c r="M633" s="71" t="str">
        <f>IF(OR(K633="",L633=""),"",IF(L633=0,"⚠ NO PARENT WIDTH",IF(K633&gt;L633,"⚠ BABY &gt; PARENT","✔ OK")))</f>
        <v/>
      </c>
      <c r="N633" s="71" t="str">
        <f>IF(D633="","",IF(COUNTIF(D$3:D633,D633)&gt;1,"⚠ DUPLICATE",""))</f>
        <v/>
      </c>
      <c r="O633" s="72" t="str">
        <f>IF(B633="","",SUMIF(B:B,B633,G:G)&amp;" / "&amp;IFERROR(VLOOKUP(B633,'Coil Sheet at Plant'!$C:$I,7,FALSE),"?")&amp;" mm")</f>
        <v/>
      </c>
    </row>
    <row r="634" spans="1:15">
      <c r="A634" s="36"/>
      <c r="B634" s="32"/>
      <c r="C634" s="39"/>
      <c r="D634" s="44" t="str">
        <f>IF(OR(B634="",C634=""),"",CONCATENATE(B634,"-",C634))</f>
        <v/>
      </c>
      <c r="E634" s="49" t="str">
        <f>IF(B634="","",IFERROR(VLOOKUP(B634,'Coil Sheet at Plant'!$C:$G,5,FALSE),"ID Not Found"))</f>
        <v/>
      </c>
      <c r="F634" s="50" t="str">
        <f>IF(B634="","",IFERROR(VLOOKUP(B634,'Coil Sheet at Plant'!$C:$H,6,FALSE),"ID Not Found"))</f>
        <v/>
      </c>
      <c r="G634" s="81">
        <v>781</v>
      </c>
      <c r="H634" s="89" t="str">
        <f>IF(OR(B634="",G634=""),"",IFERROR(VLOOKUP(B634,'Coil Sheet at Plant'!$C:$J,8,FALSE),0)*G634/SUMIF(B:B,B634,G:G))</f>
        <v/>
      </c>
      <c r="I634" s="56" t="str">
        <f>IF(B634="","",IFERROR(VLOOKUP(B634,'Coil Sheet at Plant'!$C:$L,9,FALSE),""))</f>
        <v/>
      </c>
      <c r="J634" s="85" t="str">
        <f>IF(B634="","",IFERROR(VLOOKUP(B634,'Coil Sheet at Plant'!$C:$M,10,FALSE),""))</f>
        <v/>
      </c>
      <c r="K634" s="69" t="str">
        <f>IF(B634="","",SUMIF(B:B,B634,G:G))</f>
        <v/>
      </c>
      <c r="L634" s="70" t="str">
        <f>IF(B634="","",IFERROR(VLOOKUP(B634,'Coil Sheet at Plant'!$C:$I,7,FALSE),""))</f>
        <v/>
      </c>
      <c r="M634" s="71" t="str">
        <f>IF(OR(K634="",L634=""),"",IF(L634=0,"⚠ NO PARENT WIDTH",IF(K634&gt;L634,"⚠ BABY &gt; PARENT","✔ OK")))</f>
        <v/>
      </c>
      <c r="N634" s="71" t="str">
        <f>IF(D634="","",IF(COUNTIF(D$3:D634,D634)&gt;1,"⚠ DUPLICATE",""))</f>
        <v/>
      </c>
      <c r="O634" s="72" t="str">
        <f>IF(B634="","",SUMIF(B:B,B634,G:G)&amp;" / "&amp;IFERROR(VLOOKUP(B634,'Coil Sheet at Plant'!$C:$I,7,FALSE),"?")&amp;" mm")</f>
        <v/>
      </c>
    </row>
    <row r="635" spans="1:15">
      <c r="A635" s="36"/>
      <c r="B635" s="32"/>
      <c r="C635" s="39"/>
      <c r="D635" s="44" t="str">
        <f>IF(OR(B635="",C635=""),"",CONCATENATE(B635,"-",C635))</f>
        <v/>
      </c>
      <c r="E635" s="49" t="str">
        <f>IF(B635="","",IFERROR(VLOOKUP(B635,'Coil Sheet at Plant'!$C:$G,5,FALSE),"ID Not Found"))</f>
        <v/>
      </c>
      <c r="F635" s="50" t="str">
        <f>IF(B635="","",IFERROR(VLOOKUP(B635,'Coil Sheet at Plant'!$C:$H,6,FALSE),"ID Not Found"))</f>
        <v/>
      </c>
      <c r="G635" s="81">
        <v>782</v>
      </c>
      <c r="H635" s="89" t="str">
        <f>IF(OR(B635="",G635=""),"",IFERROR(VLOOKUP(B635,'Coil Sheet at Plant'!$C:$J,8,FALSE),0)*G635/SUMIF(B:B,B635,G:G))</f>
        <v/>
      </c>
      <c r="I635" s="56" t="str">
        <f>IF(B635="","",IFERROR(VLOOKUP(B635,'Coil Sheet at Plant'!$C:$L,9,FALSE),""))</f>
        <v/>
      </c>
      <c r="J635" s="85" t="str">
        <f>IF(B635="","",IFERROR(VLOOKUP(B635,'Coil Sheet at Plant'!$C:$M,10,FALSE),""))</f>
        <v/>
      </c>
      <c r="K635" s="69" t="str">
        <f>IF(B635="","",SUMIF(B:B,B635,G:G))</f>
        <v/>
      </c>
      <c r="L635" s="70" t="str">
        <f>IF(B635="","",IFERROR(VLOOKUP(B635,'Coil Sheet at Plant'!$C:$I,7,FALSE),""))</f>
        <v/>
      </c>
      <c r="M635" s="71" t="str">
        <f>IF(OR(K635="",L635=""),"",IF(L635=0,"⚠ NO PARENT WIDTH",IF(K635&gt;L635,"⚠ BABY &gt; PARENT","✔ OK")))</f>
        <v/>
      </c>
      <c r="N635" s="71" t="str">
        <f>IF(D635="","",IF(COUNTIF(D$3:D635,D635)&gt;1,"⚠ DUPLICATE",""))</f>
        <v/>
      </c>
      <c r="O635" s="72" t="str">
        <f>IF(B635="","",SUMIF(B:B,B635,G:G)&amp;" / "&amp;IFERROR(VLOOKUP(B635,'Coil Sheet at Plant'!$C:$I,7,FALSE),"?")&amp;" mm")</f>
        <v/>
      </c>
    </row>
    <row r="636" spans="1:15">
      <c r="A636" s="36"/>
      <c r="B636" s="32"/>
      <c r="C636" s="39"/>
      <c r="D636" s="44" t="str">
        <f>IF(OR(B636="",C636=""),"",CONCATENATE(B636,"-",C636))</f>
        <v/>
      </c>
      <c r="E636" s="49" t="str">
        <f>IF(B636="","",IFERROR(VLOOKUP(B636,'Coil Sheet at Plant'!$C:$G,5,FALSE),"ID Not Found"))</f>
        <v/>
      </c>
      <c r="F636" s="50" t="str">
        <f>IF(B636="","",IFERROR(VLOOKUP(B636,'Coil Sheet at Plant'!$C:$H,6,FALSE),"ID Not Found"))</f>
        <v/>
      </c>
      <c r="G636" s="81">
        <v>783</v>
      </c>
      <c r="H636" s="89" t="str">
        <f>IF(OR(B636="",G636=""),"",IFERROR(VLOOKUP(B636,'Coil Sheet at Plant'!$C:$J,8,FALSE),0)*G636/SUMIF(B:B,B636,G:G))</f>
        <v/>
      </c>
      <c r="I636" s="56" t="str">
        <f>IF(B636="","",IFERROR(VLOOKUP(B636,'Coil Sheet at Plant'!$C:$L,9,FALSE),""))</f>
        <v/>
      </c>
      <c r="J636" s="85" t="str">
        <f>IF(B636="","",IFERROR(VLOOKUP(B636,'Coil Sheet at Plant'!$C:$M,10,FALSE),""))</f>
        <v/>
      </c>
      <c r="K636" s="69" t="str">
        <f>IF(B636="","",SUMIF(B:B,B636,G:G))</f>
        <v/>
      </c>
      <c r="L636" s="70" t="str">
        <f>IF(B636="","",IFERROR(VLOOKUP(B636,'Coil Sheet at Plant'!$C:$I,7,FALSE),""))</f>
        <v/>
      </c>
      <c r="M636" s="71" t="str">
        <f>IF(OR(K636="",L636=""),"",IF(L636=0,"⚠ NO PARENT WIDTH",IF(K636&gt;L636,"⚠ BABY &gt; PARENT","✔ OK")))</f>
        <v/>
      </c>
      <c r="N636" s="71" t="str">
        <f>IF(D636="","",IF(COUNTIF(D$3:D636,D636)&gt;1,"⚠ DUPLICATE",""))</f>
        <v/>
      </c>
      <c r="O636" s="72" t="str">
        <f>IF(B636="","",SUMIF(B:B,B636,G:G)&amp;" / "&amp;IFERROR(VLOOKUP(B636,'Coil Sheet at Plant'!$C:$I,7,FALSE),"?")&amp;" mm")</f>
        <v/>
      </c>
    </row>
    <row r="637" spans="1:15">
      <c r="A637" s="36"/>
      <c r="B637" s="32"/>
      <c r="C637" s="39"/>
      <c r="D637" s="44" t="str">
        <f>IF(OR(B637="",C637=""),"",CONCATENATE(B637,"-",C637))</f>
        <v/>
      </c>
      <c r="E637" s="49" t="str">
        <f>IF(B637="","",IFERROR(VLOOKUP(B637,'Coil Sheet at Plant'!$C:$G,5,FALSE),"ID Not Found"))</f>
        <v/>
      </c>
      <c r="F637" s="50" t="str">
        <f>IF(B637="","",IFERROR(VLOOKUP(B637,'Coil Sheet at Plant'!$C:$H,6,FALSE),"ID Not Found"))</f>
        <v/>
      </c>
      <c r="G637" s="81">
        <v>784</v>
      </c>
      <c r="H637" s="89" t="str">
        <f>IF(OR(B637="",G637=""),"",IFERROR(VLOOKUP(B637,'Coil Sheet at Plant'!$C:$J,8,FALSE),0)*G637/SUMIF(B:B,B637,G:G))</f>
        <v/>
      </c>
      <c r="I637" s="56" t="str">
        <f>IF(B637="","",IFERROR(VLOOKUP(B637,'Coil Sheet at Plant'!$C:$L,9,FALSE),""))</f>
        <v/>
      </c>
      <c r="J637" s="85" t="str">
        <f>IF(B637="","",IFERROR(VLOOKUP(B637,'Coil Sheet at Plant'!$C:$M,10,FALSE),""))</f>
        <v/>
      </c>
      <c r="K637" s="69" t="str">
        <f>IF(B637="","",SUMIF(B:B,B637,G:G))</f>
        <v/>
      </c>
      <c r="L637" s="70" t="str">
        <f>IF(B637="","",IFERROR(VLOOKUP(B637,'Coil Sheet at Plant'!$C:$I,7,FALSE),""))</f>
        <v/>
      </c>
      <c r="M637" s="71" t="str">
        <f>IF(OR(K637="",L637=""),"",IF(L637=0,"⚠ NO PARENT WIDTH",IF(K637&gt;L637,"⚠ BABY &gt; PARENT","✔ OK")))</f>
        <v/>
      </c>
      <c r="N637" s="71" t="str">
        <f>IF(D637="","",IF(COUNTIF(D$3:D637,D637)&gt;1,"⚠ DUPLICATE",""))</f>
        <v/>
      </c>
      <c r="O637" s="72" t="str">
        <f>IF(B637="","",SUMIF(B:B,B637,G:G)&amp;" / "&amp;IFERROR(VLOOKUP(B637,'Coil Sheet at Plant'!$C:$I,7,FALSE),"?")&amp;" mm")</f>
        <v/>
      </c>
    </row>
    <row r="638" spans="1:15">
      <c r="A638" s="36"/>
      <c r="B638" s="32"/>
      <c r="C638" s="39"/>
      <c r="D638" s="44" t="str">
        <f>IF(OR(B638="",C638=""),"",CONCATENATE(B638,"-",C638))</f>
        <v/>
      </c>
      <c r="E638" s="49" t="str">
        <f>IF(B638="","",IFERROR(VLOOKUP(B638,'Coil Sheet at Plant'!$C:$G,5,FALSE),"ID Not Found"))</f>
        <v/>
      </c>
      <c r="F638" s="50" t="str">
        <f>IF(B638="","",IFERROR(VLOOKUP(B638,'Coil Sheet at Plant'!$C:$H,6,FALSE),"ID Not Found"))</f>
        <v/>
      </c>
      <c r="G638" s="81">
        <v>785</v>
      </c>
      <c r="H638" s="89" t="str">
        <f>IF(OR(B638="",G638=""),"",IFERROR(VLOOKUP(B638,'Coil Sheet at Plant'!$C:$J,8,FALSE),0)*G638/SUMIF(B:B,B638,G:G))</f>
        <v/>
      </c>
      <c r="I638" s="56" t="str">
        <f>IF(B638="","",IFERROR(VLOOKUP(B638,'Coil Sheet at Plant'!$C:$L,9,FALSE),""))</f>
        <v/>
      </c>
      <c r="J638" s="85" t="str">
        <f>IF(B638="","",IFERROR(VLOOKUP(B638,'Coil Sheet at Plant'!$C:$M,10,FALSE),""))</f>
        <v/>
      </c>
      <c r="K638" s="69" t="str">
        <f>IF(B638="","",SUMIF(B:B,B638,G:G))</f>
        <v/>
      </c>
      <c r="L638" s="70" t="str">
        <f>IF(B638="","",IFERROR(VLOOKUP(B638,'Coil Sheet at Plant'!$C:$I,7,FALSE),""))</f>
        <v/>
      </c>
      <c r="M638" s="71" t="str">
        <f>IF(OR(K638="",L638=""),"",IF(L638=0,"⚠ NO PARENT WIDTH",IF(K638&gt;L638,"⚠ BABY &gt; PARENT","✔ OK")))</f>
        <v/>
      </c>
      <c r="N638" s="71" t="str">
        <f>IF(D638="","",IF(COUNTIF(D$3:D638,D638)&gt;1,"⚠ DUPLICATE",""))</f>
        <v/>
      </c>
      <c r="O638" s="72" t="str">
        <f>IF(B638="","",SUMIF(B:B,B638,G:G)&amp;" / "&amp;IFERROR(VLOOKUP(B638,'Coil Sheet at Plant'!$C:$I,7,FALSE),"?")&amp;" mm")</f>
        <v/>
      </c>
    </row>
    <row r="639" spans="1:15">
      <c r="A639" s="36"/>
      <c r="B639" s="32"/>
      <c r="C639" s="39"/>
      <c r="D639" s="44" t="str">
        <f>IF(OR(B639="",C639=""),"",CONCATENATE(B639,"-",C639))</f>
        <v/>
      </c>
      <c r="E639" s="49" t="str">
        <f>IF(B639="","",IFERROR(VLOOKUP(B639,'Coil Sheet at Plant'!$C:$G,5,FALSE),"ID Not Found"))</f>
        <v/>
      </c>
      <c r="F639" s="50" t="str">
        <f>IF(B639="","",IFERROR(VLOOKUP(B639,'Coil Sheet at Plant'!$C:$H,6,FALSE),"ID Not Found"))</f>
        <v/>
      </c>
      <c r="G639" s="81">
        <v>786</v>
      </c>
      <c r="H639" s="89" t="str">
        <f>IF(OR(B639="",G639=""),"",IFERROR(VLOOKUP(B639,'Coil Sheet at Plant'!$C:$J,8,FALSE),0)*G639/SUMIF(B:B,B639,G:G))</f>
        <v/>
      </c>
      <c r="I639" s="56" t="str">
        <f>IF(B639="","",IFERROR(VLOOKUP(B639,'Coil Sheet at Plant'!$C:$L,9,FALSE),""))</f>
        <v/>
      </c>
      <c r="J639" s="85" t="str">
        <f>IF(B639="","",IFERROR(VLOOKUP(B639,'Coil Sheet at Plant'!$C:$M,10,FALSE),""))</f>
        <v/>
      </c>
      <c r="K639" s="69" t="str">
        <f>IF(B639="","",SUMIF(B:B,B639,G:G))</f>
        <v/>
      </c>
      <c r="L639" s="70" t="str">
        <f>IF(B639="","",IFERROR(VLOOKUP(B639,'Coil Sheet at Plant'!$C:$I,7,FALSE),""))</f>
        <v/>
      </c>
      <c r="M639" s="71" t="str">
        <f>IF(OR(K639="",L639=""),"",IF(L639=0,"⚠ NO PARENT WIDTH",IF(K639&gt;L639,"⚠ BABY &gt; PARENT","✔ OK")))</f>
        <v/>
      </c>
      <c r="N639" s="71" t="str">
        <f>IF(D639="","",IF(COUNTIF(D$3:D639,D639)&gt;1,"⚠ DUPLICATE",""))</f>
        <v/>
      </c>
      <c r="O639" s="72" t="str">
        <f>IF(B639="","",SUMIF(B:B,B639,G:G)&amp;" / "&amp;IFERROR(VLOOKUP(B639,'Coil Sheet at Plant'!$C:$I,7,FALSE),"?")&amp;" mm")</f>
        <v/>
      </c>
    </row>
    <row r="640" spans="1:15">
      <c r="A640" s="36"/>
      <c r="B640" s="32"/>
      <c r="C640" s="39"/>
      <c r="D640" s="44" t="str">
        <f>IF(OR(B640="",C640=""),"",CONCATENATE(B640,"-",C640))</f>
        <v/>
      </c>
      <c r="E640" s="49" t="str">
        <f>IF(B640="","",IFERROR(VLOOKUP(B640,'Coil Sheet at Plant'!$C:$G,5,FALSE),"ID Not Found"))</f>
        <v/>
      </c>
      <c r="F640" s="50" t="str">
        <f>IF(B640="","",IFERROR(VLOOKUP(B640,'Coil Sheet at Plant'!$C:$H,6,FALSE),"ID Not Found"))</f>
        <v/>
      </c>
      <c r="G640" s="81">
        <v>787</v>
      </c>
      <c r="H640" s="89" t="str">
        <f>IF(OR(B640="",G640=""),"",IFERROR(VLOOKUP(B640,'Coil Sheet at Plant'!$C:$J,8,FALSE),0)*G640/SUMIF(B:B,B640,G:G))</f>
        <v/>
      </c>
      <c r="I640" s="56" t="str">
        <f>IF(B640="","",IFERROR(VLOOKUP(B640,'Coil Sheet at Plant'!$C:$L,9,FALSE),""))</f>
        <v/>
      </c>
      <c r="J640" s="85" t="str">
        <f>IF(B640="","",IFERROR(VLOOKUP(B640,'Coil Sheet at Plant'!$C:$M,10,FALSE),""))</f>
        <v/>
      </c>
      <c r="K640" s="69" t="str">
        <f>IF(B640="","",SUMIF(B:B,B640,G:G))</f>
        <v/>
      </c>
      <c r="L640" s="70" t="str">
        <f>IF(B640="","",IFERROR(VLOOKUP(B640,'Coil Sheet at Plant'!$C:$I,7,FALSE),""))</f>
        <v/>
      </c>
      <c r="M640" s="71" t="str">
        <f>IF(OR(K640="",L640=""),"",IF(L640=0,"⚠ NO PARENT WIDTH",IF(K640&gt;L640,"⚠ BABY &gt; PARENT","✔ OK")))</f>
        <v/>
      </c>
      <c r="N640" s="71" t="str">
        <f>IF(D640="","",IF(COUNTIF(D$3:D640,D640)&gt;1,"⚠ DUPLICATE",""))</f>
        <v/>
      </c>
      <c r="O640" s="72" t="str">
        <f>IF(B640="","",SUMIF(B:B,B640,G:G)&amp;" / "&amp;IFERROR(VLOOKUP(B640,'Coil Sheet at Plant'!$C:$I,7,FALSE),"?")&amp;" mm")</f>
        <v/>
      </c>
    </row>
    <row r="641" spans="1:15">
      <c r="A641" s="36"/>
      <c r="B641" s="32"/>
      <c r="C641" s="39"/>
      <c r="D641" s="44" t="str">
        <f>IF(OR(B641="",C641=""),"",CONCATENATE(B641,"-",C641))</f>
        <v/>
      </c>
      <c r="E641" s="49" t="str">
        <f>IF(B641="","",IFERROR(VLOOKUP(B641,'Coil Sheet at Plant'!$C:$G,5,FALSE),"ID Not Found"))</f>
        <v/>
      </c>
      <c r="F641" s="50" t="str">
        <f>IF(B641="","",IFERROR(VLOOKUP(B641,'Coil Sheet at Plant'!$C:$H,6,FALSE),"ID Not Found"))</f>
        <v/>
      </c>
      <c r="G641" s="81">
        <v>788</v>
      </c>
      <c r="H641" s="89" t="str">
        <f>IF(OR(B641="",G641=""),"",IFERROR(VLOOKUP(B641,'Coil Sheet at Plant'!$C:$J,8,FALSE),0)*G641/SUMIF(B:B,B641,G:G))</f>
        <v/>
      </c>
      <c r="I641" s="56" t="str">
        <f>IF(B641="","",IFERROR(VLOOKUP(B641,'Coil Sheet at Plant'!$C:$L,9,FALSE),""))</f>
        <v/>
      </c>
      <c r="J641" s="85" t="str">
        <f>IF(B641="","",IFERROR(VLOOKUP(B641,'Coil Sheet at Plant'!$C:$M,10,FALSE),""))</f>
        <v/>
      </c>
      <c r="K641" s="69" t="str">
        <f>IF(B641="","",SUMIF(B:B,B641,G:G))</f>
        <v/>
      </c>
      <c r="L641" s="70" t="str">
        <f>IF(B641="","",IFERROR(VLOOKUP(B641,'Coil Sheet at Plant'!$C:$I,7,FALSE),""))</f>
        <v/>
      </c>
      <c r="M641" s="71" t="str">
        <f>IF(OR(K641="",L641=""),"",IF(L641=0,"⚠ NO PARENT WIDTH",IF(K641&gt;L641,"⚠ BABY &gt; PARENT","✔ OK")))</f>
        <v/>
      </c>
      <c r="N641" s="71" t="str">
        <f>IF(D641="","",IF(COUNTIF(D$3:D641,D641)&gt;1,"⚠ DUPLICATE",""))</f>
        <v/>
      </c>
      <c r="O641" s="72" t="str">
        <f>IF(B641="","",SUMIF(B:B,B641,G:G)&amp;" / "&amp;IFERROR(VLOOKUP(B641,'Coil Sheet at Plant'!$C:$I,7,FALSE),"?")&amp;" mm")</f>
        <v/>
      </c>
    </row>
    <row r="642" spans="1:15">
      <c r="A642" s="36"/>
      <c r="B642" s="32"/>
      <c r="C642" s="39"/>
      <c r="D642" s="44" t="str">
        <f>IF(OR(B642="",C642=""),"",CONCATENATE(B642,"-",C642))</f>
        <v/>
      </c>
      <c r="E642" s="49" t="str">
        <f>IF(B642="","",IFERROR(VLOOKUP(B642,'Coil Sheet at Plant'!$C:$G,5,FALSE),"ID Not Found"))</f>
        <v/>
      </c>
      <c r="F642" s="50" t="str">
        <f>IF(B642="","",IFERROR(VLOOKUP(B642,'Coil Sheet at Plant'!$C:$H,6,FALSE),"ID Not Found"))</f>
        <v/>
      </c>
      <c r="G642" s="81">
        <v>789</v>
      </c>
      <c r="H642" s="89" t="str">
        <f>IF(OR(B642="",G642=""),"",IFERROR(VLOOKUP(B642,'Coil Sheet at Plant'!$C:$J,8,FALSE),0)*G642/SUMIF(B:B,B642,G:G))</f>
        <v/>
      </c>
      <c r="I642" s="56" t="str">
        <f>IF(B642="","",IFERROR(VLOOKUP(B642,'Coil Sheet at Plant'!$C:$L,9,FALSE),""))</f>
        <v/>
      </c>
      <c r="J642" s="85" t="str">
        <f>IF(B642="","",IFERROR(VLOOKUP(B642,'Coil Sheet at Plant'!$C:$M,10,FALSE),""))</f>
        <v/>
      </c>
      <c r="K642" s="69" t="str">
        <f>IF(B642="","",SUMIF(B:B,B642,G:G))</f>
        <v/>
      </c>
      <c r="L642" s="70" t="str">
        <f>IF(B642="","",IFERROR(VLOOKUP(B642,'Coil Sheet at Plant'!$C:$I,7,FALSE),""))</f>
        <v/>
      </c>
      <c r="M642" s="71" t="str">
        <f>IF(OR(K642="",L642=""),"",IF(L642=0,"⚠ NO PARENT WIDTH",IF(K642&gt;L642,"⚠ BABY &gt; PARENT","✔ OK")))</f>
        <v/>
      </c>
      <c r="N642" s="71" t="str">
        <f>IF(D642="","",IF(COUNTIF(D$3:D642,D642)&gt;1,"⚠ DUPLICATE",""))</f>
        <v/>
      </c>
      <c r="O642" s="72" t="str">
        <f>IF(B642="","",SUMIF(B:B,B642,G:G)&amp;" / "&amp;IFERROR(VLOOKUP(B642,'Coil Sheet at Plant'!$C:$I,7,FALSE),"?")&amp;" mm")</f>
        <v/>
      </c>
    </row>
    <row r="643" spans="1:15">
      <c r="A643" s="36"/>
      <c r="B643" s="32"/>
      <c r="C643" s="39"/>
      <c r="D643" s="44" t="str">
        <f>IF(OR(B643="",C643=""),"",CONCATENATE(B643,"-",C643))</f>
        <v/>
      </c>
      <c r="E643" s="49" t="str">
        <f>IF(B643="","",IFERROR(VLOOKUP(B643,'Coil Sheet at Plant'!$C:$G,5,FALSE),"ID Not Found"))</f>
        <v/>
      </c>
      <c r="F643" s="50" t="str">
        <f>IF(B643="","",IFERROR(VLOOKUP(B643,'Coil Sheet at Plant'!$C:$H,6,FALSE),"ID Not Found"))</f>
        <v/>
      </c>
      <c r="G643" s="81">
        <v>790</v>
      </c>
      <c r="H643" s="89" t="str">
        <f>IF(OR(B643="",G643=""),"",IFERROR(VLOOKUP(B643,'Coil Sheet at Plant'!$C:$J,8,FALSE),0)*G643/SUMIF(B:B,B643,G:G))</f>
        <v/>
      </c>
      <c r="I643" s="56" t="str">
        <f>IF(B643="","",IFERROR(VLOOKUP(B643,'Coil Sheet at Plant'!$C:$L,9,FALSE),""))</f>
        <v/>
      </c>
      <c r="J643" s="85" t="str">
        <f>IF(B643="","",IFERROR(VLOOKUP(B643,'Coil Sheet at Plant'!$C:$M,10,FALSE),""))</f>
        <v/>
      </c>
      <c r="K643" s="69" t="str">
        <f>IF(B643="","",SUMIF(B:B,B643,G:G))</f>
        <v/>
      </c>
      <c r="L643" s="70" t="str">
        <f>IF(B643="","",IFERROR(VLOOKUP(B643,'Coil Sheet at Plant'!$C:$I,7,FALSE),""))</f>
        <v/>
      </c>
      <c r="M643" s="71" t="str">
        <f>IF(OR(K643="",L643=""),"",IF(L643=0,"⚠ NO PARENT WIDTH",IF(K643&gt;L643,"⚠ BABY &gt; PARENT","✔ OK")))</f>
        <v/>
      </c>
      <c r="N643" s="71" t="str">
        <f>IF(D643="","",IF(COUNTIF(D$3:D643,D643)&gt;1,"⚠ DUPLICATE",""))</f>
        <v/>
      </c>
      <c r="O643" s="72" t="str">
        <f>IF(B643="","",SUMIF(B:B,B643,G:G)&amp;" / "&amp;IFERROR(VLOOKUP(B643,'Coil Sheet at Plant'!$C:$I,7,FALSE),"?")&amp;" mm")</f>
        <v/>
      </c>
    </row>
    <row r="644" spans="1:15">
      <c r="A644" s="36"/>
      <c r="B644" s="32"/>
      <c r="C644" s="39"/>
      <c r="D644" s="44" t="str">
        <f>IF(OR(B644="",C644=""),"",CONCATENATE(B644,"-",C644))</f>
        <v/>
      </c>
      <c r="E644" s="49" t="str">
        <f>IF(B644="","",IFERROR(VLOOKUP(B644,'Coil Sheet at Plant'!$C:$G,5,FALSE),"ID Not Found"))</f>
        <v/>
      </c>
      <c r="F644" s="50" t="str">
        <f>IF(B644="","",IFERROR(VLOOKUP(B644,'Coil Sheet at Plant'!$C:$H,6,FALSE),"ID Not Found"))</f>
        <v/>
      </c>
      <c r="G644" s="81">
        <v>791</v>
      </c>
      <c r="H644" s="89" t="str">
        <f>IF(OR(B644="",G644=""),"",IFERROR(VLOOKUP(B644,'Coil Sheet at Plant'!$C:$J,8,FALSE),0)*G644/SUMIF(B:B,B644,G:G))</f>
        <v/>
      </c>
      <c r="I644" s="56" t="str">
        <f>IF(B644="","",IFERROR(VLOOKUP(B644,'Coil Sheet at Plant'!$C:$L,9,FALSE),""))</f>
        <v/>
      </c>
      <c r="J644" s="85" t="str">
        <f>IF(B644="","",IFERROR(VLOOKUP(B644,'Coil Sheet at Plant'!$C:$M,10,FALSE),""))</f>
        <v/>
      </c>
      <c r="K644" s="69" t="str">
        <f>IF(B644="","",SUMIF(B:B,B644,G:G))</f>
        <v/>
      </c>
      <c r="L644" s="70" t="str">
        <f>IF(B644="","",IFERROR(VLOOKUP(B644,'Coil Sheet at Plant'!$C:$I,7,FALSE),""))</f>
        <v/>
      </c>
      <c r="M644" s="71" t="str">
        <f>IF(OR(K644="",L644=""),"",IF(L644=0,"⚠ NO PARENT WIDTH",IF(K644&gt;L644,"⚠ BABY &gt; PARENT","✔ OK")))</f>
        <v/>
      </c>
      <c r="N644" s="71" t="str">
        <f>IF(D644="","",IF(COUNTIF(D$3:D644,D644)&gt;1,"⚠ DUPLICATE",""))</f>
        <v/>
      </c>
      <c r="O644" s="72" t="str">
        <f>IF(B644="","",SUMIF(B:B,B644,G:G)&amp;" / "&amp;IFERROR(VLOOKUP(B644,'Coil Sheet at Plant'!$C:$I,7,FALSE),"?")&amp;" mm")</f>
        <v/>
      </c>
    </row>
    <row r="645" spans="1:15">
      <c r="A645" s="36"/>
      <c r="B645" s="32"/>
      <c r="C645" s="39"/>
      <c r="D645" s="44" t="str">
        <f>IF(OR(B645="",C645=""),"",CONCATENATE(B645,"-",C645))</f>
        <v/>
      </c>
      <c r="E645" s="49" t="str">
        <f>IF(B645="","",IFERROR(VLOOKUP(B645,'Coil Sheet at Plant'!$C:$G,5,FALSE),"ID Not Found"))</f>
        <v/>
      </c>
      <c r="F645" s="50" t="str">
        <f>IF(B645="","",IFERROR(VLOOKUP(B645,'Coil Sheet at Plant'!$C:$H,6,FALSE),"ID Not Found"))</f>
        <v/>
      </c>
      <c r="G645" s="81">
        <v>792</v>
      </c>
      <c r="H645" s="89" t="str">
        <f>IF(OR(B645="",G645=""),"",IFERROR(VLOOKUP(B645,'Coil Sheet at Plant'!$C:$J,8,FALSE),0)*G645/SUMIF(B:B,B645,G:G))</f>
        <v/>
      </c>
      <c r="I645" s="56" t="str">
        <f>IF(B645="","",IFERROR(VLOOKUP(B645,'Coil Sheet at Plant'!$C:$L,9,FALSE),""))</f>
        <v/>
      </c>
      <c r="J645" s="85" t="str">
        <f>IF(B645="","",IFERROR(VLOOKUP(B645,'Coil Sheet at Plant'!$C:$M,10,FALSE),""))</f>
        <v/>
      </c>
      <c r="K645" s="69" t="str">
        <f>IF(B645="","",SUMIF(B:B,B645,G:G))</f>
        <v/>
      </c>
      <c r="L645" s="70" t="str">
        <f>IF(B645="","",IFERROR(VLOOKUP(B645,'Coil Sheet at Plant'!$C:$I,7,FALSE),""))</f>
        <v/>
      </c>
      <c r="M645" s="71" t="str">
        <f>IF(OR(K645="",L645=""),"",IF(L645=0,"⚠ NO PARENT WIDTH",IF(K645&gt;L645,"⚠ BABY &gt; PARENT","✔ OK")))</f>
        <v/>
      </c>
      <c r="N645" s="71" t="str">
        <f>IF(D645="","",IF(COUNTIF(D$3:D645,D645)&gt;1,"⚠ DUPLICATE",""))</f>
        <v/>
      </c>
      <c r="O645" s="72" t="str">
        <f>IF(B645="","",SUMIF(B:B,B645,G:G)&amp;" / "&amp;IFERROR(VLOOKUP(B645,'Coil Sheet at Plant'!$C:$I,7,FALSE),"?")&amp;" mm")</f>
        <v/>
      </c>
    </row>
    <row r="646" spans="1:15">
      <c r="A646" s="36"/>
      <c r="B646" s="32"/>
      <c r="C646" s="39"/>
      <c r="D646" s="44" t="str">
        <f>IF(OR(B646="",C646=""),"",CONCATENATE(B646,"-",C646))</f>
        <v/>
      </c>
      <c r="E646" s="49" t="str">
        <f>IF(B646="","",IFERROR(VLOOKUP(B646,'Coil Sheet at Plant'!$C:$G,5,FALSE),"ID Not Found"))</f>
        <v/>
      </c>
      <c r="F646" s="50" t="str">
        <f>IF(B646="","",IFERROR(VLOOKUP(B646,'Coil Sheet at Plant'!$C:$H,6,FALSE),"ID Not Found"))</f>
        <v/>
      </c>
      <c r="G646" s="81">
        <v>793</v>
      </c>
      <c r="H646" s="89" t="str">
        <f>IF(OR(B646="",G646=""),"",IFERROR(VLOOKUP(B646,'Coil Sheet at Plant'!$C:$J,8,FALSE),0)*G646/SUMIF(B:B,B646,G:G))</f>
        <v/>
      </c>
      <c r="I646" s="56" t="str">
        <f>IF(B646="","",IFERROR(VLOOKUP(B646,'Coil Sheet at Plant'!$C:$L,9,FALSE),""))</f>
        <v/>
      </c>
      <c r="J646" s="85" t="str">
        <f>IF(B646="","",IFERROR(VLOOKUP(B646,'Coil Sheet at Plant'!$C:$M,10,FALSE),""))</f>
        <v/>
      </c>
      <c r="K646" s="69" t="str">
        <f>IF(B646="","",SUMIF(B:B,B646,G:G))</f>
        <v/>
      </c>
      <c r="L646" s="70" t="str">
        <f>IF(B646="","",IFERROR(VLOOKUP(B646,'Coil Sheet at Plant'!$C:$I,7,FALSE),""))</f>
        <v/>
      </c>
      <c r="M646" s="71" t="str">
        <f>IF(OR(K646="",L646=""),"",IF(L646=0,"⚠ NO PARENT WIDTH",IF(K646&gt;L646,"⚠ BABY &gt; PARENT","✔ OK")))</f>
        <v/>
      </c>
      <c r="N646" s="71" t="str">
        <f>IF(D646="","",IF(COUNTIF(D$3:D646,D646)&gt;1,"⚠ DUPLICATE",""))</f>
        <v/>
      </c>
      <c r="O646" s="72" t="str">
        <f>IF(B646="","",SUMIF(B:B,B646,G:G)&amp;" / "&amp;IFERROR(VLOOKUP(B646,'Coil Sheet at Plant'!$C:$I,7,FALSE),"?")&amp;" mm")</f>
        <v/>
      </c>
    </row>
    <row r="647" spans="1:15">
      <c r="A647" s="36"/>
      <c r="B647" s="32"/>
      <c r="C647" s="39"/>
      <c r="D647" s="44" t="str">
        <f>IF(OR(B647="",C647=""),"",CONCATENATE(B647,"-",C647))</f>
        <v/>
      </c>
      <c r="E647" s="49" t="str">
        <f>IF(B647="","",IFERROR(VLOOKUP(B647,'Coil Sheet at Plant'!$C:$G,5,FALSE),"ID Not Found"))</f>
        <v/>
      </c>
      <c r="F647" s="50" t="str">
        <f>IF(B647="","",IFERROR(VLOOKUP(B647,'Coil Sheet at Plant'!$C:$H,6,FALSE),"ID Not Found"))</f>
        <v/>
      </c>
      <c r="G647" s="81">
        <v>794</v>
      </c>
      <c r="H647" s="89" t="str">
        <f>IF(OR(B647="",G647=""),"",IFERROR(VLOOKUP(B647,'Coil Sheet at Plant'!$C:$J,8,FALSE),0)*G647/SUMIF(B:B,B647,G:G))</f>
        <v/>
      </c>
      <c r="I647" s="56" t="str">
        <f>IF(B647="","",IFERROR(VLOOKUP(B647,'Coil Sheet at Plant'!$C:$L,9,FALSE),""))</f>
        <v/>
      </c>
      <c r="J647" s="85" t="str">
        <f>IF(B647="","",IFERROR(VLOOKUP(B647,'Coil Sheet at Plant'!$C:$M,10,FALSE),""))</f>
        <v/>
      </c>
      <c r="K647" s="69" t="str">
        <f>IF(B647="","",SUMIF(B:B,B647,G:G))</f>
        <v/>
      </c>
      <c r="L647" s="70" t="str">
        <f>IF(B647="","",IFERROR(VLOOKUP(B647,'Coil Sheet at Plant'!$C:$I,7,FALSE),""))</f>
        <v/>
      </c>
      <c r="M647" s="71" t="str">
        <f>IF(OR(K647="",L647=""),"",IF(L647=0,"⚠ NO PARENT WIDTH",IF(K647&gt;L647,"⚠ BABY &gt; PARENT","✔ OK")))</f>
        <v/>
      </c>
      <c r="N647" s="71" t="str">
        <f>IF(D647="","",IF(COUNTIF(D$3:D647,D647)&gt;1,"⚠ DUPLICATE",""))</f>
        <v/>
      </c>
      <c r="O647" s="72" t="str">
        <f>IF(B647="","",SUMIF(B:B,B647,G:G)&amp;" / "&amp;IFERROR(VLOOKUP(B647,'Coil Sheet at Plant'!$C:$I,7,FALSE),"?")&amp;" mm")</f>
        <v/>
      </c>
    </row>
    <row r="648" spans="1:15">
      <c r="A648" s="36"/>
      <c r="B648" s="32"/>
      <c r="C648" s="39"/>
      <c r="D648" s="44" t="str">
        <f>IF(OR(B648="",C648=""),"",CONCATENATE(B648,"-",C648))</f>
        <v/>
      </c>
      <c r="E648" s="49" t="str">
        <f>IF(B648="","",IFERROR(VLOOKUP(B648,'Coil Sheet at Plant'!$C:$G,5,FALSE),"ID Not Found"))</f>
        <v/>
      </c>
      <c r="F648" s="50" t="str">
        <f>IF(B648="","",IFERROR(VLOOKUP(B648,'Coil Sheet at Plant'!$C:$H,6,FALSE),"ID Not Found"))</f>
        <v/>
      </c>
      <c r="G648" s="81">
        <v>795</v>
      </c>
      <c r="H648" s="89" t="str">
        <f>IF(OR(B648="",G648=""),"",IFERROR(VLOOKUP(B648,'Coil Sheet at Plant'!$C:$J,8,FALSE),0)*G648/SUMIF(B:B,B648,G:G))</f>
        <v/>
      </c>
      <c r="I648" s="56" t="str">
        <f>IF(B648="","",IFERROR(VLOOKUP(B648,'Coil Sheet at Plant'!$C:$L,9,FALSE),""))</f>
        <v/>
      </c>
      <c r="J648" s="85" t="str">
        <f>IF(B648="","",IFERROR(VLOOKUP(B648,'Coil Sheet at Plant'!$C:$M,10,FALSE),""))</f>
        <v/>
      </c>
      <c r="K648" s="69" t="str">
        <f>IF(B648="","",SUMIF(B:B,B648,G:G))</f>
        <v/>
      </c>
      <c r="L648" s="70" t="str">
        <f>IF(B648="","",IFERROR(VLOOKUP(B648,'Coil Sheet at Plant'!$C:$I,7,FALSE),""))</f>
        <v/>
      </c>
      <c r="M648" s="71" t="str">
        <f>IF(OR(K648="",L648=""),"",IF(L648=0,"⚠ NO PARENT WIDTH",IF(K648&gt;L648,"⚠ BABY &gt; PARENT","✔ OK")))</f>
        <v/>
      </c>
      <c r="N648" s="71" t="str">
        <f>IF(D648="","",IF(COUNTIF(D$3:D648,D648)&gt;1,"⚠ DUPLICATE",""))</f>
        <v/>
      </c>
      <c r="O648" s="72" t="str">
        <f>IF(B648="","",SUMIF(B:B,B648,G:G)&amp;" / "&amp;IFERROR(VLOOKUP(B648,'Coil Sheet at Plant'!$C:$I,7,FALSE),"?")&amp;" mm")</f>
        <v/>
      </c>
    </row>
    <row r="649" spans="1:15">
      <c r="A649" s="36"/>
      <c r="B649" s="32"/>
      <c r="C649" s="39"/>
      <c r="D649" s="44" t="str">
        <f>IF(OR(B649="",C649=""),"",CONCATENATE(B649,"-",C649))</f>
        <v/>
      </c>
      <c r="E649" s="49" t="str">
        <f>IF(B649="","",IFERROR(VLOOKUP(B649,'Coil Sheet at Plant'!$C:$G,5,FALSE),"ID Not Found"))</f>
        <v/>
      </c>
      <c r="F649" s="50" t="str">
        <f>IF(B649="","",IFERROR(VLOOKUP(B649,'Coil Sheet at Plant'!$C:$H,6,FALSE),"ID Not Found"))</f>
        <v/>
      </c>
      <c r="G649" s="81">
        <v>796</v>
      </c>
      <c r="H649" s="89" t="str">
        <f>IF(OR(B649="",G649=""),"",IFERROR(VLOOKUP(B649,'Coil Sheet at Plant'!$C:$J,8,FALSE),0)*G649/SUMIF(B:B,B649,G:G))</f>
        <v/>
      </c>
      <c r="I649" s="56" t="str">
        <f>IF(B649="","",IFERROR(VLOOKUP(B649,'Coil Sheet at Plant'!$C:$L,9,FALSE),""))</f>
        <v/>
      </c>
      <c r="J649" s="85" t="str">
        <f>IF(B649="","",IFERROR(VLOOKUP(B649,'Coil Sheet at Plant'!$C:$M,10,FALSE),""))</f>
        <v/>
      </c>
      <c r="K649" s="69" t="str">
        <f>IF(B649="","",SUMIF(B:B,B649,G:G))</f>
        <v/>
      </c>
      <c r="L649" s="70" t="str">
        <f>IF(B649="","",IFERROR(VLOOKUP(B649,'Coil Sheet at Plant'!$C:$I,7,FALSE),""))</f>
        <v/>
      </c>
      <c r="M649" s="71" t="str">
        <f>IF(OR(K649="",L649=""),"",IF(L649=0,"⚠ NO PARENT WIDTH",IF(K649&gt;L649,"⚠ BABY &gt; PARENT","✔ OK")))</f>
        <v/>
      </c>
      <c r="N649" s="71" t="str">
        <f>IF(D649="","",IF(COUNTIF(D$3:D649,D649)&gt;1,"⚠ DUPLICATE",""))</f>
        <v/>
      </c>
      <c r="O649" s="72" t="str">
        <f>IF(B649="","",SUMIF(B:B,B649,G:G)&amp;" / "&amp;IFERROR(VLOOKUP(B649,'Coil Sheet at Plant'!$C:$I,7,FALSE),"?")&amp;" mm")</f>
        <v/>
      </c>
    </row>
    <row r="650" spans="1:15">
      <c r="A650" s="36"/>
      <c r="B650" s="32"/>
      <c r="C650" s="39"/>
      <c r="D650" s="44" t="str">
        <f>IF(OR(B650="",C650=""),"",CONCATENATE(B650,"-",C650))</f>
        <v/>
      </c>
      <c r="E650" s="49" t="str">
        <f>IF(B650="","",IFERROR(VLOOKUP(B650,'Coil Sheet at Plant'!$C:$G,5,FALSE),"ID Not Found"))</f>
        <v/>
      </c>
      <c r="F650" s="50" t="str">
        <f>IF(B650="","",IFERROR(VLOOKUP(B650,'Coil Sheet at Plant'!$C:$H,6,FALSE),"ID Not Found"))</f>
        <v/>
      </c>
      <c r="G650" s="81">
        <v>797</v>
      </c>
      <c r="H650" s="89" t="str">
        <f>IF(OR(B650="",G650=""),"",IFERROR(VLOOKUP(B650,'Coil Sheet at Plant'!$C:$J,8,FALSE),0)*G650/SUMIF(B:B,B650,G:G))</f>
        <v/>
      </c>
      <c r="I650" s="56" t="str">
        <f>IF(B650="","",IFERROR(VLOOKUP(B650,'Coil Sheet at Plant'!$C:$L,9,FALSE),""))</f>
        <v/>
      </c>
      <c r="J650" s="85" t="str">
        <f>IF(B650="","",IFERROR(VLOOKUP(B650,'Coil Sheet at Plant'!$C:$M,10,FALSE),""))</f>
        <v/>
      </c>
      <c r="K650" s="69" t="str">
        <f>IF(B650="","",SUMIF(B:B,B650,G:G))</f>
        <v/>
      </c>
      <c r="L650" s="70" t="str">
        <f>IF(B650="","",IFERROR(VLOOKUP(B650,'Coil Sheet at Plant'!$C:$I,7,FALSE),""))</f>
        <v/>
      </c>
      <c r="M650" s="71" t="str">
        <f>IF(OR(K650="",L650=""),"",IF(L650=0,"⚠ NO PARENT WIDTH",IF(K650&gt;L650,"⚠ BABY &gt; PARENT","✔ OK")))</f>
        <v/>
      </c>
      <c r="N650" s="71" t="str">
        <f>IF(D650="","",IF(COUNTIF(D$3:D650,D650)&gt;1,"⚠ DUPLICATE",""))</f>
        <v/>
      </c>
      <c r="O650" s="72" t="str">
        <f>IF(B650="","",SUMIF(B:B,B650,G:G)&amp;" / "&amp;IFERROR(VLOOKUP(B650,'Coil Sheet at Plant'!$C:$I,7,FALSE),"?")&amp;" mm")</f>
        <v/>
      </c>
    </row>
    <row r="651" spans="1:15">
      <c r="A651" s="36"/>
      <c r="B651" s="32"/>
      <c r="C651" s="39"/>
      <c r="D651" s="44" t="str">
        <f>IF(OR(B651="",C651=""),"",CONCATENATE(B651,"-",C651))</f>
        <v/>
      </c>
      <c r="E651" s="49" t="str">
        <f>IF(B651="","",IFERROR(VLOOKUP(B651,'Coil Sheet at Plant'!$C:$G,5,FALSE),"ID Not Found"))</f>
        <v/>
      </c>
      <c r="F651" s="50" t="str">
        <f>IF(B651="","",IFERROR(VLOOKUP(B651,'Coil Sheet at Plant'!$C:$H,6,FALSE),"ID Not Found"))</f>
        <v/>
      </c>
      <c r="G651" s="81">
        <v>798</v>
      </c>
      <c r="H651" s="89" t="str">
        <f>IF(OR(B651="",G651=""),"",IFERROR(VLOOKUP(B651,'Coil Sheet at Plant'!$C:$J,8,FALSE),0)*G651/SUMIF(B:B,B651,G:G))</f>
        <v/>
      </c>
      <c r="I651" s="56" t="str">
        <f>IF(B651="","",IFERROR(VLOOKUP(B651,'Coil Sheet at Plant'!$C:$L,9,FALSE),""))</f>
        <v/>
      </c>
      <c r="J651" s="85" t="str">
        <f>IF(B651="","",IFERROR(VLOOKUP(B651,'Coil Sheet at Plant'!$C:$M,10,FALSE),""))</f>
        <v/>
      </c>
      <c r="K651" s="69" t="str">
        <f>IF(B651="","",SUMIF(B:B,B651,G:G))</f>
        <v/>
      </c>
      <c r="L651" s="70" t="str">
        <f>IF(B651="","",IFERROR(VLOOKUP(B651,'Coil Sheet at Plant'!$C:$I,7,FALSE),""))</f>
        <v/>
      </c>
      <c r="M651" s="71" t="str">
        <f>IF(OR(K651="",L651=""),"",IF(L651=0,"⚠ NO PARENT WIDTH",IF(K651&gt;L651,"⚠ BABY &gt; PARENT","✔ OK")))</f>
        <v/>
      </c>
      <c r="N651" s="71" t="str">
        <f>IF(D651="","",IF(COUNTIF(D$3:D651,D651)&gt;1,"⚠ DUPLICATE",""))</f>
        <v/>
      </c>
      <c r="O651" s="72" t="str">
        <f>IF(B651="","",SUMIF(B:B,B651,G:G)&amp;" / "&amp;IFERROR(VLOOKUP(B651,'Coil Sheet at Plant'!$C:$I,7,FALSE),"?")&amp;" mm")</f>
        <v/>
      </c>
    </row>
    <row r="652" spans="1:15">
      <c r="A652" s="36"/>
      <c r="B652" s="32"/>
      <c r="C652" s="39"/>
      <c r="D652" s="44" t="str">
        <f>IF(OR(B652="",C652=""),"",CONCATENATE(B652,"-",C652))</f>
        <v/>
      </c>
      <c r="E652" s="49" t="str">
        <f>IF(B652="","",IFERROR(VLOOKUP(B652,'Coil Sheet at Plant'!$C:$G,5,FALSE),"ID Not Found"))</f>
        <v/>
      </c>
      <c r="F652" s="50" t="str">
        <f>IF(B652="","",IFERROR(VLOOKUP(B652,'Coil Sheet at Plant'!$C:$H,6,FALSE),"ID Not Found"))</f>
        <v/>
      </c>
      <c r="G652" s="81">
        <v>799</v>
      </c>
      <c r="H652" s="89" t="str">
        <f>IF(OR(B652="",G652=""),"",IFERROR(VLOOKUP(B652,'Coil Sheet at Plant'!$C:$J,8,FALSE),0)*G652/SUMIF(B:B,B652,G:G))</f>
        <v/>
      </c>
      <c r="I652" s="56" t="str">
        <f>IF(B652="","",IFERROR(VLOOKUP(B652,'Coil Sheet at Plant'!$C:$L,9,FALSE),""))</f>
        <v/>
      </c>
      <c r="J652" s="85" t="str">
        <f>IF(B652="","",IFERROR(VLOOKUP(B652,'Coil Sheet at Plant'!$C:$M,10,FALSE),""))</f>
        <v/>
      </c>
      <c r="K652" s="69" t="str">
        <f>IF(B652="","",SUMIF(B:B,B652,G:G))</f>
        <v/>
      </c>
      <c r="L652" s="70" t="str">
        <f>IF(B652="","",IFERROR(VLOOKUP(B652,'Coil Sheet at Plant'!$C:$I,7,FALSE),""))</f>
        <v/>
      </c>
      <c r="M652" s="71" t="str">
        <f>IF(OR(K652="",L652=""),"",IF(L652=0,"⚠ NO PARENT WIDTH",IF(K652&gt;L652,"⚠ BABY &gt; PARENT","✔ OK")))</f>
        <v/>
      </c>
      <c r="N652" s="71" t="str">
        <f>IF(D652="","",IF(COUNTIF(D$3:D652,D652)&gt;1,"⚠ DUPLICATE",""))</f>
        <v/>
      </c>
      <c r="O652" s="72" t="str">
        <f>IF(B652="","",SUMIF(B:B,B652,G:G)&amp;" / "&amp;IFERROR(VLOOKUP(B652,'Coil Sheet at Plant'!$C:$I,7,FALSE),"?")&amp;" mm")</f>
        <v/>
      </c>
    </row>
    <row r="653" spans="1:15">
      <c r="A653" s="36"/>
      <c r="B653" s="32"/>
      <c r="C653" s="39"/>
      <c r="D653" s="44" t="str">
        <f>IF(OR(B653="",C653=""),"",CONCATENATE(B653,"-",C653))</f>
        <v/>
      </c>
      <c r="E653" s="49" t="str">
        <f>IF(B653="","",IFERROR(VLOOKUP(B653,'Coil Sheet at Plant'!$C:$G,5,FALSE),"ID Not Found"))</f>
        <v/>
      </c>
      <c r="F653" s="50" t="str">
        <f>IF(B653="","",IFERROR(VLOOKUP(B653,'Coil Sheet at Plant'!$C:$H,6,FALSE),"ID Not Found"))</f>
        <v/>
      </c>
      <c r="G653" s="81">
        <v>800</v>
      </c>
      <c r="H653" s="89" t="str">
        <f>IF(OR(B653="",G653=""),"",IFERROR(VLOOKUP(B653,'Coil Sheet at Plant'!$C:$J,8,FALSE),0)*G653/SUMIF(B:B,B653,G:G))</f>
        <v/>
      </c>
      <c r="I653" s="56" t="str">
        <f>IF(B653="","",IFERROR(VLOOKUP(B653,'Coil Sheet at Plant'!$C:$L,9,FALSE),""))</f>
        <v/>
      </c>
      <c r="J653" s="85" t="str">
        <f>IF(B653="","",IFERROR(VLOOKUP(B653,'Coil Sheet at Plant'!$C:$M,10,FALSE),""))</f>
        <v/>
      </c>
      <c r="K653" s="69" t="str">
        <f>IF(B653="","",SUMIF(B:B,B653,G:G))</f>
        <v/>
      </c>
      <c r="L653" s="70" t="str">
        <f>IF(B653="","",IFERROR(VLOOKUP(B653,'Coil Sheet at Plant'!$C:$I,7,FALSE),""))</f>
        <v/>
      </c>
      <c r="M653" s="71" t="str">
        <f>IF(OR(K653="",L653=""),"",IF(L653=0,"⚠ NO PARENT WIDTH",IF(K653&gt;L653,"⚠ BABY &gt; PARENT","✔ OK")))</f>
        <v/>
      </c>
      <c r="N653" s="71" t="str">
        <f>IF(D653="","",IF(COUNTIF(D$3:D653,D653)&gt;1,"⚠ DUPLICATE",""))</f>
        <v/>
      </c>
      <c r="O653" s="72" t="str">
        <f>IF(B653="","",SUMIF(B:B,B653,G:G)&amp;" / "&amp;IFERROR(VLOOKUP(B653,'Coil Sheet at Plant'!$C:$I,7,FALSE),"?")&amp;" mm")</f>
        <v/>
      </c>
    </row>
    <row r="654" spans="1:15">
      <c r="A654" s="36"/>
      <c r="B654" s="32"/>
      <c r="C654" s="39"/>
      <c r="D654" s="44" t="str">
        <f>IF(OR(B654="",C654=""),"",CONCATENATE(B654,"-",C654))</f>
        <v/>
      </c>
      <c r="E654" s="49" t="str">
        <f>IF(B654="","",IFERROR(VLOOKUP(B654,'Coil Sheet at Plant'!$C:$G,5,FALSE),"ID Not Found"))</f>
        <v/>
      </c>
      <c r="F654" s="50" t="str">
        <f>IF(B654="","",IFERROR(VLOOKUP(B654,'Coil Sheet at Plant'!$C:$H,6,FALSE),"ID Not Found"))</f>
        <v/>
      </c>
      <c r="G654" s="81">
        <v>801</v>
      </c>
      <c r="H654" s="89" t="str">
        <f>IF(OR(B654="",G654=""),"",IFERROR(VLOOKUP(B654,'Coil Sheet at Plant'!$C:$J,8,FALSE),0)*G654/SUMIF(B:B,B654,G:G))</f>
        <v/>
      </c>
      <c r="I654" s="56" t="str">
        <f>IF(B654="","",IFERROR(VLOOKUP(B654,'Coil Sheet at Plant'!$C:$L,9,FALSE),""))</f>
        <v/>
      </c>
      <c r="J654" s="85" t="str">
        <f>IF(B654="","",IFERROR(VLOOKUP(B654,'Coil Sheet at Plant'!$C:$M,10,FALSE),""))</f>
        <v/>
      </c>
      <c r="K654" s="69" t="str">
        <f>IF(B654="","",SUMIF(B:B,B654,G:G))</f>
        <v/>
      </c>
      <c r="L654" s="70" t="str">
        <f>IF(B654="","",IFERROR(VLOOKUP(B654,'Coil Sheet at Plant'!$C:$I,7,FALSE),""))</f>
        <v/>
      </c>
      <c r="M654" s="71" t="str">
        <f>IF(OR(K654="",L654=""),"",IF(L654=0,"⚠ NO PARENT WIDTH",IF(K654&gt;L654,"⚠ BABY &gt; PARENT","✔ OK")))</f>
        <v/>
      </c>
      <c r="N654" s="71" t="str">
        <f>IF(D654="","",IF(COUNTIF(D$3:D654,D654)&gt;1,"⚠ DUPLICATE",""))</f>
        <v/>
      </c>
      <c r="O654" s="72" t="str">
        <f>IF(B654="","",SUMIF(B:B,B654,G:G)&amp;" / "&amp;IFERROR(VLOOKUP(B654,'Coil Sheet at Plant'!$C:$I,7,FALSE),"?")&amp;" mm")</f>
        <v/>
      </c>
    </row>
    <row r="655" spans="1:15">
      <c r="A655" s="36"/>
      <c r="B655" s="32"/>
      <c r="C655" s="39"/>
      <c r="D655" s="44" t="str">
        <f>IF(OR(B655="",C655=""),"",CONCATENATE(B655,"-",C655))</f>
        <v/>
      </c>
      <c r="E655" s="49" t="str">
        <f>IF(B655="","",IFERROR(VLOOKUP(B655,'Coil Sheet at Plant'!$C:$G,5,FALSE),"ID Not Found"))</f>
        <v/>
      </c>
      <c r="F655" s="50" t="str">
        <f>IF(B655="","",IFERROR(VLOOKUP(B655,'Coil Sheet at Plant'!$C:$H,6,FALSE),"ID Not Found"))</f>
        <v/>
      </c>
      <c r="G655" s="81">
        <v>802</v>
      </c>
      <c r="H655" s="89" t="str">
        <f>IF(OR(B655="",G655=""),"",IFERROR(VLOOKUP(B655,'Coil Sheet at Plant'!$C:$J,8,FALSE),0)*G655/SUMIF(B:B,B655,G:G))</f>
        <v/>
      </c>
      <c r="I655" s="56" t="str">
        <f>IF(B655="","",IFERROR(VLOOKUP(B655,'Coil Sheet at Plant'!$C:$L,9,FALSE),""))</f>
        <v/>
      </c>
      <c r="J655" s="85" t="str">
        <f>IF(B655="","",IFERROR(VLOOKUP(B655,'Coil Sheet at Plant'!$C:$M,10,FALSE),""))</f>
        <v/>
      </c>
      <c r="K655" s="69" t="str">
        <f>IF(B655="","",SUMIF(B:B,B655,G:G))</f>
        <v/>
      </c>
      <c r="L655" s="70" t="str">
        <f>IF(B655="","",IFERROR(VLOOKUP(B655,'Coil Sheet at Plant'!$C:$I,7,FALSE),""))</f>
        <v/>
      </c>
      <c r="M655" s="71" t="str">
        <f>IF(OR(K655="",L655=""),"",IF(L655=0,"⚠ NO PARENT WIDTH",IF(K655&gt;L655,"⚠ BABY &gt; PARENT","✔ OK")))</f>
        <v/>
      </c>
      <c r="N655" s="71" t="str">
        <f>IF(D655="","",IF(COUNTIF(D$3:D655,D655)&gt;1,"⚠ DUPLICATE",""))</f>
        <v/>
      </c>
      <c r="O655" s="72" t="str">
        <f>IF(B655="","",SUMIF(B:B,B655,G:G)&amp;" / "&amp;IFERROR(VLOOKUP(B655,'Coil Sheet at Plant'!$C:$I,7,FALSE),"?")&amp;" mm")</f>
        <v/>
      </c>
    </row>
    <row r="656" spans="1:15">
      <c r="A656" s="36"/>
      <c r="B656" s="32"/>
      <c r="C656" s="39"/>
      <c r="D656" s="44" t="str">
        <f>IF(OR(B656="",C656=""),"",CONCATENATE(B656,"-",C656))</f>
        <v/>
      </c>
      <c r="E656" s="49" t="str">
        <f>IF(B656="","",IFERROR(VLOOKUP(B656,'Coil Sheet at Plant'!$C:$G,5,FALSE),"ID Not Found"))</f>
        <v/>
      </c>
      <c r="F656" s="50" t="str">
        <f>IF(B656="","",IFERROR(VLOOKUP(B656,'Coil Sheet at Plant'!$C:$H,6,FALSE),"ID Not Found"))</f>
        <v/>
      </c>
      <c r="G656" s="81">
        <v>803</v>
      </c>
      <c r="H656" s="89" t="str">
        <f>IF(OR(B656="",G656=""),"",IFERROR(VLOOKUP(B656,'Coil Sheet at Plant'!$C:$J,8,FALSE),0)*G656/SUMIF(B:B,B656,G:G))</f>
        <v/>
      </c>
      <c r="I656" s="56" t="str">
        <f>IF(B656="","",IFERROR(VLOOKUP(B656,'Coil Sheet at Plant'!$C:$L,9,FALSE),""))</f>
        <v/>
      </c>
      <c r="J656" s="85" t="str">
        <f>IF(B656="","",IFERROR(VLOOKUP(B656,'Coil Sheet at Plant'!$C:$M,10,FALSE),""))</f>
        <v/>
      </c>
      <c r="K656" s="69" t="str">
        <f>IF(B656="","",SUMIF(B:B,B656,G:G))</f>
        <v/>
      </c>
      <c r="L656" s="70" t="str">
        <f>IF(B656="","",IFERROR(VLOOKUP(B656,'Coil Sheet at Plant'!$C:$I,7,FALSE),""))</f>
        <v/>
      </c>
      <c r="M656" s="71" t="str">
        <f>IF(OR(K656="",L656=""),"",IF(L656=0,"⚠ NO PARENT WIDTH",IF(K656&gt;L656,"⚠ BABY &gt; PARENT","✔ OK")))</f>
        <v/>
      </c>
      <c r="N656" s="71" t="str">
        <f>IF(D656="","",IF(COUNTIF(D$3:D656,D656)&gt;1,"⚠ DUPLICATE",""))</f>
        <v/>
      </c>
      <c r="O656" s="72" t="str">
        <f>IF(B656="","",SUMIF(B:B,B656,G:G)&amp;" / "&amp;IFERROR(VLOOKUP(B656,'Coil Sheet at Plant'!$C:$I,7,FALSE),"?")&amp;" mm")</f>
        <v/>
      </c>
    </row>
    <row r="657" spans="1:15">
      <c r="A657" s="36"/>
      <c r="B657" s="32"/>
      <c r="C657" s="39"/>
      <c r="D657" s="44" t="str">
        <f>IF(OR(B657="",C657=""),"",CONCATENATE(B657,"-",C657))</f>
        <v/>
      </c>
      <c r="E657" s="49" t="str">
        <f>IF(B657="","",IFERROR(VLOOKUP(B657,'Coil Sheet at Plant'!$C:$G,5,FALSE),"ID Not Found"))</f>
        <v/>
      </c>
      <c r="F657" s="50" t="str">
        <f>IF(B657="","",IFERROR(VLOOKUP(B657,'Coil Sheet at Plant'!$C:$H,6,FALSE),"ID Not Found"))</f>
        <v/>
      </c>
      <c r="G657" s="81">
        <v>804</v>
      </c>
      <c r="H657" s="89" t="str">
        <f>IF(OR(B657="",G657=""),"",IFERROR(VLOOKUP(B657,'Coil Sheet at Plant'!$C:$J,8,FALSE),0)*G657/SUMIF(B:B,B657,G:G))</f>
        <v/>
      </c>
      <c r="I657" s="56" t="str">
        <f>IF(B657="","",IFERROR(VLOOKUP(B657,'Coil Sheet at Plant'!$C:$L,9,FALSE),""))</f>
        <v/>
      </c>
      <c r="J657" s="85" t="str">
        <f>IF(B657="","",IFERROR(VLOOKUP(B657,'Coil Sheet at Plant'!$C:$M,10,FALSE),""))</f>
        <v/>
      </c>
      <c r="K657" s="69" t="str">
        <f>IF(B657="","",SUMIF(B:B,B657,G:G))</f>
        <v/>
      </c>
      <c r="L657" s="70" t="str">
        <f>IF(B657="","",IFERROR(VLOOKUP(B657,'Coil Sheet at Plant'!$C:$I,7,FALSE),""))</f>
        <v/>
      </c>
      <c r="M657" s="71" t="str">
        <f>IF(OR(K657="",L657=""),"",IF(L657=0,"⚠ NO PARENT WIDTH",IF(K657&gt;L657,"⚠ BABY &gt; PARENT","✔ OK")))</f>
        <v/>
      </c>
      <c r="N657" s="71" t="str">
        <f>IF(D657="","",IF(COUNTIF(D$3:D657,D657)&gt;1,"⚠ DUPLICATE",""))</f>
        <v/>
      </c>
      <c r="O657" s="72" t="str">
        <f>IF(B657="","",SUMIF(B:B,B657,G:G)&amp;" / "&amp;IFERROR(VLOOKUP(B657,'Coil Sheet at Plant'!$C:$I,7,FALSE),"?")&amp;" mm")</f>
        <v/>
      </c>
    </row>
    <row r="658" spans="1:15">
      <c r="A658" s="36"/>
      <c r="B658" s="32"/>
      <c r="C658" s="39"/>
      <c r="D658" s="44" t="str">
        <f>IF(OR(B658="",C658=""),"",CONCATENATE(B658,"-",C658))</f>
        <v/>
      </c>
      <c r="E658" s="49" t="str">
        <f>IF(B658="","",IFERROR(VLOOKUP(B658,'Coil Sheet at Plant'!$C:$G,5,FALSE),"ID Not Found"))</f>
        <v/>
      </c>
      <c r="F658" s="50" t="str">
        <f>IF(B658="","",IFERROR(VLOOKUP(B658,'Coil Sheet at Plant'!$C:$H,6,FALSE),"ID Not Found"))</f>
        <v/>
      </c>
      <c r="G658" s="81">
        <v>805</v>
      </c>
      <c r="H658" s="89" t="str">
        <f>IF(OR(B658="",G658=""),"",IFERROR(VLOOKUP(B658,'Coil Sheet at Plant'!$C:$J,8,FALSE),0)*G658/SUMIF(B:B,B658,G:G))</f>
        <v/>
      </c>
      <c r="I658" s="56" t="str">
        <f>IF(B658="","",IFERROR(VLOOKUP(B658,'Coil Sheet at Plant'!$C:$L,9,FALSE),""))</f>
        <v/>
      </c>
      <c r="J658" s="85" t="str">
        <f>IF(B658="","",IFERROR(VLOOKUP(B658,'Coil Sheet at Plant'!$C:$M,10,FALSE),""))</f>
        <v/>
      </c>
      <c r="K658" s="69" t="str">
        <f>IF(B658="","",SUMIF(B:B,B658,G:G))</f>
        <v/>
      </c>
      <c r="L658" s="70" t="str">
        <f>IF(B658="","",IFERROR(VLOOKUP(B658,'Coil Sheet at Plant'!$C:$I,7,FALSE),""))</f>
        <v/>
      </c>
      <c r="M658" s="71" t="str">
        <f>IF(OR(K658="",L658=""),"",IF(L658=0,"⚠ NO PARENT WIDTH",IF(K658&gt;L658,"⚠ BABY &gt; PARENT","✔ OK")))</f>
        <v/>
      </c>
      <c r="N658" s="71" t="str">
        <f>IF(D658="","",IF(COUNTIF(D$3:D658,D658)&gt;1,"⚠ DUPLICATE",""))</f>
        <v/>
      </c>
      <c r="O658" s="72" t="str">
        <f>IF(B658="","",SUMIF(B:B,B658,G:G)&amp;" / "&amp;IFERROR(VLOOKUP(B658,'Coil Sheet at Plant'!$C:$I,7,FALSE),"?")&amp;" mm")</f>
        <v/>
      </c>
    </row>
    <row r="659" spans="1:15">
      <c r="A659" s="36"/>
      <c r="B659" s="32"/>
      <c r="C659" s="39"/>
      <c r="D659" s="44" t="str">
        <f>IF(OR(B659="",C659=""),"",CONCATENATE(B659,"-",C659))</f>
        <v/>
      </c>
      <c r="E659" s="49" t="str">
        <f>IF(B659="","",IFERROR(VLOOKUP(B659,'Coil Sheet at Plant'!$C:$G,5,FALSE),"ID Not Found"))</f>
        <v/>
      </c>
      <c r="F659" s="50" t="str">
        <f>IF(B659="","",IFERROR(VLOOKUP(B659,'Coil Sheet at Plant'!$C:$H,6,FALSE),"ID Not Found"))</f>
        <v/>
      </c>
      <c r="G659" s="81">
        <v>806</v>
      </c>
      <c r="H659" s="89" t="str">
        <f>IF(OR(B659="",G659=""),"",IFERROR(VLOOKUP(B659,'Coil Sheet at Plant'!$C:$J,8,FALSE),0)*G659/SUMIF(B:B,B659,G:G))</f>
        <v/>
      </c>
      <c r="I659" s="56" t="str">
        <f>IF(B659="","",IFERROR(VLOOKUP(B659,'Coil Sheet at Plant'!$C:$L,9,FALSE),""))</f>
        <v/>
      </c>
      <c r="J659" s="85" t="str">
        <f>IF(B659="","",IFERROR(VLOOKUP(B659,'Coil Sheet at Plant'!$C:$M,10,FALSE),""))</f>
        <v/>
      </c>
      <c r="K659" s="69" t="str">
        <f>IF(B659="","",SUMIF(B:B,B659,G:G))</f>
        <v/>
      </c>
      <c r="L659" s="70" t="str">
        <f>IF(B659="","",IFERROR(VLOOKUP(B659,'Coil Sheet at Plant'!$C:$I,7,FALSE),""))</f>
        <v/>
      </c>
      <c r="M659" s="71" t="str">
        <f>IF(OR(K659="",L659=""),"",IF(L659=0,"⚠ NO PARENT WIDTH",IF(K659&gt;L659,"⚠ BABY &gt; PARENT","✔ OK")))</f>
        <v/>
      </c>
      <c r="N659" s="71" t="str">
        <f>IF(D659="","",IF(COUNTIF(D$3:D659,D659)&gt;1,"⚠ DUPLICATE",""))</f>
        <v/>
      </c>
      <c r="O659" s="72" t="str">
        <f>IF(B659="","",SUMIF(B:B,B659,G:G)&amp;" / "&amp;IFERROR(VLOOKUP(B659,'Coil Sheet at Plant'!$C:$I,7,FALSE),"?")&amp;" mm")</f>
        <v/>
      </c>
    </row>
    <row r="660" spans="1:15">
      <c r="A660" s="36"/>
      <c r="B660" s="32"/>
      <c r="C660" s="39"/>
      <c r="D660" s="44" t="str">
        <f>IF(OR(B660="",C660=""),"",CONCATENATE(B660,"-",C660))</f>
        <v/>
      </c>
      <c r="E660" s="49" t="str">
        <f>IF(B660="","",IFERROR(VLOOKUP(B660,'Coil Sheet at Plant'!$C:$G,5,FALSE),"ID Not Found"))</f>
        <v/>
      </c>
      <c r="F660" s="50" t="str">
        <f>IF(B660="","",IFERROR(VLOOKUP(B660,'Coil Sheet at Plant'!$C:$H,6,FALSE),"ID Not Found"))</f>
        <v/>
      </c>
      <c r="G660" s="81">
        <v>807</v>
      </c>
      <c r="H660" s="89" t="str">
        <f>IF(OR(B660="",G660=""),"",IFERROR(VLOOKUP(B660,'Coil Sheet at Plant'!$C:$J,8,FALSE),0)*G660/SUMIF(B:B,B660,G:G))</f>
        <v/>
      </c>
      <c r="I660" s="56" t="str">
        <f>IF(B660="","",IFERROR(VLOOKUP(B660,'Coil Sheet at Plant'!$C:$L,9,FALSE),""))</f>
        <v/>
      </c>
      <c r="J660" s="85" t="str">
        <f>IF(B660="","",IFERROR(VLOOKUP(B660,'Coil Sheet at Plant'!$C:$M,10,FALSE),""))</f>
        <v/>
      </c>
      <c r="K660" s="69" t="str">
        <f>IF(B660="","",SUMIF(B:B,B660,G:G))</f>
        <v/>
      </c>
      <c r="L660" s="70" t="str">
        <f>IF(B660="","",IFERROR(VLOOKUP(B660,'Coil Sheet at Plant'!$C:$I,7,FALSE),""))</f>
        <v/>
      </c>
      <c r="M660" s="71" t="str">
        <f>IF(OR(K660="",L660=""),"",IF(L660=0,"⚠ NO PARENT WIDTH",IF(K660&gt;L660,"⚠ BABY &gt; PARENT","✔ OK")))</f>
        <v/>
      </c>
      <c r="N660" s="71" t="str">
        <f>IF(D660="","",IF(COUNTIF(D$3:D660,D660)&gt;1,"⚠ DUPLICATE",""))</f>
        <v/>
      </c>
      <c r="O660" s="72" t="str">
        <f>IF(B660="","",SUMIF(B:B,B660,G:G)&amp;" / "&amp;IFERROR(VLOOKUP(B660,'Coil Sheet at Plant'!$C:$I,7,FALSE),"?")&amp;" mm")</f>
        <v/>
      </c>
    </row>
    <row r="661" spans="1:15">
      <c r="A661" s="36"/>
      <c r="B661" s="32"/>
      <c r="C661" s="39"/>
      <c r="D661" s="44" t="str">
        <f>IF(OR(B661="",C661=""),"",CONCATENATE(B661,"-",C661))</f>
        <v/>
      </c>
      <c r="E661" s="49" t="str">
        <f>IF(B661="","",IFERROR(VLOOKUP(B661,'Coil Sheet at Plant'!$C:$G,5,FALSE),"ID Not Found"))</f>
        <v/>
      </c>
      <c r="F661" s="50" t="str">
        <f>IF(B661="","",IFERROR(VLOOKUP(B661,'Coil Sheet at Plant'!$C:$H,6,FALSE),"ID Not Found"))</f>
        <v/>
      </c>
      <c r="G661" s="81">
        <v>808</v>
      </c>
      <c r="H661" s="89" t="str">
        <f>IF(OR(B661="",G661=""),"",IFERROR(VLOOKUP(B661,'Coil Sheet at Plant'!$C:$J,8,FALSE),0)*G661/SUMIF(B:B,B661,G:G))</f>
        <v/>
      </c>
      <c r="I661" s="56" t="str">
        <f>IF(B661="","",IFERROR(VLOOKUP(B661,'Coil Sheet at Plant'!$C:$L,9,FALSE),""))</f>
        <v/>
      </c>
      <c r="J661" s="85" t="str">
        <f>IF(B661="","",IFERROR(VLOOKUP(B661,'Coil Sheet at Plant'!$C:$M,10,FALSE),""))</f>
        <v/>
      </c>
      <c r="K661" s="69" t="str">
        <f>IF(B661="","",SUMIF(B:B,B661,G:G))</f>
        <v/>
      </c>
      <c r="L661" s="70" t="str">
        <f>IF(B661="","",IFERROR(VLOOKUP(B661,'Coil Sheet at Plant'!$C:$I,7,FALSE),""))</f>
        <v/>
      </c>
      <c r="M661" s="71" t="str">
        <f>IF(OR(K661="",L661=""),"",IF(L661=0,"⚠ NO PARENT WIDTH",IF(K661&gt;L661,"⚠ BABY &gt; PARENT","✔ OK")))</f>
        <v/>
      </c>
      <c r="N661" s="71" t="str">
        <f>IF(D661="","",IF(COUNTIF(D$3:D661,D661)&gt;1,"⚠ DUPLICATE",""))</f>
        <v/>
      </c>
      <c r="O661" s="72" t="str">
        <f>IF(B661="","",SUMIF(B:B,B661,G:G)&amp;" / "&amp;IFERROR(VLOOKUP(B661,'Coil Sheet at Plant'!$C:$I,7,FALSE),"?")&amp;" mm")</f>
        <v/>
      </c>
    </row>
    <row r="662" spans="1:15">
      <c r="A662" s="36"/>
      <c r="B662" s="32"/>
      <c r="C662" s="39"/>
      <c r="D662" s="44" t="str">
        <f>IF(OR(B662="",C662=""),"",CONCATENATE(B662,"-",C662))</f>
        <v/>
      </c>
      <c r="E662" s="49" t="str">
        <f>IF(B662="","",IFERROR(VLOOKUP(B662,'Coil Sheet at Plant'!$C:$G,5,FALSE),"ID Not Found"))</f>
        <v/>
      </c>
      <c r="F662" s="50" t="str">
        <f>IF(B662="","",IFERROR(VLOOKUP(B662,'Coil Sheet at Plant'!$C:$H,6,FALSE),"ID Not Found"))</f>
        <v/>
      </c>
      <c r="G662" s="81">
        <v>809</v>
      </c>
      <c r="H662" s="89" t="str">
        <f>IF(OR(B662="",G662=""),"",IFERROR(VLOOKUP(B662,'Coil Sheet at Plant'!$C:$J,8,FALSE),0)*G662/SUMIF(B:B,B662,G:G))</f>
        <v/>
      </c>
      <c r="I662" s="56" t="str">
        <f>IF(B662="","",IFERROR(VLOOKUP(B662,'Coil Sheet at Plant'!$C:$L,9,FALSE),""))</f>
        <v/>
      </c>
      <c r="J662" s="85" t="str">
        <f>IF(B662="","",IFERROR(VLOOKUP(B662,'Coil Sheet at Plant'!$C:$M,10,FALSE),""))</f>
        <v/>
      </c>
      <c r="K662" s="69" t="str">
        <f>IF(B662="","",SUMIF(B:B,B662,G:G))</f>
        <v/>
      </c>
      <c r="L662" s="70" t="str">
        <f>IF(B662="","",IFERROR(VLOOKUP(B662,'Coil Sheet at Plant'!$C:$I,7,FALSE),""))</f>
        <v/>
      </c>
      <c r="M662" s="71" t="str">
        <f>IF(OR(K662="",L662=""),"",IF(L662=0,"⚠ NO PARENT WIDTH",IF(K662&gt;L662,"⚠ BABY &gt; PARENT","✔ OK")))</f>
        <v/>
      </c>
      <c r="N662" s="71" t="str">
        <f>IF(D662="","",IF(COUNTIF(D$3:D662,D662)&gt;1,"⚠ DUPLICATE",""))</f>
        <v/>
      </c>
      <c r="O662" s="72" t="str">
        <f>IF(B662="","",SUMIF(B:B,B662,G:G)&amp;" / "&amp;IFERROR(VLOOKUP(B662,'Coil Sheet at Plant'!$C:$I,7,FALSE),"?")&amp;" mm")</f>
        <v/>
      </c>
    </row>
    <row r="663" spans="1:15">
      <c r="A663" s="36"/>
      <c r="B663" s="32"/>
      <c r="C663" s="39"/>
      <c r="D663" s="44" t="str">
        <f>IF(OR(B663="",C663=""),"",CONCATENATE(B663,"-",C663))</f>
        <v/>
      </c>
      <c r="E663" s="49" t="str">
        <f>IF(B663="","",IFERROR(VLOOKUP(B663,'Coil Sheet at Plant'!$C:$G,5,FALSE),"ID Not Found"))</f>
        <v/>
      </c>
      <c r="F663" s="50" t="str">
        <f>IF(B663="","",IFERROR(VLOOKUP(B663,'Coil Sheet at Plant'!$C:$H,6,FALSE),"ID Not Found"))</f>
        <v/>
      </c>
      <c r="G663" s="81">
        <v>810</v>
      </c>
      <c r="H663" s="89" t="str">
        <f>IF(OR(B663="",G663=""),"",IFERROR(VLOOKUP(B663,'Coil Sheet at Plant'!$C:$J,8,FALSE),0)*G663/SUMIF(B:B,B663,G:G))</f>
        <v/>
      </c>
      <c r="I663" s="56" t="str">
        <f>IF(B663="","",IFERROR(VLOOKUP(B663,'Coil Sheet at Plant'!$C:$L,9,FALSE),""))</f>
        <v/>
      </c>
      <c r="J663" s="85" t="str">
        <f>IF(B663="","",IFERROR(VLOOKUP(B663,'Coil Sheet at Plant'!$C:$M,10,FALSE),""))</f>
        <v/>
      </c>
      <c r="K663" s="69" t="str">
        <f>IF(B663="","",SUMIF(B:B,B663,G:G))</f>
        <v/>
      </c>
      <c r="L663" s="70" t="str">
        <f>IF(B663="","",IFERROR(VLOOKUP(B663,'Coil Sheet at Plant'!$C:$I,7,FALSE),""))</f>
        <v/>
      </c>
      <c r="M663" s="71" t="str">
        <f>IF(OR(K663="",L663=""),"",IF(L663=0,"⚠ NO PARENT WIDTH",IF(K663&gt;L663,"⚠ BABY &gt; PARENT","✔ OK")))</f>
        <v/>
      </c>
      <c r="N663" s="71" t="str">
        <f>IF(D663="","",IF(COUNTIF(D$3:D663,D663)&gt;1,"⚠ DUPLICATE",""))</f>
        <v/>
      </c>
      <c r="O663" s="72" t="str">
        <f>IF(B663="","",SUMIF(B:B,B663,G:G)&amp;" / "&amp;IFERROR(VLOOKUP(B663,'Coil Sheet at Plant'!$C:$I,7,FALSE),"?")&amp;" mm")</f>
        <v/>
      </c>
    </row>
    <row r="664" spans="1:15">
      <c r="A664" s="36"/>
      <c r="B664" s="32"/>
      <c r="C664" s="39"/>
      <c r="D664" s="44" t="str">
        <f>IF(OR(B664="",C664=""),"",CONCATENATE(B664,"-",C664))</f>
        <v/>
      </c>
      <c r="E664" s="49" t="str">
        <f>IF(B664="","",IFERROR(VLOOKUP(B664,'Coil Sheet at Plant'!$C:$G,5,FALSE),"ID Not Found"))</f>
        <v/>
      </c>
      <c r="F664" s="50" t="str">
        <f>IF(B664="","",IFERROR(VLOOKUP(B664,'Coil Sheet at Plant'!$C:$H,6,FALSE),"ID Not Found"))</f>
        <v/>
      </c>
      <c r="G664" s="81">
        <v>811</v>
      </c>
      <c r="H664" s="89" t="str">
        <f>IF(OR(B664="",G664=""),"",IFERROR(VLOOKUP(B664,'Coil Sheet at Plant'!$C:$J,8,FALSE),0)*G664/SUMIF(B:B,B664,G:G))</f>
        <v/>
      </c>
      <c r="I664" s="56" t="str">
        <f>IF(B664="","",IFERROR(VLOOKUP(B664,'Coil Sheet at Plant'!$C:$L,9,FALSE),""))</f>
        <v/>
      </c>
      <c r="J664" s="85" t="str">
        <f>IF(B664="","",IFERROR(VLOOKUP(B664,'Coil Sheet at Plant'!$C:$M,10,FALSE),""))</f>
        <v/>
      </c>
      <c r="K664" s="69" t="str">
        <f>IF(B664="","",SUMIF(B:B,B664,G:G))</f>
        <v/>
      </c>
      <c r="L664" s="70" t="str">
        <f>IF(B664="","",IFERROR(VLOOKUP(B664,'Coil Sheet at Plant'!$C:$I,7,FALSE),""))</f>
        <v/>
      </c>
      <c r="M664" s="71" t="str">
        <f>IF(OR(K664="",L664=""),"",IF(L664=0,"⚠ NO PARENT WIDTH",IF(K664&gt;L664,"⚠ BABY &gt; PARENT","✔ OK")))</f>
        <v/>
      </c>
      <c r="N664" s="71" t="str">
        <f>IF(D664="","",IF(COUNTIF(D$3:D664,D664)&gt;1,"⚠ DUPLICATE",""))</f>
        <v/>
      </c>
      <c r="O664" s="72" t="str">
        <f>IF(B664="","",SUMIF(B:B,B664,G:G)&amp;" / "&amp;IFERROR(VLOOKUP(B664,'Coil Sheet at Plant'!$C:$I,7,FALSE),"?")&amp;" mm")</f>
        <v/>
      </c>
    </row>
    <row r="665" spans="1:15">
      <c r="A665" s="36"/>
      <c r="B665" s="32"/>
      <c r="C665" s="39"/>
      <c r="D665" s="44" t="str">
        <f>IF(OR(B665="",C665=""),"",CONCATENATE(B665,"-",C665))</f>
        <v/>
      </c>
      <c r="E665" s="49" t="str">
        <f>IF(B665="","",IFERROR(VLOOKUP(B665,'Coil Sheet at Plant'!$C:$G,5,FALSE),"ID Not Found"))</f>
        <v/>
      </c>
      <c r="F665" s="50" t="str">
        <f>IF(B665="","",IFERROR(VLOOKUP(B665,'Coil Sheet at Plant'!$C:$H,6,FALSE),"ID Not Found"))</f>
        <v/>
      </c>
      <c r="G665" s="81">
        <v>812</v>
      </c>
      <c r="H665" s="89" t="str">
        <f>IF(OR(B665="",G665=""),"",IFERROR(VLOOKUP(B665,'Coil Sheet at Plant'!$C:$J,8,FALSE),0)*G665/SUMIF(B:B,B665,G:G))</f>
        <v/>
      </c>
      <c r="I665" s="56" t="str">
        <f>IF(B665="","",IFERROR(VLOOKUP(B665,'Coil Sheet at Plant'!$C:$L,9,FALSE),""))</f>
        <v/>
      </c>
      <c r="J665" s="85" t="str">
        <f>IF(B665="","",IFERROR(VLOOKUP(B665,'Coil Sheet at Plant'!$C:$M,10,FALSE),""))</f>
        <v/>
      </c>
      <c r="K665" s="69" t="str">
        <f>IF(B665="","",SUMIF(B:B,B665,G:G))</f>
        <v/>
      </c>
      <c r="L665" s="70" t="str">
        <f>IF(B665="","",IFERROR(VLOOKUP(B665,'Coil Sheet at Plant'!$C:$I,7,FALSE),""))</f>
        <v/>
      </c>
      <c r="M665" s="71" t="str">
        <f>IF(OR(K665="",L665=""),"",IF(L665=0,"⚠ NO PARENT WIDTH",IF(K665&gt;L665,"⚠ BABY &gt; PARENT","✔ OK")))</f>
        <v/>
      </c>
      <c r="N665" s="71" t="str">
        <f>IF(D665="","",IF(COUNTIF(D$3:D665,D665)&gt;1,"⚠ DUPLICATE",""))</f>
        <v/>
      </c>
      <c r="O665" s="72" t="str">
        <f>IF(B665="","",SUMIF(B:B,B665,G:G)&amp;" / "&amp;IFERROR(VLOOKUP(B665,'Coil Sheet at Plant'!$C:$I,7,FALSE),"?")&amp;" mm")</f>
        <v/>
      </c>
    </row>
    <row r="666" spans="1:15">
      <c r="A666" s="36"/>
      <c r="B666" s="32"/>
      <c r="C666" s="39"/>
      <c r="D666" s="44" t="str">
        <f>IF(OR(B666="",C666=""),"",CONCATENATE(B666,"-",C666))</f>
        <v/>
      </c>
      <c r="E666" s="49" t="str">
        <f>IF(B666="","",IFERROR(VLOOKUP(B666,'Coil Sheet at Plant'!$C:$G,5,FALSE),"ID Not Found"))</f>
        <v/>
      </c>
      <c r="F666" s="50" t="str">
        <f>IF(B666="","",IFERROR(VLOOKUP(B666,'Coil Sheet at Plant'!$C:$H,6,FALSE),"ID Not Found"))</f>
        <v/>
      </c>
      <c r="G666" s="81">
        <v>813</v>
      </c>
      <c r="H666" s="89" t="str">
        <f>IF(OR(B666="",G666=""),"",IFERROR(VLOOKUP(B666,'Coil Sheet at Plant'!$C:$J,8,FALSE),0)*G666/SUMIF(B:B,B666,G:G))</f>
        <v/>
      </c>
      <c r="I666" s="56" t="str">
        <f>IF(B666="","",IFERROR(VLOOKUP(B666,'Coil Sheet at Plant'!$C:$L,9,FALSE),""))</f>
        <v/>
      </c>
      <c r="J666" s="85" t="str">
        <f>IF(B666="","",IFERROR(VLOOKUP(B666,'Coil Sheet at Plant'!$C:$M,10,FALSE),""))</f>
        <v/>
      </c>
      <c r="K666" s="69" t="str">
        <f>IF(B666="","",SUMIF(B:B,B666,G:G))</f>
        <v/>
      </c>
      <c r="L666" s="70" t="str">
        <f>IF(B666="","",IFERROR(VLOOKUP(B666,'Coil Sheet at Plant'!$C:$I,7,FALSE),""))</f>
        <v/>
      </c>
      <c r="M666" s="71" t="str">
        <f>IF(OR(K666="",L666=""),"",IF(L666=0,"⚠ NO PARENT WIDTH",IF(K666&gt;L666,"⚠ BABY &gt; PARENT","✔ OK")))</f>
        <v/>
      </c>
      <c r="N666" s="71" t="str">
        <f>IF(D666="","",IF(COUNTIF(D$3:D666,D666)&gt;1,"⚠ DUPLICATE",""))</f>
        <v/>
      </c>
      <c r="O666" s="72" t="str">
        <f>IF(B666="","",SUMIF(B:B,B666,G:G)&amp;" / "&amp;IFERROR(VLOOKUP(B666,'Coil Sheet at Plant'!$C:$I,7,FALSE),"?")&amp;" mm")</f>
        <v/>
      </c>
    </row>
    <row r="667" spans="1:15">
      <c r="A667" s="36"/>
      <c r="B667" s="32"/>
      <c r="C667" s="39"/>
      <c r="D667" s="44" t="str">
        <f>IF(OR(B667="",C667=""),"",CONCATENATE(B667,"-",C667))</f>
        <v/>
      </c>
      <c r="E667" s="49" t="str">
        <f>IF(B667="","",IFERROR(VLOOKUP(B667,'Coil Sheet at Plant'!$C:$G,5,FALSE),"ID Not Found"))</f>
        <v/>
      </c>
      <c r="F667" s="50" t="str">
        <f>IF(B667="","",IFERROR(VLOOKUP(B667,'Coil Sheet at Plant'!$C:$H,6,FALSE),"ID Not Found"))</f>
        <v/>
      </c>
      <c r="G667" s="81">
        <v>814</v>
      </c>
      <c r="H667" s="89" t="str">
        <f>IF(OR(B667="",G667=""),"",IFERROR(VLOOKUP(B667,'Coil Sheet at Plant'!$C:$J,8,FALSE),0)*G667/SUMIF(B:B,B667,G:G))</f>
        <v/>
      </c>
      <c r="I667" s="56" t="str">
        <f>IF(B667="","",IFERROR(VLOOKUP(B667,'Coil Sheet at Plant'!$C:$L,9,FALSE),""))</f>
        <v/>
      </c>
      <c r="J667" s="85" t="str">
        <f>IF(B667="","",IFERROR(VLOOKUP(B667,'Coil Sheet at Plant'!$C:$M,10,FALSE),""))</f>
        <v/>
      </c>
      <c r="K667" s="69" t="str">
        <f>IF(B667="","",SUMIF(B:B,B667,G:G))</f>
        <v/>
      </c>
      <c r="L667" s="70" t="str">
        <f>IF(B667="","",IFERROR(VLOOKUP(B667,'Coil Sheet at Plant'!$C:$I,7,FALSE),""))</f>
        <v/>
      </c>
      <c r="M667" s="71" t="str">
        <f>IF(OR(K667="",L667=""),"",IF(L667=0,"⚠ NO PARENT WIDTH",IF(K667&gt;L667,"⚠ BABY &gt; PARENT","✔ OK")))</f>
        <v/>
      </c>
      <c r="N667" s="71" t="str">
        <f>IF(D667="","",IF(COUNTIF(D$3:D667,D667)&gt;1,"⚠ DUPLICATE",""))</f>
        <v/>
      </c>
      <c r="O667" s="72" t="str">
        <f>IF(B667="","",SUMIF(B:B,B667,G:G)&amp;" / "&amp;IFERROR(VLOOKUP(B667,'Coil Sheet at Plant'!$C:$I,7,FALSE),"?")&amp;" mm")</f>
        <v/>
      </c>
    </row>
    <row r="668" spans="1:15">
      <c r="A668" s="36"/>
      <c r="B668" s="32"/>
      <c r="C668" s="39"/>
      <c r="D668" s="44" t="str">
        <f>IF(OR(B668="",C668=""),"",CONCATENATE(B668,"-",C668))</f>
        <v/>
      </c>
      <c r="E668" s="49" t="str">
        <f>IF(B668="","",IFERROR(VLOOKUP(B668,'Coil Sheet at Plant'!$C:$G,5,FALSE),"ID Not Found"))</f>
        <v/>
      </c>
      <c r="F668" s="50" t="str">
        <f>IF(B668="","",IFERROR(VLOOKUP(B668,'Coil Sheet at Plant'!$C:$H,6,FALSE),"ID Not Found"))</f>
        <v/>
      </c>
      <c r="G668" s="81">
        <v>815</v>
      </c>
      <c r="H668" s="89" t="str">
        <f>IF(OR(B668="",G668=""),"",IFERROR(VLOOKUP(B668,'Coil Sheet at Plant'!$C:$J,8,FALSE),0)*G668/SUMIF(B:B,B668,G:G))</f>
        <v/>
      </c>
      <c r="I668" s="56" t="str">
        <f>IF(B668="","",IFERROR(VLOOKUP(B668,'Coil Sheet at Plant'!$C:$L,9,FALSE),""))</f>
        <v/>
      </c>
      <c r="J668" s="85" t="str">
        <f>IF(B668="","",IFERROR(VLOOKUP(B668,'Coil Sheet at Plant'!$C:$M,10,FALSE),""))</f>
        <v/>
      </c>
      <c r="K668" s="69" t="str">
        <f>IF(B668="","",SUMIF(B:B,B668,G:G))</f>
        <v/>
      </c>
      <c r="L668" s="70" t="str">
        <f>IF(B668="","",IFERROR(VLOOKUP(B668,'Coil Sheet at Plant'!$C:$I,7,FALSE),""))</f>
        <v/>
      </c>
      <c r="M668" s="71" t="str">
        <f>IF(OR(K668="",L668=""),"",IF(L668=0,"⚠ NO PARENT WIDTH",IF(K668&gt;L668,"⚠ BABY &gt; PARENT","✔ OK")))</f>
        <v/>
      </c>
      <c r="N668" s="71" t="str">
        <f>IF(D668="","",IF(COUNTIF(D$3:D668,D668)&gt;1,"⚠ DUPLICATE",""))</f>
        <v/>
      </c>
      <c r="O668" s="72" t="str">
        <f>IF(B668="","",SUMIF(B:B,B668,G:G)&amp;" / "&amp;IFERROR(VLOOKUP(B668,'Coil Sheet at Plant'!$C:$I,7,FALSE),"?")&amp;" mm")</f>
        <v/>
      </c>
    </row>
    <row r="669" spans="1:15">
      <c r="A669" s="36"/>
      <c r="B669" s="32"/>
      <c r="C669" s="39"/>
      <c r="D669" s="44" t="str">
        <f>IF(OR(B669="",C669=""),"",CONCATENATE(B669,"-",C669))</f>
        <v/>
      </c>
      <c r="E669" s="49" t="str">
        <f>IF(B669="","",IFERROR(VLOOKUP(B669,'Coil Sheet at Plant'!$C:$G,5,FALSE),"ID Not Found"))</f>
        <v/>
      </c>
      <c r="F669" s="50" t="str">
        <f>IF(B669="","",IFERROR(VLOOKUP(B669,'Coil Sheet at Plant'!$C:$H,6,FALSE),"ID Not Found"))</f>
        <v/>
      </c>
      <c r="G669" s="81">
        <v>816</v>
      </c>
      <c r="H669" s="89" t="str">
        <f>IF(OR(B669="",G669=""),"",IFERROR(VLOOKUP(B669,'Coil Sheet at Plant'!$C:$J,8,FALSE),0)*G669/SUMIF(B:B,B669,G:G))</f>
        <v/>
      </c>
      <c r="I669" s="56" t="str">
        <f>IF(B669="","",IFERROR(VLOOKUP(B669,'Coil Sheet at Plant'!$C:$L,9,FALSE),""))</f>
        <v/>
      </c>
      <c r="J669" s="85" t="str">
        <f>IF(B669="","",IFERROR(VLOOKUP(B669,'Coil Sheet at Plant'!$C:$M,10,FALSE),""))</f>
        <v/>
      </c>
      <c r="K669" s="69" t="str">
        <f>IF(B669="","",SUMIF(B:B,B669,G:G))</f>
        <v/>
      </c>
      <c r="L669" s="70" t="str">
        <f>IF(B669="","",IFERROR(VLOOKUP(B669,'Coil Sheet at Plant'!$C:$I,7,FALSE),""))</f>
        <v/>
      </c>
      <c r="M669" s="71" t="str">
        <f>IF(OR(K669="",L669=""),"",IF(L669=0,"⚠ NO PARENT WIDTH",IF(K669&gt;L669,"⚠ BABY &gt; PARENT","✔ OK")))</f>
        <v/>
      </c>
      <c r="N669" s="71" t="str">
        <f>IF(D669="","",IF(COUNTIF(D$3:D669,D669)&gt;1,"⚠ DUPLICATE",""))</f>
        <v/>
      </c>
      <c r="O669" s="72" t="str">
        <f>IF(B669="","",SUMIF(B:B,B669,G:G)&amp;" / "&amp;IFERROR(VLOOKUP(B669,'Coil Sheet at Plant'!$C:$I,7,FALSE),"?")&amp;" mm")</f>
        <v/>
      </c>
    </row>
    <row r="670" spans="1:15">
      <c r="A670" s="36"/>
      <c r="B670" s="32"/>
      <c r="C670" s="39"/>
      <c r="D670" s="44" t="str">
        <f>IF(OR(B670="",C670=""),"",CONCATENATE(B670,"-",C670))</f>
        <v/>
      </c>
      <c r="E670" s="49" t="str">
        <f>IF(B670="","",IFERROR(VLOOKUP(B670,'Coil Sheet at Plant'!$C:$G,5,FALSE),"ID Not Found"))</f>
        <v/>
      </c>
      <c r="F670" s="50" t="str">
        <f>IF(B670="","",IFERROR(VLOOKUP(B670,'Coil Sheet at Plant'!$C:$H,6,FALSE),"ID Not Found"))</f>
        <v/>
      </c>
      <c r="G670" s="81">
        <v>817</v>
      </c>
      <c r="H670" s="89" t="str">
        <f>IF(OR(B670="",G670=""),"",IFERROR(VLOOKUP(B670,'Coil Sheet at Plant'!$C:$J,8,FALSE),0)*G670/SUMIF(B:B,B670,G:G))</f>
        <v/>
      </c>
      <c r="I670" s="56" t="str">
        <f>IF(B670="","",IFERROR(VLOOKUP(B670,'Coil Sheet at Plant'!$C:$L,9,FALSE),""))</f>
        <v/>
      </c>
      <c r="J670" s="85" t="str">
        <f>IF(B670="","",IFERROR(VLOOKUP(B670,'Coil Sheet at Plant'!$C:$M,10,FALSE),""))</f>
        <v/>
      </c>
      <c r="K670" s="69" t="str">
        <f>IF(B670="","",SUMIF(B:B,B670,G:G))</f>
        <v/>
      </c>
      <c r="L670" s="70" t="str">
        <f>IF(B670="","",IFERROR(VLOOKUP(B670,'Coil Sheet at Plant'!$C:$I,7,FALSE),""))</f>
        <v/>
      </c>
      <c r="M670" s="71" t="str">
        <f>IF(OR(K670="",L670=""),"",IF(L670=0,"⚠ NO PARENT WIDTH",IF(K670&gt;L670,"⚠ BABY &gt; PARENT","✔ OK")))</f>
        <v/>
      </c>
      <c r="N670" s="71" t="str">
        <f>IF(D670="","",IF(COUNTIF(D$3:D670,D670)&gt;1,"⚠ DUPLICATE",""))</f>
        <v/>
      </c>
      <c r="O670" s="72" t="str">
        <f>IF(B670="","",SUMIF(B:B,B670,G:G)&amp;" / "&amp;IFERROR(VLOOKUP(B670,'Coil Sheet at Plant'!$C:$I,7,FALSE),"?")&amp;" mm")</f>
        <v/>
      </c>
    </row>
    <row r="671" spans="1:15">
      <c r="A671" s="36"/>
      <c r="B671" s="32"/>
      <c r="C671" s="39"/>
      <c r="D671" s="44" t="str">
        <f>IF(OR(B671="",C671=""),"",CONCATENATE(B671,"-",C671))</f>
        <v/>
      </c>
      <c r="E671" s="49" t="str">
        <f>IF(B671="","",IFERROR(VLOOKUP(B671,'Coil Sheet at Plant'!$C:$G,5,FALSE),"ID Not Found"))</f>
        <v/>
      </c>
      <c r="F671" s="50" t="str">
        <f>IF(B671="","",IFERROR(VLOOKUP(B671,'Coil Sheet at Plant'!$C:$H,6,FALSE),"ID Not Found"))</f>
        <v/>
      </c>
      <c r="G671" s="81">
        <v>818</v>
      </c>
      <c r="H671" s="89" t="str">
        <f>IF(OR(B671="",G671=""),"",IFERROR(VLOOKUP(B671,'Coil Sheet at Plant'!$C:$J,8,FALSE),0)*G671/SUMIF(B:B,B671,G:G))</f>
        <v/>
      </c>
      <c r="I671" s="56" t="str">
        <f>IF(B671="","",IFERROR(VLOOKUP(B671,'Coil Sheet at Plant'!$C:$L,9,FALSE),""))</f>
        <v/>
      </c>
      <c r="J671" s="85" t="str">
        <f>IF(B671="","",IFERROR(VLOOKUP(B671,'Coil Sheet at Plant'!$C:$M,10,FALSE),""))</f>
        <v/>
      </c>
      <c r="K671" s="69" t="str">
        <f>IF(B671="","",SUMIF(B:B,B671,G:G))</f>
        <v/>
      </c>
      <c r="L671" s="70" t="str">
        <f>IF(B671="","",IFERROR(VLOOKUP(B671,'Coil Sheet at Plant'!$C:$I,7,FALSE),""))</f>
        <v/>
      </c>
      <c r="M671" s="71" t="str">
        <f>IF(OR(K671="",L671=""),"",IF(L671=0,"⚠ NO PARENT WIDTH",IF(K671&gt;L671,"⚠ BABY &gt; PARENT","✔ OK")))</f>
        <v/>
      </c>
      <c r="N671" s="71" t="str">
        <f>IF(D671="","",IF(COUNTIF(D$3:D671,D671)&gt;1,"⚠ DUPLICATE",""))</f>
        <v/>
      </c>
      <c r="O671" s="72" t="str">
        <f>IF(B671="","",SUMIF(B:B,B671,G:G)&amp;" / "&amp;IFERROR(VLOOKUP(B671,'Coil Sheet at Plant'!$C:$I,7,FALSE),"?")&amp;" mm")</f>
        <v/>
      </c>
    </row>
    <row r="672" spans="1:15">
      <c r="A672" s="36"/>
      <c r="B672" s="32"/>
      <c r="C672" s="39"/>
      <c r="D672" s="44" t="str">
        <f>IF(OR(B672="",C672=""),"",CONCATENATE(B672,"-",C672))</f>
        <v/>
      </c>
      <c r="E672" s="49" t="str">
        <f>IF(B672="","",IFERROR(VLOOKUP(B672,'Coil Sheet at Plant'!$C:$G,5,FALSE),"ID Not Found"))</f>
        <v/>
      </c>
      <c r="F672" s="50" t="str">
        <f>IF(B672="","",IFERROR(VLOOKUP(B672,'Coil Sheet at Plant'!$C:$H,6,FALSE),"ID Not Found"))</f>
        <v/>
      </c>
      <c r="G672" s="81">
        <v>819</v>
      </c>
      <c r="H672" s="89" t="str">
        <f>IF(OR(B672="",G672=""),"",IFERROR(VLOOKUP(B672,'Coil Sheet at Plant'!$C:$J,8,FALSE),0)*G672/SUMIF(B:B,B672,G:G))</f>
        <v/>
      </c>
      <c r="I672" s="56" t="str">
        <f>IF(B672="","",IFERROR(VLOOKUP(B672,'Coil Sheet at Plant'!$C:$L,9,FALSE),""))</f>
        <v/>
      </c>
      <c r="J672" s="85" t="str">
        <f>IF(B672="","",IFERROR(VLOOKUP(B672,'Coil Sheet at Plant'!$C:$M,10,FALSE),""))</f>
        <v/>
      </c>
      <c r="K672" s="69" t="str">
        <f>IF(B672="","",SUMIF(B:B,B672,G:G))</f>
        <v/>
      </c>
      <c r="L672" s="70" t="str">
        <f>IF(B672="","",IFERROR(VLOOKUP(B672,'Coil Sheet at Plant'!$C:$I,7,FALSE),""))</f>
        <v/>
      </c>
      <c r="M672" s="71" t="str">
        <f>IF(OR(K672="",L672=""),"",IF(L672=0,"⚠ NO PARENT WIDTH",IF(K672&gt;L672,"⚠ BABY &gt; PARENT","✔ OK")))</f>
        <v/>
      </c>
      <c r="N672" s="71" t="str">
        <f>IF(D672="","",IF(COUNTIF(D$3:D672,D672)&gt;1,"⚠ DUPLICATE",""))</f>
        <v/>
      </c>
      <c r="O672" s="72" t="str">
        <f>IF(B672="","",SUMIF(B:B,B672,G:G)&amp;" / "&amp;IFERROR(VLOOKUP(B672,'Coil Sheet at Plant'!$C:$I,7,FALSE),"?")&amp;" mm")</f>
        <v/>
      </c>
    </row>
    <row r="673" spans="1:15">
      <c r="A673" s="36"/>
      <c r="B673" s="32"/>
      <c r="C673" s="39"/>
      <c r="D673" s="44" t="str">
        <f>IF(OR(B673="",C673=""),"",CONCATENATE(B673,"-",C673))</f>
        <v/>
      </c>
      <c r="E673" s="49" t="str">
        <f>IF(B673="","",IFERROR(VLOOKUP(B673,'Coil Sheet at Plant'!$C:$G,5,FALSE),"ID Not Found"))</f>
        <v/>
      </c>
      <c r="F673" s="50" t="str">
        <f>IF(B673="","",IFERROR(VLOOKUP(B673,'Coil Sheet at Plant'!$C:$H,6,FALSE),"ID Not Found"))</f>
        <v/>
      </c>
      <c r="G673" s="81">
        <v>820</v>
      </c>
      <c r="H673" s="89" t="str">
        <f>IF(OR(B673="",G673=""),"",IFERROR(VLOOKUP(B673,'Coil Sheet at Plant'!$C:$J,8,FALSE),0)*G673/SUMIF(B:B,B673,G:G))</f>
        <v/>
      </c>
      <c r="I673" s="56" t="str">
        <f>IF(B673="","",IFERROR(VLOOKUP(B673,'Coil Sheet at Plant'!$C:$L,9,FALSE),""))</f>
        <v/>
      </c>
      <c r="J673" s="85" t="str">
        <f>IF(B673="","",IFERROR(VLOOKUP(B673,'Coil Sheet at Plant'!$C:$M,10,FALSE),""))</f>
        <v/>
      </c>
      <c r="K673" s="69" t="str">
        <f>IF(B673="","",SUMIF(B:B,B673,G:G))</f>
        <v/>
      </c>
      <c r="L673" s="70" t="str">
        <f>IF(B673="","",IFERROR(VLOOKUP(B673,'Coil Sheet at Plant'!$C:$I,7,FALSE),""))</f>
        <v/>
      </c>
      <c r="M673" s="71" t="str">
        <f>IF(OR(K673="",L673=""),"",IF(L673=0,"⚠ NO PARENT WIDTH",IF(K673&gt;L673,"⚠ BABY &gt; PARENT","✔ OK")))</f>
        <v/>
      </c>
      <c r="N673" s="71" t="str">
        <f>IF(D673="","",IF(COUNTIF(D$3:D673,D673)&gt;1,"⚠ DUPLICATE",""))</f>
        <v/>
      </c>
      <c r="O673" s="72" t="str">
        <f>IF(B673="","",SUMIF(B:B,B673,G:G)&amp;" / "&amp;IFERROR(VLOOKUP(B673,'Coil Sheet at Plant'!$C:$I,7,FALSE),"?")&amp;" mm")</f>
        <v/>
      </c>
    </row>
    <row r="674" spans="1:15">
      <c r="A674" s="36"/>
      <c r="B674" s="32"/>
      <c r="C674" s="39"/>
      <c r="D674" s="44" t="str">
        <f>IF(OR(B674="",C674=""),"",CONCATENATE(B674,"-",C674))</f>
        <v/>
      </c>
      <c r="E674" s="49" t="str">
        <f>IF(B674="","",IFERROR(VLOOKUP(B674,'Coil Sheet at Plant'!$C:$G,5,FALSE),"ID Not Found"))</f>
        <v/>
      </c>
      <c r="F674" s="50" t="str">
        <f>IF(B674="","",IFERROR(VLOOKUP(B674,'Coil Sheet at Plant'!$C:$H,6,FALSE),"ID Not Found"))</f>
        <v/>
      </c>
      <c r="G674" s="81">
        <v>821</v>
      </c>
      <c r="H674" s="89" t="str">
        <f>IF(OR(B674="",G674=""),"",IFERROR(VLOOKUP(B674,'Coil Sheet at Plant'!$C:$J,8,FALSE),0)*G674/SUMIF(B:B,B674,G:G))</f>
        <v/>
      </c>
      <c r="I674" s="56" t="str">
        <f>IF(B674="","",IFERROR(VLOOKUP(B674,'Coil Sheet at Plant'!$C:$L,9,FALSE),""))</f>
        <v/>
      </c>
      <c r="J674" s="85" t="str">
        <f>IF(B674="","",IFERROR(VLOOKUP(B674,'Coil Sheet at Plant'!$C:$M,10,FALSE),""))</f>
        <v/>
      </c>
      <c r="K674" s="69" t="str">
        <f>IF(B674="","",SUMIF(B:B,B674,G:G))</f>
        <v/>
      </c>
      <c r="L674" s="70" t="str">
        <f>IF(B674="","",IFERROR(VLOOKUP(B674,'Coil Sheet at Plant'!$C:$I,7,FALSE),""))</f>
        <v/>
      </c>
      <c r="M674" s="71" t="str">
        <f>IF(OR(K674="",L674=""),"",IF(L674=0,"⚠ NO PARENT WIDTH",IF(K674&gt;L674,"⚠ BABY &gt; PARENT","✔ OK")))</f>
        <v/>
      </c>
      <c r="N674" s="71" t="str">
        <f>IF(D674="","",IF(COUNTIF(D$3:D674,D674)&gt;1,"⚠ DUPLICATE",""))</f>
        <v/>
      </c>
      <c r="O674" s="72" t="str">
        <f>IF(B674="","",SUMIF(B:B,B674,G:G)&amp;" / "&amp;IFERROR(VLOOKUP(B674,'Coil Sheet at Plant'!$C:$I,7,FALSE),"?")&amp;" mm")</f>
        <v/>
      </c>
    </row>
    <row r="675" spans="1:15">
      <c r="A675" s="36"/>
      <c r="B675" s="32"/>
      <c r="C675" s="39"/>
      <c r="D675" s="44" t="str">
        <f>IF(OR(B675="",C675=""),"",CONCATENATE(B675,"-",C675))</f>
        <v/>
      </c>
      <c r="E675" s="49" t="str">
        <f>IF(B675="","",IFERROR(VLOOKUP(B675,'Coil Sheet at Plant'!$C:$G,5,FALSE),"ID Not Found"))</f>
        <v/>
      </c>
      <c r="F675" s="50" t="str">
        <f>IF(B675="","",IFERROR(VLOOKUP(B675,'Coil Sheet at Plant'!$C:$H,6,FALSE),"ID Not Found"))</f>
        <v/>
      </c>
      <c r="G675" s="81">
        <v>822</v>
      </c>
      <c r="H675" s="89" t="str">
        <f>IF(OR(B675="",G675=""),"",IFERROR(VLOOKUP(B675,'Coil Sheet at Plant'!$C:$J,8,FALSE),0)*G675/SUMIF(B:B,B675,G:G))</f>
        <v/>
      </c>
      <c r="I675" s="56" t="str">
        <f>IF(B675="","",IFERROR(VLOOKUP(B675,'Coil Sheet at Plant'!$C:$L,9,FALSE),""))</f>
        <v/>
      </c>
      <c r="J675" s="85" t="str">
        <f>IF(B675="","",IFERROR(VLOOKUP(B675,'Coil Sheet at Plant'!$C:$M,10,FALSE),""))</f>
        <v/>
      </c>
      <c r="K675" s="69" t="str">
        <f>IF(B675="","",SUMIF(B:B,B675,G:G))</f>
        <v/>
      </c>
      <c r="L675" s="70" t="str">
        <f>IF(B675="","",IFERROR(VLOOKUP(B675,'Coil Sheet at Plant'!$C:$I,7,FALSE),""))</f>
        <v/>
      </c>
      <c r="M675" s="71" t="str">
        <f>IF(OR(K675="",L675=""),"",IF(L675=0,"⚠ NO PARENT WIDTH",IF(K675&gt;L675,"⚠ BABY &gt; PARENT","✔ OK")))</f>
        <v/>
      </c>
      <c r="N675" s="71" t="str">
        <f>IF(D675="","",IF(COUNTIF(D$3:D675,D675)&gt;1,"⚠ DUPLICATE",""))</f>
        <v/>
      </c>
      <c r="O675" s="72" t="str">
        <f>IF(B675="","",SUMIF(B:B,B675,G:G)&amp;" / "&amp;IFERROR(VLOOKUP(B675,'Coil Sheet at Plant'!$C:$I,7,FALSE),"?")&amp;" mm")</f>
        <v/>
      </c>
    </row>
    <row r="676" spans="1:15">
      <c r="A676" s="36"/>
      <c r="B676" s="32"/>
      <c r="C676" s="39"/>
      <c r="D676" s="44" t="str">
        <f>IF(OR(B676="",C676=""),"",CONCATENATE(B676,"-",C676))</f>
        <v/>
      </c>
      <c r="E676" s="49" t="str">
        <f>IF(B676="","",IFERROR(VLOOKUP(B676,'Coil Sheet at Plant'!$C:$G,5,FALSE),"ID Not Found"))</f>
        <v/>
      </c>
      <c r="F676" s="50" t="str">
        <f>IF(B676="","",IFERROR(VLOOKUP(B676,'Coil Sheet at Plant'!$C:$H,6,FALSE),"ID Not Found"))</f>
        <v/>
      </c>
      <c r="G676" s="81">
        <v>823</v>
      </c>
      <c r="H676" s="89" t="str">
        <f>IF(OR(B676="",G676=""),"",IFERROR(VLOOKUP(B676,'Coil Sheet at Plant'!$C:$J,8,FALSE),0)*G676/SUMIF(B:B,B676,G:G))</f>
        <v/>
      </c>
      <c r="I676" s="56" t="str">
        <f>IF(B676="","",IFERROR(VLOOKUP(B676,'Coil Sheet at Plant'!$C:$L,9,FALSE),""))</f>
        <v/>
      </c>
      <c r="J676" s="85" t="str">
        <f>IF(B676="","",IFERROR(VLOOKUP(B676,'Coil Sheet at Plant'!$C:$M,10,FALSE),""))</f>
        <v/>
      </c>
      <c r="K676" s="69" t="str">
        <f>IF(B676="","",SUMIF(B:B,B676,G:G))</f>
        <v/>
      </c>
      <c r="L676" s="70" t="str">
        <f>IF(B676="","",IFERROR(VLOOKUP(B676,'Coil Sheet at Plant'!$C:$I,7,FALSE),""))</f>
        <v/>
      </c>
      <c r="M676" s="71" t="str">
        <f>IF(OR(K676="",L676=""),"",IF(L676=0,"⚠ NO PARENT WIDTH",IF(K676&gt;L676,"⚠ BABY &gt; PARENT","✔ OK")))</f>
        <v/>
      </c>
      <c r="N676" s="71" t="str">
        <f>IF(D676="","",IF(COUNTIF(D$3:D676,D676)&gt;1,"⚠ DUPLICATE",""))</f>
        <v/>
      </c>
      <c r="O676" s="72" t="str">
        <f>IF(B676="","",SUMIF(B:B,B676,G:G)&amp;" / "&amp;IFERROR(VLOOKUP(B676,'Coil Sheet at Plant'!$C:$I,7,FALSE),"?")&amp;" mm")</f>
        <v/>
      </c>
    </row>
    <row r="677" spans="1:15">
      <c r="A677" s="36"/>
      <c r="B677" s="32"/>
      <c r="C677" s="39"/>
      <c r="D677" s="44" t="str">
        <f>IF(OR(B677="",C677=""),"",CONCATENATE(B677,"-",C677))</f>
        <v/>
      </c>
      <c r="E677" s="49" t="str">
        <f>IF(B677="","",IFERROR(VLOOKUP(B677,'Coil Sheet at Plant'!$C:$G,5,FALSE),"ID Not Found"))</f>
        <v/>
      </c>
      <c r="F677" s="50" t="str">
        <f>IF(B677="","",IFERROR(VLOOKUP(B677,'Coil Sheet at Plant'!$C:$H,6,FALSE),"ID Not Found"))</f>
        <v/>
      </c>
      <c r="G677" s="81">
        <v>824</v>
      </c>
      <c r="H677" s="89" t="str">
        <f>IF(OR(B677="",G677=""),"",IFERROR(VLOOKUP(B677,'Coil Sheet at Plant'!$C:$J,8,FALSE),0)*G677/SUMIF(B:B,B677,G:G))</f>
        <v/>
      </c>
      <c r="I677" s="56" t="str">
        <f>IF(B677="","",IFERROR(VLOOKUP(B677,'Coil Sheet at Plant'!$C:$L,9,FALSE),""))</f>
        <v/>
      </c>
      <c r="J677" s="85" t="str">
        <f>IF(B677="","",IFERROR(VLOOKUP(B677,'Coil Sheet at Plant'!$C:$M,10,FALSE),""))</f>
        <v/>
      </c>
      <c r="K677" s="69" t="str">
        <f>IF(B677="","",SUMIF(B:B,B677,G:G))</f>
        <v/>
      </c>
      <c r="L677" s="70" t="str">
        <f>IF(B677="","",IFERROR(VLOOKUP(B677,'Coil Sheet at Plant'!$C:$I,7,FALSE),""))</f>
        <v/>
      </c>
      <c r="M677" s="71" t="str">
        <f>IF(OR(K677="",L677=""),"",IF(L677=0,"⚠ NO PARENT WIDTH",IF(K677&gt;L677,"⚠ BABY &gt; PARENT","✔ OK")))</f>
        <v/>
      </c>
      <c r="N677" s="71" t="str">
        <f>IF(D677="","",IF(COUNTIF(D$3:D677,D677)&gt;1,"⚠ DUPLICATE",""))</f>
        <v/>
      </c>
      <c r="O677" s="72" t="str">
        <f>IF(B677="","",SUMIF(B:B,B677,G:G)&amp;" / "&amp;IFERROR(VLOOKUP(B677,'Coil Sheet at Plant'!$C:$I,7,FALSE),"?")&amp;" mm")</f>
        <v/>
      </c>
    </row>
    <row r="678" spans="1:15">
      <c r="A678" s="36"/>
      <c r="B678" s="32"/>
      <c r="C678" s="39"/>
      <c r="D678" s="44" t="str">
        <f>IF(OR(B678="",C678=""),"",CONCATENATE(B678,"-",C678))</f>
        <v/>
      </c>
      <c r="E678" s="49" t="str">
        <f>IF(B678="","",IFERROR(VLOOKUP(B678,'Coil Sheet at Plant'!$C:$G,5,FALSE),"ID Not Found"))</f>
        <v/>
      </c>
      <c r="F678" s="50" t="str">
        <f>IF(B678="","",IFERROR(VLOOKUP(B678,'Coil Sheet at Plant'!$C:$H,6,FALSE),"ID Not Found"))</f>
        <v/>
      </c>
      <c r="G678" s="81">
        <v>825</v>
      </c>
      <c r="H678" s="89" t="str">
        <f>IF(OR(B678="",G678=""),"",IFERROR(VLOOKUP(B678,'Coil Sheet at Plant'!$C:$J,8,FALSE),0)*G678/SUMIF(B:B,B678,G:G))</f>
        <v/>
      </c>
      <c r="I678" s="56" t="str">
        <f>IF(B678="","",IFERROR(VLOOKUP(B678,'Coil Sheet at Plant'!$C:$L,9,FALSE),""))</f>
        <v/>
      </c>
      <c r="J678" s="85" t="str">
        <f>IF(B678="","",IFERROR(VLOOKUP(B678,'Coil Sheet at Plant'!$C:$M,10,FALSE),""))</f>
        <v/>
      </c>
      <c r="K678" s="69" t="str">
        <f>IF(B678="","",SUMIF(B:B,B678,G:G))</f>
        <v/>
      </c>
      <c r="L678" s="70" t="str">
        <f>IF(B678="","",IFERROR(VLOOKUP(B678,'Coil Sheet at Plant'!$C:$I,7,FALSE),""))</f>
        <v/>
      </c>
      <c r="M678" s="71" t="str">
        <f>IF(OR(K678="",L678=""),"",IF(L678=0,"⚠ NO PARENT WIDTH",IF(K678&gt;L678,"⚠ BABY &gt; PARENT","✔ OK")))</f>
        <v/>
      </c>
      <c r="N678" s="71" t="str">
        <f>IF(D678="","",IF(COUNTIF(D$3:D678,D678)&gt;1,"⚠ DUPLICATE",""))</f>
        <v/>
      </c>
      <c r="O678" s="72" t="str">
        <f>IF(B678="","",SUMIF(B:B,B678,G:G)&amp;" / "&amp;IFERROR(VLOOKUP(B678,'Coil Sheet at Plant'!$C:$I,7,FALSE),"?")&amp;" mm")</f>
        <v/>
      </c>
    </row>
    <row r="679" spans="1:15">
      <c r="A679" s="36"/>
      <c r="B679" s="32"/>
      <c r="C679" s="39"/>
      <c r="D679" s="44" t="str">
        <f>IF(OR(B679="",C679=""),"",CONCATENATE(B679,"-",C679))</f>
        <v/>
      </c>
      <c r="E679" s="49" t="str">
        <f>IF(B679="","",IFERROR(VLOOKUP(B679,'Coil Sheet at Plant'!$C:$G,5,FALSE),"ID Not Found"))</f>
        <v/>
      </c>
      <c r="F679" s="50" t="str">
        <f>IF(B679="","",IFERROR(VLOOKUP(B679,'Coil Sheet at Plant'!$C:$H,6,FALSE),"ID Not Found"))</f>
        <v/>
      </c>
      <c r="G679" s="81">
        <v>826</v>
      </c>
      <c r="H679" s="89" t="str">
        <f>IF(OR(B679="",G679=""),"",IFERROR(VLOOKUP(B679,'Coil Sheet at Plant'!$C:$J,8,FALSE),0)*G679/SUMIF(B:B,B679,G:G))</f>
        <v/>
      </c>
      <c r="I679" s="56" t="str">
        <f>IF(B679="","",IFERROR(VLOOKUP(B679,'Coil Sheet at Plant'!$C:$L,9,FALSE),""))</f>
        <v/>
      </c>
      <c r="J679" s="85" t="str">
        <f>IF(B679="","",IFERROR(VLOOKUP(B679,'Coil Sheet at Plant'!$C:$M,10,FALSE),""))</f>
        <v/>
      </c>
      <c r="K679" s="69" t="str">
        <f>IF(B679="","",SUMIF(B:B,B679,G:G))</f>
        <v/>
      </c>
      <c r="L679" s="70" t="str">
        <f>IF(B679="","",IFERROR(VLOOKUP(B679,'Coil Sheet at Plant'!$C:$I,7,FALSE),""))</f>
        <v/>
      </c>
      <c r="M679" s="71" t="str">
        <f>IF(OR(K679="",L679=""),"",IF(L679=0,"⚠ NO PARENT WIDTH",IF(K679&gt;L679,"⚠ BABY &gt; PARENT","✔ OK")))</f>
        <v/>
      </c>
      <c r="N679" s="71" t="str">
        <f>IF(D679="","",IF(COUNTIF(D$3:D679,D679)&gt;1,"⚠ DUPLICATE",""))</f>
        <v/>
      </c>
      <c r="O679" s="72" t="str">
        <f>IF(B679="","",SUMIF(B:B,B679,G:G)&amp;" / "&amp;IFERROR(VLOOKUP(B679,'Coil Sheet at Plant'!$C:$I,7,FALSE),"?")&amp;" mm")</f>
        <v/>
      </c>
    </row>
    <row r="680" spans="1:15">
      <c r="A680" s="36"/>
      <c r="B680" s="32"/>
      <c r="C680" s="39"/>
      <c r="D680" s="44" t="str">
        <f>IF(OR(B680="",C680=""),"",CONCATENATE(B680,"-",C680))</f>
        <v/>
      </c>
      <c r="E680" s="49" t="str">
        <f>IF(B680="","",IFERROR(VLOOKUP(B680,'Coil Sheet at Plant'!$C:$G,5,FALSE),"ID Not Found"))</f>
        <v/>
      </c>
      <c r="F680" s="50" t="str">
        <f>IF(B680="","",IFERROR(VLOOKUP(B680,'Coil Sheet at Plant'!$C:$H,6,FALSE),"ID Not Found"))</f>
        <v/>
      </c>
      <c r="G680" s="81">
        <v>827</v>
      </c>
      <c r="H680" s="89" t="str">
        <f>IF(OR(B680="",G680=""),"",IFERROR(VLOOKUP(B680,'Coil Sheet at Plant'!$C:$J,8,FALSE),0)*G680/SUMIF(B:B,B680,G:G))</f>
        <v/>
      </c>
      <c r="I680" s="56" t="str">
        <f>IF(B680="","",IFERROR(VLOOKUP(B680,'Coil Sheet at Plant'!$C:$L,9,FALSE),""))</f>
        <v/>
      </c>
      <c r="J680" s="85" t="str">
        <f>IF(B680="","",IFERROR(VLOOKUP(B680,'Coil Sheet at Plant'!$C:$M,10,FALSE),""))</f>
        <v/>
      </c>
      <c r="K680" s="69" t="str">
        <f>IF(B680="","",SUMIF(B:B,B680,G:G))</f>
        <v/>
      </c>
      <c r="L680" s="70" t="str">
        <f>IF(B680="","",IFERROR(VLOOKUP(B680,'Coil Sheet at Plant'!$C:$I,7,FALSE),""))</f>
        <v/>
      </c>
      <c r="M680" s="71" t="str">
        <f>IF(OR(K680="",L680=""),"",IF(L680=0,"⚠ NO PARENT WIDTH",IF(K680&gt;L680,"⚠ BABY &gt; PARENT","✔ OK")))</f>
        <v/>
      </c>
      <c r="N680" s="71" t="str">
        <f>IF(D680="","",IF(COUNTIF(D$3:D680,D680)&gt;1,"⚠ DUPLICATE",""))</f>
        <v/>
      </c>
      <c r="O680" s="72" t="str">
        <f>IF(B680="","",SUMIF(B:B,B680,G:G)&amp;" / "&amp;IFERROR(VLOOKUP(B680,'Coil Sheet at Plant'!$C:$I,7,FALSE),"?")&amp;" mm")</f>
        <v/>
      </c>
    </row>
    <row r="681" spans="1:15">
      <c r="A681" s="36"/>
      <c r="B681" s="32"/>
      <c r="C681" s="39"/>
      <c r="D681" s="44" t="str">
        <f>IF(OR(B681="",C681=""),"",CONCATENATE(B681,"-",C681))</f>
        <v/>
      </c>
      <c r="E681" s="49" t="str">
        <f>IF(B681="","",IFERROR(VLOOKUP(B681,'Coil Sheet at Plant'!$C:$G,5,FALSE),"ID Not Found"))</f>
        <v/>
      </c>
      <c r="F681" s="50" t="str">
        <f>IF(B681="","",IFERROR(VLOOKUP(B681,'Coil Sheet at Plant'!$C:$H,6,FALSE),"ID Not Found"))</f>
        <v/>
      </c>
      <c r="G681" s="81">
        <v>828</v>
      </c>
      <c r="H681" s="89" t="str">
        <f>IF(OR(B681="",G681=""),"",IFERROR(VLOOKUP(B681,'Coil Sheet at Plant'!$C:$J,8,FALSE),0)*G681/SUMIF(B:B,B681,G:G))</f>
        <v/>
      </c>
      <c r="I681" s="56" t="str">
        <f>IF(B681="","",IFERROR(VLOOKUP(B681,'Coil Sheet at Plant'!$C:$L,9,FALSE),""))</f>
        <v/>
      </c>
      <c r="J681" s="85" t="str">
        <f>IF(B681="","",IFERROR(VLOOKUP(B681,'Coil Sheet at Plant'!$C:$M,10,FALSE),""))</f>
        <v/>
      </c>
      <c r="K681" s="69" t="str">
        <f>IF(B681="","",SUMIF(B:B,B681,G:G))</f>
        <v/>
      </c>
      <c r="L681" s="70" t="str">
        <f>IF(B681="","",IFERROR(VLOOKUP(B681,'Coil Sheet at Plant'!$C:$I,7,FALSE),""))</f>
        <v/>
      </c>
      <c r="M681" s="71" t="str">
        <f>IF(OR(K681="",L681=""),"",IF(L681=0,"⚠ NO PARENT WIDTH",IF(K681&gt;L681,"⚠ BABY &gt; PARENT","✔ OK")))</f>
        <v/>
      </c>
      <c r="N681" s="71" t="str">
        <f>IF(D681="","",IF(COUNTIF(D$3:D681,D681)&gt;1,"⚠ DUPLICATE",""))</f>
        <v/>
      </c>
      <c r="O681" s="72" t="str">
        <f>IF(B681="","",SUMIF(B:B,B681,G:G)&amp;" / "&amp;IFERROR(VLOOKUP(B681,'Coil Sheet at Plant'!$C:$I,7,FALSE),"?")&amp;" mm")</f>
        <v/>
      </c>
    </row>
    <row r="682" spans="1:15">
      <c r="A682" s="36"/>
      <c r="B682" s="32"/>
      <c r="C682" s="39"/>
      <c r="D682" s="44" t="str">
        <f>IF(OR(B682="",C682=""),"",CONCATENATE(B682,"-",C682))</f>
        <v/>
      </c>
      <c r="E682" s="49" t="str">
        <f>IF(B682="","",IFERROR(VLOOKUP(B682,'Coil Sheet at Plant'!$C:$G,5,FALSE),"ID Not Found"))</f>
        <v/>
      </c>
      <c r="F682" s="50" t="str">
        <f>IF(B682="","",IFERROR(VLOOKUP(B682,'Coil Sheet at Plant'!$C:$H,6,FALSE),"ID Not Found"))</f>
        <v/>
      </c>
      <c r="G682" s="81">
        <v>829</v>
      </c>
      <c r="H682" s="89" t="str">
        <f>IF(OR(B682="",G682=""),"",IFERROR(VLOOKUP(B682,'Coil Sheet at Plant'!$C:$J,8,FALSE),0)*G682/SUMIF(B:B,B682,G:G))</f>
        <v/>
      </c>
      <c r="I682" s="56" t="str">
        <f>IF(B682="","",IFERROR(VLOOKUP(B682,'Coil Sheet at Plant'!$C:$L,9,FALSE),""))</f>
        <v/>
      </c>
      <c r="J682" s="85" t="str">
        <f>IF(B682="","",IFERROR(VLOOKUP(B682,'Coil Sheet at Plant'!$C:$M,10,FALSE),""))</f>
        <v/>
      </c>
      <c r="K682" s="69" t="str">
        <f>IF(B682="","",SUMIF(B:B,B682,G:G))</f>
        <v/>
      </c>
      <c r="L682" s="70" t="str">
        <f>IF(B682="","",IFERROR(VLOOKUP(B682,'Coil Sheet at Plant'!$C:$I,7,FALSE),""))</f>
        <v/>
      </c>
      <c r="M682" s="71" t="str">
        <f>IF(OR(K682="",L682=""),"",IF(L682=0,"⚠ NO PARENT WIDTH",IF(K682&gt;L682,"⚠ BABY &gt; PARENT","✔ OK")))</f>
        <v/>
      </c>
      <c r="N682" s="71" t="str">
        <f>IF(D682="","",IF(COUNTIF(D$3:D682,D682)&gt;1,"⚠ DUPLICATE",""))</f>
        <v/>
      </c>
      <c r="O682" s="72" t="str">
        <f>IF(B682="","",SUMIF(B:B,B682,G:G)&amp;" / "&amp;IFERROR(VLOOKUP(B682,'Coil Sheet at Plant'!$C:$I,7,FALSE),"?")&amp;" mm")</f>
        <v/>
      </c>
    </row>
    <row r="683" spans="1:15">
      <c r="A683" s="36"/>
      <c r="B683" s="32"/>
      <c r="C683" s="39"/>
      <c r="D683" s="44" t="str">
        <f>IF(OR(B683="",C683=""),"",CONCATENATE(B683,"-",C683))</f>
        <v/>
      </c>
      <c r="E683" s="49" t="str">
        <f>IF(B683="","",IFERROR(VLOOKUP(B683,'Coil Sheet at Plant'!$C:$G,5,FALSE),"ID Not Found"))</f>
        <v/>
      </c>
      <c r="F683" s="50" t="str">
        <f>IF(B683="","",IFERROR(VLOOKUP(B683,'Coil Sheet at Plant'!$C:$H,6,FALSE),"ID Not Found"))</f>
        <v/>
      </c>
      <c r="G683" s="81">
        <v>830</v>
      </c>
      <c r="H683" s="89" t="str">
        <f>IF(OR(B683="",G683=""),"",IFERROR(VLOOKUP(B683,'Coil Sheet at Plant'!$C:$J,8,FALSE),0)*G683/SUMIF(B:B,B683,G:G))</f>
        <v/>
      </c>
      <c r="I683" s="56" t="str">
        <f>IF(B683="","",IFERROR(VLOOKUP(B683,'Coil Sheet at Plant'!$C:$L,9,FALSE),""))</f>
        <v/>
      </c>
      <c r="J683" s="85" t="str">
        <f>IF(B683="","",IFERROR(VLOOKUP(B683,'Coil Sheet at Plant'!$C:$M,10,FALSE),""))</f>
        <v/>
      </c>
      <c r="K683" s="69" t="str">
        <f>IF(B683="","",SUMIF(B:B,B683,G:G))</f>
        <v/>
      </c>
      <c r="L683" s="70" t="str">
        <f>IF(B683="","",IFERROR(VLOOKUP(B683,'Coil Sheet at Plant'!$C:$I,7,FALSE),""))</f>
        <v/>
      </c>
      <c r="M683" s="71" t="str">
        <f>IF(OR(K683="",L683=""),"",IF(L683=0,"⚠ NO PARENT WIDTH",IF(K683&gt;L683,"⚠ BABY &gt; PARENT","✔ OK")))</f>
        <v/>
      </c>
      <c r="N683" s="71" t="str">
        <f>IF(D683="","",IF(COUNTIF(D$3:D683,D683)&gt;1,"⚠ DUPLICATE",""))</f>
        <v/>
      </c>
      <c r="O683" s="72" t="str">
        <f>IF(B683="","",SUMIF(B:B,B683,G:G)&amp;" / "&amp;IFERROR(VLOOKUP(B683,'Coil Sheet at Plant'!$C:$I,7,FALSE),"?")&amp;" mm")</f>
        <v/>
      </c>
    </row>
    <row r="684" spans="1:15">
      <c r="A684" s="36"/>
      <c r="B684" s="32"/>
      <c r="C684" s="39"/>
      <c r="D684" s="44" t="str">
        <f>IF(OR(B684="",C684=""),"",CONCATENATE(B684,"-",C684))</f>
        <v/>
      </c>
      <c r="E684" s="49" t="str">
        <f>IF(B684="","",IFERROR(VLOOKUP(B684,'Coil Sheet at Plant'!$C:$G,5,FALSE),"ID Not Found"))</f>
        <v/>
      </c>
      <c r="F684" s="50" t="str">
        <f>IF(B684="","",IFERROR(VLOOKUP(B684,'Coil Sheet at Plant'!$C:$H,6,FALSE),"ID Not Found"))</f>
        <v/>
      </c>
      <c r="G684" s="81">
        <v>831</v>
      </c>
      <c r="H684" s="89" t="str">
        <f>IF(OR(B684="",G684=""),"",IFERROR(VLOOKUP(B684,'Coil Sheet at Plant'!$C:$J,8,FALSE),0)*G684/SUMIF(B:B,B684,G:G))</f>
        <v/>
      </c>
      <c r="I684" s="56" t="str">
        <f>IF(B684="","",IFERROR(VLOOKUP(B684,'Coil Sheet at Plant'!$C:$L,9,FALSE),""))</f>
        <v/>
      </c>
      <c r="J684" s="85" t="str">
        <f>IF(B684="","",IFERROR(VLOOKUP(B684,'Coil Sheet at Plant'!$C:$M,10,FALSE),""))</f>
        <v/>
      </c>
      <c r="K684" s="69" t="str">
        <f>IF(B684="","",SUMIF(B:B,B684,G:G))</f>
        <v/>
      </c>
      <c r="L684" s="70" t="str">
        <f>IF(B684="","",IFERROR(VLOOKUP(B684,'Coil Sheet at Plant'!$C:$I,7,FALSE),""))</f>
        <v/>
      </c>
      <c r="M684" s="71" t="str">
        <f>IF(OR(K684="",L684=""),"",IF(L684=0,"⚠ NO PARENT WIDTH",IF(K684&gt;L684,"⚠ BABY &gt; PARENT","✔ OK")))</f>
        <v/>
      </c>
      <c r="N684" s="71" t="str">
        <f>IF(D684="","",IF(COUNTIF(D$3:D684,D684)&gt;1,"⚠ DUPLICATE",""))</f>
        <v/>
      </c>
      <c r="O684" s="72" t="str">
        <f>IF(B684="","",SUMIF(B:B,B684,G:G)&amp;" / "&amp;IFERROR(VLOOKUP(B684,'Coil Sheet at Plant'!$C:$I,7,FALSE),"?")&amp;" mm")</f>
        <v/>
      </c>
    </row>
    <row r="685" spans="1:15">
      <c r="A685" s="36"/>
      <c r="B685" s="32"/>
      <c r="C685" s="39"/>
      <c r="D685" s="44" t="str">
        <f>IF(OR(B685="",C685=""),"",CONCATENATE(B685,"-",C685))</f>
        <v/>
      </c>
      <c r="E685" s="49" t="str">
        <f>IF(B685="","",IFERROR(VLOOKUP(B685,'Coil Sheet at Plant'!$C:$G,5,FALSE),"ID Not Found"))</f>
        <v/>
      </c>
      <c r="F685" s="50" t="str">
        <f>IF(B685="","",IFERROR(VLOOKUP(B685,'Coil Sheet at Plant'!$C:$H,6,FALSE),"ID Not Found"))</f>
        <v/>
      </c>
      <c r="G685" s="81">
        <v>832</v>
      </c>
      <c r="H685" s="89" t="str">
        <f>IF(OR(B685="",G685=""),"",IFERROR(VLOOKUP(B685,'Coil Sheet at Plant'!$C:$J,8,FALSE),0)*G685/SUMIF(B:B,B685,G:G))</f>
        <v/>
      </c>
      <c r="I685" s="56" t="str">
        <f>IF(B685="","",IFERROR(VLOOKUP(B685,'Coil Sheet at Plant'!$C:$L,9,FALSE),""))</f>
        <v/>
      </c>
      <c r="J685" s="85" t="str">
        <f>IF(B685="","",IFERROR(VLOOKUP(B685,'Coil Sheet at Plant'!$C:$M,10,FALSE),""))</f>
        <v/>
      </c>
      <c r="K685" s="69" t="str">
        <f>IF(B685="","",SUMIF(B:B,B685,G:G))</f>
        <v/>
      </c>
      <c r="L685" s="70" t="str">
        <f>IF(B685="","",IFERROR(VLOOKUP(B685,'Coil Sheet at Plant'!$C:$I,7,FALSE),""))</f>
        <v/>
      </c>
      <c r="M685" s="71" t="str">
        <f>IF(OR(K685="",L685=""),"",IF(L685=0,"⚠ NO PARENT WIDTH",IF(K685&gt;L685,"⚠ BABY &gt; PARENT","✔ OK")))</f>
        <v/>
      </c>
      <c r="N685" s="71" t="str">
        <f>IF(D685="","",IF(COUNTIF(D$3:D685,D685)&gt;1,"⚠ DUPLICATE",""))</f>
        <v/>
      </c>
      <c r="O685" s="72" t="str">
        <f>IF(B685="","",SUMIF(B:B,B685,G:G)&amp;" / "&amp;IFERROR(VLOOKUP(B685,'Coil Sheet at Plant'!$C:$I,7,FALSE),"?")&amp;" mm")</f>
        <v/>
      </c>
    </row>
    <row r="686" spans="1:15">
      <c r="A686" s="36"/>
      <c r="B686" s="32"/>
      <c r="C686" s="39"/>
      <c r="D686" s="44" t="str">
        <f>IF(OR(B686="",C686=""),"",CONCATENATE(B686,"-",C686))</f>
        <v/>
      </c>
      <c r="E686" s="49" t="str">
        <f>IF(B686="","",IFERROR(VLOOKUP(B686,'Coil Sheet at Plant'!$C:$G,5,FALSE),"ID Not Found"))</f>
        <v/>
      </c>
      <c r="F686" s="50" t="str">
        <f>IF(B686="","",IFERROR(VLOOKUP(B686,'Coil Sheet at Plant'!$C:$H,6,FALSE),"ID Not Found"))</f>
        <v/>
      </c>
      <c r="G686" s="81">
        <v>833</v>
      </c>
      <c r="H686" s="89" t="str">
        <f>IF(OR(B686="",G686=""),"",IFERROR(VLOOKUP(B686,'Coil Sheet at Plant'!$C:$J,8,FALSE),0)*G686/SUMIF(B:B,B686,G:G))</f>
        <v/>
      </c>
      <c r="I686" s="56" t="str">
        <f>IF(B686="","",IFERROR(VLOOKUP(B686,'Coil Sheet at Plant'!$C:$L,9,FALSE),""))</f>
        <v/>
      </c>
      <c r="J686" s="85" t="str">
        <f>IF(B686="","",IFERROR(VLOOKUP(B686,'Coil Sheet at Plant'!$C:$M,10,FALSE),""))</f>
        <v/>
      </c>
      <c r="K686" s="69" t="str">
        <f>IF(B686="","",SUMIF(B:B,B686,G:G))</f>
        <v/>
      </c>
      <c r="L686" s="70" t="str">
        <f>IF(B686="","",IFERROR(VLOOKUP(B686,'Coil Sheet at Plant'!$C:$I,7,FALSE),""))</f>
        <v/>
      </c>
      <c r="M686" s="71" t="str">
        <f>IF(OR(K686="",L686=""),"",IF(L686=0,"⚠ NO PARENT WIDTH",IF(K686&gt;L686,"⚠ BABY &gt; PARENT","✔ OK")))</f>
        <v/>
      </c>
      <c r="N686" s="71" t="str">
        <f>IF(D686="","",IF(COUNTIF(D$3:D686,D686)&gt;1,"⚠ DUPLICATE",""))</f>
        <v/>
      </c>
      <c r="O686" s="72" t="str">
        <f>IF(B686="","",SUMIF(B:B,B686,G:G)&amp;" / "&amp;IFERROR(VLOOKUP(B686,'Coil Sheet at Plant'!$C:$I,7,FALSE),"?")&amp;" mm")</f>
        <v/>
      </c>
    </row>
    <row r="687" spans="1:15">
      <c r="A687" s="36"/>
      <c r="B687" s="32"/>
      <c r="C687" s="39"/>
      <c r="D687" s="44" t="str">
        <f>IF(OR(B687="",C687=""),"",CONCATENATE(B687,"-",C687))</f>
        <v/>
      </c>
      <c r="E687" s="49" t="str">
        <f>IF(B687="","",IFERROR(VLOOKUP(B687,'Coil Sheet at Plant'!$C:$G,5,FALSE),"ID Not Found"))</f>
        <v/>
      </c>
      <c r="F687" s="50" t="str">
        <f>IF(B687="","",IFERROR(VLOOKUP(B687,'Coil Sheet at Plant'!$C:$H,6,FALSE),"ID Not Found"))</f>
        <v/>
      </c>
      <c r="G687" s="81">
        <v>834</v>
      </c>
      <c r="H687" s="89" t="str">
        <f>IF(OR(B687="",G687=""),"",IFERROR(VLOOKUP(B687,'Coil Sheet at Plant'!$C:$J,8,FALSE),0)*G687/SUMIF(B:B,B687,G:G))</f>
        <v/>
      </c>
      <c r="I687" s="56" t="str">
        <f>IF(B687="","",IFERROR(VLOOKUP(B687,'Coil Sheet at Plant'!$C:$L,9,FALSE),""))</f>
        <v/>
      </c>
      <c r="J687" s="85" t="str">
        <f>IF(B687="","",IFERROR(VLOOKUP(B687,'Coil Sheet at Plant'!$C:$M,10,FALSE),""))</f>
        <v/>
      </c>
      <c r="K687" s="69" t="str">
        <f>IF(B687="","",SUMIF(B:B,B687,G:G))</f>
        <v/>
      </c>
      <c r="L687" s="70" t="str">
        <f>IF(B687="","",IFERROR(VLOOKUP(B687,'Coil Sheet at Plant'!$C:$I,7,FALSE),""))</f>
        <v/>
      </c>
      <c r="M687" s="71" t="str">
        <f>IF(OR(K687="",L687=""),"",IF(L687=0,"⚠ NO PARENT WIDTH",IF(K687&gt;L687,"⚠ BABY &gt; PARENT","✔ OK")))</f>
        <v/>
      </c>
      <c r="N687" s="71" t="str">
        <f>IF(D687="","",IF(COUNTIF(D$3:D687,D687)&gt;1,"⚠ DUPLICATE",""))</f>
        <v/>
      </c>
      <c r="O687" s="72" t="str">
        <f>IF(B687="","",SUMIF(B:B,B687,G:G)&amp;" / "&amp;IFERROR(VLOOKUP(B687,'Coil Sheet at Plant'!$C:$I,7,FALSE),"?")&amp;" mm")</f>
        <v/>
      </c>
    </row>
    <row r="688" spans="1:15">
      <c r="A688" s="36"/>
      <c r="B688" s="32"/>
      <c r="C688" s="39"/>
      <c r="D688" s="44" t="str">
        <f>IF(OR(B688="",C688=""),"",CONCATENATE(B688,"-",C688))</f>
        <v/>
      </c>
      <c r="E688" s="49" t="str">
        <f>IF(B688="","",IFERROR(VLOOKUP(B688,'Coil Sheet at Plant'!$C:$G,5,FALSE),"ID Not Found"))</f>
        <v/>
      </c>
      <c r="F688" s="50" t="str">
        <f>IF(B688="","",IFERROR(VLOOKUP(B688,'Coil Sheet at Plant'!$C:$H,6,FALSE),"ID Not Found"))</f>
        <v/>
      </c>
      <c r="G688" s="81">
        <v>835</v>
      </c>
      <c r="H688" s="89" t="str">
        <f>IF(OR(B688="",G688=""),"",IFERROR(VLOOKUP(B688,'Coil Sheet at Plant'!$C:$J,8,FALSE),0)*G688/SUMIF(B:B,B688,G:G))</f>
        <v/>
      </c>
      <c r="I688" s="56" t="str">
        <f>IF(B688="","",IFERROR(VLOOKUP(B688,'Coil Sheet at Plant'!$C:$L,9,FALSE),""))</f>
        <v/>
      </c>
      <c r="J688" s="85" t="str">
        <f>IF(B688="","",IFERROR(VLOOKUP(B688,'Coil Sheet at Plant'!$C:$M,10,FALSE),""))</f>
        <v/>
      </c>
      <c r="K688" s="69" t="str">
        <f>IF(B688="","",SUMIF(B:B,B688,G:G))</f>
        <v/>
      </c>
      <c r="L688" s="70" t="str">
        <f>IF(B688="","",IFERROR(VLOOKUP(B688,'Coil Sheet at Plant'!$C:$I,7,FALSE),""))</f>
        <v/>
      </c>
      <c r="M688" s="71" t="str">
        <f>IF(OR(K688="",L688=""),"",IF(L688=0,"⚠ NO PARENT WIDTH",IF(K688&gt;L688,"⚠ BABY &gt; PARENT","✔ OK")))</f>
        <v/>
      </c>
      <c r="N688" s="71" t="str">
        <f>IF(D688="","",IF(COUNTIF(D$3:D688,D688)&gt;1,"⚠ DUPLICATE",""))</f>
        <v/>
      </c>
      <c r="O688" s="72" t="str">
        <f>IF(B688="","",SUMIF(B:B,B688,G:G)&amp;" / "&amp;IFERROR(VLOOKUP(B688,'Coil Sheet at Plant'!$C:$I,7,FALSE),"?")&amp;" mm")</f>
        <v/>
      </c>
    </row>
    <row r="689" spans="1:15">
      <c r="A689" s="36"/>
      <c r="B689" s="32"/>
      <c r="C689" s="39"/>
      <c r="D689" s="44" t="str">
        <f>IF(OR(B689="",C689=""),"",CONCATENATE(B689,"-",C689))</f>
        <v/>
      </c>
      <c r="E689" s="49" t="str">
        <f>IF(B689="","",IFERROR(VLOOKUP(B689,'Coil Sheet at Plant'!$C:$G,5,FALSE),"ID Not Found"))</f>
        <v/>
      </c>
      <c r="F689" s="50" t="str">
        <f>IF(B689="","",IFERROR(VLOOKUP(B689,'Coil Sheet at Plant'!$C:$H,6,FALSE),"ID Not Found"))</f>
        <v/>
      </c>
      <c r="G689" s="81">
        <v>836</v>
      </c>
      <c r="H689" s="89" t="str">
        <f>IF(OR(B689="",G689=""),"",IFERROR(VLOOKUP(B689,'Coil Sheet at Plant'!$C:$J,8,FALSE),0)*G689/SUMIF(B:B,B689,G:G))</f>
        <v/>
      </c>
      <c r="I689" s="56" t="str">
        <f>IF(B689="","",IFERROR(VLOOKUP(B689,'Coil Sheet at Plant'!$C:$L,9,FALSE),""))</f>
        <v/>
      </c>
      <c r="J689" s="85" t="str">
        <f>IF(B689="","",IFERROR(VLOOKUP(B689,'Coil Sheet at Plant'!$C:$M,10,FALSE),""))</f>
        <v/>
      </c>
      <c r="K689" s="69" t="str">
        <f>IF(B689="","",SUMIF(B:B,B689,G:G))</f>
        <v/>
      </c>
      <c r="L689" s="70" t="str">
        <f>IF(B689="","",IFERROR(VLOOKUP(B689,'Coil Sheet at Plant'!$C:$I,7,FALSE),""))</f>
        <v/>
      </c>
      <c r="M689" s="71" t="str">
        <f>IF(OR(K689="",L689=""),"",IF(L689=0,"⚠ NO PARENT WIDTH",IF(K689&gt;L689,"⚠ BABY &gt; PARENT","✔ OK")))</f>
        <v/>
      </c>
      <c r="N689" s="71" t="str">
        <f>IF(D689="","",IF(COUNTIF(D$3:D689,D689)&gt;1,"⚠ DUPLICATE",""))</f>
        <v/>
      </c>
      <c r="O689" s="72" t="str">
        <f>IF(B689="","",SUMIF(B:B,B689,G:G)&amp;" / "&amp;IFERROR(VLOOKUP(B689,'Coil Sheet at Plant'!$C:$I,7,FALSE),"?")&amp;" mm")</f>
        <v/>
      </c>
    </row>
    <row r="690" spans="1:15">
      <c r="A690" s="36"/>
      <c r="B690" s="32"/>
      <c r="C690" s="39"/>
      <c r="D690" s="44" t="str">
        <f>IF(OR(B690="",C690=""),"",CONCATENATE(B690,"-",C690))</f>
        <v/>
      </c>
      <c r="E690" s="49" t="str">
        <f>IF(B690="","",IFERROR(VLOOKUP(B690,'Coil Sheet at Plant'!$C:$G,5,FALSE),"ID Not Found"))</f>
        <v/>
      </c>
      <c r="F690" s="50" t="str">
        <f>IF(B690="","",IFERROR(VLOOKUP(B690,'Coil Sheet at Plant'!$C:$H,6,FALSE),"ID Not Found"))</f>
        <v/>
      </c>
      <c r="G690" s="81">
        <v>837</v>
      </c>
      <c r="H690" s="89" t="str">
        <f>IF(OR(B690="",G690=""),"",IFERROR(VLOOKUP(B690,'Coil Sheet at Plant'!$C:$J,8,FALSE),0)*G690/SUMIF(B:B,B690,G:G))</f>
        <v/>
      </c>
      <c r="I690" s="56" t="str">
        <f>IF(B690="","",IFERROR(VLOOKUP(B690,'Coil Sheet at Plant'!$C:$L,9,FALSE),""))</f>
        <v/>
      </c>
      <c r="J690" s="85" t="str">
        <f>IF(B690="","",IFERROR(VLOOKUP(B690,'Coil Sheet at Plant'!$C:$M,10,FALSE),""))</f>
        <v/>
      </c>
      <c r="K690" s="69" t="str">
        <f>IF(B690="","",SUMIF(B:B,B690,G:G))</f>
        <v/>
      </c>
      <c r="L690" s="70" t="str">
        <f>IF(B690="","",IFERROR(VLOOKUP(B690,'Coil Sheet at Plant'!$C:$I,7,FALSE),""))</f>
        <v/>
      </c>
      <c r="M690" s="71" t="str">
        <f>IF(OR(K690="",L690=""),"",IF(L690=0,"⚠ NO PARENT WIDTH",IF(K690&gt;L690,"⚠ BABY &gt; PARENT","✔ OK")))</f>
        <v/>
      </c>
      <c r="N690" s="71" t="str">
        <f>IF(D690="","",IF(COUNTIF(D$3:D690,D690)&gt;1,"⚠ DUPLICATE",""))</f>
        <v/>
      </c>
      <c r="O690" s="72" t="str">
        <f>IF(B690="","",SUMIF(B:B,B690,G:G)&amp;" / "&amp;IFERROR(VLOOKUP(B690,'Coil Sheet at Plant'!$C:$I,7,FALSE),"?")&amp;" mm")</f>
        <v/>
      </c>
    </row>
    <row r="691" spans="1:15">
      <c r="A691" s="36"/>
      <c r="B691" s="32"/>
      <c r="C691" s="39"/>
      <c r="D691" s="44" t="str">
        <f>IF(OR(B691="",C691=""),"",CONCATENATE(B691,"-",C691))</f>
        <v/>
      </c>
      <c r="E691" s="49" t="str">
        <f>IF(B691="","",IFERROR(VLOOKUP(B691,'Coil Sheet at Plant'!$C:$G,5,FALSE),"ID Not Found"))</f>
        <v/>
      </c>
      <c r="F691" s="50" t="str">
        <f>IF(B691="","",IFERROR(VLOOKUP(B691,'Coil Sheet at Plant'!$C:$H,6,FALSE),"ID Not Found"))</f>
        <v/>
      </c>
      <c r="G691" s="81">
        <v>838</v>
      </c>
      <c r="H691" s="89" t="str">
        <f>IF(OR(B691="",G691=""),"",IFERROR(VLOOKUP(B691,'Coil Sheet at Plant'!$C:$J,8,FALSE),0)*G691/SUMIF(B:B,B691,G:G))</f>
        <v/>
      </c>
      <c r="I691" s="56" t="str">
        <f>IF(B691="","",IFERROR(VLOOKUP(B691,'Coil Sheet at Plant'!$C:$L,9,FALSE),""))</f>
        <v/>
      </c>
      <c r="J691" s="85" t="str">
        <f>IF(B691="","",IFERROR(VLOOKUP(B691,'Coil Sheet at Plant'!$C:$M,10,FALSE),""))</f>
        <v/>
      </c>
      <c r="K691" s="69" t="str">
        <f>IF(B691="","",SUMIF(B:B,B691,G:G))</f>
        <v/>
      </c>
      <c r="L691" s="70" t="str">
        <f>IF(B691="","",IFERROR(VLOOKUP(B691,'Coil Sheet at Plant'!$C:$I,7,FALSE),""))</f>
        <v/>
      </c>
      <c r="M691" s="71" t="str">
        <f>IF(OR(K691="",L691=""),"",IF(L691=0,"⚠ NO PARENT WIDTH",IF(K691&gt;L691,"⚠ BABY &gt; PARENT","✔ OK")))</f>
        <v/>
      </c>
      <c r="N691" s="71" t="str">
        <f>IF(D691="","",IF(COUNTIF(D$3:D691,D691)&gt;1,"⚠ DUPLICATE",""))</f>
        <v/>
      </c>
      <c r="O691" s="72" t="str">
        <f>IF(B691="","",SUMIF(B:B,B691,G:G)&amp;" / "&amp;IFERROR(VLOOKUP(B691,'Coil Sheet at Plant'!$C:$I,7,FALSE),"?")&amp;" mm")</f>
        <v/>
      </c>
    </row>
    <row r="692" spans="1:15">
      <c r="A692" s="36"/>
      <c r="B692" s="32"/>
      <c r="C692" s="39"/>
      <c r="D692" s="44" t="str">
        <f>IF(OR(B692="",C692=""),"",CONCATENATE(B692,"-",C692))</f>
        <v/>
      </c>
      <c r="E692" s="49" t="str">
        <f>IF(B692="","",IFERROR(VLOOKUP(B692,'Coil Sheet at Plant'!$C:$G,5,FALSE),"ID Not Found"))</f>
        <v/>
      </c>
      <c r="F692" s="50" t="str">
        <f>IF(B692="","",IFERROR(VLOOKUP(B692,'Coil Sheet at Plant'!$C:$H,6,FALSE),"ID Not Found"))</f>
        <v/>
      </c>
      <c r="G692" s="81">
        <v>839</v>
      </c>
      <c r="H692" s="89" t="str">
        <f>IF(OR(B692="",G692=""),"",IFERROR(VLOOKUP(B692,'Coil Sheet at Plant'!$C:$J,8,FALSE),0)*G692/SUMIF(B:B,B692,G:G))</f>
        <v/>
      </c>
      <c r="I692" s="56" t="str">
        <f>IF(B692="","",IFERROR(VLOOKUP(B692,'Coil Sheet at Plant'!$C:$L,9,FALSE),""))</f>
        <v/>
      </c>
      <c r="J692" s="85" t="str">
        <f>IF(B692="","",IFERROR(VLOOKUP(B692,'Coil Sheet at Plant'!$C:$M,10,FALSE),""))</f>
        <v/>
      </c>
      <c r="K692" s="69" t="str">
        <f>IF(B692="","",SUMIF(B:B,B692,G:G))</f>
        <v/>
      </c>
      <c r="L692" s="70" t="str">
        <f>IF(B692="","",IFERROR(VLOOKUP(B692,'Coil Sheet at Plant'!$C:$I,7,FALSE),""))</f>
        <v/>
      </c>
      <c r="M692" s="71" t="str">
        <f>IF(OR(K692="",L692=""),"",IF(L692=0,"⚠ NO PARENT WIDTH",IF(K692&gt;L692,"⚠ BABY &gt; PARENT","✔ OK")))</f>
        <v/>
      </c>
      <c r="N692" s="71" t="str">
        <f>IF(D692="","",IF(COUNTIF(D$3:D692,D692)&gt;1,"⚠ DUPLICATE",""))</f>
        <v/>
      </c>
      <c r="O692" s="72" t="str">
        <f>IF(B692="","",SUMIF(B:B,B692,G:G)&amp;" / "&amp;IFERROR(VLOOKUP(B692,'Coil Sheet at Plant'!$C:$I,7,FALSE),"?")&amp;" mm")</f>
        <v/>
      </c>
    </row>
    <row r="693" spans="1:15">
      <c r="A693" s="36"/>
      <c r="B693" s="32"/>
      <c r="C693" s="39"/>
      <c r="D693" s="44" t="str">
        <f>IF(OR(B693="",C693=""),"",CONCATENATE(B693,"-",C693))</f>
        <v/>
      </c>
      <c r="E693" s="49" t="str">
        <f>IF(B693="","",IFERROR(VLOOKUP(B693,'Coil Sheet at Plant'!$C:$G,5,FALSE),"ID Not Found"))</f>
        <v/>
      </c>
      <c r="F693" s="50" t="str">
        <f>IF(B693="","",IFERROR(VLOOKUP(B693,'Coil Sheet at Plant'!$C:$H,6,FALSE),"ID Not Found"))</f>
        <v/>
      </c>
      <c r="G693" s="81">
        <v>840</v>
      </c>
      <c r="H693" s="89" t="str">
        <f>IF(OR(B693="",G693=""),"",IFERROR(VLOOKUP(B693,'Coil Sheet at Plant'!$C:$J,8,FALSE),0)*G693/SUMIF(B:B,B693,G:G))</f>
        <v/>
      </c>
      <c r="I693" s="56" t="str">
        <f>IF(B693="","",IFERROR(VLOOKUP(B693,'Coil Sheet at Plant'!$C:$L,9,FALSE),""))</f>
        <v/>
      </c>
      <c r="J693" s="85" t="str">
        <f>IF(B693="","",IFERROR(VLOOKUP(B693,'Coil Sheet at Plant'!$C:$M,10,FALSE),""))</f>
        <v/>
      </c>
      <c r="K693" s="69" t="str">
        <f>IF(B693="","",SUMIF(B:B,B693,G:G))</f>
        <v/>
      </c>
      <c r="L693" s="70" t="str">
        <f>IF(B693="","",IFERROR(VLOOKUP(B693,'Coil Sheet at Plant'!$C:$I,7,FALSE),""))</f>
        <v/>
      </c>
      <c r="M693" s="71" t="str">
        <f>IF(OR(K693="",L693=""),"",IF(L693=0,"⚠ NO PARENT WIDTH",IF(K693&gt;L693,"⚠ BABY &gt; PARENT","✔ OK")))</f>
        <v/>
      </c>
      <c r="N693" s="71" t="str">
        <f>IF(D693="","",IF(COUNTIF(D$3:D693,D693)&gt;1,"⚠ DUPLICATE",""))</f>
        <v/>
      </c>
      <c r="O693" s="72" t="str">
        <f>IF(B693="","",SUMIF(B:B,B693,G:G)&amp;" / "&amp;IFERROR(VLOOKUP(B693,'Coil Sheet at Plant'!$C:$I,7,FALSE),"?")&amp;" mm")</f>
        <v/>
      </c>
    </row>
    <row r="694" spans="1:15">
      <c r="A694" s="36"/>
      <c r="B694" s="32"/>
      <c r="C694" s="39"/>
      <c r="D694" s="44" t="str">
        <f>IF(OR(B694="",C694=""),"",CONCATENATE(B694,"-",C694))</f>
        <v/>
      </c>
      <c r="E694" s="49" t="str">
        <f>IF(B694="","",IFERROR(VLOOKUP(B694,'Coil Sheet at Plant'!$C:$G,5,FALSE),"ID Not Found"))</f>
        <v/>
      </c>
      <c r="F694" s="50" t="str">
        <f>IF(B694="","",IFERROR(VLOOKUP(B694,'Coil Sheet at Plant'!$C:$H,6,FALSE),"ID Not Found"))</f>
        <v/>
      </c>
      <c r="G694" s="81">
        <v>841</v>
      </c>
      <c r="H694" s="89" t="str">
        <f>IF(OR(B694="",G694=""),"",IFERROR(VLOOKUP(B694,'Coil Sheet at Plant'!$C:$J,8,FALSE),0)*G694/SUMIF(B:B,B694,G:G))</f>
        <v/>
      </c>
      <c r="I694" s="56" t="str">
        <f>IF(B694="","",IFERROR(VLOOKUP(B694,'Coil Sheet at Plant'!$C:$L,9,FALSE),""))</f>
        <v/>
      </c>
      <c r="J694" s="85" t="str">
        <f>IF(B694="","",IFERROR(VLOOKUP(B694,'Coil Sheet at Plant'!$C:$M,10,FALSE),""))</f>
        <v/>
      </c>
      <c r="K694" s="69" t="str">
        <f>IF(B694="","",SUMIF(B:B,B694,G:G))</f>
        <v/>
      </c>
      <c r="L694" s="70" t="str">
        <f>IF(B694="","",IFERROR(VLOOKUP(B694,'Coil Sheet at Plant'!$C:$I,7,FALSE),""))</f>
        <v/>
      </c>
      <c r="M694" s="71" t="str">
        <f>IF(OR(K694="",L694=""),"",IF(L694=0,"⚠ NO PARENT WIDTH",IF(K694&gt;L694,"⚠ BABY &gt; PARENT","✔ OK")))</f>
        <v/>
      </c>
      <c r="N694" s="71" t="str">
        <f>IF(D694="","",IF(COUNTIF(D$3:D694,D694)&gt;1,"⚠ DUPLICATE",""))</f>
        <v/>
      </c>
      <c r="O694" s="72" t="str">
        <f>IF(B694="","",SUMIF(B:B,B694,G:G)&amp;" / "&amp;IFERROR(VLOOKUP(B694,'Coil Sheet at Plant'!$C:$I,7,FALSE),"?")&amp;" mm")</f>
        <v/>
      </c>
    </row>
    <row r="695" spans="1:15">
      <c r="A695" s="36"/>
      <c r="B695" s="32"/>
      <c r="C695" s="39"/>
      <c r="D695" s="44" t="str">
        <f>IF(OR(B695="",C695=""),"",CONCATENATE(B695,"-",C695))</f>
        <v/>
      </c>
      <c r="E695" s="49" t="str">
        <f>IF(B695="","",IFERROR(VLOOKUP(B695,'Coil Sheet at Plant'!$C:$G,5,FALSE),"ID Not Found"))</f>
        <v/>
      </c>
      <c r="F695" s="50" t="str">
        <f>IF(B695="","",IFERROR(VLOOKUP(B695,'Coil Sheet at Plant'!$C:$H,6,FALSE),"ID Not Found"))</f>
        <v/>
      </c>
      <c r="G695" s="81">
        <v>842</v>
      </c>
      <c r="H695" s="89" t="str">
        <f>IF(OR(B695="",G695=""),"",IFERROR(VLOOKUP(B695,'Coil Sheet at Plant'!$C:$J,8,FALSE),0)*G695/SUMIF(B:B,B695,G:G))</f>
        <v/>
      </c>
      <c r="I695" s="56" t="str">
        <f>IF(B695="","",IFERROR(VLOOKUP(B695,'Coil Sheet at Plant'!$C:$L,9,FALSE),""))</f>
        <v/>
      </c>
      <c r="J695" s="85" t="str">
        <f>IF(B695="","",IFERROR(VLOOKUP(B695,'Coil Sheet at Plant'!$C:$M,10,FALSE),""))</f>
        <v/>
      </c>
      <c r="K695" s="69" t="str">
        <f>IF(B695="","",SUMIF(B:B,B695,G:G))</f>
        <v/>
      </c>
      <c r="L695" s="70" t="str">
        <f>IF(B695="","",IFERROR(VLOOKUP(B695,'Coil Sheet at Plant'!$C:$I,7,FALSE),""))</f>
        <v/>
      </c>
      <c r="M695" s="71" t="str">
        <f>IF(OR(K695="",L695=""),"",IF(L695=0,"⚠ NO PARENT WIDTH",IF(K695&gt;L695,"⚠ BABY &gt; PARENT","✔ OK")))</f>
        <v/>
      </c>
      <c r="N695" s="71" t="str">
        <f>IF(D695="","",IF(COUNTIF(D$3:D695,D695)&gt;1,"⚠ DUPLICATE",""))</f>
        <v/>
      </c>
      <c r="O695" s="72" t="str">
        <f>IF(B695="","",SUMIF(B:B,B695,G:G)&amp;" / "&amp;IFERROR(VLOOKUP(B695,'Coil Sheet at Plant'!$C:$I,7,FALSE),"?")&amp;" mm")</f>
        <v/>
      </c>
    </row>
    <row r="696" spans="1:15">
      <c r="A696" s="36"/>
      <c r="B696" s="32"/>
      <c r="C696" s="39"/>
      <c r="D696" s="44" t="str">
        <f>IF(OR(B696="",C696=""),"",CONCATENATE(B696,"-",C696))</f>
        <v/>
      </c>
      <c r="E696" s="49" t="str">
        <f>IF(B696="","",IFERROR(VLOOKUP(B696,'Coil Sheet at Plant'!$C:$G,5,FALSE),"ID Not Found"))</f>
        <v/>
      </c>
      <c r="F696" s="50" t="str">
        <f>IF(B696="","",IFERROR(VLOOKUP(B696,'Coil Sheet at Plant'!$C:$H,6,FALSE),"ID Not Found"))</f>
        <v/>
      </c>
      <c r="G696" s="81">
        <v>843</v>
      </c>
      <c r="H696" s="89" t="str">
        <f>IF(OR(B696="",G696=""),"",IFERROR(VLOOKUP(B696,'Coil Sheet at Plant'!$C:$J,8,FALSE),0)*G696/SUMIF(B:B,B696,G:G))</f>
        <v/>
      </c>
      <c r="I696" s="56" t="str">
        <f>IF(B696="","",IFERROR(VLOOKUP(B696,'Coil Sheet at Plant'!$C:$L,9,FALSE),""))</f>
        <v/>
      </c>
      <c r="J696" s="85" t="str">
        <f>IF(B696="","",IFERROR(VLOOKUP(B696,'Coil Sheet at Plant'!$C:$M,10,FALSE),""))</f>
        <v/>
      </c>
      <c r="K696" s="69" t="str">
        <f>IF(B696="","",SUMIF(B:B,B696,G:G))</f>
        <v/>
      </c>
      <c r="L696" s="70" t="str">
        <f>IF(B696="","",IFERROR(VLOOKUP(B696,'Coil Sheet at Plant'!$C:$I,7,FALSE),""))</f>
        <v/>
      </c>
      <c r="M696" s="71" t="str">
        <f>IF(OR(K696="",L696=""),"",IF(L696=0,"⚠ NO PARENT WIDTH",IF(K696&gt;L696,"⚠ BABY &gt; PARENT","✔ OK")))</f>
        <v/>
      </c>
      <c r="N696" s="71" t="str">
        <f>IF(D696="","",IF(COUNTIF(D$3:D696,D696)&gt;1,"⚠ DUPLICATE",""))</f>
        <v/>
      </c>
      <c r="O696" s="72" t="str">
        <f>IF(B696="","",SUMIF(B:B,B696,G:G)&amp;" / "&amp;IFERROR(VLOOKUP(B696,'Coil Sheet at Plant'!$C:$I,7,FALSE),"?")&amp;" mm")</f>
        <v/>
      </c>
    </row>
    <row r="697" spans="1:15">
      <c r="A697" s="36"/>
      <c r="B697" s="32"/>
      <c r="C697" s="39"/>
      <c r="D697" s="44" t="str">
        <f>IF(OR(B697="",C697=""),"",CONCATENATE(B697,"-",C697))</f>
        <v/>
      </c>
      <c r="E697" s="49" t="str">
        <f>IF(B697="","",IFERROR(VLOOKUP(B697,'Coil Sheet at Plant'!$C:$G,5,FALSE),"ID Not Found"))</f>
        <v/>
      </c>
      <c r="F697" s="50" t="str">
        <f>IF(B697="","",IFERROR(VLOOKUP(B697,'Coil Sheet at Plant'!$C:$H,6,FALSE),"ID Not Found"))</f>
        <v/>
      </c>
      <c r="G697" s="81">
        <v>844</v>
      </c>
      <c r="H697" s="89" t="str">
        <f>IF(OR(B697="",G697=""),"",IFERROR(VLOOKUP(B697,'Coil Sheet at Plant'!$C:$J,8,FALSE),0)*G697/SUMIF(B:B,B697,G:G))</f>
        <v/>
      </c>
      <c r="I697" s="56" t="str">
        <f>IF(B697="","",IFERROR(VLOOKUP(B697,'Coil Sheet at Plant'!$C:$L,9,FALSE),""))</f>
        <v/>
      </c>
      <c r="J697" s="85" t="str">
        <f>IF(B697="","",IFERROR(VLOOKUP(B697,'Coil Sheet at Plant'!$C:$M,10,FALSE),""))</f>
        <v/>
      </c>
      <c r="K697" s="69" t="str">
        <f>IF(B697="","",SUMIF(B:B,B697,G:G))</f>
        <v/>
      </c>
      <c r="L697" s="70" t="str">
        <f>IF(B697="","",IFERROR(VLOOKUP(B697,'Coil Sheet at Plant'!$C:$I,7,FALSE),""))</f>
        <v/>
      </c>
      <c r="M697" s="71" t="str">
        <f>IF(OR(K697="",L697=""),"",IF(L697=0,"⚠ NO PARENT WIDTH",IF(K697&gt;L697,"⚠ BABY &gt; PARENT","✔ OK")))</f>
        <v/>
      </c>
      <c r="N697" s="71" t="str">
        <f>IF(D697="","",IF(COUNTIF(D$3:D697,D697)&gt;1,"⚠ DUPLICATE",""))</f>
        <v/>
      </c>
      <c r="O697" s="72" t="str">
        <f>IF(B697="","",SUMIF(B:B,B697,G:G)&amp;" / "&amp;IFERROR(VLOOKUP(B697,'Coil Sheet at Plant'!$C:$I,7,FALSE),"?")&amp;" mm")</f>
        <v/>
      </c>
    </row>
    <row r="698" spans="1:15">
      <c r="A698" s="36"/>
      <c r="B698" s="32"/>
      <c r="C698" s="39"/>
      <c r="D698" s="44" t="str">
        <f>IF(OR(B698="",C698=""),"",CONCATENATE(B698,"-",C698))</f>
        <v/>
      </c>
      <c r="E698" s="49" t="str">
        <f>IF(B698="","",IFERROR(VLOOKUP(B698,'Coil Sheet at Plant'!$C:$G,5,FALSE),"ID Not Found"))</f>
        <v/>
      </c>
      <c r="F698" s="50" t="str">
        <f>IF(B698="","",IFERROR(VLOOKUP(B698,'Coil Sheet at Plant'!$C:$H,6,FALSE),"ID Not Found"))</f>
        <v/>
      </c>
      <c r="G698" s="81">
        <v>845</v>
      </c>
      <c r="H698" s="89" t="str">
        <f>IF(OR(B698="",G698=""),"",IFERROR(VLOOKUP(B698,'Coil Sheet at Plant'!$C:$J,8,FALSE),0)*G698/SUMIF(B:B,B698,G:G))</f>
        <v/>
      </c>
      <c r="I698" s="56" t="str">
        <f>IF(B698="","",IFERROR(VLOOKUP(B698,'Coil Sheet at Plant'!$C:$L,9,FALSE),""))</f>
        <v/>
      </c>
      <c r="J698" s="85" t="str">
        <f>IF(B698="","",IFERROR(VLOOKUP(B698,'Coil Sheet at Plant'!$C:$M,10,FALSE),""))</f>
        <v/>
      </c>
      <c r="K698" s="69" t="str">
        <f>IF(B698="","",SUMIF(B:B,B698,G:G))</f>
        <v/>
      </c>
      <c r="L698" s="70" t="str">
        <f>IF(B698="","",IFERROR(VLOOKUP(B698,'Coil Sheet at Plant'!$C:$I,7,FALSE),""))</f>
        <v/>
      </c>
      <c r="M698" s="71" t="str">
        <f>IF(OR(K698="",L698=""),"",IF(L698=0,"⚠ NO PARENT WIDTH",IF(K698&gt;L698,"⚠ BABY &gt; PARENT","✔ OK")))</f>
        <v/>
      </c>
      <c r="N698" s="71" t="str">
        <f>IF(D698="","",IF(COUNTIF(D$3:D698,D698)&gt;1,"⚠ DUPLICATE",""))</f>
        <v/>
      </c>
      <c r="O698" s="72" t="str">
        <f>IF(B698="","",SUMIF(B:B,B698,G:G)&amp;" / "&amp;IFERROR(VLOOKUP(B698,'Coil Sheet at Plant'!$C:$I,7,FALSE),"?")&amp;" mm")</f>
        <v/>
      </c>
    </row>
    <row r="699" spans="1:15">
      <c r="A699" s="36"/>
      <c r="B699" s="32"/>
      <c r="C699" s="39"/>
      <c r="D699" s="44" t="str">
        <f>IF(OR(B699="",C699=""),"",CONCATENATE(B699,"-",C699))</f>
        <v/>
      </c>
      <c r="E699" s="49" t="str">
        <f>IF(B699="","",IFERROR(VLOOKUP(B699,'Coil Sheet at Plant'!$C:$G,5,FALSE),"ID Not Found"))</f>
        <v/>
      </c>
      <c r="F699" s="50" t="str">
        <f>IF(B699="","",IFERROR(VLOOKUP(B699,'Coil Sheet at Plant'!$C:$H,6,FALSE),"ID Not Found"))</f>
        <v/>
      </c>
      <c r="G699" s="81">
        <v>846</v>
      </c>
      <c r="H699" s="89" t="str">
        <f>IF(OR(B699="",G699=""),"",IFERROR(VLOOKUP(B699,'Coil Sheet at Plant'!$C:$J,8,FALSE),0)*G699/SUMIF(B:B,B699,G:G))</f>
        <v/>
      </c>
      <c r="I699" s="56" t="str">
        <f>IF(B699="","",IFERROR(VLOOKUP(B699,'Coil Sheet at Plant'!$C:$L,9,FALSE),""))</f>
        <v/>
      </c>
      <c r="J699" s="85" t="str">
        <f>IF(B699="","",IFERROR(VLOOKUP(B699,'Coil Sheet at Plant'!$C:$M,10,FALSE),""))</f>
        <v/>
      </c>
      <c r="K699" s="69" t="str">
        <f>IF(B699="","",SUMIF(B:B,B699,G:G))</f>
        <v/>
      </c>
      <c r="L699" s="70" t="str">
        <f>IF(B699="","",IFERROR(VLOOKUP(B699,'Coil Sheet at Plant'!$C:$I,7,FALSE),""))</f>
        <v/>
      </c>
      <c r="M699" s="71" t="str">
        <f>IF(OR(K699="",L699=""),"",IF(L699=0,"⚠ NO PARENT WIDTH",IF(K699&gt;L699,"⚠ BABY &gt; PARENT","✔ OK")))</f>
        <v/>
      </c>
      <c r="N699" s="71" t="str">
        <f>IF(D699="","",IF(COUNTIF(D$3:D699,D699)&gt;1,"⚠ DUPLICATE",""))</f>
        <v/>
      </c>
      <c r="O699" s="72" t="str">
        <f>IF(B699="","",SUMIF(B:B,B699,G:G)&amp;" / "&amp;IFERROR(VLOOKUP(B699,'Coil Sheet at Plant'!$C:$I,7,FALSE),"?")&amp;" mm")</f>
        <v/>
      </c>
    </row>
    <row r="700" spans="1:15">
      <c r="A700" s="36"/>
      <c r="B700" s="32"/>
      <c r="C700" s="39"/>
      <c r="D700" s="44" t="str">
        <f>IF(OR(B700="",C700=""),"",CONCATENATE(B700,"-",C700))</f>
        <v/>
      </c>
      <c r="E700" s="49" t="str">
        <f>IF(B700="","",IFERROR(VLOOKUP(B700,'Coil Sheet at Plant'!$C:$G,5,FALSE),"ID Not Found"))</f>
        <v/>
      </c>
      <c r="F700" s="50" t="str">
        <f>IF(B700="","",IFERROR(VLOOKUP(B700,'Coil Sheet at Plant'!$C:$H,6,FALSE),"ID Not Found"))</f>
        <v/>
      </c>
      <c r="G700" s="81">
        <v>847</v>
      </c>
      <c r="H700" s="89" t="str">
        <f>IF(OR(B700="",G700=""),"",IFERROR(VLOOKUP(B700,'Coil Sheet at Plant'!$C:$J,8,FALSE),0)*G700/SUMIF(B:B,B700,G:G))</f>
        <v/>
      </c>
      <c r="I700" s="56" t="str">
        <f>IF(B700="","",IFERROR(VLOOKUP(B700,'Coil Sheet at Plant'!$C:$L,9,FALSE),""))</f>
        <v/>
      </c>
      <c r="J700" s="85" t="str">
        <f>IF(B700="","",IFERROR(VLOOKUP(B700,'Coil Sheet at Plant'!$C:$M,10,FALSE),""))</f>
        <v/>
      </c>
      <c r="K700" s="69" t="str">
        <f>IF(B700="","",SUMIF(B:B,B700,G:G))</f>
        <v/>
      </c>
      <c r="L700" s="70" t="str">
        <f>IF(B700="","",IFERROR(VLOOKUP(B700,'Coil Sheet at Plant'!$C:$I,7,FALSE),""))</f>
        <v/>
      </c>
      <c r="M700" s="71" t="str">
        <f>IF(OR(K700="",L700=""),"",IF(L700=0,"⚠ NO PARENT WIDTH",IF(K700&gt;L700,"⚠ BABY &gt; PARENT","✔ OK")))</f>
        <v/>
      </c>
      <c r="N700" s="71" t="str">
        <f>IF(D700="","",IF(COUNTIF(D$3:D700,D700)&gt;1,"⚠ DUPLICATE",""))</f>
        <v/>
      </c>
      <c r="O700" s="72" t="str">
        <f>IF(B700="","",SUMIF(B:B,B700,G:G)&amp;" / "&amp;IFERROR(VLOOKUP(B700,'Coil Sheet at Plant'!$C:$I,7,FALSE),"?")&amp;" mm")</f>
        <v/>
      </c>
    </row>
    <row r="701" spans="1:15">
      <c r="A701" s="36"/>
      <c r="B701" s="32"/>
      <c r="C701" s="39"/>
      <c r="D701" s="44" t="str">
        <f>IF(OR(B701="",C701=""),"",CONCATENATE(B701,"-",C701))</f>
        <v/>
      </c>
      <c r="E701" s="49" t="str">
        <f>IF(B701="","",IFERROR(VLOOKUP(B701,'Coil Sheet at Plant'!$C:$G,5,FALSE),"ID Not Found"))</f>
        <v/>
      </c>
      <c r="F701" s="50" t="str">
        <f>IF(B701="","",IFERROR(VLOOKUP(B701,'Coil Sheet at Plant'!$C:$H,6,FALSE),"ID Not Found"))</f>
        <v/>
      </c>
      <c r="G701" s="81">
        <v>848</v>
      </c>
      <c r="H701" s="89" t="str">
        <f>IF(OR(B701="",G701=""),"",IFERROR(VLOOKUP(B701,'Coil Sheet at Plant'!$C:$J,8,FALSE),0)*G701/SUMIF(B:B,B701,G:G))</f>
        <v/>
      </c>
      <c r="I701" s="56" t="str">
        <f>IF(B701="","",IFERROR(VLOOKUP(B701,'Coil Sheet at Plant'!$C:$L,9,FALSE),""))</f>
        <v/>
      </c>
      <c r="J701" s="85" t="str">
        <f>IF(B701="","",IFERROR(VLOOKUP(B701,'Coil Sheet at Plant'!$C:$M,10,FALSE),""))</f>
        <v/>
      </c>
      <c r="K701" s="69" t="str">
        <f>IF(B701="","",SUMIF(B:B,B701,G:G))</f>
        <v/>
      </c>
      <c r="L701" s="70" t="str">
        <f>IF(B701="","",IFERROR(VLOOKUP(B701,'Coil Sheet at Plant'!$C:$I,7,FALSE),""))</f>
        <v/>
      </c>
      <c r="M701" s="71" t="str">
        <f>IF(OR(K701="",L701=""),"",IF(L701=0,"⚠ NO PARENT WIDTH",IF(K701&gt;L701,"⚠ BABY &gt; PARENT","✔ OK")))</f>
        <v/>
      </c>
      <c r="N701" s="71" t="str">
        <f>IF(D701="","",IF(COUNTIF(D$3:D701,D701)&gt;1,"⚠ DUPLICATE",""))</f>
        <v/>
      </c>
      <c r="O701" s="72" t="str">
        <f>IF(B701="","",SUMIF(B:B,B701,G:G)&amp;" / "&amp;IFERROR(VLOOKUP(B701,'Coil Sheet at Plant'!$C:$I,7,FALSE),"?")&amp;" mm")</f>
        <v/>
      </c>
    </row>
    <row r="702" spans="1:15">
      <c r="A702" s="36"/>
      <c r="B702" s="32"/>
      <c r="C702" s="39"/>
      <c r="D702" s="44" t="str">
        <f>IF(OR(B702="",C702=""),"",CONCATENATE(B702,"-",C702))</f>
        <v/>
      </c>
      <c r="E702" s="49" t="str">
        <f>IF(B702="","",IFERROR(VLOOKUP(B702,'Coil Sheet at Plant'!$C:$G,5,FALSE),"ID Not Found"))</f>
        <v/>
      </c>
      <c r="F702" s="50" t="str">
        <f>IF(B702="","",IFERROR(VLOOKUP(B702,'Coil Sheet at Plant'!$C:$H,6,FALSE),"ID Not Found"))</f>
        <v/>
      </c>
      <c r="G702" s="81">
        <v>849</v>
      </c>
      <c r="H702" s="89" t="str">
        <f>IF(OR(B702="",G702=""),"",IFERROR(VLOOKUP(B702,'Coil Sheet at Plant'!$C:$J,8,FALSE),0)*G702/SUMIF(B:B,B702,G:G))</f>
        <v/>
      </c>
      <c r="I702" s="56" t="str">
        <f>IF(B702="","",IFERROR(VLOOKUP(B702,'Coil Sheet at Plant'!$C:$L,9,FALSE),""))</f>
        <v/>
      </c>
      <c r="J702" s="85" t="str">
        <f>IF(B702="","",IFERROR(VLOOKUP(B702,'Coil Sheet at Plant'!$C:$M,10,FALSE),""))</f>
        <v/>
      </c>
      <c r="K702" s="69" t="str">
        <f>IF(B702="","",SUMIF(B:B,B702,G:G))</f>
        <v/>
      </c>
      <c r="L702" s="70" t="str">
        <f>IF(B702="","",IFERROR(VLOOKUP(B702,'Coil Sheet at Plant'!$C:$I,7,FALSE),""))</f>
        <v/>
      </c>
      <c r="M702" s="71" t="str">
        <f>IF(OR(K702="",L702=""),"",IF(L702=0,"⚠ NO PARENT WIDTH",IF(K702&gt;L702,"⚠ BABY &gt; PARENT","✔ OK")))</f>
        <v/>
      </c>
      <c r="N702" s="71" t="str">
        <f>IF(D702="","",IF(COUNTIF(D$3:D702,D702)&gt;1,"⚠ DUPLICATE",""))</f>
        <v/>
      </c>
      <c r="O702" s="72" t="str">
        <f>IF(B702="","",SUMIF(B:B,B702,G:G)&amp;" / "&amp;IFERROR(VLOOKUP(B702,'Coil Sheet at Plant'!$C:$I,7,FALSE),"?")&amp;" mm")</f>
        <v/>
      </c>
    </row>
    <row r="703" spans="1:15">
      <c r="A703" s="36"/>
      <c r="B703" s="32"/>
      <c r="C703" s="39"/>
      <c r="D703" s="44" t="str">
        <f>IF(OR(B703="",C703=""),"",CONCATENATE(B703,"-",C703))</f>
        <v/>
      </c>
      <c r="E703" s="49" t="str">
        <f>IF(B703="","",IFERROR(VLOOKUP(B703,'Coil Sheet at Plant'!$C:$G,5,FALSE),"ID Not Found"))</f>
        <v/>
      </c>
      <c r="F703" s="50" t="str">
        <f>IF(B703="","",IFERROR(VLOOKUP(B703,'Coil Sheet at Plant'!$C:$H,6,FALSE),"ID Not Found"))</f>
        <v/>
      </c>
      <c r="G703" s="81">
        <v>850</v>
      </c>
      <c r="H703" s="89" t="str">
        <f>IF(OR(B703="",G703=""),"",IFERROR(VLOOKUP(B703,'Coil Sheet at Plant'!$C:$J,8,FALSE),0)*G703/SUMIF(B:B,B703,G:G))</f>
        <v/>
      </c>
      <c r="I703" s="56" t="str">
        <f>IF(B703="","",IFERROR(VLOOKUP(B703,'Coil Sheet at Plant'!$C:$L,9,FALSE),""))</f>
        <v/>
      </c>
      <c r="J703" s="85" t="str">
        <f>IF(B703="","",IFERROR(VLOOKUP(B703,'Coil Sheet at Plant'!$C:$M,10,FALSE),""))</f>
        <v/>
      </c>
      <c r="K703" s="69" t="str">
        <f>IF(B703="","",SUMIF(B:B,B703,G:G))</f>
        <v/>
      </c>
      <c r="L703" s="70" t="str">
        <f>IF(B703="","",IFERROR(VLOOKUP(B703,'Coil Sheet at Plant'!$C:$I,7,FALSE),""))</f>
        <v/>
      </c>
      <c r="M703" s="71" t="str">
        <f>IF(OR(K703="",L703=""),"",IF(L703=0,"⚠ NO PARENT WIDTH",IF(K703&gt;L703,"⚠ BABY &gt; PARENT","✔ OK")))</f>
        <v/>
      </c>
      <c r="N703" s="71" t="str">
        <f>IF(D703="","",IF(COUNTIF(D$3:D703,D703)&gt;1,"⚠ DUPLICATE",""))</f>
        <v/>
      </c>
      <c r="O703" s="72" t="str">
        <f>IF(B703="","",SUMIF(B:B,B703,G:G)&amp;" / "&amp;IFERROR(VLOOKUP(B703,'Coil Sheet at Plant'!$C:$I,7,FALSE),"?")&amp;" mm")</f>
        <v/>
      </c>
    </row>
    <row r="704" spans="1:15">
      <c r="A704" s="36"/>
      <c r="B704" s="32"/>
      <c r="C704" s="39"/>
      <c r="D704" s="44" t="str">
        <f>IF(OR(B704="",C704=""),"",CONCATENATE(B704,"-",C704))</f>
        <v/>
      </c>
      <c r="E704" s="49" t="str">
        <f>IF(B704="","",IFERROR(VLOOKUP(B704,'Coil Sheet at Plant'!$C:$G,5,FALSE),"ID Not Found"))</f>
        <v/>
      </c>
      <c r="F704" s="50" t="str">
        <f>IF(B704="","",IFERROR(VLOOKUP(B704,'Coil Sheet at Plant'!$C:$H,6,FALSE),"ID Not Found"))</f>
        <v/>
      </c>
      <c r="G704" s="81">
        <v>851</v>
      </c>
      <c r="H704" s="89" t="str">
        <f>IF(OR(B704="",G704=""),"",IFERROR(VLOOKUP(B704,'Coil Sheet at Plant'!$C:$J,8,FALSE),0)*G704/SUMIF(B:B,B704,G:G))</f>
        <v/>
      </c>
      <c r="I704" s="56" t="str">
        <f>IF(B704="","",IFERROR(VLOOKUP(B704,'Coil Sheet at Plant'!$C:$L,9,FALSE),""))</f>
        <v/>
      </c>
      <c r="J704" s="85" t="str">
        <f>IF(B704="","",IFERROR(VLOOKUP(B704,'Coil Sheet at Plant'!$C:$M,10,FALSE),""))</f>
        <v/>
      </c>
      <c r="K704" s="69" t="str">
        <f>IF(B704="","",SUMIF(B:B,B704,G:G))</f>
        <v/>
      </c>
      <c r="L704" s="70" t="str">
        <f>IF(B704="","",IFERROR(VLOOKUP(B704,'Coil Sheet at Plant'!$C:$I,7,FALSE),""))</f>
        <v/>
      </c>
      <c r="M704" s="71" t="str">
        <f>IF(OR(K704="",L704=""),"",IF(L704=0,"⚠ NO PARENT WIDTH",IF(K704&gt;L704,"⚠ BABY &gt; PARENT","✔ OK")))</f>
        <v/>
      </c>
      <c r="N704" s="71" t="str">
        <f>IF(D704="","",IF(COUNTIF(D$3:D704,D704)&gt;1,"⚠ DUPLICATE",""))</f>
        <v/>
      </c>
      <c r="O704" s="72" t="str">
        <f>IF(B704="","",SUMIF(B:B,B704,G:G)&amp;" / "&amp;IFERROR(VLOOKUP(B704,'Coil Sheet at Plant'!$C:$I,7,FALSE),"?")&amp;" mm")</f>
        <v/>
      </c>
    </row>
    <row r="705" spans="1:15">
      <c r="A705" s="36"/>
      <c r="B705" s="32"/>
      <c r="C705" s="39"/>
      <c r="D705" s="44" t="str">
        <f>IF(OR(B705="",C705=""),"",CONCATENATE(B705,"-",C705))</f>
        <v/>
      </c>
      <c r="E705" s="49" t="str">
        <f>IF(B705="","",IFERROR(VLOOKUP(B705,'Coil Sheet at Plant'!$C:$G,5,FALSE),"ID Not Found"))</f>
        <v/>
      </c>
      <c r="F705" s="50" t="str">
        <f>IF(B705="","",IFERROR(VLOOKUP(B705,'Coil Sheet at Plant'!$C:$H,6,FALSE),"ID Not Found"))</f>
        <v/>
      </c>
      <c r="G705" s="81">
        <v>852</v>
      </c>
      <c r="H705" s="89" t="str">
        <f>IF(OR(B705="",G705=""),"",IFERROR(VLOOKUP(B705,'Coil Sheet at Plant'!$C:$J,8,FALSE),0)*G705/SUMIF(B:B,B705,G:G))</f>
        <v/>
      </c>
      <c r="I705" s="56" t="str">
        <f>IF(B705="","",IFERROR(VLOOKUP(B705,'Coil Sheet at Plant'!$C:$L,9,FALSE),""))</f>
        <v/>
      </c>
      <c r="J705" s="85" t="str">
        <f>IF(B705="","",IFERROR(VLOOKUP(B705,'Coil Sheet at Plant'!$C:$M,10,FALSE),""))</f>
        <v/>
      </c>
      <c r="K705" s="69" t="str">
        <f>IF(B705="","",SUMIF(B:B,B705,G:G))</f>
        <v/>
      </c>
      <c r="L705" s="70" t="str">
        <f>IF(B705="","",IFERROR(VLOOKUP(B705,'Coil Sheet at Plant'!$C:$I,7,FALSE),""))</f>
        <v/>
      </c>
      <c r="M705" s="71" t="str">
        <f>IF(OR(K705="",L705=""),"",IF(L705=0,"⚠ NO PARENT WIDTH",IF(K705&gt;L705,"⚠ BABY &gt; PARENT","✔ OK")))</f>
        <v/>
      </c>
      <c r="N705" s="71" t="str">
        <f>IF(D705="","",IF(COUNTIF(D$3:D705,D705)&gt;1,"⚠ DUPLICATE",""))</f>
        <v/>
      </c>
      <c r="O705" s="72" t="str">
        <f>IF(B705="","",SUMIF(B:B,B705,G:G)&amp;" / "&amp;IFERROR(VLOOKUP(B705,'Coil Sheet at Plant'!$C:$I,7,FALSE),"?")&amp;" mm")</f>
        <v/>
      </c>
    </row>
    <row r="706" spans="1:15">
      <c r="A706" s="36"/>
      <c r="B706" s="32"/>
      <c r="C706" s="39"/>
      <c r="D706" s="44" t="str">
        <f>IF(OR(B706="",C706=""),"",CONCATENATE(B706,"-",C706))</f>
        <v/>
      </c>
      <c r="E706" s="49" t="str">
        <f>IF(B706="","",IFERROR(VLOOKUP(B706,'Coil Sheet at Plant'!$C:$G,5,FALSE),"ID Not Found"))</f>
        <v/>
      </c>
      <c r="F706" s="50" t="str">
        <f>IF(B706="","",IFERROR(VLOOKUP(B706,'Coil Sheet at Plant'!$C:$H,6,FALSE),"ID Not Found"))</f>
        <v/>
      </c>
      <c r="G706" s="81">
        <v>853</v>
      </c>
      <c r="H706" s="89" t="str">
        <f>IF(OR(B706="",G706=""),"",IFERROR(VLOOKUP(B706,'Coil Sheet at Plant'!$C:$J,8,FALSE),0)*G706/SUMIF(B:B,B706,G:G))</f>
        <v/>
      </c>
      <c r="I706" s="56" t="str">
        <f>IF(B706="","",IFERROR(VLOOKUP(B706,'Coil Sheet at Plant'!$C:$L,9,FALSE),""))</f>
        <v/>
      </c>
      <c r="J706" s="85" t="str">
        <f>IF(B706="","",IFERROR(VLOOKUP(B706,'Coil Sheet at Plant'!$C:$M,10,FALSE),""))</f>
        <v/>
      </c>
      <c r="K706" s="69" t="str">
        <f>IF(B706="","",SUMIF(B:B,B706,G:G))</f>
        <v/>
      </c>
      <c r="L706" s="70" t="str">
        <f>IF(B706="","",IFERROR(VLOOKUP(B706,'Coil Sheet at Plant'!$C:$I,7,FALSE),""))</f>
        <v/>
      </c>
      <c r="M706" s="71" t="str">
        <f>IF(OR(K706="",L706=""),"",IF(L706=0,"⚠ NO PARENT WIDTH",IF(K706&gt;L706,"⚠ BABY &gt; PARENT","✔ OK")))</f>
        <v/>
      </c>
      <c r="N706" s="71" t="str">
        <f>IF(D706="","",IF(COUNTIF(D$3:D706,D706)&gt;1,"⚠ DUPLICATE",""))</f>
        <v/>
      </c>
      <c r="O706" s="72" t="str">
        <f>IF(B706="","",SUMIF(B:B,B706,G:G)&amp;" / "&amp;IFERROR(VLOOKUP(B706,'Coil Sheet at Plant'!$C:$I,7,FALSE),"?")&amp;" mm")</f>
        <v/>
      </c>
    </row>
    <row r="707" spans="1:15">
      <c r="A707" s="36"/>
      <c r="B707" s="32"/>
      <c r="C707" s="39"/>
      <c r="D707" s="44" t="str">
        <f>IF(OR(B707="",C707=""),"",CONCATENATE(B707,"-",C707))</f>
        <v/>
      </c>
      <c r="E707" s="49" t="str">
        <f>IF(B707="","",IFERROR(VLOOKUP(B707,'Coil Sheet at Plant'!$C:$G,5,FALSE),"ID Not Found"))</f>
        <v/>
      </c>
      <c r="F707" s="50" t="str">
        <f>IF(B707="","",IFERROR(VLOOKUP(B707,'Coil Sheet at Plant'!$C:$H,6,FALSE),"ID Not Found"))</f>
        <v/>
      </c>
      <c r="G707" s="81">
        <v>854</v>
      </c>
      <c r="H707" s="89" t="str">
        <f>IF(OR(B707="",G707=""),"",IFERROR(VLOOKUP(B707,'Coil Sheet at Plant'!$C:$J,8,FALSE),0)*G707/SUMIF(B:B,B707,G:G))</f>
        <v/>
      </c>
      <c r="I707" s="56" t="str">
        <f>IF(B707="","",IFERROR(VLOOKUP(B707,'Coil Sheet at Plant'!$C:$L,9,FALSE),""))</f>
        <v/>
      </c>
      <c r="J707" s="85" t="str">
        <f>IF(B707="","",IFERROR(VLOOKUP(B707,'Coil Sheet at Plant'!$C:$M,10,FALSE),""))</f>
        <v/>
      </c>
      <c r="K707" s="69" t="str">
        <f>IF(B707="","",SUMIF(B:B,B707,G:G))</f>
        <v/>
      </c>
      <c r="L707" s="70" t="str">
        <f>IF(B707="","",IFERROR(VLOOKUP(B707,'Coil Sheet at Plant'!$C:$I,7,FALSE),""))</f>
        <v/>
      </c>
      <c r="M707" s="71" t="str">
        <f>IF(OR(K707="",L707=""),"",IF(L707=0,"⚠ NO PARENT WIDTH",IF(K707&gt;L707,"⚠ BABY &gt; PARENT","✔ OK")))</f>
        <v/>
      </c>
      <c r="N707" s="71" t="str">
        <f>IF(D707="","",IF(COUNTIF(D$3:D707,D707)&gt;1,"⚠ DUPLICATE",""))</f>
        <v/>
      </c>
      <c r="O707" s="72" t="str">
        <f>IF(B707="","",SUMIF(B:B,B707,G:G)&amp;" / "&amp;IFERROR(VLOOKUP(B707,'Coil Sheet at Plant'!$C:$I,7,FALSE),"?")&amp;" mm")</f>
        <v/>
      </c>
    </row>
    <row r="708" spans="1:15">
      <c r="A708" s="36"/>
      <c r="B708" s="32"/>
      <c r="C708" s="39"/>
      <c r="D708" s="44" t="str">
        <f>IF(OR(B708="",C708=""),"",CONCATENATE(B708,"-",C708))</f>
        <v/>
      </c>
      <c r="E708" s="49" t="str">
        <f>IF(B708="","",IFERROR(VLOOKUP(B708,'Coil Sheet at Plant'!$C:$G,5,FALSE),"ID Not Found"))</f>
        <v/>
      </c>
      <c r="F708" s="50" t="str">
        <f>IF(B708="","",IFERROR(VLOOKUP(B708,'Coil Sheet at Plant'!$C:$H,6,FALSE),"ID Not Found"))</f>
        <v/>
      </c>
      <c r="G708" s="81">
        <v>855</v>
      </c>
      <c r="H708" s="89" t="str">
        <f>IF(OR(B708="",G708=""),"",IFERROR(VLOOKUP(B708,'Coil Sheet at Plant'!$C:$J,8,FALSE),0)*G708/SUMIF(B:B,B708,G:G))</f>
        <v/>
      </c>
      <c r="I708" s="56" t="str">
        <f>IF(B708="","",IFERROR(VLOOKUP(B708,'Coil Sheet at Plant'!$C:$L,9,FALSE),""))</f>
        <v/>
      </c>
      <c r="J708" s="85" t="str">
        <f>IF(B708="","",IFERROR(VLOOKUP(B708,'Coil Sheet at Plant'!$C:$M,10,FALSE),""))</f>
        <v/>
      </c>
      <c r="K708" s="69" t="str">
        <f>IF(B708="","",SUMIF(B:B,B708,G:G))</f>
        <v/>
      </c>
      <c r="L708" s="70" t="str">
        <f>IF(B708="","",IFERROR(VLOOKUP(B708,'Coil Sheet at Plant'!$C:$I,7,FALSE),""))</f>
        <v/>
      </c>
      <c r="M708" s="71" t="str">
        <f>IF(OR(K708="",L708=""),"",IF(L708=0,"⚠ NO PARENT WIDTH",IF(K708&gt;L708,"⚠ BABY &gt; PARENT","✔ OK")))</f>
        <v/>
      </c>
      <c r="N708" s="71" t="str">
        <f>IF(D708="","",IF(COUNTIF(D$3:D708,D708)&gt;1,"⚠ DUPLICATE",""))</f>
        <v/>
      </c>
      <c r="O708" s="72" t="str">
        <f>IF(B708="","",SUMIF(B:B,B708,G:G)&amp;" / "&amp;IFERROR(VLOOKUP(B708,'Coil Sheet at Plant'!$C:$I,7,FALSE),"?")&amp;" mm")</f>
        <v/>
      </c>
    </row>
    <row r="709" spans="1:15">
      <c r="A709" s="36"/>
      <c r="B709" s="32"/>
      <c r="C709" s="39"/>
      <c r="D709" s="44" t="str">
        <f>IF(OR(B709="",C709=""),"",CONCATENATE(B709,"-",C709))</f>
        <v/>
      </c>
      <c r="E709" s="49" t="str">
        <f>IF(B709="","",IFERROR(VLOOKUP(B709,'Coil Sheet at Plant'!$C:$G,5,FALSE),"ID Not Found"))</f>
        <v/>
      </c>
      <c r="F709" s="50" t="str">
        <f>IF(B709="","",IFERROR(VLOOKUP(B709,'Coil Sheet at Plant'!$C:$H,6,FALSE),"ID Not Found"))</f>
        <v/>
      </c>
      <c r="G709" s="81">
        <v>856</v>
      </c>
      <c r="H709" s="89" t="str">
        <f>IF(OR(B709="",G709=""),"",IFERROR(VLOOKUP(B709,'Coil Sheet at Plant'!$C:$J,8,FALSE),0)*G709/SUMIF(B:B,B709,G:G))</f>
        <v/>
      </c>
      <c r="I709" s="56" t="str">
        <f>IF(B709="","",IFERROR(VLOOKUP(B709,'Coil Sheet at Plant'!$C:$L,9,FALSE),""))</f>
        <v/>
      </c>
      <c r="J709" s="85" t="str">
        <f>IF(B709="","",IFERROR(VLOOKUP(B709,'Coil Sheet at Plant'!$C:$M,10,FALSE),""))</f>
        <v/>
      </c>
      <c r="K709" s="69" t="str">
        <f>IF(B709="","",SUMIF(B:B,B709,G:G))</f>
        <v/>
      </c>
      <c r="L709" s="70" t="str">
        <f>IF(B709="","",IFERROR(VLOOKUP(B709,'Coil Sheet at Plant'!$C:$I,7,FALSE),""))</f>
        <v/>
      </c>
      <c r="M709" s="71" t="str">
        <f>IF(OR(K709="",L709=""),"",IF(L709=0,"⚠ NO PARENT WIDTH",IF(K709&gt;L709,"⚠ BABY &gt; PARENT","✔ OK")))</f>
        <v/>
      </c>
      <c r="N709" s="71" t="str">
        <f>IF(D709="","",IF(COUNTIF(D$3:D709,D709)&gt;1,"⚠ DUPLICATE",""))</f>
        <v/>
      </c>
      <c r="O709" s="72" t="str">
        <f>IF(B709="","",SUMIF(B:B,B709,G:G)&amp;" / "&amp;IFERROR(VLOOKUP(B709,'Coil Sheet at Plant'!$C:$I,7,FALSE),"?")&amp;" mm")</f>
        <v/>
      </c>
    </row>
    <row r="710" spans="1:15">
      <c r="A710" s="36"/>
      <c r="B710" s="32"/>
      <c r="C710" s="39"/>
      <c r="D710" s="44" t="str">
        <f>IF(OR(B710="",C710=""),"",CONCATENATE(B710,"-",C710))</f>
        <v/>
      </c>
      <c r="E710" s="49" t="str">
        <f>IF(B710="","",IFERROR(VLOOKUP(B710,'Coil Sheet at Plant'!$C:$G,5,FALSE),"ID Not Found"))</f>
        <v/>
      </c>
      <c r="F710" s="50" t="str">
        <f>IF(B710="","",IFERROR(VLOOKUP(B710,'Coil Sheet at Plant'!$C:$H,6,FALSE),"ID Not Found"))</f>
        <v/>
      </c>
      <c r="G710" s="81">
        <v>857</v>
      </c>
      <c r="H710" s="89" t="str">
        <f>IF(OR(B710="",G710=""),"",IFERROR(VLOOKUP(B710,'Coil Sheet at Plant'!$C:$J,8,FALSE),0)*G710/SUMIF(B:B,B710,G:G))</f>
        <v/>
      </c>
      <c r="I710" s="56" t="str">
        <f>IF(B710="","",IFERROR(VLOOKUP(B710,'Coil Sheet at Plant'!$C:$L,9,FALSE),""))</f>
        <v/>
      </c>
      <c r="J710" s="85" t="str">
        <f>IF(B710="","",IFERROR(VLOOKUP(B710,'Coil Sheet at Plant'!$C:$M,10,FALSE),""))</f>
        <v/>
      </c>
      <c r="K710" s="69" t="str">
        <f>IF(B710="","",SUMIF(B:B,B710,G:G))</f>
        <v/>
      </c>
      <c r="L710" s="70" t="str">
        <f>IF(B710="","",IFERROR(VLOOKUP(B710,'Coil Sheet at Plant'!$C:$I,7,FALSE),""))</f>
        <v/>
      </c>
      <c r="M710" s="71" t="str">
        <f>IF(OR(K710="",L710=""),"",IF(L710=0,"⚠ NO PARENT WIDTH",IF(K710&gt;L710,"⚠ BABY &gt; PARENT","✔ OK")))</f>
        <v/>
      </c>
      <c r="N710" s="71" t="str">
        <f>IF(D710="","",IF(COUNTIF(D$3:D710,D710)&gt;1,"⚠ DUPLICATE",""))</f>
        <v/>
      </c>
      <c r="O710" s="72" t="str">
        <f>IF(B710="","",SUMIF(B:B,B710,G:G)&amp;" / "&amp;IFERROR(VLOOKUP(B710,'Coil Sheet at Plant'!$C:$I,7,FALSE),"?")&amp;" mm")</f>
        <v/>
      </c>
    </row>
    <row r="711" spans="1:15">
      <c r="A711" s="36"/>
      <c r="B711" s="32"/>
      <c r="C711" s="39"/>
      <c r="D711" s="44" t="str">
        <f>IF(OR(B711="",C711=""),"",CONCATENATE(B711,"-",C711))</f>
        <v/>
      </c>
      <c r="E711" s="49" t="str">
        <f>IF(B711="","",IFERROR(VLOOKUP(B711,'Coil Sheet at Plant'!$C:$G,5,FALSE),"ID Not Found"))</f>
        <v/>
      </c>
      <c r="F711" s="50" t="str">
        <f>IF(B711="","",IFERROR(VLOOKUP(B711,'Coil Sheet at Plant'!$C:$H,6,FALSE),"ID Not Found"))</f>
        <v/>
      </c>
      <c r="G711" s="81">
        <v>858</v>
      </c>
      <c r="H711" s="89" t="str">
        <f>IF(OR(B711="",G711=""),"",IFERROR(VLOOKUP(B711,'Coil Sheet at Plant'!$C:$J,8,FALSE),0)*G711/SUMIF(B:B,B711,G:G))</f>
        <v/>
      </c>
      <c r="I711" s="56" t="str">
        <f>IF(B711="","",IFERROR(VLOOKUP(B711,'Coil Sheet at Plant'!$C:$L,9,FALSE),""))</f>
        <v/>
      </c>
      <c r="J711" s="85" t="str">
        <f>IF(B711="","",IFERROR(VLOOKUP(B711,'Coil Sheet at Plant'!$C:$M,10,FALSE),""))</f>
        <v/>
      </c>
      <c r="K711" s="69" t="str">
        <f>IF(B711="","",SUMIF(B:B,B711,G:G))</f>
        <v/>
      </c>
      <c r="L711" s="70" t="str">
        <f>IF(B711="","",IFERROR(VLOOKUP(B711,'Coil Sheet at Plant'!$C:$I,7,FALSE),""))</f>
        <v/>
      </c>
      <c r="M711" s="71" t="str">
        <f>IF(OR(K711="",L711=""),"",IF(L711=0,"⚠ NO PARENT WIDTH",IF(K711&gt;L711,"⚠ BABY &gt; PARENT","✔ OK")))</f>
        <v/>
      </c>
      <c r="N711" s="71" t="str">
        <f>IF(D711="","",IF(COUNTIF(D$3:D711,D711)&gt;1,"⚠ DUPLICATE",""))</f>
        <v/>
      </c>
      <c r="O711" s="72" t="str">
        <f>IF(B711="","",SUMIF(B:B,B711,G:G)&amp;" / "&amp;IFERROR(VLOOKUP(B711,'Coil Sheet at Plant'!$C:$I,7,FALSE),"?")&amp;" mm")</f>
        <v/>
      </c>
    </row>
    <row r="712" spans="1:15">
      <c r="A712" s="36"/>
      <c r="B712" s="32"/>
      <c r="C712" s="39"/>
      <c r="D712" s="44" t="str">
        <f>IF(OR(B712="",C712=""),"",CONCATENATE(B712,"-",C712))</f>
        <v/>
      </c>
      <c r="E712" s="49" t="str">
        <f>IF(B712="","",IFERROR(VLOOKUP(B712,'Coil Sheet at Plant'!$C:$G,5,FALSE),"ID Not Found"))</f>
        <v/>
      </c>
      <c r="F712" s="50" t="str">
        <f>IF(B712="","",IFERROR(VLOOKUP(B712,'Coil Sheet at Plant'!$C:$H,6,FALSE),"ID Not Found"))</f>
        <v/>
      </c>
      <c r="G712" s="81">
        <v>859</v>
      </c>
      <c r="H712" s="89" t="str">
        <f>IF(OR(B712="",G712=""),"",IFERROR(VLOOKUP(B712,'Coil Sheet at Plant'!$C:$J,8,FALSE),0)*G712/SUMIF(B:B,B712,G:G))</f>
        <v/>
      </c>
      <c r="I712" s="56" t="str">
        <f>IF(B712="","",IFERROR(VLOOKUP(B712,'Coil Sheet at Plant'!$C:$L,9,FALSE),""))</f>
        <v/>
      </c>
      <c r="J712" s="85" t="str">
        <f>IF(B712="","",IFERROR(VLOOKUP(B712,'Coil Sheet at Plant'!$C:$M,10,FALSE),""))</f>
        <v/>
      </c>
      <c r="K712" s="69" t="str">
        <f>IF(B712="","",SUMIF(B:B,B712,G:G))</f>
        <v/>
      </c>
      <c r="L712" s="70" t="str">
        <f>IF(B712="","",IFERROR(VLOOKUP(B712,'Coil Sheet at Plant'!$C:$I,7,FALSE),""))</f>
        <v/>
      </c>
      <c r="M712" s="71" t="str">
        <f>IF(OR(K712="",L712=""),"",IF(L712=0,"⚠ NO PARENT WIDTH",IF(K712&gt;L712,"⚠ BABY &gt; PARENT","✔ OK")))</f>
        <v/>
      </c>
      <c r="N712" s="71" t="str">
        <f>IF(D712="","",IF(COUNTIF(D$3:D712,D712)&gt;1,"⚠ DUPLICATE",""))</f>
        <v/>
      </c>
      <c r="O712" s="72" t="str">
        <f>IF(B712="","",SUMIF(B:B,B712,G:G)&amp;" / "&amp;IFERROR(VLOOKUP(B712,'Coil Sheet at Plant'!$C:$I,7,FALSE),"?")&amp;" mm")</f>
        <v/>
      </c>
    </row>
    <row r="713" spans="1:15">
      <c r="A713" s="36"/>
      <c r="B713" s="32"/>
      <c r="C713" s="39"/>
      <c r="D713" s="44" t="str">
        <f>IF(OR(B713="",C713=""),"",CONCATENATE(B713,"-",C713))</f>
        <v/>
      </c>
      <c r="E713" s="49" t="str">
        <f>IF(B713="","",IFERROR(VLOOKUP(B713,'Coil Sheet at Plant'!$C:$G,5,FALSE),"ID Not Found"))</f>
        <v/>
      </c>
      <c r="F713" s="50" t="str">
        <f>IF(B713="","",IFERROR(VLOOKUP(B713,'Coil Sheet at Plant'!$C:$H,6,FALSE),"ID Not Found"))</f>
        <v/>
      </c>
      <c r="G713" s="81">
        <v>860</v>
      </c>
      <c r="H713" s="89" t="str">
        <f>IF(OR(B713="",G713=""),"",IFERROR(VLOOKUP(B713,'Coil Sheet at Plant'!$C:$J,8,FALSE),0)*G713/SUMIF(B:B,B713,G:G))</f>
        <v/>
      </c>
      <c r="I713" s="56" t="str">
        <f>IF(B713="","",IFERROR(VLOOKUP(B713,'Coil Sheet at Plant'!$C:$L,9,FALSE),""))</f>
        <v/>
      </c>
      <c r="J713" s="85" t="str">
        <f>IF(B713="","",IFERROR(VLOOKUP(B713,'Coil Sheet at Plant'!$C:$M,10,FALSE),""))</f>
        <v/>
      </c>
      <c r="K713" s="69" t="str">
        <f>IF(B713="","",SUMIF(B:B,B713,G:G))</f>
        <v/>
      </c>
      <c r="L713" s="70" t="str">
        <f>IF(B713="","",IFERROR(VLOOKUP(B713,'Coil Sheet at Plant'!$C:$I,7,FALSE),""))</f>
        <v/>
      </c>
      <c r="M713" s="71" t="str">
        <f>IF(OR(K713="",L713=""),"",IF(L713=0,"⚠ NO PARENT WIDTH",IF(K713&gt;L713,"⚠ BABY &gt; PARENT","✔ OK")))</f>
        <v/>
      </c>
      <c r="N713" s="71" t="str">
        <f>IF(D713="","",IF(COUNTIF(D$3:D713,D713)&gt;1,"⚠ DUPLICATE",""))</f>
        <v/>
      </c>
      <c r="O713" s="72" t="str">
        <f>IF(B713="","",SUMIF(B:B,B713,G:G)&amp;" / "&amp;IFERROR(VLOOKUP(B713,'Coil Sheet at Plant'!$C:$I,7,FALSE),"?")&amp;" mm")</f>
        <v/>
      </c>
    </row>
    <row r="714" spans="1:15">
      <c r="A714" s="36"/>
      <c r="B714" s="32"/>
      <c r="C714" s="39"/>
      <c r="D714" s="44" t="str">
        <f>IF(OR(B714="",C714=""),"",CONCATENATE(B714,"-",C714))</f>
        <v/>
      </c>
      <c r="E714" s="49" t="str">
        <f>IF(B714="","",IFERROR(VLOOKUP(B714,'Coil Sheet at Plant'!$C:$G,5,FALSE),"ID Not Found"))</f>
        <v/>
      </c>
      <c r="F714" s="50" t="str">
        <f>IF(B714="","",IFERROR(VLOOKUP(B714,'Coil Sheet at Plant'!$C:$H,6,FALSE),"ID Not Found"))</f>
        <v/>
      </c>
      <c r="G714" s="81">
        <v>861</v>
      </c>
      <c r="H714" s="89" t="str">
        <f>IF(OR(B714="",G714=""),"",IFERROR(VLOOKUP(B714,'Coil Sheet at Plant'!$C:$J,8,FALSE),0)*G714/SUMIF(B:B,B714,G:G))</f>
        <v/>
      </c>
      <c r="I714" s="56" t="str">
        <f>IF(B714="","",IFERROR(VLOOKUP(B714,'Coil Sheet at Plant'!$C:$L,9,FALSE),""))</f>
        <v/>
      </c>
      <c r="J714" s="85" t="str">
        <f>IF(B714="","",IFERROR(VLOOKUP(B714,'Coil Sheet at Plant'!$C:$M,10,FALSE),""))</f>
        <v/>
      </c>
      <c r="K714" s="69" t="str">
        <f>IF(B714="","",SUMIF(B:B,B714,G:G))</f>
        <v/>
      </c>
      <c r="L714" s="70" t="str">
        <f>IF(B714="","",IFERROR(VLOOKUP(B714,'Coil Sheet at Plant'!$C:$I,7,FALSE),""))</f>
        <v/>
      </c>
      <c r="M714" s="71" t="str">
        <f>IF(OR(K714="",L714=""),"",IF(L714=0,"⚠ NO PARENT WIDTH",IF(K714&gt;L714,"⚠ BABY &gt; PARENT","✔ OK")))</f>
        <v/>
      </c>
      <c r="N714" s="71" t="str">
        <f>IF(D714="","",IF(COUNTIF(D$3:D714,D714)&gt;1,"⚠ DUPLICATE",""))</f>
        <v/>
      </c>
      <c r="O714" s="72" t="str">
        <f>IF(B714="","",SUMIF(B:B,B714,G:G)&amp;" / "&amp;IFERROR(VLOOKUP(B714,'Coil Sheet at Plant'!$C:$I,7,FALSE),"?")&amp;" mm")</f>
        <v/>
      </c>
    </row>
    <row r="715" spans="1:15">
      <c r="A715" s="36"/>
      <c r="B715" s="32"/>
      <c r="C715" s="39"/>
      <c r="D715" s="44" t="str">
        <f>IF(OR(B715="",C715=""),"",CONCATENATE(B715,"-",C715))</f>
        <v/>
      </c>
      <c r="E715" s="49" t="str">
        <f>IF(B715="","",IFERROR(VLOOKUP(B715,'Coil Sheet at Plant'!$C:$G,5,FALSE),"ID Not Found"))</f>
        <v/>
      </c>
      <c r="F715" s="50" t="str">
        <f>IF(B715="","",IFERROR(VLOOKUP(B715,'Coil Sheet at Plant'!$C:$H,6,FALSE),"ID Not Found"))</f>
        <v/>
      </c>
      <c r="G715" s="81">
        <v>862</v>
      </c>
      <c r="H715" s="89" t="str">
        <f>IF(OR(B715="",G715=""),"",IFERROR(VLOOKUP(B715,'Coil Sheet at Plant'!$C:$J,8,FALSE),0)*G715/SUMIF(B:B,B715,G:G))</f>
        <v/>
      </c>
      <c r="I715" s="56" t="str">
        <f>IF(B715="","",IFERROR(VLOOKUP(B715,'Coil Sheet at Plant'!$C:$L,9,FALSE),""))</f>
        <v/>
      </c>
      <c r="J715" s="85" t="str">
        <f>IF(B715="","",IFERROR(VLOOKUP(B715,'Coil Sheet at Plant'!$C:$M,10,FALSE),""))</f>
        <v/>
      </c>
      <c r="K715" s="69" t="str">
        <f>IF(B715="","",SUMIF(B:B,B715,G:G))</f>
        <v/>
      </c>
      <c r="L715" s="70" t="str">
        <f>IF(B715="","",IFERROR(VLOOKUP(B715,'Coil Sheet at Plant'!$C:$I,7,FALSE),""))</f>
        <v/>
      </c>
      <c r="M715" s="71" t="str">
        <f>IF(OR(K715="",L715=""),"",IF(L715=0,"⚠ NO PARENT WIDTH",IF(K715&gt;L715,"⚠ BABY &gt; PARENT","✔ OK")))</f>
        <v/>
      </c>
      <c r="N715" s="71" t="str">
        <f>IF(D715="","",IF(COUNTIF(D$3:D715,D715)&gt;1,"⚠ DUPLICATE",""))</f>
        <v/>
      </c>
      <c r="O715" s="72" t="str">
        <f>IF(B715="","",SUMIF(B:B,B715,G:G)&amp;" / "&amp;IFERROR(VLOOKUP(B715,'Coil Sheet at Plant'!$C:$I,7,FALSE),"?")&amp;" mm")</f>
        <v/>
      </c>
    </row>
    <row r="716" spans="1:15">
      <c r="A716" s="36"/>
      <c r="B716" s="32"/>
      <c r="C716" s="39"/>
      <c r="D716" s="44" t="str">
        <f>IF(OR(B716="",C716=""),"",CONCATENATE(B716,"-",C716))</f>
        <v/>
      </c>
      <c r="E716" s="49" t="str">
        <f>IF(B716="","",IFERROR(VLOOKUP(B716,'Coil Sheet at Plant'!$C:$G,5,FALSE),"ID Not Found"))</f>
        <v/>
      </c>
      <c r="F716" s="50" t="str">
        <f>IF(B716="","",IFERROR(VLOOKUP(B716,'Coil Sheet at Plant'!$C:$H,6,FALSE),"ID Not Found"))</f>
        <v/>
      </c>
      <c r="G716" s="81">
        <v>863</v>
      </c>
      <c r="H716" s="89" t="str">
        <f>IF(OR(B716="",G716=""),"",IFERROR(VLOOKUP(B716,'Coil Sheet at Plant'!$C:$J,8,FALSE),0)*G716/SUMIF(B:B,B716,G:G))</f>
        <v/>
      </c>
      <c r="I716" s="56" t="str">
        <f>IF(B716="","",IFERROR(VLOOKUP(B716,'Coil Sheet at Plant'!$C:$L,9,FALSE),""))</f>
        <v/>
      </c>
      <c r="J716" s="85" t="str">
        <f>IF(B716="","",IFERROR(VLOOKUP(B716,'Coil Sheet at Plant'!$C:$M,10,FALSE),""))</f>
        <v/>
      </c>
      <c r="K716" s="69" t="str">
        <f>IF(B716="","",SUMIF(B:B,B716,G:G))</f>
        <v/>
      </c>
      <c r="L716" s="70" t="str">
        <f>IF(B716="","",IFERROR(VLOOKUP(B716,'Coil Sheet at Plant'!$C:$I,7,FALSE),""))</f>
        <v/>
      </c>
      <c r="M716" s="71" t="str">
        <f>IF(OR(K716="",L716=""),"",IF(L716=0,"⚠ NO PARENT WIDTH",IF(K716&gt;L716,"⚠ BABY &gt; PARENT","✔ OK")))</f>
        <v/>
      </c>
      <c r="N716" s="71" t="str">
        <f>IF(D716="","",IF(COUNTIF(D$3:D716,D716)&gt;1,"⚠ DUPLICATE",""))</f>
        <v/>
      </c>
      <c r="O716" s="72" t="str">
        <f>IF(B716="","",SUMIF(B:B,B716,G:G)&amp;" / "&amp;IFERROR(VLOOKUP(B716,'Coil Sheet at Plant'!$C:$I,7,FALSE),"?")&amp;" mm")</f>
        <v/>
      </c>
    </row>
    <row r="717" spans="1:15">
      <c r="A717" s="36"/>
      <c r="B717" s="32"/>
      <c r="C717" s="39"/>
      <c r="D717" s="44" t="str">
        <f>IF(OR(B717="",C717=""),"",CONCATENATE(B717,"-",C717))</f>
        <v/>
      </c>
      <c r="E717" s="49" t="str">
        <f>IF(B717="","",IFERROR(VLOOKUP(B717,'Coil Sheet at Plant'!$C:$G,5,FALSE),"ID Not Found"))</f>
        <v/>
      </c>
      <c r="F717" s="50" t="str">
        <f>IF(B717="","",IFERROR(VLOOKUP(B717,'Coil Sheet at Plant'!$C:$H,6,FALSE),"ID Not Found"))</f>
        <v/>
      </c>
      <c r="G717" s="81">
        <v>864</v>
      </c>
      <c r="H717" s="89" t="str">
        <f>IF(OR(B717="",G717=""),"",IFERROR(VLOOKUP(B717,'Coil Sheet at Plant'!$C:$J,8,FALSE),0)*G717/SUMIF(B:B,B717,G:G))</f>
        <v/>
      </c>
      <c r="I717" s="56" t="str">
        <f>IF(B717="","",IFERROR(VLOOKUP(B717,'Coil Sheet at Plant'!$C:$L,9,FALSE),""))</f>
        <v/>
      </c>
      <c r="J717" s="85" t="str">
        <f>IF(B717="","",IFERROR(VLOOKUP(B717,'Coil Sheet at Plant'!$C:$M,10,FALSE),""))</f>
        <v/>
      </c>
      <c r="K717" s="69" t="str">
        <f>IF(B717="","",SUMIF(B:B,B717,G:G))</f>
        <v/>
      </c>
      <c r="L717" s="70" t="str">
        <f>IF(B717="","",IFERROR(VLOOKUP(B717,'Coil Sheet at Plant'!$C:$I,7,FALSE),""))</f>
        <v/>
      </c>
      <c r="M717" s="71" t="str">
        <f>IF(OR(K717="",L717=""),"",IF(L717=0,"⚠ NO PARENT WIDTH",IF(K717&gt;L717,"⚠ BABY &gt; PARENT","✔ OK")))</f>
        <v/>
      </c>
      <c r="N717" s="71" t="str">
        <f>IF(D717="","",IF(COUNTIF(D$3:D717,D717)&gt;1,"⚠ DUPLICATE",""))</f>
        <v/>
      </c>
      <c r="O717" s="72" t="str">
        <f>IF(B717="","",SUMIF(B:B,B717,G:G)&amp;" / "&amp;IFERROR(VLOOKUP(B717,'Coil Sheet at Plant'!$C:$I,7,FALSE),"?")&amp;" mm")</f>
        <v/>
      </c>
    </row>
    <row r="718" spans="1:15">
      <c r="A718" s="36"/>
      <c r="B718" s="32"/>
      <c r="C718" s="39"/>
      <c r="D718" s="44" t="str">
        <f>IF(OR(B718="",C718=""),"",CONCATENATE(B718,"-",C718))</f>
        <v/>
      </c>
      <c r="E718" s="49" t="str">
        <f>IF(B718="","",IFERROR(VLOOKUP(B718,'Coil Sheet at Plant'!$C:$G,5,FALSE),"ID Not Found"))</f>
        <v/>
      </c>
      <c r="F718" s="50" t="str">
        <f>IF(B718="","",IFERROR(VLOOKUP(B718,'Coil Sheet at Plant'!$C:$H,6,FALSE),"ID Not Found"))</f>
        <v/>
      </c>
      <c r="G718" s="81">
        <v>865</v>
      </c>
      <c r="H718" s="89" t="str">
        <f>IF(OR(B718="",G718=""),"",IFERROR(VLOOKUP(B718,'Coil Sheet at Plant'!$C:$J,8,FALSE),0)*G718/SUMIF(B:B,B718,G:G))</f>
        <v/>
      </c>
      <c r="I718" s="56" t="str">
        <f>IF(B718="","",IFERROR(VLOOKUP(B718,'Coil Sheet at Plant'!$C:$L,9,FALSE),""))</f>
        <v/>
      </c>
      <c r="J718" s="85" t="str">
        <f>IF(B718="","",IFERROR(VLOOKUP(B718,'Coil Sheet at Plant'!$C:$M,10,FALSE),""))</f>
        <v/>
      </c>
      <c r="K718" s="69" t="str">
        <f>IF(B718="","",SUMIF(B:B,B718,G:G))</f>
        <v/>
      </c>
      <c r="L718" s="70" t="str">
        <f>IF(B718="","",IFERROR(VLOOKUP(B718,'Coil Sheet at Plant'!$C:$I,7,FALSE),""))</f>
        <v/>
      </c>
      <c r="M718" s="71" t="str">
        <f>IF(OR(K718="",L718=""),"",IF(L718=0,"⚠ NO PARENT WIDTH",IF(K718&gt;L718,"⚠ BABY &gt; PARENT","✔ OK")))</f>
        <v/>
      </c>
      <c r="N718" s="71" t="str">
        <f>IF(D718="","",IF(COUNTIF(D$3:D718,D718)&gt;1,"⚠ DUPLICATE",""))</f>
        <v/>
      </c>
      <c r="O718" s="72" t="str">
        <f>IF(B718="","",SUMIF(B:B,B718,G:G)&amp;" / "&amp;IFERROR(VLOOKUP(B718,'Coil Sheet at Plant'!$C:$I,7,FALSE),"?")&amp;" mm")</f>
        <v/>
      </c>
    </row>
    <row r="719" spans="1:15">
      <c r="A719" s="36"/>
      <c r="B719" s="32"/>
      <c r="C719" s="39"/>
      <c r="D719" s="44" t="str">
        <f>IF(OR(B719="",C719=""),"",CONCATENATE(B719,"-",C719))</f>
        <v/>
      </c>
      <c r="E719" s="49" t="str">
        <f>IF(B719="","",IFERROR(VLOOKUP(B719,'Coil Sheet at Plant'!$C:$G,5,FALSE),"ID Not Found"))</f>
        <v/>
      </c>
      <c r="F719" s="50" t="str">
        <f>IF(B719="","",IFERROR(VLOOKUP(B719,'Coil Sheet at Plant'!$C:$H,6,FALSE),"ID Not Found"))</f>
        <v/>
      </c>
      <c r="G719" s="81">
        <v>866</v>
      </c>
      <c r="H719" s="89" t="str">
        <f>IF(OR(B719="",G719=""),"",IFERROR(VLOOKUP(B719,'Coil Sheet at Plant'!$C:$J,8,FALSE),0)*G719/SUMIF(B:B,B719,G:G))</f>
        <v/>
      </c>
      <c r="I719" s="56" t="str">
        <f>IF(B719="","",IFERROR(VLOOKUP(B719,'Coil Sheet at Plant'!$C:$L,9,FALSE),""))</f>
        <v/>
      </c>
      <c r="J719" s="85" t="str">
        <f>IF(B719="","",IFERROR(VLOOKUP(B719,'Coil Sheet at Plant'!$C:$M,10,FALSE),""))</f>
        <v/>
      </c>
      <c r="K719" s="69" t="str">
        <f>IF(B719="","",SUMIF(B:B,B719,G:G))</f>
        <v/>
      </c>
      <c r="L719" s="70" t="str">
        <f>IF(B719="","",IFERROR(VLOOKUP(B719,'Coil Sheet at Plant'!$C:$I,7,FALSE),""))</f>
        <v/>
      </c>
      <c r="M719" s="71" t="str">
        <f>IF(OR(K719="",L719=""),"",IF(L719=0,"⚠ NO PARENT WIDTH",IF(K719&gt;L719,"⚠ BABY &gt; PARENT","✔ OK")))</f>
        <v/>
      </c>
      <c r="N719" s="71" t="str">
        <f>IF(D719="","",IF(COUNTIF(D$3:D719,D719)&gt;1,"⚠ DUPLICATE",""))</f>
        <v/>
      </c>
      <c r="O719" s="72" t="str">
        <f>IF(B719="","",SUMIF(B:B,B719,G:G)&amp;" / "&amp;IFERROR(VLOOKUP(B719,'Coil Sheet at Plant'!$C:$I,7,FALSE),"?")&amp;" mm")</f>
        <v/>
      </c>
    </row>
    <row r="720" spans="1:15">
      <c r="A720" s="36"/>
      <c r="B720" s="32"/>
      <c r="C720" s="39"/>
      <c r="D720" s="44" t="str">
        <f>IF(OR(B720="",C720=""),"",CONCATENATE(B720,"-",C720))</f>
        <v/>
      </c>
      <c r="E720" s="49" t="str">
        <f>IF(B720="","",IFERROR(VLOOKUP(B720,'Coil Sheet at Plant'!$C:$G,5,FALSE),"ID Not Found"))</f>
        <v/>
      </c>
      <c r="F720" s="50" t="str">
        <f>IF(B720="","",IFERROR(VLOOKUP(B720,'Coil Sheet at Plant'!$C:$H,6,FALSE),"ID Not Found"))</f>
        <v/>
      </c>
      <c r="G720" s="81">
        <v>867</v>
      </c>
      <c r="H720" s="89" t="str">
        <f>IF(OR(B720="",G720=""),"",IFERROR(VLOOKUP(B720,'Coil Sheet at Plant'!$C:$J,8,FALSE),0)*G720/SUMIF(B:B,B720,G:G))</f>
        <v/>
      </c>
      <c r="I720" s="56" t="str">
        <f>IF(B720="","",IFERROR(VLOOKUP(B720,'Coil Sheet at Plant'!$C:$L,9,FALSE),""))</f>
        <v/>
      </c>
      <c r="J720" s="85" t="str">
        <f>IF(B720="","",IFERROR(VLOOKUP(B720,'Coil Sheet at Plant'!$C:$M,10,FALSE),""))</f>
        <v/>
      </c>
      <c r="K720" s="69" t="str">
        <f>IF(B720="","",SUMIF(B:B,B720,G:G))</f>
        <v/>
      </c>
      <c r="L720" s="70" t="str">
        <f>IF(B720="","",IFERROR(VLOOKUP(B720,'Coil Sheet at Plant'!$C:$I,7,FALSE),""))</f>
        <v/>
      </c>
      <c r="M720" s="71" t="str">
        <f>IF(OR(K720="",L720=""),"",IF(L720=0,"⚠ NO PARENT WIDTH",IF(K720&gt;L720,"⚠ BABY &gt; PARENT","✔ OK")))</f>
        <v/>
      </c>
      <c r="N720" s="71" t="str">
        <f>IF(D720="","",IF(COUNTIF(D$3:D720,D720)&gt;1,"⚠ DUPLICATE",""))</f>
        <v/>
      </c>
      <c r="O720" s="72" t="str">
        <f>IF(B720="","",SUMIF(B:B,B720,G:G)&amp;" / "&amp;IFERROR(VLOOKUP(B720,'Coil Sheet at Plant'!$C:$I,7,FALSE),"?")&amp;" mm")</f>
        <v/>
      </c>
    </row>
    <row r="721" spans="1:15">
      <c r="A721" s="36"/>
      <c r="B721" s="32"/>
      <c r="C721" s="39"/>
      <c r="D721" s="44" t="str">
        <f>IF(OR(B721="",C721=""),"",CONCATENATE(B721,"-",C721))</f>
        <v/>
      </c>
      <c r="E721" s="49" t="str">
        <f>IF(B721="","",IFERROR(VLOOKUP(B721,'Coil Sheet at Plant'!$C:$G,5,FALSE),"ID Not Found"))</f>
        <v/>
      </c>
      <c r="F721" s="50" t="str">
        <f>IF(B721="","",IFERROR(VLOOKUP(B721,'Coil Sheet at Plant'!$C:$H,6,FALSE),"ID Not Found"))</f>
        <v/>
      </c>
      <c r="G721" s="81">
        <v>868</v>
      </c>
      <c r="H721" s="89" t="str">
        <f>IF(OR(B721="",G721=""),"",IFERROR(VLOOKUP(B721,'Coil Sheet at Plant'!$C:$J,8,FALSE),0)*G721/SUMIF(B:B,B721,G:G))</f>
        <v/>
      </c>
      <c r="I721" s="56" t="str">
        <f>IF(B721="","",IFERROR(VLOOKUP(B721,'Coil Sheet at Plant'!$C:$L,9,FALSE),""))</f>
        <v/>
      </c>
      <c r="J721" s="85" t="str">
        <f>IF(B721="","",IFERROR(VLOOKUP(B721,'Coil Sheet at Plant'!$C:$M,10,FALSE),""))</f>
        <v/>
      </c>
      <c r="K721" s="69" t="str">
        <f>IF(B721="","",SUMIF(B:B,B721,G:G))</f>
        <v/>
      </c>
      <c r="L721" s="70" t="str">
        <f>IF(B721="","",IFERROR(VLOOKUP(B721,'Coil Sheet at Plant'!$C:$I,7,FALSE),""))</f>
        <v/>
      </c>
      <c r="M721" s="71" t="str">
        <f>IF(OR(K721="",L721=""),"",IF(L721=0,"⚠ NO PARENT WIDTH",IF(K721&gt;L721,"⚠ BABY &gt; PARENT","✔ OK")))</f>
        <v/>
      </c>
      <c r="N721" s="71" t="str">
        <f>IF(D721="","",IF(COUNTIF(D$3:D721,D721)&gt;1,"⚠ DUPLICATE",""))</f>
        <v/>
      </c>
      <c r="O721" s="72" t="str">
        <f>IF(B721="","",SUMIF(B:B,B721,G:G)&amp;" / "&amp;IFERROR(VLOOKUP(B721,'Coil Sheet at Plant'!$C:$I,7,FALSE),"?")&amp;" mm")</f>
        <v/>
      </c>
    </row>
    <row r="722" spans="1:15">
      <c r="A722" s="36"/>
      <c r="B722" s="32"/>
      <c r="C722" s="39"/>
      <c r="D722" s="44" t="str">
        <f>IF(OR(B722="",C722=""),"",CONCATENATE(B722,"-",C722))</f>
        <v/>
      </c>
      <c r="E722" s="49" t="str">
        <f>IF(B722="","",IFERROR(VLOOKUP(B722,'Coil Sheet at Plant'!$C:$G,5,FALSE),"ID Not Found"))</f>
        <v/>
      </c>
      <c r="F722" s="50" t="str">
        <f>IF(B722="","",IFERROR(VLOOKUP(B722,'Coil Sheet at Plant'!$C:$H,6,FALSE),"ID Not Found"))</f>
        <v/>
      </c>
      <c r="G722" s="81">
        <v>869</v>
      </c>
      <c r="H722" s="89" t="str">
        <f>IF(OR(B722="",G722=""),"",IFERROR(VLOOKUP(B722,'Coil Sheet at Plant'!$C:$J,8,FALSE),0)*G722/SUMIF(B:B,B722,G:G))</f>
        <v/>
      </c>
      <c r="I722" s="56" t="str">
        <f>IF(B722="","",IFERROR(VLOOKUP(B722,'Coil Sheet at Plant'!$C:$L,9,FALSE),""))</f>
        <v/>
      </c>
      <c r="J722" s="85" t="str">
        <f>IF(B722="","",IFERROR(VLOOKUP(B722,'Coil Sheet at Plant'!$C:$M,10,FALSE),""))</f>
        <v/>
      </c>
      <c r="K722" s="69" t="str">
        <f>IF(B722="","",SUMIF(B:B,B722,G:G))</f>
        <v/>
      </c>
      <c r="L722" s="70" t="str">
        <f>IF(B722="","",IFERROR(VLOOKUP(B722,'Coil Sheet at Plant'!$C:$I,7,FALSE),""))</f>
        <v/>
      </c>
      <c r="M722" s="71" t="str">
        <f>IF(OR(K722="",L722=""),"",IF(L722=0,"⚠ NO PARENT WIDTH",IF(K722&gt;L722,"⚠ BABY &gt; PARENT","✔ OK")))</f>
        <v/>
      </c>
      <c r="N722" s="71" t="str">
        <f>IF(D722="","",IF(COUNTIF(D$3:D722,D722)&gt;1,"⚠ DUPLICATE",""))</f>
        <v/>
      </c>
      <c r="O722" s="72" t="str">
        <f>IF(B722="","",SUMIF(B:B,B722,G:G)&amp;" / "&amp;IFERROR(VLOOKUP(B722,'Coil Sheet at Plant'!$C:$I,7,FALSE),"?")&amp;" mm")</f>
        <v/>
      </c>
    </row>
    <row r="723" spans="1:15">
      <c r="A723" s="36"/>
      <c r="B723" s="32"/>
      <c r="C723" s="39"/>
      <c r="D723" s="44" t="str">
        <f>IF(OR(B723="",C723=""),"",CONCATENATE(B723,"-",C723))</f>
        <v/>
      </c>
      <c r="E723" s="49" t="str">
        <f>IF(B723="","",IFERROR(VLOOKUP(B723,'Coil Sheet at Plant'!$C:$G,5,FALSE),"ID Not Found"))</f>
        <v/>
      </c>
      <c r="F723" s="50" t="str">
        <f>IF(B723="","",IFERROR(VLOOKUP(B723,'Coil Sheet at Plant'!$C:$H,6,FALSE),"ID Not Found"))</f>
        <v/>
      </c>
      <c r="G723" s="81">
        <v>870</v>
      </c>
      <c r="H723" s="89" t="str">
        <f>IF(OR(B723="",G723=""),"",IFERROR(VLOOKUP(B723,'Coil Sheet at Plant'!$C:$J,8,FALSE),0)*G723/SUMIF(B:B,B723,G:G))</f>
        <v/>
      </c>
      <c r="I723" s="56" t="str">
        <f>IF(B723="","",IFERROR(VLOOKUP(B723,'Coil Sheet at Plant'!$C:$L,9,FALSE),""))</f>
        <v/>
      </c>
      <c r="J723" s="85" t="str">
        <f>IF(B723="","",IFERROR(VLOOKUP(B723,'Coil Sheet at Plant'!$C:$M,10,FALSE),""))</f>
        <v/>
      </c>
      <c r="K723" s="69" t="str">
        <f>IF(B723="","",SUMIF(B:B,B723,G:G))</f>
        <v/>
      </c>
      <c r="L723" s="70" t="str">
        <f>IF(B723="","",IFERROR(VLOOKUP(B723,'Coil Sheet at Plant'!$C:$I,7,FALSE),""))</f>
        <v/>
      </c>
      <c r="M723" s="71" t="str">
        <f>IF(OR(K723="",L723=""),"",IF(L723=0,"⚠ NO PARENT WIDTH",IF(K723&gt;L723,"⚠ BABY &gt; PARENT","✔ OK")))</f>
        <v/>
      </c>
      <c r="N723" s="71" t="str">
        <f>IF(D723="","",IF(COUNTIF(D$3:D723,D723)&gt;1,"⚠ DUPLICATE",""))</f>
        <v/>
      </c>
      <c r="O723" s="72" t="str">
        <f>IF(B723="","",SUMIF(B:B,B723,G:G)&amp;" / "&amp;IFERROR(VLOOKUP(B723,'Coil Sheet at Plant'!$C:$I,7,FALSE),"?")&amp;" mm")</f>
        <v/>
      </c>
    </row>
    <row r="724" spans="1:15">
      <c r="A724" s="36"/>
      <c r="B724" s="32"/>
      <c r="C724" s="39"/>
      <c r="D724" s="44" t="str">
        <f>IF(OR(B724="",C724=""),"",CONCATENATE(B724,"-",C724))</f>
        <v/>
      </c>
      <c r="E724" s="49" t="str">
        <f>IF(B724="","",IFERROR(VLOOKUP(B724,'Coil Sheet at Plant'!$C:$G,5,FALSE),"ID Not Found"))</f>
        <v/>
      </c>
      <c r="F724" s="50" t="str">
        <f>IF(B724="","",IFERROR(VLOOKUP(B724,'Coil Sheet at Plant'!$C:$H,6,FALSE),"ID Not Found"))</f>
        <v/>
      </c>
      <c r="G724" s="81">
        <v>871</v>
      </c>
      <c r="H724" s="89" t="str">
        <f>IF(OR(B724="",G724=""),"",IFERROR(VLOOKUP(B724,'Coil Sheet at Plant'!$C:$J,8,FALSE),0)*G724/SUMIF(B:B,B724,G:G))</f>
        <v/>
      </c>
      <c r="I724" s="56" t="str">
        <f>IF(B724="","",IFERROR(VLOOKUP(B724,'Coil Sheet at Plant'!$C:$L,9,FALSE),""))</f>
        <v/>
      </c>
      <c r="J724" s="85" t="str">
        <f>IF(B724="","",IFERROR(VLOOKUP(B724,'Coil Sheet at Plant'!$C:$M,10,FALSE),""))</f>
        <v/>
      </c>
      <c r="K724" s="69" t="str">
        <f>IF(B724="","",SUMIF(B:B,B724,G:G))</f>
        <v/>
      </c>
      <c r="L724" s="70" t="str">
        <f>IF(B724="","",IFERROR(VLOOKUP(B724,'Coil Sheet at Plant'!$C:$I,7,FALSE),""))</f>
        <v/>
      </c>
      <c r="M724" s="71" t="str">
        <f>IF(OR(K724="",L724=""),"",IF(L724=0,"⚠ NO PARENT WIDTH",IF(K724&gt;L724,"⚠ BABY &gt; PARENT","✔ OK")))</f>
        <v/>
      </c>
      <c r="N724" s="71" t="str">
        <f>IF(D724="","",IF(COUNTIF(D$3:D724,D724)&gt;1,"⚠ DUPLICATE",""))</f>
        <v/>
      </c>
      <c r="O724" s="72" t="str">
        <f>IF(B724="","",SUMIF(B:B,B724,G:G)&amp;" / "&amp;IFERROR(VLOOKUP(B724,'Coil Sheet at Plant'!$C:$I,7,FALSE),"?")&amp;" mm")</f>
        <v/>
      </c>
    </row>
    <row r="725" spans="1:15">
      <c r="A725" s="36"/>
      <c r="B725" s="32"/>
      <c r="C725" s="39"/>
      <c r="D725" s="44" t="str">
        <f>IF(OR(B725="",C725=""),"",CONCATENATE(B725,"-",C725))</f>
        <v/>
      </c>
      <c r="E725" s="49" t="str">
        <f>IF(B725="","",IFERROR(VLOOKUP(B725,'Coil Sheet at Plant'!$C:$G,5,FALSE),"ID Not Found"))</f>
        <v/>
      </c>
      <c r="F725" s="50" t="str">
        <f>IF(B725="","",IFERROR(VLOOKUP(B725,'Coil Sheet at Plant'!$C:$H,6,FALSE),"ID Not Found"))</f>
        <v/>
      </c>
      <c r="G725" s="81">
        <v>872</v>
      </c>
      <c r="H725" s="89" t="str">
        <f>IF(OR(B725="",G725=""),"",IFERROR(VLOOKUP(B725,'Coil Sheet at Plant'!$C:$J,8,FALSE),0)*G725/SUMIF(B:B,B725,G:G))</f>
        <v/>
      </c>
      <c r="I725" s="56" t="str">
        <f>IF(B725="","",IFERROR(VLOOKUP(B725,'Coil Sheet at Plant'!$C:$L,9,FALSE),""))</f>
        <v/>
      </c>
      <c r="J725" s="85" t="str">
        <f>IF(B725="","",IFERROR(VLOOKUP(B725,'Coil Sheet at Plant'!$C:$M,10,FALSE),""))</f>
        <v/>
      </c>
      <c r="K725" s="69" t="str">
        <f>IF(B725="","",SUMIF(B:B,B725,G:G))</f>
        <v/>
      </c>
      <c r="L725" s="70" t="str">
        <f>IF(B725="","",IFERROR(VLOOKUP(B725,'Coil Sheet at Plant'!$C:$I,7,FALSE),""))</f>
        <v/>
      </c>
      <c r="M725" s="71" t="str">
        <f>IF(OR(K725="",L725=""),"",IF(L725=0,"⚠ NO PARENT WIDTH",IF(K725&gt;L725,"⚠ BABY &gt; PARENT","✔ OK")))</f>
        <v/>
      </c>
      <c r="N725" s="71" t="str">
        <f>IF(D725="","",IF(COUNTIF(D$3:D725,D725)&gt;1,"⚠ DUPLICATE",""))</f>
        <v/>
      </c>
      <c r="O725" s="72" t="str">
        <f>IF(B725="","",SUMIF(B:B,B725,G:G)&amp;" / "&amp;IFERROR(VLOOKUP(B725,'Coil Sheet at Plant'!$C:$I,7,FALSE),"?")&amp;" mm")</f>
        <v/>
      </c>
    </row>
    <row r="726" spans="1:15">
      <c r="A726" s="36"/>
      <c r="B726" s="32"/>
      <c r="C726" s="39"/>
      <c r="D726" s="44" t="str">
        <f>IF(OR(B726="",C726=""),"",CONCATENATE(B726,"-",C726))</f>
        <v/>
      </c>
      <c r="E726" s="49" t="str">
        <f>IF(B726="","",IFERROR(VLOOKUP(B726,'Coil Sheet at Plant'!$C:$G,5,FALSE),"ID Not Found"))</f>
        <v/>
      </c>
      <c r="F726" s="50" t="str">
        <f>IF(B726="","",IFERROR(VLOOKUP(B726,'Coil Sheet at Plant'!$C:$H,6,FALSE),"ID Not Found"))</f>
        <v/>
      </c>
      <c r="G726" s="81">
        <v>873</v>
      </c>
      <c r="H726" s="89" t="str">
        <f>IF(OR(B726="",G726=""),"",IFERROR(VLOOKUP(B726,'Coil Sheet at Plant'!$C:$J,8,FALSE),0)*G726/SUMIF(B:B,B726,G:G))</f>
        <v/>
      </c>
      <c r="I726" s="56" t="str">
        <f>IF(B726="","",IFERROR(VLOOKUP(B726,'Coil Sheet at Plant'!$C:$L,9,FALSE),""))</f>
        <v/>
      </c>
      <c r="J726" s="85" t="str">
        <f>IF(B726="","",IFERROR(VLOOKUP(B726,'Coil Sheet at Plant'!$C:$M,10,FALSE),""))</f>
        <v/>
      </c>
      <c r="K726" s="69" t="str">
        <f>IF(B726="","",SUMIF(B:B,B726,G:G))</f>
        <v/>
      </c>
      <c r="L726" s="70" t="str">
        <f>IF(B726="","",IFERROR(VLOOKUP(B726,'Coil Sheet at Plant'!$C:$I,7,FALSE),""))</f>
        <v/>
      </c>
      <c r="M726" s="71" t="str">
        <f>IF(OR(K726="",L726=""),"",IF(L726=0,"⚠ NO PARENT WIDTH",IF(K726&gt;L726,"⚠ BABY &gt; PARENT","✔ OK")))</f>
        <v/>
      </c>
      <c r="N726" s="71" t="str">
        <f>IF(D726="","",IF(COUNTIF(D$3:D726,D726)&gt;1,"⚠ DUPLICATE",""))</f>
        <v/>
      </c>
      <c r="O726" s="72" t="str">
        <f>IF(B726="","",SUMIF(B:B,B726,G:G)&amp;" / "&amp;IFERROR(VLOOKUP(B726,'Coil Sheet at Plant'!$C:$I,7,FALSE),"?")&amp;" mm")</f>
        <v/>
      </c>
    </row>
    <row r="727" spans="1:15">
      <c r="A727" s="36"/>
      <c r="B727" s="32"/>
      <c r="C727" s="39"/>
      <c r="D727" s="44" t="str">
        <f>IF(OR(B727="",C727=""),"",CONCATENATE(B727,"-",C727))</f>
        <v/>
      </c>
      <c r="E727" s="49" t="str">
        <f>IF(B727="","",IFERROR(VLOOKUP(B727,'Coil Sheet at Plant'!$C:$G,5,FALSE),"ID Not Found"))</f>
        <v/>
      </c>
      <c r="F727" s="50" t="str">
        <f>IF(B727="","",IFERROR(VLOOKUP(B727,'Coil Sheet at Plant'!$C:$H,6,FALSE),"ID Not Found"))</f>
        <v/>
      </c>
      <c r="G727" s="81">
        <v>874</v>
      </c>
      <c r="H727" s="89" t="str">
        <f>IF(OR(B727="",G727=""),"",IFERROR(VLOOKUP(B727,'Coil Sheet at Plant'!$C:$J,8,FALSE),0)*G727/SUMIF(B:B,B727,G:G))</f>
        <v/>
      </c>
      <c r="I727" s="56" t="str">
        <f>IF(B727="","",IFERROR(VLOOKUP(B727,'Coil Sheet at Plant'!$C:$L,9,FALSE),""))</f>
        <v/>
      </c>
      <c r="J727" s="85" t="str">
        <f>IF(B727="","",IFERROR(VLOOKUP(B727,'Coil Sheet at Plant'!$C:$M,10,FALSE),""))</f>
        <v/>
      </c>
      <c r="K727" s="69" t="str">
        <f>IF(B727="","",SUMIF(B:B,B727,G:G))</f>
        <v/>
      </c>
      <c r="L727" s="70" t="str">
        <f>IF(B727="","",IFERROR(VLOOKUP(B727,'Coil Sheet at Plant'!$C:$I,7,FALSE),""))</f>
        <v/>
      </c>
      <c r="M727" s="71" t="str">
        <f>IF(OR(K727="",L727=""),"",IF(L727=0,"⚠ NO PARENT WIDTH",IF(K727&gt;L727,"⚠ BABY &gt; PARENT","✔ OK")))</f>
        <v/>
      </c>
      <c r="N727" s="71" t="str">
        <f>IF(D727="","",IF(COUNTIF(D$3:D727,D727)&gt;1,"⚠ DUPLICATE",""))</f>
        <v/>
      </c>
      <c r="O727" s="72" t="str">
        <f>IF(B727="","",SUMIF(B:B,B727,G:G)&amp;" / "&amp;IFERROR(VLOOKUP(B727,'Coil Sheet at Plant'!$C:$I,7,FALSE),"?")&amp;" mm")</f>
        <v/>
      </c>
    </row>
    <row r="728" spans="1:15">
      <c r="A728" s="36"/>
      <c r="B728" s="32"/>
      <c r="C728" s="39"/>
      <c r="D728" s="44" t="str">
        <f>IF(OR(B728="",C728=""),"",CONCATENATE(B728,"-",C728))</f>
        <v/>
      </c>
      <c r="E728" s="49" t="str">
        <f>IF(B728="","",IFERROR(VLOOKUP(B728,'Coil Sheet at Plant'!$C:$G,5,FALSE),"ID Not Found"))</f>
        <v/>
      </c>
      <c r="F728" s="50" t="str">
        <f>IF(B728="","",IFERROR(VLOOKUP(B728,'Coil Sheet at Plant'!$C:$H,6,FALSE),"ID Not Found"))</f>
        <v/>
      </c>
      <c r="G728" s="81">
        <v>875</v>
      </c>
      <c r="H728" s="89" t="str">
        <f>IF(OR(B728="",G728=""),"",IFERROR(VLOOKUP(B728,'Coil Sheet at Plant'!$C:$J,8,FALSE),0)*G728/SUMIF(B:B,B728,G:G))</f>
        <v/>
      </c>
      <c r="I728" s="56" t="str">
        <f>IF(B728="","",IFERROR(VLOOKUP(B728,'Coil Sheet at Plant'!$C:$L,9,FALSE),""))</f>
        <v/>
      </c>
      <c r="J728" s="85" t="str">
        <f>IF(B728="","",IFERROR(VLOOKUP(B728,'Coil Sheet at Plant'!$C:$M,10,FALSE),""))</f>
        <v/>
      </c>
      <c r="K728" s="69" t="str">
        <f>IF(B728="","",SUMIF(B:B,B728,G:G))</f>
        <v/>
      </c>
      <c r="L728" s="70" t="str">
        <f>IF(B728="","",IFERROR(VLOOKUP(B728,'Coil Sheet at Plant'!$C:$I,7,FALSE),""))</f>
        <v/>
      </c>
      <c r="M728" s="71" t="str">
        <f>IF(OR(K728="",L728=""),"",IF(L728=0,"⚠ NO PARENT WIDTH",IF(K728&gt;L728,"⚠ BABY &gt; PARENT","✔ OK")))</f>
        <v/>
      </c>
      <c r="N728" s="71" t="str">
        <f>IF(D728="","",IF(COUNTIF(D$3:D728,D728)&gt;1,"⚠ DUPLICATE",""))</f>
        <v/>
      </c>
      <c r="O728" s="72" t="str">
        <f>IF(B728="","",SUMIF(B:B,B728,G:G)&amp;" / "&amp;IFERROR(VLOOKUP(B728,'Coil Sheet at Plant'!$C:$I,7,FALSE),"?")&amp;" mm")</f>
        <v/>
      </c>
    </row>
    <row r="729" spans="1:15">
      <c r="A729" s="36"/>
      <c r="B729" s="32"/>
      <c r="C729" s="39"/>
      <c r="D729" s="44" t="str">
        <f>IF(OR(B729="",C729=""),"",CONCATENATE(B729,"-",C729))</f>
        <v/>
      </c>
      <c r="E729" s="49" t="str">
        <f>IF(B729="","",IFERROR(VLOOKUP(B729,'Coil Sheet at Plant'!$C:$G,5,FALSE),"ID Not Found"))</f>
        <v/>
      </c>
      <c r="F729" s="50" t="str">
        <f>IF(B729="","",IFERROR(VLOOKUP(B729,'Coil Sheet at Plant'!$C:$H,6,FALSE),"ID Not Found"))</f>
        <v/>
      </c>
      <c r="G729" s="81">
        <v>876</v>
      </c>
      <c r="H729" s="89" t="str">
        <f>IF(OR(B729="",G729=""),"",IFERROR(VLOOKUP(B729,'Coil Sheet at Plant'!$C:$J,8,FALSE),0)*G729/SUMIF(B:B,B729,G:G))</f>
        <v/>
      </c>
      <c r="I729" s="56" t="str">
        <f>IF(B729="","",IFERROR(VLOOKUP(B729,'Coil Sheet at Plant'!$C:$L,9,FALSE),""))</f>
        <v/>
      </c>
      <c r="J729" s="85" t="str">
        <f>IF(B729="","",IFERROR(VLOOKUP(B729,'Coil Sheet at Plant'!$C:$M,10,FALSE),""))</f>
        <v/>
      </c>
      <c r="K729" s="69" t="str">
        <f>IF(B729="","",SUMIF(B:B,B729,G:G))</f>
        <v/>
      </c>
      <c r="L729" s="70" t="str">
        <f>IF(B729="","",IFERROR(VLOOKUP(B729,'Coil Sheet at Plant'!$C:$I,7,FALSE),""))</f>
        <v/>
      </c>
      <c r="M729" s="71" t="str">
        <f>IF(OR(K729="",L729=""),"",IF(L729=0,"⚠ NO PARENT WIDTH",IF(K729&gt;L729,"⚠ BABY &gt; PARENT","✔ OK")))</f>
        <v/>
      </c>
      <c r="N729" s="71" t="str">
        <f>IF(D729="","",IF(COUNTIF(D$3:D729,D729)&gt;1,"⚠ DUPLICATE",""))</f>
        <v/>
      </c>
      <c r="O729" s="72" t="str">
        <f>IF(B729="","",SUMIF(B:B,B729,G:G)&amp;" / "&amp;IFERROR(VLOOKUP(B729,'Coil Sheet at Plant'!$C:$I,7,FALSE),"?")&amp;" mm")</f>
        <v/>
      </c>
    </row>
    <row r="730" spans="1:15">
      <c r="A730" s="36"/>
      <c r="B730" s="32"/>
      <c r="C730" s="39"/>
      <c r="D730" s="44" t="str">
        <f>IF(OR(B730="",C730=""),"",CONCATENATE(B730,"-",C730))</f>
        <v/>
      </c>
      <c r="E730" s="49" t="str">
        <f>IF(B730="","",IFERROR(VLOOKUP(B730,'Coil Sheet at Plant'!$C:$G,5,FALSE),"ID Not Found"))</f>
        <v/>
      </c>
      <c r="F730" s="50" t="str">
        <f>IF(B730="","",IFERROR(VLOOKUP(B730,'Coil Sheet at Plant'!$C:$H,6,FALSE),"ID Not Found"))</f>
        <v/>
      </c>
      <c r="G730" s="81">
        <v>877</v>
      </c>
      <c r="H730" s="89" t="str">
        <f>IF(OR(B730="",G730=""),"",IFERROR(VLOOKUP(B730,'Coil Sheet at Plant'!$C:$J,8,FALSE),0)*G730/SUMIF(B:B,B730,G:G))</f>
        <v/>
      </c>
      <c r="I730" s="56" t="str">
        <f>IF(B730="","",IFERROR(VLOOKUP(B730,'Coil Sheet at Plant'!$C:$L,9,FALSE),""))</f>
        <v/>
      </c>
      <c r="J730" s="85" t="str">
        <f>IF(B730="","",IFERROR(VLOOKUP(B730,'Coil Sheet at Plant'!$C:$M,10,FALSE),""))</f>
        <v/>
      </c>
      <c r="K730" s="69" t="str">
        <f>IF(B730="","",SUMIF(B:B,B730,G:G))</f>
        <v/>
      </c>
      <c r="L730" s="70" t="str">
        <f>IF(B730="","",IFERROR(VLOOKUP(B730,'Coil Sheet at Plant'!$C:$I,7,FALSE),""))</f>
        <v/>
      </c>
      <c r="M730" s="71" t="str">
        <f>IF(OR(K730="",L730=""),"",IF(L730=0,"⚠ NO PARENT WIDTH",IF(K730&gt;L730,"⚠ BABY &gt; PARENT","✔ OK")))</f>
        <v/>
      </c>
      <c r="N730" s="71" t="str">
        <f>IF(D730="","",IF(COUNTIF(D$3:D730,D730)&gt;1,"⚠ DUPLICATE",""))</f>
        <v/>
      </c>
      <c r="O730" s="72" t="str">
        <f>IF(B730="","",SUMIF(B:B,B730,G:G)&amp;" / "&amp;IFERROR(VLOOKUP(B730,'Coil Sheet at Plant'!$C:$I,7,FALSE),"?")&amp;" mm")</f>
        <v/>
      </c>
    </row>
    <row r="731" spans="1:15">
      <c r="A731" s="36"/>
      <c r="B731" s="32"/>
      <c r="C731" s="39"/>
      <c r="D731" s="44" t="str">
        <f>IF(OR(B731="",C731=""),"",CONCATENATE(B731,"-",C731))</f>
        <v/>
      </c>
      <c r="E731" s="49" t="str">
        <f>IF(B731="","",IFERROR(VLOOKUP(B731,'Coil Sheet at Plant'!$C:$G,5,FALSE),"ID Not Found"))</f>
        <v/>
      </c>
      <c r="F731" s="50" t="str">
        <f>IF(B731="","",IFERROR(VLOOKUP(B731,'Coil Sheet at Plant'!$C:$H,6,FALSE),"ID Not Found"))</f>
        <v/>
      </c>
      <c r="G731" s="81">
        <v>878</v>
      </c>
      <c r="H731" s="89" t="str">
        <f>IF(OR(B731="",G731=""),"",IFERROR(VLOOKUP(B731,'Coil Sheet at Plant'!$C:$J,8,FALSE),0)*G731/SUMIF(B:B,B731,G:G))</f>
        <v/>
      </c>
      <c r="I731" s="56" t="str">
        <f>IF(B731="","",IFERROR(VLOOKUP(B731,'Coil Sheet at Plant'!$C:$L,9,FALSE),""))</f>
        <v/>
      </c>
      <c r="J731" s="85" t="str">
        <f>IF(B731="","",IFERROR(VLOOKUP(B731,'Coil Sheet at Plant'!$C:$M,10,FALSE),""))</f>
        <v/>
      </c>
      <c r="K731" s="69" t="str">
        <f>IF(B731="","",SUMIF(B:B,B731,G:G))</f>
        <v/>
      </c>
      <c r="L731" s="70" t="str">
        <f>IF(B731="","",IFERROR(VLOOKUP(B731,'Coil Sheet at Plant'!$C:$I,7,FALSE),""))</f>
        <v/>
      </c>
      <c r="M731" s="71" t="str">
        <f>IF(OR(K731="",L731=""),"",IF(L731=0,"⚠ NO PARENT WIDTH",IF(K731&gt;L731,"⚠ BABY &gt; PARENT","✔ OK")))</f>
        <v/>
      </c>
      <c r="N731" s="71" t="str">
        <f>IF(D731="","",IF(COUNTIF(D$3:D731,D731)&gt;1,"⚠ DUPLICATE",""))</f>
        <v/>
      </c>
      <c r="O731" s="72" t="str">
        <f>IF(B731="","",SUMIF(B:B,B731,G:G)&amp;" / "&amp;IFERROR(VLOOKUP(B731,'Coil Sheet at Plant'!$C:$I,7,FALSE),"?")&amp;" mm")</f>
        <v/>
      </c>
    </row>
    <row r="732" spans="1:15">
      <c r="A732" s="36"/>
      <c r="B732" s="32"/>
      <c r="C732" s="39"/>
      <c r="D732" s="44" t="str">
        <f>IF(OR(B732="",C732=""),"",CONCATENATE(B732,"-",C732))</f>
        <v/>
      </c>
      <c r="E732" s="49" t="str">
        <f>IF(B732="","",IFERROR(VLOOKUP(B732,'Coil Sheet at Plant'!$C:$G,5,FALSE),"ID Not Found"))</f>
        <v/>
      </c>
      <c r="F732" s="50" t="str">
        <f>IF(B732="","",IFERROR(VLOOKUP(B732,'Coil Sheet at Plant'!$C:$H,6,FALSE),"ID Not Found"))</f>
        <v/>
      </c>
      <c r="G732" s="81">
        <v>879</v>
      </c>
      <c r="H732" s="89" t="str">
        <f>IF(OR(B732="",G732=""),"",IFERROR(VLOOKUP(B732,'Coil Sheet at Plant'!$C:$J,8,FALSE),0)*G732/SUMIF(B:B,B732,G:G))</f>
        <v/>
      </c>
      <c r="I732" s="56" t="str">
        <f>IF(B732="","",IFERROR(VLOOKUP(B732,'Coil Sheet at Plant'!$C:$L,9,FALSE),""))</f>
        <v/>
      </c>
      <c r="J732" s="85" t="str">
        <f>IF(B732="","",IFERROR(VLOOKUP(B732,'Coil Sheet at Plant'!$C:$M,10,FALSE),""))</f>
        <v/>
      </c>
      <c r="K732" s="69" t="str">
        <f>IF(B732="","",SUMIF(B:B,B732,G:G))</f>
        <v/>
      </c>
      <c r="L732" s="70" t="str">
        <f>IF(B732="","",IFERROR(VLOOKUP(B732,'Coil Sheet at Plant'!$C:$I,7,FALSE),""))</f>
        <v/>
      </c>
      <c r="M732" s="71" t="str">
        <f>IF(OR(K732="",L732=""),"",IF(L732=0,"⚠ NO PARENT WIDTH",IF(K732&gt;L732,"⚠ BABY &gt; PARENT","✔ OK")))</f>
        <v/>
      </c>
      <c r="N732" s="71" t="str">
        <f>IF(D732="","",IF(COUNTIF(D$3:D732,D732)&gt;1,"⚠ DUPLICATE",""))</f>
        <v/>
      </c>
      <c r="O732" s="72" t="str">
        <f>IF(B732="","",SUMIF(B:B,B732,G:G)&amp;" / "&amp;IFERROR(VLOOKUP(B732,'Coil Sheet at Plant'!$C:$I,7,FALSE),"?")&amp;" mm")</f>
        <v/>
      </c>
    </row>
    <row r="733" spans="1:15">
      <c r="A733" s="36"/>
      <c r="B733" s="32"/>
      <c r="C733" s="39"/>
      <c r="D733" s="44" t="str">
        <f>IF(OR(B733="",C733=""),"",CONCATENATE(B733,"-",C733))</f>
        <v/>
      </c>
      <c r="E733" s="49" t="str">
        <f>IF(B733="","",IFERROR(VLOOKUP(B733,'Coil Sheet at Plant'!$C:$G,5,FALSE),"ID Not Found"))</f>
        <v/>
      </c>
      <c r="F733" s="50" t="str">
        <f>IF(B733="","",IFERROR(VLOOKUP(B733,'Coil Sheet at Plant'!$C:$H,6,FALSE),"ID Not Found"))</f>
        <v/>
      </c>
      <c r="G733" s="81">
        <v>880</v>
      </c>
      <c r="H733" s="89" t="str">
        <f>IF(OR(B733="",G733=""),"",IFERROR(VLOOKUP(B733,'Coil Sheet at Plant'!$C:$J,8,FALSE),0)*G733/SUMIF(B:B,B733,G:G))</f>
        <v/>
      </c>
      <c r="I733" s="56" t="str">
        <f>IF(B733="","",IFERROR(VLOOKUP(B733,'Coil Sheet at Plant'!$C:$L,9,FALSE),""))</f>
        <v/>
      </c>
      <c r="J733" s="85" t="str">
        <f>IF(B733="","",IFERROR(VLOOKUP(B733,'Coil Sheet at Plant'!$C:$M,10,FALSE),""))</f>
        <v/>
      </c>
      <c r="K733" s="69" t="str">
        <f>IF(B733="","",SUMIF(B:B,B733,G:G))</f>
        <v/>
      </c>
      <c r="L733" s="70" t="str">
        <f>IF(B733="","",IFERROR(VLOOKUP(B733,'Coil Sheet at Plant'!$C:$I,7,FALSE),""))</f>
        <v/>
      </c>
      <c r="M733" s="71" t="str">
        <f>IF(OR(K733="",L733=""),"",IF(L733=0,"⚠ NO PARENT WIDTH",IF(K733&gt;L733,"⚠ BABY &gt; PARENT","✔ OK")))</f>
        <v/>
      </c>
      <c r="N733" s="71" t="str">
        <f>IF(D733="","",IF(COUNTIF(D$3:D733,D733)&gt;1,"⚠ DUPLICATE",""))</f>
        <v/>
      </c>
      <c r="O733" s="72" t="str">
        <f>IF(B733="","",SUMIF(B:B,B733,G:G)&amp;" / "&amp;IFERROR(VLOOKUP(B733,'Coil Sheet at Plant'!$C:$I,7,FALSE),"?")&amp;" mm")</f>
        <v/>
      </c>
    </row>
    <row r="734" spans="1:15">
      <c r="A734" s="36"/>
      <c r="B734" s="32"/>
      <c r="C734" s="39"/>
      <c r="D734" s="44" t="str">
        <f>IF(OR(B734="",C734=""),"",CONCATENATE(B734,"-",C734))</f>
        <v/>
      </c>
      <c r="E734" s="49" t="str">
        <f>IF(B734="","",IFERROR(VLOOKUP(B734,'Coil Sheet at Plant'!$C:$G,5,FALSE),"ID Not Found"))</f>
        <v/>
      </c>
      <c r="F734" s="50" t="str">
        <f>IF(B734="","",IFERROR(VLOOKUP(B734,'Coil Sheet at Plant'!$C:$H,6,FALSE),"ID Not Found"))</f>
        <v/>
      </c>
      <c r="G734" s="81">
        <v>881</v>
      </c>
      <c r="H734" s="89" t="str">
        <f>IF(OR(B734="",G734=""),"",IFERROR(VLOOKUP(B734,'Coil Sheet at Plant'!$C:$J,8,FALSE),0)*G734/SUMIF(B:B,B734,G:G))</f>
        <v/>
      </c>
      <c r="I734" s="56" t="str">
        <f>IF(B734="","",IFERROR(VLOOKUP(B734,'Coil Sheet at Plant'!$C:$L,9,FALSE),""))</f>
        <v/>
      </c>
      <c r="J734" s="85" t="str">
        <f>IF(B734="","",IFERROR(VLOOKUP(B734,'Coil Sheet at Plant'!$C:$M,10,FALSE),""))</f>
        <v/>
      </c>
      <c r="K734" s="69" t="str">
        <f>IF(B734="","",SUMIF(B:B,B734,G:G))</f>
        <v/>
      </c>
      <c r="L734" s="70" t="str">
        <f>IF(B734="","",IFERROR(VLOOKUP(B734,'Coil Sheet at Plant'!$C:$I,7,FALSE),""))</f>
        <v/>
      </c>
      <c r="M734" s="71" t="str">
        <f>IF(OR(K734="",L734=""),"",IF(L734=0,"⚠ NO PARENT WIDTH",IF(K734&gt;L734,"⚠ BABY &gt; PARENT","✔ OK")))</f>
        <v/>
      </c>
      <c r="N734" s="71" t="str">
        <f>IF(D734="","",IF(COUNTIF(D$3:D734,D734)&gt;1,"⚠ DUPLICATE",""))</f>
        <v/>
      </c>
      <c r="O734" s="72" t="str">
        <f>IF(B734="","",SUMIF(B:B,B734,G:G)&amp;" / "&amp;IFERROR(VLOOKUP(B734,'Coil Sheet at Plant'!$C:$I,7,FALSE),"?")&amp;" mm")</f>
        <v/>
      </c>
    </row>
    <row r="735" spans="1:15">
      <c r="A735" s="36"/>
      <c r="B735" s="32"/>
      <c r="C735" s="39"/>
      <c r="D735" s="44" t="str">
        <f>IF(OR(B735="",C735=""),"",CONCATENATE(B735,"-",C735))</f>
        <v/>
      </c>
      <c r="E735" s="49" t="str">
        <f>IF(B735="","",IFERROR(VLOOKUP(B735,'Coil Sheet at Plant'!$C:$G,5,FALSE),"ID Not Found"))</f>
        <v/>
      </c>
      <c r="F735" s="50" t="str">
        <f>IF(B735="","",IFERROR(VLOOKUP(B735,'Coil Sheet at Plant'!$C:$H,6,FALSE),"ID Not Found"))</f>
        <v/>
      </c>
      <c r="G735" s="81">
        <v>882</v>
      </c>
      <c r="H735" s="89" t="str">
        <f>IF(OR(B735="",G735=""),"",IFERROR(VLOOKUP(B735,'Coil Sheet at Plant'!$C:$J,8,FALSE),0)*G735/SUMIF(B:B,B735,G:G))</f>
        <v/>
      </c>
      <c r="I735" s="56" t="str">
        <f>IF(B735="","",IFERROR(VLOOKUP(B735,'Coil Sheet at Plant'!$C:$L,9,FALSE),""))</f>
        <v/>
      </c>
      <c r="J735" s="85" t="str">
        <f>IF(B735="","",IFERROR(VLOOKUP(B735,'Coil Sheet at Plant'!$C:$M,10,FALSE),""))</f>
        <v/>
      </c>
      <c r="K735" s="69" t="str">
        <f>IF(B735="","",SUMIF(B:B,B735,G:G))</f>
        <v/>
      </c>
      <c r="L735" s="70" t="str">
        <f>IF(B735="","",IFERROR(VLOOKUP(B735,'Coil Sheet at Plant'!$C:$I,7,FALSE),""))</f>
        <v/>
      </c>
      <c r="M735" s="71" t="str">
        <f>IF(OR(K735="",L735=""),"",IF(L735=0,"⚠ NO PARENT WIDTH",IF(K735&gt;L735,"⚠ BABY &gt; PARENT","✔ OK")))</f>
        <v/>
      </c>
      <c r="N735" s="71" t="str">
        <f>IF(D735="","",IF(COUNTIF(D$3:D735,D735)&gt;1,"⚠ DUPLICATE",""))</f>
        <v/>
      </c>
      <c r="O735" s="72" t="str">
        <f>IF(B735="","",SUMIF(B:B,B735,G:G)&amp;" / "&amp;IFERROR(VLOOKUP(B735,'Coil Sheet at Plant'!$C:$I,7,FALSE),"?")&amp;" mm")</f>
        <v/>
      </c>
    </row>
    <row r="736" spans="1:15">
      <c r="A736" s="36"/>
      <c r="B736" s="32"/>
      <c r="C736" s="39"/>
      <c r="D736" s="44" t="str">
        <f>IF(OR(B736="",C736=""),"",CONCATENATE(B736,"-",C736))</f>
        <v/>
      </c>
      <c r="E736" s="49" t="str">
        <f>IF(B736="","",IFERROR(VLOOKUP(B736,'Coil Sheet at Plant'!$C:$G,5,FALSE),"ID Not Found"))</f>
        <v/>
      </c>
      <c r="F736" s="50" t="str">
        <f>IF(B736="","",IFERROR(VLOOKUP(B736,'Coil Sheet at Plant'!$C:$H,6,FALSE),"ID Not Found"))</f>
        <v/>
      </c>
      <c r="G736" s="81">
        <v>883</v>
      </c>
      <c r="H736" s="89" t="str">
        <f>IF(OR(B736="",G736=""),"",IFERROR(VLOOKUP(B736,'Coil Sheet at Plant'!$C:$J,8,FALSE),0)*G736/SUMIF(B:B,B736,G:G))</f>
        <v/>
      </c>
      <c r="I736" s="56" t="str">
        <f>IF(B736="","",IFERROR(VLOOKUP(B736,'Coil Sheet at Plant'!$C:$L,9,FALSE),""))</f>
        <v/>
      </c>
      <c r="J736" s="85" t="str">
        <f>IF(B736="","",IFERROR(VLOOKUP(B736,'Coil Sheet at Plant'!$C:$M,10,FALSE),""))</f>
        <v/>
      </c>
      <c r="K736" s="69" t="str">
        <f>IF(B736="","",SUMIF(B:B,B736,G:G))</f>
        <v/>
      </c>
      <c r="L736" s="70" t="str">
        <f>IF(B736="","",IFERROR(VLOOKUP(B736,'Coil Sheet at Plant'!$C:$I,7,FALSE),""))</f>
        <v/>
      </c>
      <c r="M736" s="71" t="str">
        <f>IF(OR(K736="",L736=""),"",IF(L736=0,"⚠ NO PARENT WIDTH",IF(K736&gt;L736,"⚠ BABY &gt; PARENT","✔ OK")))</f>
        <v/>
      </c>
      <c r="N736" s="71" t="str">
        <f>IF(D736="","",IF(COUNTIF(D$3:D736,D736)&gt;1,"⚠ DUPLICATE",""))</f>
        <v/>
      </c>
      <c r="O736" s="72" t="str">
        <f>IF(B736="","",SUMIF(B:B,B736,G:G)&amp;" / "&amp;IFERROR(VLOOKUP(B736,'Coil Sheet at Plant'!$C:$I,7,FALSE),"?")&amp;" mm")</f>
        <v/>
      </c>
    </row>
    <row r="737" spans="1:15">
      <c r="A737" s="36"/>
      <c r="B737" s="32"/>
      <c r="C737" s="39"/>
      <c r="D737" s="44" t="str">
        <f>IF(OR(B737="",C737=""),"",CONCATENATE(B737,"-",C737))</f>
        <v/>
      </c>
      <c r="E737" s="49" t="str">
        <f>IF(B737="","",IFERROR(VLOOKUP(B737,'Coil Sheet at Plant'!$C:$G,5,FALSE),"ID Not Found"))</f>
        <v/>
      </c>
      <c r="F737" s="50" t="str">
        <f>IF(B737="","",IFERROR(VLOOKUP(B737,'Coil Sheet at Plant'!$C:$H,6,FALSE),"ID Not Found"))</f>
        <v/>
      </c>
      <c r="G737" s="81">
        <v>884</v>
      </c>
      <c r="H737" s="89" t="str">
        <f>IF(OR(B737="",G737=""),"",IFERROR(VLOOKUP(B737,'Coil Sheet at Plant'!$C:$J,8,FALSE),0)*G737/SUMIF(B:B,B737,G:G))</f>
        <v/>
      </c>
      <c r="I737" s="56" t="str">
        <f>IF(B737="","",IFERROR(VLOOKUP(B737,'Coil Sheet at Plant'!$C:$L,9,FALSE),""))</f>
        <v/>
      </c>
      <c r="J737" s="85" t="str">
        <f>IF(B737="","",IFERROR(VLOOKUP(B737,'Coil Sheet at Plant'!$C:$M,10,FALSE),""))</f>
        <v/>
      </c>
      <c r="K737" s="69" t="str">
        <f>IF(B737="","",SUMIF(B:B,B737,G:G))</f>
        <v/>
      </c>
      <c r="L737" s="70" t="str">
        <f>IF(B737="","",IFERROR(VLOOKUP(B737,'Coil Sheet at Plant'!$C:$I,7,FALSE),""))</f>
        <v/>
      </c>
      <c r="M737" s="71" t="str">
        <f>IF(OR(K737="",L737=""),"",IF(L737=0,"⚠ NO PARENT WIDTH",IF(K737&gt;L737,"⚠ BABY &gt; PARENT","✔ OK")))</f>
        <v/>
      </c>
      <c r="N737" s="71" t="str">
        <f>IF(D737="","",IF(COUNTIF(D$3:D737,D737)&gt;1,"⚠ DUPLICATE",""))</f>
        <v/>
      </c>
      <c r="O737" s="72" t="str">
        <f>IF(B737="","",SUMIF(B:B,B737,G:G)&amp;" / "&amp;IFERROR(VLOOKUP(B737,'Coil Sheet at Plant'!$C:$I,7,FALSE),"?")&amp;" mm")</f>
        <v/>
      </c>
    </row>
    <row r="738" spans="1:15">
      <c r="A738" s="36"/>
      <c r="B738" s="32"/>
      <c r="C738" s="39"/>
      <c r="D738" s="44" t="str">
        <f>IF(OR(B738="",C738=""),"",CONCATENATE(B738,"-",C738))</f>
        <v/>
      </c>
      <c r="E738" s="49" t="str">
        <f>IF(B738="","",IFERROR(VLOOKUP(B738,'Coil Sheet at Plant'!$C:$G,5,FALSE),"ID Not Found"))</f>
        <v/>
      </c>
      <c r="F738" s="50" t="str">
        <f>IF(B738="","",IFERROR(VLOOKUP(B738,'Coil Sheet at Plant'!$C:$H,6,FALSE),"ID Not Found"))</f>
        <v/>
      </c>
      <c r="G738" s="81">
        <v>885</v>
      </c>
      <c r="H738" s="89" t="str">
        <f>IF(OR(B738="",G738=""),"",IFERROR(VLOOKUP(B738,'Coil Sheet at Plant'!$C:$J,8,FALSE),0)*G738/SUMIF(B:B,B738,G:G))</f>
        <v/>
      </c>
      <c r="I738" s="56" t="str">
        <f>IF(B738="","",IFERROR(VLOOKUP(B738,'Coil Sheet at Plant'!$C:$L,9,FALSE),""))</f>
        <v/>
      </c>
      <c r="J738" s="85" t="str">
        <f>IF(B738="","",IFERROR(VLOOKUP(B738,'Coil Sheet at Plant'!$C:$M,10,FALSE),""))</f>
        <v/>
      </c>
      <c r="K738" s="69" t="str">
        <f>IF(B738="","",SUMIF(B:B,B738,G:G))</f>
        <v/>
      </c>
      <c r="L738" s="70" t="str">
        <f>IF(B738="","",IFERROR(VLOOKUP(B738,'Coil Sheet at Plant'!$C:$I,7,FALSE),""))</f>
        <v/>
      </c>
      <c r="M738" s="71" t="str">
        <f>IF(OR(K738="",L738=""),"",IF(L738=0,"⚠ NO PARENT WIDTH",IF(K738&gt;L738,"⚠ BABY &gt; PARENT","✔ OK")))</f>
        <v/>
      </c>
      <c r="N738" s="71" t="str">
        <f>IF(D738="","",IF(COUNTIF(D$3:D738,D738)&gt;1,"⚠ DUPLICATE",""))</f>
        <v/>
      </c>
      <c r="O738" s="72" t="str">
        <f>IF(B738="","",SUMIF(B:B,B738,G:G)&amp;" / "&amp;IFERROR(VLOOKUP(B738,'Coil Sheet at Plant'!$C:$I,7,FALSE),"?")&amp;" mm")</f>
        <v/>
      </c>
    </row>
    <row r="739" spans="1:15">
      <c r="A739" s="36"/>
      <c r="B739" s="32"/>
      <c r="C739" s="39"/>
      <c r="D739" s="44" t="str">
        <f>IF(OR(B739="",C739=""),"",CONCATENATE(B739,"-",C739))</f>
        <v/>
      </c>
      <c r="E739" s="49" t="str">
        <f>IF(B739="","",IFERROR(VLOOKUP(B739,'Coil Sheet at Plant'!$C:$G,5,FALSE),"ID Not Found"))</f>
        <v/>
      </c>
      <c r="F739" s="50" t="str">
        <f>IF(B739="","",IFERROR(VLOOKUP(B739,'Coil Sheet at Plant'!$C:$H,6,FALSE),"ID Not Found"))</f>
        <v/>
      </c>
      <c r="G739" s="81">
        <v>886</v>
      </c>
      <c r="H739" s="89" t="str">
        <f>IF(OR(B739="",G739=""),"",IFERROR(VLOOKUP(B739,'Coil Sheet at Plant'!$C:$J,8,FALSE),0)*G739/SUMIF(B:B,B739,G:G))</f>
        <v/>
      </c>
      <c r="I739" s="56" t="str">
        <f>IF(B739="","",IFERROR(VLOOKUP(B739,'Coil Sheet at Plant'!$C:$L,9,FALSE),""))</f>
        <v/>
      </c>
      <c r="J739" s="85" t="str">
        <f>IF(B739="","",IFERROR(VLOOKUP(B739,'Coil Sheet at Plant'!$C:$M,10,FALSE),""))</f>
        <v/>
      </c>
      <c r="K739" s="69" t="str">
        <f>IF(B739="","",SUMIF(B:B,B739,G:G))</f>
        <v/>
      </c>
      <c r="L739" s="70" t="str">
        <f>IF(B739="","",IFERROR(VLOOKUP(B739,'Coil Sheet at Plant'!$C:$I,7,FALSE),""))</f>
        <v/>
      </c>
      <c r="M739" s="71" t="str">
        <f>IF(OR(K739="",L739=""),"",IF(L739=0,"⚠ NO PARENT WIDTH",IF(K739&gt;L739,"⚠ BABY &gt; PARENT","✔ OK")))</f>
        <v/>
      </c>
      <c r="N739" s="71" t="str">
        <f>IF(D739="","",IF(COUNTIF(D$3:D739,D739)&gt;1,"⚠ DUPLICATE",""))</f>
        <v/>
      </c>
      <c r="O739" s="72" t="str">
        <f>IF(B739="","",SUMIF(B:B,B739,G:G)&amp;" / "&amp;IFERROR(VLOOKUP(B739,'Coil Sheet at Plant'!$C:$I,7,FALSE),"?")&amp;" mm")</f>
        <v/>
      </c>
    </row>
    <row r="740" spans="1:15">
      <c r="A740" s="36"/>
      <c r="B740" s="32"/>
      <c r="C740" s="39"/>
      <c r="D740" s="44" t="str">
        <f>IF(OR(B740="",C740=""),"",CONCATENATE(B740,"-",C740))</f>
        <v/>
      </c>
      <c r="E740" s="49" t="str">
        <f>IF(B740="","",IFERROR(VLOOKUP(B740,'Coil Sheet at Plant'!$C:$G,5,FALSE),"ID Not Found"))</f>
        <v/>
      </c>
      <c r="F740" s="50" t="str">
        <f>IF(B740="","",IFERROR(VLOOKUP(B740,'Coil Sheet at Plant'!$C:$H,6,FALSE),"ID Not Found"))</f>
        <v/>
      </c>
      <c r="G740" s="81">
        <v>887</v>
      </c>
      <c r="H740" s="89" t="str">
        <f>IF(OR(B740="",G740=""),"",IFERROR(VLOOKUP(B740,'Coil Sheet at Plant'!$C:$J,8,FALSE),0)*G740/SUMIF(B:B,B740,G:G))</f>
        <v/>
      </c>
      <c r="I740" s="56" t="str">
        <f>IF(B740="","",IFERROR(VLOOKUP(B740,'Coil Sheet at Plant'!$C:$L,9,FALSE),""))</f>
        <v/>
      </c>
      <c r="J740" s="85" t="str">
        <f>IF(B740="","",IFERROR(VLOOKUP(B740,'Coil Sheet at Plant'!$C:$M,10,FALSE),""))</f>
        <v/>
      </c>
      <c r="K740" s="69" t="str">
        <f>IF(B740="","",SUMIF(B:B,B740,G:G))</f>
        <v/>
      </c>
      <c r="L740" s="70" t="str">
        <f>IF(B740="","",IFERROR(VLOOKUP(B740,'Coil Sheet at Plant'!$C:$I,7,FALSE),""))</f>
        <v/>
      </c>
      <c r="M740" s="71" t="str">
        <f>IF(OR(K740="",L740=""),"",IF(L740=0,"⚠ NO PARENT WIDTH",IF(K740&gt;L740,"⚠ BABY &gt; PARENT","✔ OK")))</f>
        <v/>
      </c>
      <c r="N740" s="71" t="str">
        <f>IF(D740="","",IF(COUNTIF(D$3:D740,D740)&gt;1,"⚠ DUPLICATE",""))</f>
        <v/>
      </c>
      <c r="O740" s="72" t="str">
        <f>IF(B740="","",SUMIF(B:B,B740,G:G)&amp;" / "&amp;IFERROR(VLOOKUP(B740,'Coil Sheet at Plant'!$C:$I,7,FALSE),"?")&amp;" mm")</f>
        <v/>
      </c>
    </row>
    <row r="741" spans="1:15">
      <c r="A741" s="36"/>
      <c r="B741" s="32"/>
      <c r="C741" s="39"/>
      <c r="D741" s="44" t="str">
        <f>IF(OR(B741="",C741=""),"",CONCATENATE(B741,"-",C741))</f>
        <v/>
      </c>
      <c r="E741" s="49" t="str">
        <f>IF(B741="","",IFERROR(VLOOKUP(B741,'Coil Sheet at Plant'!$C:$G,5,FALSE),"ID Not Found"))</f>
        <v/>
      </c>
      <c r="F741" s="50" t="str">
        <f>IF(B741="","",IFERROR(VLOOKUP(B741,'Coil Sheet at Plant'!$C:$H,6,FALSE),"ID Not Found"))</f>
        <v/>
      </c>
      <c r="G741" s="81">
        <v>888</v>
      </c>
      <c r="H741" s="89" t="str">
        <f>IF(OR(B741="",G741=""),"",IFERROR(VLOOKUP(B741,'Coil Sheet at Plant'!$C:$J,8,FALSE),0)*G741/SUMIF(B:B,B741,G:G))</f>
        <v/>
      </c>
      <c r="I741" s="56" t="str">
        <f>IF(B741="","",IFERROR(VLOOKUP(B741,'Coil Sheet at Plant'!$C:$L,9,FALSE),""))</f>
        <v/>
      </c>
      <c r="J741" s="85" t="str">
        <f>IF(B741="","",IFERROR(VLOOKUP(B741,'Coil Sheet at Plant'!$C:$M,10,FALSE),""))</f>
        <v/>
      </c>
      <c r="K741" s="69" t="str">
        <f>IF(B741="","",SUMIF(B:B,B741,G:G))</f>
        <v/>
      </c>
      <c r="L741" s="70" t="str">
        <f>IF(B741="","",IFERROR(VLOOKUP(B741,'Coil Sheet at Plant'!$C:$I,7,FALSE),""))</f>
        <v/>
      </c>
      <c r="M741" s="71" t="str">
        <f>IF(OR(K741="",L741=""),"",IF(L741=0,"⚠ NO PARENT WIDTH",IF(K741&gt;L741,"⚠ BABY &gt; PARENT","✔ OK")))</f>
        <v/>
      </c>
      <c r="N741" s="71" t="str">
        <f>IF(D741="","",IF(COUNTIF(D$3:D741,D741)&gt;1,"⚠ DUPLICATE",""))</f>
        <v/>
      </c>
      <c r="O741" s="72" t="str">
        <f>IF(B741="","",SUMIF(B:B,B741,G:G)&amp;" / "&amp;IFERROR(VLOOKUP(B741,'Coil Sheet at Plant'!$C:$I,7,FALSE),"?")&amp;" mm")</f>
        <v/>
      </c>
    </row>
    <row r="742" spans="1:15">
      <c r="A742" s="36"/>
      <c r="B742" s="32"/>
      <c r="C742" s="39"/>
      <c r="D742" s="44" t="str">
        <f>IF(OR(B742="",C742=""),"",CONCATENATE(B742,"-",C742))</f>
        <v/>
      </c>
      <c r="E742" s="49" t="str">
        <f>IF(B742="","",IFERROR(VLOOKUP(B742,'Coil Sheet at Plant'!$C:$G,5,FALSE),"ID Not Found"))</f>
        <v/>
      </c>
      <c r="F742" s="50" t="str">
        <f>IF(B742="","",IFERROR(VLOOKUP(B742,'Coil Sheet at Plant'!$C:$H,6,FALSE),"ID Not Found"))</f>
        <v/>
      </c>
      <c r="G742" s="81">
        <v>889</v>
      </c>
      <c r="H742" s="89" t="str">
        <f>IF(OR(B742="",G742=""),"",IFERROR(VLOOKUP(B742,'Coil Sheet at Plant'!$C:$J,8,FALSE),0)*G742/SUMIF(B:B,B742,G:G))</f>
        <v/>
      </c>
      <c r="I742" s="56" t="str">
        <f>IF(B742="","",IFERROR(VLOOKUP(B742,'Coil Sheet at Plant'!$C:$L,9,FALSE),""))</f>
        <v/>
      </c>
      <c r="J742" s="85" t="str">
        <f>IF(B742="","",IFERROR(VLOOKUP(B742,'Coil Sheet at Plant'!$C:$M,10,FALSE),""))</f>
        <v/>
      </c>
      <c r="K742" s="69" t="str">
        <f>IF(B742="","",SUMIF(B:B,B742,G:G))</f>
        <v/>
      </c>
      <c r="L742" s="70" t="str">
        <f>IF(B742="","",IFERROR(VLOOKUP(B742,'Coil Sheet at Plant'!$C:$I,7,FALSE),""))</f>
        <v/>
      </c>
      <c r="M742" s="71" t="str">
        <f>IF(OR(K742="",L742=""),"",IF(L742=0,"⚠ NO PARENT WIDTH",IF(K742&gt;L742,"⚠ BABY &gt; PARENT","✔ OK")))</f>
        <v/>
      </c>
      <c r="N742" s="71" t="str">
        <f>IF(D742="","",IF(COUNTIF(D$3:D742,D742)&gt;1,"⚠ DUPLICATE",""))</f>
        <v/>
      </c>
      <c r="O742" s="72" t="str">
        <f>IF(B742="","",SUMIF(B:B,B742,G:G)&amp;" / "&amp;IFERROR(VLOOKUP(B742,'Coil Sheet at Plant'!$C:$I,7,FALSE),"?")&amp;" mm")</f>
        <v/>
      </c>
    </row>
    <row r="743" spans="1:15">
      <c r="A743" s="36"/>
      <c r="B743" s="32"/>
      <c r="C743" s="39"/>
      <c r="D743" s="44" t="str">
        <f>IF(OR(B743="",C743=""),"",CONCATENATE(B743,"-",C743))</f>
        <v/>
      </c>
      <c r="E743" s="49" t="str">
        <f>IF(B743="","",IFERROR(VLOOKUP(B743,'Coil Sheet at Plant'!$C:$G,5,FALSE),"ID Not Found"))</f>
        <v/>
      </c>
      <c r="F743" s="50" t="str">
        <f>IF(B743="","",IFERROR(VLOOKUP(B743,'Coil Sheet at Plant'!$C:$H,6,FALSE),"ID Not Found"))</f>
        <v/>
      </c>
      <c r="G743" s="81">
        <v>890</v>
      </c>
      <c r="H743" s="89" t="str">
        <f>IF(OR(B743="",G743=""),"",IFERROR(VLOOKUP(B743,'Coil Sheet at Plant'!$C:$J,8,FALSE),0)*G743/SUMIF(B:B,B743,G:G))</f>
        <v/>
      </c>
      <c r="I743" s="56" t="str">
        <f>IF(B743="","",IFERROR(VLOOKUP(B743,'Coil Sheet at Plant'!$C:$L,9,FALSE),""))</f>
        <v/>
      </c>
      <c r="J743" s="85" t="str">
        <f>IF(B743="","",IFERROR(VLOOKUP(B743,'Coil Sheet at Plant'!$C:$M,10,FALSE),""))</f>
        <v/>
      </c>
      <c r="K743" s="69" t="str">
        <f>IF(B743="","",SUMIF(B:B,B743,G:G))</f>
        <v/>
      </c>
      <c r="L743" s="70" t="str">
        <f>IF(B743="","",IFERROR(VLOOKUP(B743,'Coil Sheet at Plant'!$C:$I,7,FALSE),""))</f>
        <v/>
      </c>
      <c r="M743" s="71" t="str">
        <f>IF(OR(K743="",L743=""),"",IF(L743=0,"⚠ NO PARENT WIDTH",IF(K743&gt;L743,"⚠ BABY &gt; PARENT","✔ OK")))</f>
        <v/>
      </c>
      <c r="N743" s="71" t="str">
        <f>IF(D743="","",IF(COUNTIF(D$3:D743,D743)&gt;1,"⚠ DUPLICATE",""))</f>
        <v/>
      </c>
      <c r="O743" s="72" t="str">
        <f>IF(B743="","",SUMIF(B:B,B743,G:G)&amp;" / "&amp;IFERROR(VLOOKUP(B743,'Coil Sheet at Plant'!$C:$I,7,FALSE),"?")&amp;" mm")</f>
        <v/>
      </c>
    </row>
    <row r="744" spans="1:15">
      <c r="A744" s="36"/>
      <c r="B744" s="32"/>
      <c r="C744" s="39"/>
      <c r="D744" s="44" t="str">
        <f>IF(OR(B744="",C744=""),"",CONCATENATE(B744,"-",C744))</f>
        <v/>
      </c>
      <c r="E744" s="49" t="str">
        <f>IF(B744="","",IFERROR(VLOOKUP(B744,'Coil Sheet at Plant'!$C:$G,5,FALSE),"ID Not Found"))</f>
        <v/>
      </c>
      <c r="F744" s="50" t="str">
        <f>IF(B744="","",IFERROR(VLOOKUP(B744,'Coil Sheet at Plant'!$C:$H,6,FALSE),"ID Not Found"))</f>
        <v/>
      </c>
      <c r="G744" s="81">
        <v>891</v>
      </c>
      <c r="H744" s="89" t="str">
        <f>IF(OR(B744="",G744=""),"",IFERROR(VLOOKUP(B744,'Coil Sheet at Plant'!$C:$J,8,FALSE),0)*G744/SUMIF(B:B,B744,G:G))</f>
        <v/>
      </c>
      <c r="I744" s="56" t="str">
        <f>IF(B744="","",IFERROR(VLOOKUP(B744,'Coil Sheet at Plant'!$C:$L,9,FALSE),""))</f>
        <v/>
      </c>
      <c r="J744" s="85" t="str">
        <f>IF(B744="","",IFERROR(VLOOKUP(B744,'Coil Sheet at Plant'!$C:$M,10,FALSE),""))</f>
        <v/>
      </c>
      <c r="K744" s="69" t="str">
        <f>IF(B744="","",SUMIF(B:B,B744,G:G))</f>
        <v/>
      </c>
      <c r="L744" s="70" t="str">
        <f>IF(B744="","",IFERROR(VLOOKUP(B744,'Coil Sheet at Plant'!$C:$I,7,FALSE),""))</f>
        <v/>
      </c>
      <c r="M744" s="71" t="str">
        <f>IF(OR(K744="",L744=""),"",IF(L744=0,"⚠ NO PARENT WIDTH",IF(K744&gt;L744,"⚠ BABY &gt; PARENT","✔ OK")))</f>
        <v/>
      </c>
      <c r="N744" s="71" t="str">
        <f>IF(D744="","",IF(COUNTIF(D$3:D744,D744)&gt;1,"⚠ DUPLICATE",""))</f>
        <v/>
      </c>
      <c r="O744" s="72" t="str">
        <f>IF(B744="","",SUMIF(B:B,B744,G:G)&amp;" / "&amp;IFERROR(VLOOKUP(B744,'Coil Sheet at Plant'!$C:$I,7,FALSE),"?")&amp;" mm")</f>
        <v/>
      </c>
    </row>
    <row r="745" spans="1:15">
      <c r="A745" s="36"/>
      <c r="B745" s="32"/>
      <c r="C745" s="39"/>
      <c r="D745" s="44" t="str">
        <f>IF(OR(B745="",C745=""),"",CONCATENATE(B745,"-",C745))</f>
        <v/>
      </c>
      <c r="E745" s="49" t="str">
        <f>IF(B745="","",IFERROR(VLOOKUP(B745,'Coil Sheet at Plant'!$C:$G,5,FALSE),"ID Not Found"))</f>
        <v/>
      </c>
      <c r="F745" s="50" t="str">
        <f>IF(B745="","",IFERROR(VLOOKUP(B745,'Coil Sheet at Plant'!$C:$H,6,FALSE),"ID Not Found"))</f>
        <v/>
      </c>
      <c r="G745" s="81">
        <v>892</v>
      </c>
      <c r="H745" s="89" t="str">
        <f>IF(OR(B745="",G745=""),"",IFERROR(VLOOKUP(B745,'Coil Sheet at Plant'!$C:$J,8,FALSE),0)*G745/SUMIF(B:B,B745,G:G))</f>
        <v/>
      </c>
      <c r="I745" s="56" t="str">
        <f>IF(B745="","",IFERROR(VLOOKUP(B745,'Coil Sheet at Plant'!$C:$L,9,FALSE),""))</f>
        <v/>
      </c>
      <c r="J745" s="85" t="str">
        <f>IF(B745="","",IFERROR(VLOOKUP(B745,'Coil Sheet at Plant'!$C:$M,10,FALSE),""))</f>
        <v/>
      </c>
      <c r="K745" s="69" t="str">
        <f>IF(B745="","",SUMIF(B:B,B745,G:G))</f>
        <v/>
      </c>
      <c r="L745" s="70" t="str">
        <f>IF(B745="","",IFERROR(VLOOKUP(B745,'Coil Sheet at Plant'!$C:$I,7,FALSE),""))</f>
        <v/>
      </c>
      <c r="M745" s="71" t="str">
        <f>IF(OR(K745="",L745=""),"",IF(L745=0,"⚠ NO PARENT WIDTH",IF(K745&gt;L745,"⚠ BABY &gt; PARENT","✔ OK")))</f>
        <v/>
      </c>
      <c r="N745" s="71" t="str">
        <f>IF(D745="","",IF(COUNTIF(D$3:D745,D745)&gt;1,"⚠ DUPLICATE",""))</f>
        <v/>
      </c>
      <c r="O745" s="72" t="str">
        <f>IF(B745="","",SUMIF(B:B,B745,G:G)&amp;" / "&amp;IFERROR(VLOOKUP(B745,'Coil Sheet at Plant'!$C:$I,7,FALSE),"?")&amp;" mm")</f>
        <v/>
      </c>
    </row>
    <row r="746" spans="1:15">
      <c r="A746" s="36"/>
      <c r="B746" s="32"/>
      <c r="C746" s="39"/>
      <c r="D746" s="44" t="str">
        <f>IF(OR(B746="",C746=""),"",CONCATENATE(B746,"-",C746))</f>
        <v/>
      </c>
      <c r="E746" s="49" t="str">
        <f>IF(B746="","",IFERROR(VLOOKUP(B746,'Coil Sheet at Plant'!$C:$G,5,FALSE),"ID Not Found"))</f>
        <v/>
      </c>
      <c r="F746" s="50" t="str">
        <f>IF(B746="","",IFERROR(VLOOKUP(B746,'Coil Sheet at Plant'!$C:$H,6,FALSE),"ID Not Found"))</f>
        <v/>
      </c>
      <c r="G746" s="81">
        <v>893</v>
      </c>
      <c r="H746" s="89" t="str">
        <f>IF(OR(B746="",G746=""),"",IFERROR(VLOOKUP(B746,'Coil Sheet at Plant'!$C:$J,8,FALSE),0)*G746/SUMIF(B:B,B746,G:G))</f>
        <v/>
      </c>
      <c r="I746" s="56" t="str">
        <f>IF(B746="","",IFERROR(VLOOKUP(B746,'Coil Sheet at Plant'!$C:$L,9,FALSE),""))</f>
        <v/>
      </c>
      <c r="J746" s="85" t="str">
        <f>IF(B746="","",IFERROR(VLOOKUP(B746,'Coil Sheet at Plant'!$C:$M,10,FALSE),""))</f>
        <v/>
      </c>
      <c r="K746" s="69" t="str">
        <f>IF(B746="","",SUMIF(B:B,B746,G:G))</f>
        <v/>
      </c>
      <c r="L746" s="70" t="str">
        <f>IF(B746="","",IFERROR(VLOOKUP(B746,'Coil Sheet at Plant'!$C:$I,7,FALSE),""))</f>
        <v/>
      </c>
      <c r="M746" s="71" t="str">
        <f>IF(OR(K746="",L746=""),"",IF(L746=0,"⚠ NO PARENT WIDTH",IF(K746&gt;L746,"⚠ BABY &gt; PARENT","✔ OK")))</f>
        <v/>
      </c>
      <c r="N746" s="71" t="str">
        <f>IF(D746="","",IF(COUNTIF(D$3:D746,D746)&gt;1,"⚠ DUPLICATE",""))</f>
        <v/>
      </c>
      <c r="O746" s="72" t="str">
        <f>IF(B746="","",SUMIF(B:B,B746,G:G)&amp;" / "&amp;IFERROR(VLOOKUP(B746,'Coil Sheet at Plant'!$C:$I,7,FALSE),"?")&amp;" mm")</f>
        <v/>
      </c>
    </row>
    <row r="747" spans="1:15">
      <c r="A747" s="36"/>
      <c r="B747" s="32"/>
      <c r="C747" s="39"/>
      <c r="D747" s="44" t="str">
        <f>IF(OR(B747="",C747=""),"",CONCATENATE(B747,"-",C747))</f>
        <v/>
      </c>
      <c r="E747" s="49" t="str">
        <f>IF(B747="","",IFERROR(VLOOKUP(B747,'Coil Sheet at Plant'!$C:$G,5,FALSE),"ID Not Found"))</f>
        <v/>
      </c>
      <c r="F747" s="50" t="str">
        <f>IF(B747="","",IFERROR(VLOOKUP(B747,'Coil Sheet at Plant'!$C:$H,6,FALSE),"ID Not Found"))</f>
        <v/>
      </c>
      <c r="G747" s="81">
        <v>894</v>
      </c>
      <c r="H747" s="89" t="str">
        <f>IF(OR(B747="",G747=""),"",IFERROR(VLOOKUP(B747,'Coil Sheet at Plant'!$C:$J,8,FALSE),0)*G747/SUMIF(B:B,B747,G:G))</f>
        <v/>
      </c>
      <c r="I747" s="56" t="str">
        <f>IF(B747="","",IFERROR(VLOOKUP(B747,'Coil Sheet at Plant'!$C:$L,9,FALSE),""))</f>
        <v/>
      </c>
      <c r="J747" s="85" t="str">
        <f>IF(B747="","",IFERROR(VLOOKUP(B747,'Coil Sheet at Plant'!$C:$M,10,FALSE),""))</f>
        <v/>
      </c>
      <c r="K747" s="69" t="str">
        <f>IF(B747="","",SUMIF(B:B,B747,G:G))</f>
        <v/>
      </c>
      <c r="L747" s="70" t="str">
        <f>IF(B747="","",IFERROR(VLOOKUP(B747,'Coil Sheet at Plant'!$C:$I,7,FALSE),""))</f>
        <v/>
      </c>
      <c r="M747" s="71" t="str">
        <f>IF(OR(K747="",L747=""),"",IF(L747=0,"⚠ NO PARENT WIDTH",IF(K747&gt;L747,"⚠ BABY &gt; PARENT","✔ OK")))</f>
        <v/>
      </c>
      <c r="N747" s="71" t="str">
        <f>IF(D747="","",IF(COUNTIF(D$3:D747,D747)&gt;1,"⚠ DUPLICATE",""))</f>
        <v/>
      </c>
      <c r="O747" s="72" t="str">
        <f>IF(B747="","",SUMIF(B:B,B747,G:G)&amp;" / "&amp;IFERROR(VLOOKUP(B747,'Coil Sheet at Plant'!$C:$I,7,FALSE),"?")&amp;" mm")</f>
        <v/>
      </c>
    </row>
    <row r="748" spans="1:15">
      <c r="A748" s="36"/>
      <c r="B748" s="32"/>
      <c r="C748" s="39"/>
      <c r="D748" s="44" t="str">
        <f>IF(OR(B748="",C748=""),"",CONCATENATE(B748,"-",C748))</f>
        <v/>
      </c>
      <c r="E748" s="49" t="str">
        <f>IF(B748="","",IFERROR(VLOOKUP(B748,'Coil Sheet at Plant'!$C:$G,5,FALSE),"ID Not Found"))</f>
        <v/>
      </c>
      <c r="F748" s="50" t="str">
        <f>IF(B748="","",IFERROR(VLOOKUP(B748,'Coil Sheet at Plant'!$C:$H,6,FALSE),"ID Not Found"))</f>
        <v/>
      </c>
      <c r="G748" s="81">
        <v>895</v>
      </c>
      <c r="H748" s="89" t="str">
        <f>IF(OR(B748="",G748=""),"",IFERROR(VLOOKUP(B748,'Coil Sheet at Plant'!$C:$J,8,FALSE),0)*G748/SUMIF(B:B,B748,G:G))</f>
        <v/>
      </c>
      <c r="I748" s="56" t="str">
        <f>IF(B748="","",IFERROR(VLOOKUP(B748,'Coil Sheet at Plant'!$C:$L,9,FALSE),""))</f>
        <v/>
      </c>
      <c r="J748" s="85" t="str">
        <f>IF(B748="","",IFERROR(VLOOKUP(B748,'Coil Sheet at Plant'!$C:$M,10,FALSE),""))</f>
        <v/>
      </c>
      <c r="K748" s="69" t="str">
        <f>IF(B748="","",SUMIF(B:B,B748,G:G))</f>
        <v/>
      </c>
      <c r="L748" s="70" t="str">
        <f>IF(B748="","",IFERROR(VLOOKUP(B748,'Coil Sheet at Plant'!$C:$I,7,FALSE),""))</f>
        <v/>
      </c>
      <c r="M748" s="71" t="str">
        <f>IF(OR(K748="",L748=""),"",IF(L748=0,"⚠ NO PARENT WIDTH",IF(K748&gt;L748,"⚠ BABY &gt; PARENT","✔ OK")))</f>
        <v/>
      </c>
      <c r="N748" s="71" t="str">
        <f>IF(D748="","",IF(COUNTIF(D$3:D748,D748)&gt;1,"⚠ DUPLICATE",""))</f>
        <v/>
      </c>
      <c r="O748" s="72" t="str">
        <f>IF(B748="","",SUMIF(B:B,B748,G:G)&amp;" / "&amp;IFERROR(VLOOKUP(B748,'Coil Sheet at Plant'!$C:$I,7,FALSE),"?")&amp;" mm")</f>
        <v/>
      </c>
    </row>
    <row r="749" spans="1:15">
      <c r="A749" s="36"/>
      <c r="B749" s="32"/>
      <c r="C749" s="39"/>
      <c r="D749" s="44" t="str">
        <f>IF(OR(B749="",C749=""),"",CONCATENATE(B749,"-",C749))</f>
        <v/>
      </c>
      <c r="E749" s="49" t="str">
        <f>IF(B749="","",IFERROR(VLOOKUP(B749,'Coil Sheet at Plant'!$C:$G,5,FALSE),"ID Not Found"))</f>
        <v/>
      </c>
      <c r="F749" s="50" t="str">
        <f>IF(B749="","",IFERROR(VLOOKUP(B749,'Coil Sheet at Plant'!$C:$H,6,FALSE),"ID Not Found"))</f>
        <v/>
      </c>
      <c r="G749" s="81">
        <v>896</v>
      </c>
      <c r="H749" s="89" t="str">
        <f>IF(OR(B749="",G749=""),"",IFERROR(VLOOKUP(B749,'Coil Sheet at Plant'!$C:$J,8,FALSE),0)*G749/SUMIF(B:B,B749,G:G))</f>
        <v/>
      </c>
      <c r="I749" s="56" t="str">
        <f>IF(B749="","",IFERROR(VLOOKUP(B749,'Coil Sheet at Plant'!$C:$L,9,FALSE),""))</f>
        <v/>
      </c>
      <c r="J749" s="85" t="str">
        <f>IF(B749="","",IFERROR(VLOOKUP(B749,'Coil Sheet at Plant'!$C:$M,10,FALSE),""))</f>
        <v/>
      </c>
      <c r="K749" s="69" t="str">
        <f>IF(B749="","",SUMIF(B:B,B749,G:G))</f>
        <v/>
      </c>
      <c r="L749" s="70" t="str">
        <f>IF(B749="","",IFERROR(VLOOKUP(B749,'Coil Sheet at Plant'!$C:$I,7,FALSE),""))</f>
        <v/>
      </c>
      <c r="M749" s="71" t="str">
        <f>IF(OR(K749="",L749=""),"",IF(L749=0,"⚠ NO PARENT WIDTH",IF(K749&gt;L749,"⚠ BABY &gt; PARENT","✔ OK")))</f>
        <v/>
      </c>
      <c r="N749" s="71" t="str">
        <f>IF(D749="","",IF(COUNTIF(D$3:D749,D749)&gt;1,"⚠ DUPLICATE",""))</f>
        <v/>
      </c>
      <c r="O749" s="72" t="str">
        <f>IF(B749="","",SUMIF(B:B,B749,G:G)&amp;" / "&amp;IFERROR(VLOOKUP(B749,'Coil Sheet at Plant'!$C:$I,7,FALSE),"?")&amp;" mm")</f>
        <v/>
      </c>
    </row>
    <row r="750" spans="1:15">
      <c r="A750" s="36"/>
      <c r="B750" s="32"/>
      <c r="C750" s="39"/>
      <c r="D750" s="44" t="str">
        <f>IF(OR(B750="",C750=""),"",CONCATENATE(B750,"-",C750))</f>
        <v/>
      </c>
      <c r="E750" s="49" t="str">
        <f>IF(B750="","",IFERROR(VLOOKUP(B750,'Coil Sheet at Plant'!$C:$G,5,FALSE),"ID Not Found"))</f>
        <v/>
      </c>
      <c r="F750" s="50" t="str">
        <f>IF(B750="","",IFERROR(VLOOKUP(B750,'Coil Sheet at Plant'!$C:$H,6,FALSE),"ID Not Found"))</f>
        <v/>
      </c>
      <c r="G750" s="81">
        <v>897</v>
      </c>
      <c r="H750" s="89" t="str">
        <f>IF(OR(B750="",G750=""),"",IFERROR(VLOOKUP(B750,'Coil Sheet at Plant'!$C:$J,8,FALSE),0)*G750/SUMIF(B:B,B750,G:G))</f>
        <v/>
      </c>
      <c r="I750" s="56" t="str">
        <f>IF(B750="","",IFERROR(VLOOKUP(B750,'Coil Sheet at Plant'!$C:$L,9,FALSE),""))</f>
        <v/>
      </c>
      <c r="J750" s="85" t="str">
        <f>IF(B750="","",IFERROR(VLOOKUP(B750,'Coil Sheet at Plant'!$C:$M,10,FALSE),""))</f>
        <v/>
      </c>
      <c r="K750" s="69" t="str">
        <f>IF(B750="","",SUMIF(B:B,B750,G:G))</f>
        <v/>
      </c>
      <c r="L750" s="70" t="str">
        <f>IF(B750="","",IFERROR(VLOOKUP(B750,'Coil Sheet at Plant'!$C:$I,7,FALSE),""))</f>
        <v/>
      </c>
      <c r="M750" s="71" t="str">
        <f>IF(OR(K750="",L750=""),"",IF(L750=0,"⚠ NO PARENT WIDTH",IF(K750&gt;L750,"⚠ BABY &gt; PARENT","✔ OK")))</f>
        <v/>
      </c>
      <c r="N750" s="71" t="str">
        <f>IF(D750="","",IF(COUNTIF(D$3:D750,D750)&gt;1,"⚠ DUPLICATE",""))</f>
        <v/>
      </c>
      <c r="O750" s="72" t="str">
        <f>IF(B750="","",SUMIF(B:B,B750,G:G)&amp;" / "&amp;IFERROR(VLOOKUP(B750,'Coil Sheet at Plant'!$C:$I,7,FALSE),"?")&amp;" mm")</f>
        <v/>
      </c>
    </row>
    <row r="751" spans="1:15">
      <c r="A751" s="36"/>
      <c r="B751" s="32"/>
      <c r="C751" s="39"/>
      <c r="D751" s="44" t="str">
        <f>IF(OR(B751="",C751=""),"",CONCATENATE(B751,"-",C751))</f>
        <v/>
      </c>
      <c r="E751" s="49" t="str">
        <f>IF(B751="","",IFERROR(VLOOKUP(B751,'Coil Sheet at Plant'!$C:$G,5,FALSE),"ID Not Found"))</f>
        <v/>
      </c>
      <c r="F751" s="50" t="str">
        <f>IF(B751="","",IFERROR(VLOOKUP(B751,'Coil Sheet at Plant'!$C:$H,6,FALSE),"ID Not Found"))</f>
        <v/>
      </c>
      <c r="G751" s="81">
        <v>898</v>
      </c>
      <c r="H751" s="89" t="str">
        <f>IF(OR(B751="",G751=""),"",IFERROR(VLOOKUP(B751,'Coil Sheet at Plant'!$C:$J,8,FALSE),0)*G751/SUMIF(B:B,B751,G:G))</f>
        <v/>
      </c>
      <c r="I751" s="56" t="str">
        <f>IF(B751="","",IFERROR(VLOOKUP(B751,'Coil Sheet at Plant'!$C:$L,9,FALSE),""))</f>
        <v/>
      </c>
      <c r="J751" s="85" t="str">
        <f>IF(B751="","",IFERROR(VLOOKUP(B751,'Coil Sheet at Plant'!$C:$M,10,FALSE),""))</f>
        <v/>
      </c>
      <c r="K751" s="69" t="str">
        <f>IF(B751="","",SUMIF(B:B,B751,G:G))</f>
        <v/>
      </c>
      <c r="L751" s="70" t="str">
        <f>IF(B751="","",IFERROR(VLOOKUP(B751,'Coil Sheet at Plant'!$C:$I,7,FALSE),""))</f>
        <v/>
      </c>
      <c r="M751" s="71" t="str">
        <f>IF(OR(K751="",L751=""),"",IF(L751=0,"⚠ NO PARENT WIDTH",IF(K751&gt;L751,"⚠ BABY &gt; PARENT","✔ OK")))</f>
        <v/>
      </c>
      <c r="N751" s="71" t="str">
        <f>IF(D751="","",IF(COUNTIF(D$3:D751,D751)&gt;1,"⚠ DUPLICATE",""))</f>
        <v/>
      </c>
      <c r="O751" s="72" t="str">
        <f>IF(B751="","",SUMIF(B:B,B751,G:G)&amp;" / "&amp;IFERROR(VLOOKUP(B751,'Coil Sheet at Plant'!$C:$I,7,FALSE),"?")&amp;" mm")</f>
        <v/>
      </c>
    </row>
    <row r="752" spans="1:15">
      <c r="A752" s="36"/>
      <c r="B752" s="32"/>
      <c r="C752" s="39"/>
      <c r="D752" s="44" t="str">
        <f>IF(OR(B752="",C752=""),"",CONCATENATE(B752,"-",C752))</f>
        <v/>
      </c>
      <c r="E752" s="49" t="str">
        <f>IF(B752="","",IFERROR(VLOOKUP(B752,'Coil Sheet at Plant'!$C:$G,5,FALSE),"ID Not Found"))</f>
        <v/>
      </c>
      <c r="F752" s="50" t="str">
        <f>IF(B752="","",IFERROR(VLOOKUP(B752,'Coil Sheet at Plant'!$C:$H,6,FALSE),"ID Not Found"))</f>
        <v/>
      </c>
      <c r="G752" s="81">
        <v>899</v>
      </c>
      <c r="H752" s="89" t="str">
        <f>IF(OR(B752="",G752=""),"",IFERROR(VLOOKUP(B752,'Coil Sheet at Plant'!$C:$J,8,FALSE),0)*G752/SUMIF(B:B,B752,G:G))</f>
        <v/>
      </c>
      <c r="I752" s="56" t="str">
        <f>IF(B752="","",IFERROR(VLOOKUP(B752,'Coil Sheet at Plant'!$C:$L,9,FALSE),""))</f>
        <v/>
      </c>
      <c r="J752" s="85" t="str">
        <f>IF(B752="","",IFERROR(VLOOKUP(B752,'Coil Sheet at Plant'!$C:$M,10,FALSE),""))</f>
        <v/>
      </c>
      <c r="K752" s="69" t="str">
        <f>IF(B752="","",SUMIF(B:B,B752,G:G))</f>
        <v/>
      </c>
      <c r="L752" s="70" t="str">
        <f>IF(B752="","",IFERROR(VLOOKUP(B752,'Coil Sheet at Plant'!$C:$I,7,FALSE),""))</f>
        <v/>
      </c>
      <c r="M752" s="71" t="str">
        <f>IF(OR(K752="",L752=""),"",IF(L752=0,"⚠ NO PARENT WIDTH",IF(K752&gt;L752,"⚠ BABY &gt; PARENT","✔ OK")))</f>
        <v/>
      </c>
      <c r="N752" s="71" t="str">
        <f>IF(D752="","",IF(COUNTIF(D$3:D752,D752)&gt;1,"⚠ DUPLICATE",""))</f>
        <v/>
      </c>
      <c r="O752" s="72" t="str">
        <f>IF(B752="","",SUMIF(B:B,B752,G:G)&amp;" / "&amp;IFERROR(VLOOKUP(B752,'Coil Sheet at Plant'!$C:$I,7,FALSE),"?")&amp;" mm")</f>
        <v/>
      </c>
    </row>
    <row r="753" spans="1:15">
      <c r="A753" s="36"/>
      <c r="B753" s="32"/>
      <c r="C753" s="39"/>
      <c r="D753" s="44" t="str">
        <f>IF(OR(B753="",C753=""),"",CONCATENATE(B753,"-",C753))</f>
        <v/>
      </c>
      <c r="E753" s="49" t="str">
        <f>IF(B753="","",IFERROR(VLOOKUP(B753,'Coil Sheet at Plant'!$C:$G,5,FALSE),"ID Not Found"))</f>
        <v/>
      </c>
      <c r="F753" s="50" t="str">
        <f>IF(B753="","",IFERROR(VLOOKUP(B753,'Coil Sheet at Plant'!$C:$H,6,FALSE),"ID Not Found"))</f>
        <v/>
      </c>
      <c r="G753" s="81">
        <v>900</v>
      </c>
      <c r="H753" s="89" t="str">
        <f>IF(OR(B753="",G753=""),"",IFERROR(VLOOKUP(B753,'Coil Sheet at Plant'!$C:$J,8,FALSE),0)*G753/SUMIF(B:B,B753,G:G))</f>
        <v/>
      </c>
      <c r="I753" s="56" t="str">
        <f>IF(B753="","",IFERROR(VLOOKUP(B753,'Coil Sheet at Plant'!$C:$L,9,FALSE),""))</f>
        <v/>
      </c>
      <c r="J753" s="85" t="str">
        <f>IF(B753="","",IFERROR(VLOOKUP(B753,'Coil Sheet at Plant'!$C:$M,10,FALSE),""))</f>
        <v/>
      </c>
      <c r="K753" s="69" t="str">
        <f>IF(B753="","",SUMIF(B:B,B753,G:G))</f>
        <v/>
      </c>
      <c r="L753" s="70" t="str">
        <f>IF(B753="","",IFERROR(VLOOKUP(B753,'Coil Sheet at Plant'!$C:$I,7,FALSE),""))</f>
        <v/>
      </c>
      <c r="M753" s="71" t="str">
        <f>IF(OR(K753="",L753=""),"",IF(L753=0,"⚠ NO PARENT WIDTH",IF(K753&gt;L753,"⚠ BABY &gt; PARENT","✔ OK")))</f>
        <v/>
      </c>
      <c r="N753" s="71" t="str">
        <f>IF(D753="","",IF(COUNTIF(D$3:D753,D753)&gt;1,"⚠ DUPLICATE",""))</f>
        <v/>
      </c>
      <c r="O753" s="72" t="str">
        <f>IF(B753="","",SUMIF(B:B,B753,G:G)&amp;" / "&amp;IFERROR(VLOOKUP(B753,'Coil Sheet at Plant'!$C:$I,7,FALSE),"?")&amp;" mm")</f>
        <v/>
      </c>
    </row>
    <row r="754" spans="1:15">
      <c r="A754" s="36"/>
      <c r="B754" s="32"/>
      <c r="C754" s="39"/>
      <c r="D754" s="44" t="str">
        <f>IF(OR(B754="",C754=""),"",CONCATENATE(B754,"-",C754))</f>
        <v/>
      </c>
      <c r="E754" s="49" t="str">
        <f>IF(B754="","",IFERROR(VLOOKUP(B754,'Coil Sheet at Plant'!$C:$G,5,FALSE),"ID Not Found"))</f>
        <v/>
      </c>
      <c r="F754" s="50" t="str">
        <f>IF(B754="","",IFERROR(VLOOKUP(B754,'Coil Sheet at Plant'!$C:$H,6,FALSE),"ID Not Found"))</f>
        <v/>
      </c>
      <c r="G754" s="81">
        <v>901</v>
      </c>
      <c r="H754" s="89" t="str">
        <f>IF(OR(B754="",G754=""),"",IFERROR(VLOOKUP(B754,'Coil Sheet at Plant'!$C:$J,8,FALSE),0)*G754/SUMIF(B:B,B754,G:G))</f>
        <v/>
      </c>
      <c r="I754" s="56" t="str">
        <f>IF(B754="","",IFERROR(VLOOKUP(B754,'Coil Sheet at Plant'!$C:$L,9,FALSE),""))</f>
        <v/>
      </c>
      <c r="J754" s="85" t="str">
        <f>IF(B754="","",IFERROR(VLOOKUP(B754,'Coil Sheet at Plant'!$C:$M,10,FALSE),""))</f>
        <v/>
      </c>
      <c r="K754" s="69" t="str">
        <f>IF(B754="","",SUMIF(B:B,B754,G:G))</f>
        <v/>
      </c>
      <c r="L754" s="70" t="str">
        <f>IF(B754="","",IFERROR(VLOOKUP(B754,'Coil Sheet at Plant'!$C:$I,7,FALSE),""))</f>
        <v/>
      </c>
      <c r="M754" s="71" t="str">
        <f>IF(OR(K754="",L754=""),"",IF(L754=0,"⚠ NO PARENT WIDTH",IF(K754&gt;L754,"⚠ BABY &gt; PARENT","✔ OK")))</f>
        <v/>
      </c>
      <c r="N754" s="71" t="str">
        <f>IF(D754="","",IF(COUNTIF(D$3:D754,D754)&gt;1,"⚠ DUPLICATE",""))</f>
        <v/>
      </c>
      <c r="O754" s="72" t="str">
        <f>IF(B754="","",SUMIF(B:B,B754,G:G)&amp;" / "&amp;IFERROR(VLOOKUP(B754,'Coil Sheet at Plant'!$C:$I,7,FALSE),"?")&amp;" mm")</f>
        <v/>
      </c>
    </row>
    <row r="755" spans="1:15">
      <c r="A755" s="36"/>
      <c r="B755" s="32"/>
      <c r="C755" s="39"/>
      <c r="D755" s="44" t="str">
        <f>IF(OR(B755="",C755=""),"",CONCATENATE(B755,"-",C755))</f>
        <v/>
      </c>
      <c r="E755" s="49" t="str">
        <f>IF(B755="","",IFERROR(VLOOKUP(B755,'Coil Sheet at Plant'!$C:$G,5,FALSE),"ID Not Found"))</f>
        <v/>
      </c>
      <c r="F755" s="50" t="str">
        <f>IF(B755="","",IFERROR(VLOOKUP(B755,'Coil Sheet at Plant'!$C:$H,6,FALSE),"ID Not Found"))</f>
        <v/>
      </c>
      <c r="G755" s="81">
        <v>902</v>
      </c>
      <c r="H755" s="89" t="str">
        <f>IF(OR(B755="",G755=""),"",IFERROR(VLOOKUP(B755,'Coil Sheet at Plant'!$C:$J,8,FALSE),0)*G755/SUMIF(B:B,B755,G:G))</f>
        <v/>
      </c>
      <c r="I755" s="56" t="str">
        <f>IF(B755="","",IFERROR(VLOOKUP(B755,'Coil Sheet at Plant'!$C:$L,9,FALSE),""))</f>
        <v/>
      </c>
      <c r="J755" s="85" t="str">
        <f>IF(B755="","",IFERROR(VLOOKUP(B755,'Coil Sheet at Plant'!$C:$M,10,FALSE),""))</f>
        <v/>
      </c>
      <c r="K755" s="69" t="str">
        <f>IF(B755="","",SUMIF(B:B,B755,G:G))</f>
        <v/>
      </c>
      <c r="L755" s="70" t="str">
        <f>IF(B755="","",IFERROR(VLOOKUP(B755,'Coil Sheet at Plant'!$C:$I,7,FALSE),""))</f>
        <v/>
      </c>
      <c r="M755" s="71" t="str">
        <f>IF(OR(K755="",L755=""),"",IF(L755=0,"⚠ NO PARENT WIDTH",IF(K755&gt;L755,"⚠ BABY &gt; PARENT","✔ OK")))</f>
        <v/>
      </c>
      <c r="N755" s="71" t="str">
        <f>IF(D755="","",IF(COUNTIF(D$3:D755,D755)&gt;1,"⚠ DUPLICATE",""))</f>
        <v/>
      </c>
      <c r="O755" s="72" t="str">
        <f>IF(B755="","",SUMIF(B:B,B755,G:G)&amp;" / "&amp;IFERROR(VLOOKUP(B755,'Coil Sheet at Plant'!$C:$I,7,FALSE),"?")&amp;" mm")</f>
        <v/>
      </c>
    </row>
    <row r="756" spans="1:15">
      <c r="A756" s="36"/>
      <c r="B756" s="32"/>
      <c r="C756" s="39"/>
      <c r="D756" s="44" t="str">
        <f>IF(OR(B756="",C756=""),"",CONCATENATE(B756,"-",C756))</f>
        <v/>
      </c>
      <c r="E756" s="49" t="str">
        <f>IF(B756="","",IFERROR(VLOOKUP(B756,'Coil Sheet at Plant'!$C:$G,5,FALSE),"ID Not Found"))</f>
        <v/>
      </c>
      <c r="F756" s="50" t="str">
        <f>IF(B756="","",IFERROR(VLOOKUP(B756,'Coil Sheet at Plant'!$C:$H,6,FALSE),"ID Not Found"))</f>
        <v/>
      </c>
      <c r="G756" s="81">
        <v>903</v>
      </c>
      <c r="H756" s="89" t="str">
        <f>IF(OR(B756="",G756=""),"",IFERROR(VLOOKUP(B756,'Coil Sheet at Plant'!$C:$J,8,FALSE),0)*G756/SUMIF(B:B,B756,G:G))</f>
        <v/>
      </c>
      <c r="I756" s="56" t="str">
        <f>IF(B756="","",IFERROR(VLOOKUP(B756,'Coil Sheet at Plant'!$C:$L,9,FALSE),""))</f>
        <v/>
      </c>
      <c r="J756" s="85" t="str">
        <f>IF(B756="","",IFERROR(VLOOKUP(B756,'Coil Sheet at Plant'!$C:$M,10,FALSE),""))</f>
        <v/>
      </c>
      <c r="K756" s="69" t="str">
        <f>IF(B756="","",SUMIF(B:B,B756,G:G))</f>
        <v/>
      </c>
      <c r="L756" s="70" t="str">
        <f>IF(B756="","",IFERROR(VLOOKUP(B756,'Coil Sheet at Plant'!$C:$I,7,FALSE),""))</f>
        <v/>
      </c>
      <c r="M756" s="71" t="str">
        <f>IF(OR(K756="",L756=""),"",IF(L756=0,"⚠ NO PARENT WIDTH",IF(K756&gt;L756,"⚠ BABY &gt; PARENT","✔ OK")))</f>
        <v/>
      </c>
      <c r="N756" s="71" t="str">
        <f>IF(D756="","",IF(COUNTIF(D$3:D756,D756)&gt;1,"⚠ DUPLICATE",""))</f>
        <v/>
      </c>
      <c r="O756" s="72" t="str">
        <f>IF(B756="","",SUMIF(B:B,B756,G:G)&amp;" / "&amp;IFERROR(VLOOKUP(B756,'Coil Sheet at Plant'!$C:$I,7,FALSE),"?")&amp;" mm")</f>
        <v/>
      </c>
    </row>
    <row r="757" spans="1:15">
      <c r="A757" s="36"/>
      <c r="B757" s="32"/>
      <c r="C757" s="39"/>
      <c r="D757" s="44" t="str">
        <f>IF(OR(B757="",C757=""),"",CONCATENATE(B757,"-",C757))</f>
        <v/>
      </c>
      <c r="E757" s="49" t="str">
        <f>IF(B757="","",IFERROR(VLOOKUP(B757,'Coil Sheet at Plant'!$C:$G,5,FALSE),"ID Not Found"))</f>
        <v/>
      </c>
      <c r="F757" s="50" t="str">
        <f>IF(B757="","",IFERROR(VLOOKUP(B757,'Coil Sheet at Plant'!$C:$H,6,FALSE),"ID Not Found"))</f>
        <v/>
      </c>
      <c r="G757" s="81">
        <v>904</v>
      </c>
      <c r="H757" s="89" t="str">
        <f>IF(OR(B757="",G757=""),"",IFERROR(VLOOKUP(B757,'Coil Sheet at Plant'!$C:$J,8,FALSE),0)*G757/SUMIF(B:B,B757,G:G))</f>
        <v/>
      </c>
      <c r="I757" s="56" t="str">
        <f>IF(B757="","",IFERROR(VLOOKUP(B757,'Coil Sheet at Plant'!$C:$L,9,FALSE),""))</f>
        <v/>
      </c>
      <c r="J757" s="85" t="str">
        <f>IF(B757="","",IFERROR(VLOOKUP(B757,'Coil Sheet at Plant'!$C:$M,10,FALSE),""))</f>
        <v/>
      </c>
      <c r="K757" s="69" t="str">
        <f>IF(B757="","",SUMIF(B:B,B757,G:G))</f>
        <v/>
      </c>
      <c r="L757" s="70" t="str">
        <f>IF(B757="","",IFERROR(VLOOKUP(B757,'Coil Sheet at Plant'!$C:$I,7,FALSE),""))</f>
        <v/>
      </c>
      <c r="M757" s="71" t="str">
        <f>IF(OR(K757="",L757=""),"",IF(L757=0,"⚠ NO PARENT WIDTH",IF(K757&gt;L757,"⚠ BABY &gt; PARENT","✔ OK")))</f>
        <v/>
      </c>
      <c r="N757" s="71" t="str">
        <f>IF(D757="","",IF(COUNTIF(D$3:D757,D757)&gt;1,"⚠ DUPLICATE",""))</f>
        <v/>
      </c>
      <c r="O757" s="72" t="str">
        <f>IF(B757="","",SUMIF(B:B,B757,G:G)&amp;" / "&amp;IFERROR(VLOOKUP(B757,'Coil Sheet at Plant'!$C:$I,7,FALSE),"?")&amp;" mm")</f>
        <v/>
      </c>
    </row>
    <row r="758" spans="1:15">
      <c r="A758" s="36"/>
      <c r="B758" s="32"/>
      <c r="C758" s="39"/>
      <c r="D758" s="44" t="str">
        <f>IF(OR(B758="",C758=""),"",CONCATENATE(B758,"-",C758))</f>
        <v/>
      </c>
      <c r="E758" s="49" t="str">
        <f>IF(B758="","",IFERROR(VLOOKUP(B758,'Coil Sheet at Plant'!$C:$G,5,FALSE),"ID Not Found"))</f>
        <v/>
      </c>
      <c r="F758" s="50" t="str">
        <f>IF(B758="","",IFERROR(VLOOKUP(B758,'Coil Sheet at Plant'!$C:$H,6,FALSE),"ID Not Found"))</f>
        <v/>
      </c>
      <c r="G758" s="81">
        <v>905</v>
      </c>
      <c r="H758" s="89" t="str">
        <f>IF(OR(B758="",G758=""),"",IFERROR(VLOOKUP(B758,'Coil Sheet at Plant'!$C:$J,8,FALSE),0)*G758/SUMIF(B:B,B758,G:G))</f>
        <v/>
      </c>
      <c r="I758" s="56" t="str">
        <f>IF(B758="","",IFERROR(VLOOKUP(B758,'Coil Sheet at Plant'!$C:$L,9,FALSE),""))</f>
        <v/>
      </c>
      <c r="J758" s="85" t="str">
        <f>IF(B758="","",IFERROR(VLOOKUP(B758,'Coil Sheet at Plant'!$C:$M,10,FALSE),""))</f>
        <v/>
      </c>
      <c r="K758" s="69" t="str">
        <f>IF(B758="","",SUMIF(B:B,B758,G:G))</f>
        <v/>
      </c>
      <c r="L758" s="70" t="str">
        <f>IF(B758="","",IFERROR(VLOOKUP(B758,'Coil Sheet at Plant'!$C:$I,7,FALSE),""))</f>
        <v/>
      </c>
      <c r="M758" s="71" t="str">
        <f>IF(OR(K758="",L758=""),"",IF(L758=0,"⚠ NO PARENT WIDTH",IF(K758&gt;L758,"⚠ BABY &gt; PARENT","✔ OK")))</f>
        <v/>
      </c>
      <c r="N758" s="71" t="str">
        <f>IF(D758="","",IF(COUNTIF(D$3:D758,D758)&gt;1,"⚠ DUPLICATE",""))</f>
        <v/>
      </c>
      <c r="O758" s="72" t="str">
        <f>IF(B758="","",SUMIF(B:B,B758,G:G)&amp;" / "&amp;IFERROR(VLOOKUP(B758,'Coil Sheet at Plant'!$C:$I,7,FALSE),"?")&amp;" mm")</f>
        <v/>
      </c>
    </row>
    <row r="759" spans="1:15">
      <c r="A759" s="36"/>
      <c r="B759" s="32"/>
      <c r="C759" s="39"/>
      <c r="D759" s="44" t="str">
        <f>IF(OR(B759="",C759=""),"",CONCATENATE(B759,"-",C759))</f>
        <v/>
      </c>
      <c r="E759" s="49" t="str">
        <f>IF(B759="","",IFERROR(VLOOKUP(B759,'Coil Sheet at Plant'!$C:$G,5,FALSE),"ID Not Found"))</f>
        <v/>
      </c>
      <c r="F759" s="50" t="str">
        <f>IF(B759="","",IFERROR(VLOOKUP(B759,'Coil Sheet at Plant'!$C:$H,6,FALSE),"ID Not Found"))</f>
        <v/>
      </c>
      <c r="G759" s="81">
        <v>906</v>
      </c>
      <c r="H759" s="89" t="str">
        <f>IF(OR(B759="",G759=""),"",IFERROR(VLOOKUP(B759,'Coil Sheet at Plant'!$C:$J,8,FALSE),0)*G759/SUMIF(B:B,B759,G:G))</f>
        <v/>
      </c>
      <c r="I759" s="56" t="str">
        <f>IF(B759="","",IFERROR(VLOOKUP(B759,'Coil Sheet at Plant'!$C:$L,9,FALSE),""))</f>
        <v/>
      </c>
      <c r="J759" s="85" t="str">
        <f>IF(B759="","",IFERROR(VLOOKUP(B759,'Coil Sheet at Plant'!$C:$M,10,FALSE),""))</f>
        <v/>
      </c>
      <c r="K759" s="69" t="str">
        <f>IF(B759="","",SUMIF(B:B,B759,G:G))</f>
        <v/>
      </c>
      <c r="L759" s="70" t="str">
        <f>IF(B759="","",IFERROR(VLOOKUP(B759,'Coil Sheet at Plant'!$C:$I,7,FALSE),""))</f>
        <v/>
      </c>
      <c r="M759" s="71" t="str">
        <f>IF(OR(K759="",L759=""),"",IF(L759=0,"⚠ NO PARENT WIDTH",IF(K759&gt;L759,"⚠ BABY &gt; PARENT","✔ OK")))</f>
        <v/>
      </c>
      <c r="N759" s="71" t="str">
        <f>IF(D759="","",IF(COUNTIF(D$3:D759,D759)&gt;1,"⚠ DUPLICATE",""))</f>
        <v/>
      </c>
      <c r="O759" s="72" t="str">
        <f>IF(B759="","",SUMIF(B:B,B759,G:G)&amp;" / "&amp;IFERROR(VLOOKUP(B759,'Coil Sheet at Plant'!$C:$I,7,FALSE),"?")&amp;" mm")</f>
        <v/>
      </c>
    </row>
    <row r="760" spans="1:15">
      <c r="A760" s="36"/>
      <c r="B760" s="32"/>
      <c r="C760" s="39"/>
      <c r="D760" s="44" t="str">
        <f>IF(OR(B760="",C760=""),"",CONCATENATE(B760,"-",C760))</f>
        <v/>
      </c>
      <c r="E760" s="49" t="str">
        <f>IF(B760="","",IFERROR(VLOOKUP(B760,'Coil Sheet at Plant'!$C:$G,5,FALSE),"ID Not Found"))</f>
        <v/>
      </c>
      <c r="F760" s="50" t="str">
        <f>IF(B760="","",IFERROR(VLOOKUP(B760,'Coil Sheet at Plant'!$C:$H,6,FALSE),"ID Not Found"))</f>
        <v/>
      </c>
      <c r="G760" s="81">
        <v>907</v>
      </c>
      <c r="H760" s="89" t="str">
        <f>IF(OR(B760="",G760=""),"",IFERROR(VLOOKUP(B760,'Coil Sheet at Plant'!$C:$J,8,FALSE),0)*G760/SUMIF(B:B,B760,G:G))</f>
        <v/>
      </c>
      <c r="I760" s="56" t="str">
        <f>IF(B760="","",IFERROR(VLOOKUP(B760,'Coil Sheet at Plant'!$C:$L,9,FALSE),""))</f>
        <v/>
      </c>
      <c r="J760" s="85" t="str">
        <f>IF(B760="","",IFERROR(VLOOKUP(B760,'Coil Sheet at Plant'!$C:$M,10,FALSE),""))</f>
        <v/>
      </c>
      <c r="K760" s="69" t="str">
        <f>IF(B760="","",SUMIF(B:B,B760,G:G))</f>
        <v/>
      </c>
      <c r="L760" s="70" t="str">
        <f>IF(B760="","",IFERROR(VLOOKUP(B760,'Coil Sheet at Plant'!$C:$I,7,FALSE),""))</f>
        <v/>
      </c>
      <c r="M760" s="71" t="str">
        <f>IF(OR(K760="",L760=""),"",IF(L760=0,"⚠ NO PARENT WIDTH",IF(K760&gt;L760,"⚠ BABY &gt; PARENT","✔ OK")))</f>
        <v/>
      </c>
      <c r="N760" s="71" t="str">
        <f>IF(D760="","",IF(COUNTIF(D$3:D760,D760)&gt;1,"⚠ DUPLICATE",""))</f>
        <v/>
      </c>
      <c r="O760" s="72" t="str">
        <f>IF(B760="","",SUMIF(B:B,B760,G:G)&amp;" / "&amp;IFERROR(VLOOKUP(B760,'Coil Sheet at Plant'!$C:$I,7,FALSE),"?")&amp;" mm")</f>
        <v/>
      </c>
    </row>
    <row r="761" spans="1:15">
      <c r="A761" s="36"/>
      <c r="B761" s="32"/>
      <c r="C761" s="39"/>
      <c r="D761" s="44" t="str">
        <f>IF(OR(B761="",C761=""),"",CONCATENATE(B761,"-",C761))</f>
        <v/>
      </c>
      <c r="E761" s="49" t="str">
        <f>IF(B761="","",IFERROR(VLOOKUP(B761,'Coil Sheet at Plant'!$C:$G,5,FALSE),"ID Not Found"))</f>
        <v/>
      </c>
      <c r="F761" s="50" t="str">
        <f>IF(B761="","",IFERROR(VLOOKUP(B761,'Coil Sheet at Plant'!$C:$H,6,FALSE),"ID Not Found"))</f>
        <v/>
      </c>
      <c r="G761" s="81">
        <v>908</v>
      </c>
      <c r="H761" s="89" t="str">
        <f>IF(OR(B761="",G761=""),"",IFERROR(VLOOKUP(B761,'Coil Sheet at Plant'!$C:$J,8,FALSE),0)*G761/SUMIF(B:B,B761,G:G))</f>
        <v/>
      </c>
      <c r="I761" s="56" t="str">
        <f>IF(B761="","",IFERROR(VLOOKUP(B761,'Coil Sheet at Plant'!$C:$L,9,FALSE),""))</f>
        <v/>
      </c>
      <c r="J761" s="85" t="str">
        <f>IF(B761="","",IFERROR(VLOOKUP(B761,'Coil Sheet at Plant'!$C:$M,10,FALSE),""))</f>
        <v/>
      </c>
      <c r="K761" s="69" t="str">
        <f>IF(B761="","",SUMIF(B:B,B761,G:G))</f>
        <v/>
      </c>
      <c r="L761" s="70" t="str">
        <f>IF(B761="","",IFERROR(VLOOKUP(B761,'Coil Sheet at Plant'!$C:$I,7,FALSE),""))</f>
        <v/>
      </c>
      <c r="M761" s="71" t="str">
        <f>IF(OR(K761="",L761=""),"",IF(L761=0,"⚠ NO PARENT WIDTH",IF(K761&gt;L761,"⚠ BABY &gt; PARENT","✔ OK")))</f>
        <v/>
      </c>
      <c r="N761" s="71" t="str">
        <f>IF(D761="","",IF(COUNTIF(D$3:D761,D761)&gt;1,"⚠ DUPLICATE",""))</f>
        <v/>
      </c>
      <c r="O761" s="72" t="str">
        <f>IF(B761="","",SUMIF(B:B,B761,G:G)&amp;" / "&amp;IFERROR(VLOOKUP(B761,'Coil Sheet at Plant'!$C:$I,7,FALSE),"?")&amp;" mm")</f>
        <v/>
      </c>
    </row>
    <row r="762" spans="1:15">
      <c r="A762" s="36"/>
      <c r="B762" s="32"/>
      <c r="C762" s="39"/>
      <c r="D762" s="44" t="str">
        <f>IF(OR(B762="",C762=""),"",CONCATENATE(B762,"-",C762))</f>
        <v/>
      </c>
      <c r="E762" s="49" t="str">
        <f>IF(B762="","",IFERROR(VLOOKUP(B762,'Coil Sheet at Plant'!$C:$G,5,FALSE),"ID Not Found"))</f>
        <v/>
      </c>
      <c r="F762" s="50" t="str">
        <f>IF(B762="","",IFERROR(VLOOKUP(B762,'Coil Sheet at Plant'!$C:$H,6,FALSE),"ID Not Found"))</f>
        <v/>
      </c>
      <c r="G762" s="81">
        <v>909</v>
      </c>
      <c r="H762" s="89" t="str">
        <f>IF(OR(B762="",G762=""),"",IFERROR(VLOOKUP(B762,'Coil Sheet at Plant'!$C:$J,8,FALSE),0)*G762/SUMIF(B:B,B762,G:G))</f>
        <v/>
      </c>
      <c r="I762" s="56" t="str">
        <f>IF(B762="","",IFERROR(VLOOKUP(B762,'Coil Sheet at Plant'!$C:$L,9,FALSE),""))</f>
        <v/>
      </c>
      <c r="J762" s="85" t="str">
        <f>IF(B762="","",IFERROR(VLOOKUP(B762,'Coil Sheet at Plant'!$C:$M,10,FALSE),""))</f>
        <v/>
      </c>
      <c r="K762" s="69" t="str">
        <f>IF(B762="","",SUMIF(B:B,B762,G:G))</f>
        <v/>
      </c>
      <c r="L762" s="70" t="str">
        <f>IF(B762="","",IFERROR(VLOOKUP(B762,'Coil Sheet at Plant'!$C:$I,7,FALSE),""))</f>
        <v/>
      </c>
      <c r="M762" s="71" t="str">
        <f>IF(OR(K762="",L762=""),"",IF(L762=0,"⚠ NO PARENT WIDTH",IF(K762&gt;L762,"⚠ BABY &gt; PARENT","✔ OK")))</f>
        <v/>
      </c>
      <c r="N762" s="71" t="str">
        <f>IF(D762="","",IF(COUNTIF(D$3:D762,D762)&gt;1,"⚠ DUPLICATE",""))</f>
        <v/>
      </c>
      <c r="O762" s="72" t="str">
        <f>IF(B762="","",SUMIF(B:B,B762,G:G)&amp;" / "&amp;IFERROR(VLOOKUP(B762,'Coil Sheet at Plant'!$C:$I,7,FALSE),"?")&amp;" mm")</f>
        <v/>
      </c>
    </row>
    <row r="763" spans="1:15">
      <c r="A763" s="36"/>
      <c r="B763" s="32"/>
      <c r="C763" s="39"/>
      <c r="D763" s="44" t="str">
        <f>IF(OR(B763="",C763=""),"",CONCATENATE(B763,"-",C763))</f>
        <v/>
      </c>
      <c r="E763" s="49" t="str">
        <f>IF(B763="","",IFERROR(VLOOKUP(B763,'Coil Sheet at Plant'!$C:$G,5,FALSE),"ID Not Found"))</f>
        <v/>
      </c>
      <c r="F763" s="50" t="str">
        <f>IF(B763="","",IFERROR(VLOOKUP(B763,'Coil Sheet at Plant'!$C:$H,6,FALSE),"ID Not Found"))</f>
        <v/>
      </c>
      <c r="G763" s="81">
        <v>910</v>
      </c>
      <c r="H763" s="89" t="str">
        <f>IF(OR(B763="",G763=""),"",IFERROR(VLOOKUP(B763,'Coil Sheet at Plant'!$C:$J,8,FALSE),0)*G763/SUMIF(B:B,B763,G:G))</f>
        <v/>
      </c>
      <c r="I763" s="56" t="str">
        <f>IF(B763="","",IFERROR(VLOOKUP(B763,'Coil Sheet at Plant'!$C:$L,9,FALSE),""))</f>
        <v/>
      </c>
      <c r="J763" s="85" t="str">
        <f>IF(B763="","",IFERROR(VLOOKUP(B763,'Coil Sheet at Plant'!$C:$M,10,FALSE),""))</f>
        <v/>
      </c>
      <c r="K763" s="69" t="str">
        <f>IF(B763="","",SUMIF(B:B,B763,G:G))</f>
        <v/>
      </c>
      <c r="L763" s="70" t="str">
        <f>IF(B763="","",IFERROR(VLOOKUP(B763,'Coil Sheet at Plant'!$C:$I,7,FALSE),""))</f>
        <v/>
      </c>
      <c r="M763" s="71" t="str">
        <f>IF(OR(K763="",L763=""),"",IF(L763=0,"⚠ NO PARENT WIDTH",IF(K763&gt;L763,"⚠ BABY &gt; PARENT","✔ OK")))</f>
        <v/>
      </c>
      <c r="N763" s="71" t="str">
        <f>IF(D763="","",IF(COUNTIF(D$3:D763,D763)&gt;1,"⚠ DUPLICATE",""))</f>
        <v/>
      </c>
      <c r="O763" s="72" t="str">
        <f>IF(B763="","",SUMIF(B:B,B763,G:G)&amp;" / "&amp;IFERROR(VLOOKUP(B763,'Coil Sheet at Plant'!$C:$I,7,FALSE),"?")&amp;" mm")</f>
        <v/>
      </c>
    </row>
    <row r="764" spans="1:15">
      <c r="A764" s="36"/>
      <c r="B764" s="32"/>
      <c r="C764" s="39"/>
      <c r="D764" s="44" t="str">
        <f>IF(OR(B764="",C764=""),"",CONCATENATE(B764,"-",C764))</f>
        <v/>
      </c>
      <c r="E764" s="49" t="str">
        <f>IF(B764="","",IFERROR(VLOOKUP(B764,'Coil Sheet at Plant'!$C:$G,5,FALSE),"ID Not Found"))</f>
        <v/>
      </c>
      <c r="F764" s="50" t="str">
        <f>IF(B764="","",IFERROR(VLOOKUP(B764,'Coil Sheet at Plant'!$C:$H,6,FALSE),"ID Not Found"))</f>
        <v/>
      </c>
      <c r="G764" s="81">
        <v>911</v>
      </c>
      <c r="H764" s="89" t="str">
        <f>IF(OR(B764="",G764=""),"",IFERROR(VLOOKUP(B764,'Coil Sheet at Plant'!$C:$J,8,FALSE),0)*G764/SUMIF(B:B,B764,G:G))</f>
        <v/>
      </c>
      <c r="I764" s="56" t="str">
        <f>IF(B764="","",IFERROR(VLOOKUP(B764,'Coil Sheet at Plant'!$C:$L,9,FALSE),""))</f>
        <v/>
      </c>
      <c r="J764" s="85" t="str">
        <f>IF(B764="","",IFERROR(VLOOKUP(B764,'Coil Sheet at Plant'!$C:$M,10,FALSE),""))</f>
        <v/>
      </c>
      <c r="K764" s="69" t="str">
        <f>IF(B764="","",SUMIF(B:B,B764,G:G))</f>
        <v/>
      </c>
      <c r="L764" s="70" t="str">
        <f>IF(B764="","",IFERROR(VLOOKUP(B764,'Coil Sheet at Plant'!$C:$I,7,FALSE),""))</f>
        <v/>
      </c>
      <c r="M764" s="71" t="str">
        <f>IF(OR(K764="",L764=""),"",IF(L764=0,"⚠ NO PARENT WIDTH",IF(K764&gt;L764,"⚠ BABY &gt; PARENT","✔ OK")))</f>
        <v/>
      </c>
      <c r="N764" s="71" t="str">
        <f>IF(D764="","",IF(COUNTIF(D$3:D764,D764)&gt;1,"⚠ DUPLICATE",""))</f>
        <v/>
      </c>
      <c r="O764" s="72" t="str">
        <f>IF(B764="","",SUMIF(B:B,B764,G:G)&amp;" / "&amp;IFERROR(VLOOKUP(B764,'Coil Sheet at Plant'!$C:$I,7,FALSE),"?")&amp;" mm")</f>
        <v/>
      </c>
    </row>
    <row r="765" spans="1:15">
      <c r="A765" s="36"/>
      <c r="B765" s="32"/>
      <c r="C765" s="39"/>
      <c r="D765" s="44" t="str">
        <f>IF(OR(B765="",C765=""),"",CONCATENATE(B765,"-",C765))</f>
        <v/>
      </c>
      <c r="E765" s="49" t="str">
        <f>IF(B765="","",IFERROR(VLOOKUP(B765,'Coil Sheet at Plant'!$C:$G,5,FALSE),"ID Not Found"))</f>
        <v/>
      </c>
      <c r="F765" s="50" t="str">
        <f>IF(B765="","",IFERROR(VLOOKUP(B765,'Coil Sheet at Plant'!$C:$H,6,FALSE),"ID Not Found"))</f>
        <v/>
      </c>
      <c r="G765" s="81">
        <v>912</v>
      </c>
      <c r="H765" s="89" t="str">
        <f>IF(OR(B765="",G765=""),"",IFERROR(VLOOKUP(B765,'Coil Sheet at Plant'!$C:$J,8,FALSE),0)*G765/SUMIF(B:B,B765,G:G))</f>
        <v/>
      </c>
      <c r="I765" s="56" t="str">
        <f>IF(B765="","",IFERROR(VLOOKUP(B765,'Coil Sheet at Plant'!$C:$L,9,FALSE),""))</f>
        <v/>
      </c>
      <c r="J765" s="85" t="str">
        <f>IF(B765="","",IFERROR(VLOOKUP(B765,'Coil Sheet at Plant'!$C:$M,10,FALSE),""))</f>
        <v/>
      </c>
      <c r="K765" s="69" t="str">
        <f>IF(B765="","",SUMIF(B:B,B765,G:G))</f>
        <v/>
      </c>
      <c r="L765" s="70" t="str">
        <f>IF(B765="","",IFERROR(VLOOKUP(B765,'Coil Sheet at Plant'!$C:$I,7,FALSE),""))</f>
        <v/>
      </c>
      <c r="M765" s="71" t="str">
        <f>IF(OR(K765="",L765=""),"",IF(L765=0,"⚠ NO PARENT WIDTH",IF(K765&gt;L765,"⚠ BABY &gt; PARENT","✔ OK")))</f>
        <v/>
      </c>
      <c r="N765" s="71" t="str">
        <f>IF(D765="","",IF(COUNTIF(D$3:D765,D765)&gt;1,"⚠ DUPLICATE",""))</f>
        <v/>
      </c>
      <c r="O765" s="72" t="str">
        <f>IF(B765="","",SUMIF(B:B,B765,G:G)&amp;" / "&amp;IFERROR(VLOOKUP(B765,'Coil Sheet at Plant'!$C:$I,7,FALSE),"?")&amp;" mm")</f>
        <v/>
      </c>
    </row>
    <row r="766" spans="1:15">
      <c r="A766" s="36"/>
      <c r="B766" s="32"/>
      <c r="C766" s="39"/>
      <c r="D766" s="44" t="str">
        <f>IF(OR(B766="",C766=""),"",CONCATENATE(B766,"-",C766))</f>
        <v/>
      </c>
      <c r="E766" s="49" t="str">
        <f>IF(B766="","",IFERROR(VLOOKUP(B766,'Coil Sheet at Plant'!$C:$G,5,FALSE),"ID Not Found"))</f>
        <v/>
      </c>
      <c r="F766" s="50" t="str">
        <f>IF(B766="","",IFERROR(VLOOKUP(B766,'Coil Sheet at Plant'!$C:$H,6,FALSE),"ID Not Found"))</f>
        <v/>
      </c>
      <c r="G766" s="81">
        <v>913</v>
      </c>
      <c r="H766" s="89" t="str">
        <f>IF(OR(B766="",G766=""),"",IFERROR(VLOOKUP(B766,'Coil Sheet at Plant'!$C:$J,8,FALSE),0)*G766/SUMIF(B:B,B766,G:G))</f>
        <v/>
      </c>
      <c r="I766" s="56" t="str">
        <f>IF(B766="","",IFERROR(VLOOKUP(B766,'Coil Sheet at Plant'!$C:$L,9,FALSE),""))</f>
        <v/>
      </c>
      <c r="J766" s="85" t="str">
        <f>IF(B766="","",IFERROR(VLOOKUP(B766,'Coil Sheet at Plant'!$C:$M,10,FALSE),""))</f>
        <v/>
      </c>
      <c r="K766" s="69" t="str">
        <f>IF(B766="","",SUMIF(B:B,B766,G:G))</f>
        <v/>
      </c>
      <c r="L766" s="70" t="str">
        <f>IF(B766="","",IFERROR(VLOOKUP(B766,'Coil Sheet at Plant'!$C:$I,7,FALSE),""))</f>
        <v/>
      </c>
      <c r="M766" s="71" t="str">
        <f>IF(OR(K766="",L766=""),"",IF(L766=0,"⚠ NO PARENT WIDTH",IF(K766&gt;L766,"⚠ BABY &gt; PARENT","✔ OK")))</f>
        <v/>
      </c>
      <c r="N766" s="71" t="str">
        <f>IF(D766="","",IF(COUNTIF(D$3:D766,D766)&gt;1,"⚠ DUPLICATE",""))</f>
        <v/>
      </c>
      <c r="O766" s="72" t="str">
        <f>IF(B766="","",SUMIF(B:B,B766,G:G)&amp;" / "&amp;IFERROR(VLOOKUP(B766,'Coil Sheet at Plant'!$C:$I,7,FALSE),"?")&amp;" mm")</f>
        <v/>
      </c>
    </row>
    <row r="767" spans="1:15">
      <c r="A767" s="36"/>
      <c r="B767" s="32"/>
      <c r="C767" s="39"/>
      <c r="D767" s="44" t="str">
        <f>IF(OR(B767="",C767=""),"",CONCATENATE(B767,"-",C767))</f>
        <v/>
      </c>
      <c r="E767" s="49" t="str">
        <f>IF(B767="","",IFERROR(VLOOKUP(B767,'Coil Sheet at Plant'!$C:$G,5,FALSE),"ID Not Found"))</f>
        <v/>
      </c>
      <c r="F767" s="50" t="str">
        <f>IF(B767="","",IFERROR(VLOOKUP(B767,'Coil Sheet at Plant'!$C:$H,6,FALSE),"ID Not Found"))</f>
        <v/>
      </c>
      <c r="G767" s="81">
        <v>914</v>
      </c>
      <c r="H767" s="89" t="str">
        <f>IF(OR(B767="",G767=""),"",IFERROR(VLOOKUP(B767,'Coil Sheet at Plant'!$C:$J,8,FALSE),0)*G767/SUMIF(B:B,B767,G:G))</f>
        <v/>
      </c>
      <c r="I767" s="56" t="str">
        <f>IF(B767="","",IFERROR(VLOOKUP(B767,'Coil Sheet at Plant'!$C:$L,9,FALSE),""))</f>
        <v/>
      </c>
      <c r="J767" s="85" t="str">
        <f>IF(B767="","",IFERROR(VLOOKUP(B767,'Coil Sheet at Plant'!$C:$M,10,FALSE),""))</f>
        <v/>
      </c>
      <c r="K767" s="69" t="str">
        <f>IF(B767="","",SUMIF(B:B,B767,G:G))</f>
        <v/>
      </c>
      <c r="L767" s="70" t="str">
        <f>IF(B767="","",IFERROR(VLOOKUP(B767,'Coil Sheet at Plant'!$C:$I,7,FALSE),""))</f>
        <v/>
      </c>
      <c r="M767" s="71" t="str">
        <f>IF(OR(K767="",L767=""),"",IF(L767=0,"⚠ NO PARENT WIDTH",IF(K767&gt;L767,"⚠ BABY &gt; PARENT","✔ OK")))</f>
        <v/>
      </c>
      <c r="N767" s="71" t="str">
        <f>IF(D767="","",IF(COUNTIF(D$3:D767,D767)&gt;1,"⚠ DUPLICATE",""))</f>
        <v/>
      </c>
      <c r="O767" s="72" t="str">
        <f>IF(B767="","",SUMIF(B:B,B767,G:G)&amp;" / "&amp;IFERROR(VLOOKUP(B767,'Coil Sheet at Plant'!$C:$I,7,FALSE),"?")&amp;" mm")</f>
        <v/>
      </c>
    </row>
    <row r="768" spans="1:15">
      <c r="A768" s="36"/>
      <c r="B768" s="32"/>
      <c r="C768" s="39"/>
      <c r="D768" s="44" t="str">
        <f>IF(OR(B768="",C768=""),"",CONCATENATE(B768,"-",C768))</f>
        <v/>
      </c>
      <c r="E768" s="49" t="str">
        <f>IF(B768="","",IFERROR(VLOOKUP(B768,'Coil Sheet at Plant'!$C:$G,5,FALSE),"ID Not Found"))</f>
        <v/>
      </c>
      <c r="F768" s="50" t="str">
        <f>IF(B768="","",IFERROR(VLOOKUP(B768,'Coil Sheet at Plant'!$C:$H,6,FALSE),"ID Not Found"))</f>
        <v/>
      </c>
      <c r="G768" s="81">
        <v>915</v>
      </c>
      <c r="H768" s="89" t="str">
        <f>IF(OR(B768="",G768=""),"",IFERROR(VLOOKUP(B768,'Coil Sheet at Plant'!$C:$J,8,FALSE),0)*G768/SUMIF(B:B,B768,G:G))</f>
        <v/>
      </c>
      <c r="I768" s="56" t="str">
        <f>IF(B768="","",IFERROR(VLOOKUP(B768,'Coil Sheet at Plant'!$C:$L,9,FALSE),""))</f>
        <v/>
      </c>
      <c r="J768" s="85" t="str">
        <f>IF(B768="","",IFERROR(VLOOKUP(B768,'Coil Sheet at Plant'!$C:$M,10,FALSE),""))</f>
        <v/>
      </c>
      <c r="K768" s="69" t="str">
        <f>IF(B768="","",SUMIF(B:B,B768,G:G))</f>
        <v/>
      </c>
      <c r="L768" s="70" t="str">
        <f>IF(B768="","",IFERROR(VLOOKUP(B768,'Coil Sheet at Plant'!$C:$I,7,FALSE),""))</f>
        <v/>
      </c>
      <c r="M768" s="71" t="str">
        <f>IF(OR(K768="",L768=""),"",IF(L768=0,"⚠ NO PARENT WIDTH",IF(K768&gt;L768,"⚠ BABY &gt; PARENT","✔ OK")))</f>
        <v/>
      </c>
      <c r="N768" s="71" t="str">
        <f>IF(D768="","",IF(COUNTIF(D$3:D768,D768)&gt;1,"⚠ DUPLICATE",""))</f>
        <v/>
      </c>
      <c r="O768" s="72" t="str">
        <f>IF(B768="","",SUMIF(B:B,B768,G:G)&amp;" / "&amp;IFERROR(VLOOKUP(B768,'Coil Sheet at Plant'!$C:$I,7,FALSE),"?")&amp;" mm")</f>
        <v/>
      </c>
    </row>
    <row r="769" spans="1:15">
      <c r="A769" s="36"/>
      <c r="B769" s="32"/>
      <c r="C769" s="39"/>
      <c r="D769" s="44" t="str">
        <f>IF(OR(B769="",C769=""),"",CONCATENATE(B769,"-",C769))</f>
        <v/>
      </c>
      <c r="E769" s="49" t="str">
        <f>IF(B769="","",IFERROR(VLOOKUP(B769,'Coil Sheet at Plant'!$C:$G,5,FALSE),"ID Not Found"))</f>
        <v/>
      </c>
      <c r="F769" s="50" t="str">
        <f>IF(B769="","",IFERROR(VLOOKUP(B769,'Coil Sheet at Plant'!$C:$H,6,FALSE),"ID Not Found"))</f>
        <v/>
      </c>
      <c r="G769" s="81">
        <v>916</v>
      </c>
      <c r="H769" s="89" t="str">
        <f>IF(OR(B769="",G769=""),"",IFERROR(VLOOKUP(B769,'Coil Sheet at Plant'!$C:$J,8,FALSE),0)*G769/SUMIF(B:B,B769,G:G))</f>
        <v/>
      </c>
      <c r="I769" s="56" t="str">
        <f>IF(B769="","",IFERROR(VLOOKUP(B769,'Coil Sheet at Plant'!$C:$L,9,FALSE),""))</f>
        <v/>
      </c>
      <c r="J769" s="85" t="str">
        <f>IF(B769="","",IFERROR(VLOOKUP(B769,'Coil Sheet at Plant'!$C:$M,10,FALSE),""))</f>
        <v/>
      </c>
      <c r="K769" s="69" t="str">
        <f>IF(B769="","",SUMIF(B:B,B769,G:G))</f>
        <v/>
      </c>
      <c r="L769" s="70" t="str">
        <f>IF(B769="","",IFERROR(VLOOKUP(B769,'Coil Sheet at Plant'!$C:$I,7,FALSE),""))</f>
        <v/>
      </c>
      <c r="M769" s="71" t="str">
        <f>IF(OR(K769="",L769=""),"",IF(L769=0,"⚠ NO PARENT WIDTH",IF(K769&gt;L769,"⚠ BABY &gt; PARENT","✔ OK")))</f>
        <v/>
      </c>
      <c r="N769" s="71" t="str">
        <f>IF(D769="","",IF(COUNTIF(D$3:D769,D769)&gt;1,"⚠ DUPLICATE",""))</f>
        <v/>
      </c>
      <c r="O769" s="72" t="str">
        <f>IF(B769="","",SUMIF(B:B,B769,G:G)&amp;" / "&amp;IFERROR(VLOOKUP(B769,'Coil Sheet at Plant'!$C:$I,7,FALSE),"?")&amp;" mm")</f>
        <v/>
      </c>
    </row>
    <row r="770" spans="1:15">
      <c r="A770" s="36"/>
      <c r="B770" s="32"/>
      <c r="C770" s="39"/>
      <c r="D770" s="44" t="str">
        <f>IF(OR(B770="",C770=""),"",CONCATENATE(B770,"-",C770))</f>
        <v/>
      </c>
      <c r="E770" s="49" t="str">
        <f>IF(B770="","",IFERROR(VLOOKUP(B770,'Coil Sheet at Plant'!$C:$G,5,FALSE),"ID Not Found"))</f>
        <v/>
      </c>
      <c r="F770" s="50" t="str">
        <f>IF(B770="","",IFERROR(VLOOKUP(B770,'Coil Sheet at Plant'!$C:$H,6,FALSE),"ID Not Found"))</f>
        <v/>
      </c>
      <c r="G770" s="81">
        <v>917</v>
      </c>
      <c r="H770" s="89" t="str">
        <f>IF(OR(B770="",G770=""),"",IFERROR(VLOOKUP(B770,'Coil Sheet at Plant'!$C:$J,8,FALSE),0)*G770/SUMIF(B:B,B770,G:G))</f>
        <v/>
      </c>
      <c r="I770" s="56" t="str">
        <f>IF(B770="","",IFERROR(VLOOKUP(B770,'Coil Sheet at Plant'!$C:$L,9,FALSE),""))</f>
        <v/>
      </c>
      <c r="J770" s="85" t="str">
        <f>IF(B770="","",IFERROR(VLOOKUP(B770,'Coil Sheet at Plant'!$C:$M,10,FALSE),""))</f>
        <v/>
      </c>
      <c r="K770" s="69" t="str">
        <f>IF(B770="","",SUMIF(B:B,B770,G:G))</f>
        <v/>
      </c>
      <c r="L770" s="70" t="str">
        <f>IF(B770="","",IFERROR(VLOOKUP(B770,'Coil Sheet at Plant'!$C:$I,7,FALSE),""))</f>
        <v/>
      </c>
      <c r="M770" s="71" t="str">
        <f>IF(OR(K770="",L770=""),"",IF(L770=0,"⚠ NO PARENT WIDTH",IF(K770&gt;L770,"⚠ BABY &gt; PARENT","✔ OK")))</f>
        <v/>
      </c>
      <c r="N770" s="71" t="str">
        <f>IF(D770="","",IF(COUNTIF(D$3:D770,D770)&gt;1,"⚠ DUPLICATE",""))</f>
        <v/>
      </c>
      <c r="O770" s="72" t="str">
        <f>IF(B770="","",SUMIF(B:B,B770,G:G)&amp;" / "&amp;IFERROR(VLOOKUP(B770,'Coil Sheet at Plant'!$C:$I,7,FALSE),"?")&amp;" mm")</f>
        <v/>
      </c>
    </row>
    <row r="771" spans="1:15">
      <c r="A771" s="36"/>
      <c r="B771" s="32"/>
      <c r="C771" s="39"/>
      <c r="D771" s="44" t="str">
        <f>IF(OR(B771="",C771=""),"",CONCATENATE(B771,"-",C771))</f>
        <v/>
      </c>
      <c r="E771" s="49" t="str">
        <f>IF(B771="","",IFERROR(VLOOKUP(B771,'Coil Sheet at Plant'!$C:$G,5,FALSE),"ID Not Found"))</f>
        <v/>
      </c>
      <c r="F771" s="50" t="str">
        <f>IF(B771="","",IFERROR(VLOOKUP(B771,'Coil Sheet at Plant'!$C:$H,6,FALSE),"ID Not Found"))</f>
        <v/>
      </c>
      <c r="G771" s="81">
        <v>918</v>
      </c>
      <c r="H771" s="89" t="str">
        <f>IF(OR(B771="",G771=""),"",IFERROR(VLOOKUP(B771,'Coil Sheet at Plant'!$C:$J,8,FALSE),0)*G771/SUMIF(B:B,B771,G:G))</f>
        <v/>
      </c>
      <c r="I771" s="56" t="str">
        <f>IF(B771="","",IFERROR(VLOOKUP(B771,'Coil Sheet at Plant'!$C:$L,9,FALSE),""))</f>
        <v/>
      </c>
      <c r="J771" s="85" t="str">
        <f>IF(B771="","",IFERROR(VLOOKUP(B771,'Coil Sheet at Plant'!$C:$M,10,FALSE),""))</f>
        <v/>
      </c>
      <c r="K771" s="69" t="str">
        <f>IF(B771="","",SUMIF(B:B,B771,G:G))</f>
        <v/>
      </c>
      <c r="L771" s="70" t="str">
        <f>IF(B771="","",IFERROR(VLOOKUP(B771,'Coil Sheet at Plant'!$C:$I,7,FALSE),""))</f>
        <v/>
      </c>
      <c r="M771" s="71" t="str">
        <f>IF(OR(K771="",L771=""),"",IF(L771=0,"⚠ NO PARENT WIDTH",IF(K771&gt;L771,"⚠ BABY &gt; PARENT","✔ OK")))</f>
        <v/>
      </c>
      <c r="N771" s="71" t="str">
        <f>IF(D771="","",IF(COUNTIF(D$3:D771,D771)&gt;1,"⚠ DUPLICATE",""))</f>
        <v/>
      </c>
      <c r="O771" s="72" t="str">
        <f>IF(B771="","",SUMIF(B:B,B771,G:G)&amp;" / "&amp;IFERROR(VLOOKUP(B771,'Coil Sheet at Plant'!$C:$I,7,FALSE),"?")&amp;" mm")</f>
        <v/>
      </c>
    </row>
    <row r="772" spans="1:15">
      <c r="A772" s="36"/>
      <c r="B772" s="32"/>
      <c r="C772" s="39"/>
      <c r="D772" s="44" t="str">
        <f>IF(OR(B772="",C772=""),"",CONCATENATE(B772,"-",C772))</f>
        <v/>
      </c>
      <c r="E772" s="49" t="str">
        <f>IF(B772="","",IFERROR(VLOOKUP(B772,'Coil Sheet at Plant'!$C:$G,5,FALSE),"ID Not Found"))</f>
        <v/>
      </c>
      <c r="F772" s="50" t="str">
        <f>IF(B772="","",IFERROR(VLOOKUP(B772,'Coil Sheet at Plant'!$C:$H,6,FALSE),"ID Not Found"))</f>
        <v/>
      </c>
      <c r="G772" s="81">
        <v>919</v>
      </c>
      <c r="H772" s="89" t="str">
        <f>IF(OR(B772="",G772=""),"",IFERROR(VLOOKUP(B772,'Coil Sheet at Plant'!$C:$J,8,FALSE),0)*G772/SUMIF(B:B,B772,G:G))</f>
        <v/>
      </c>
      <c r="I772" s="56" t="str">
        <f>IF(B772="","",IFERROR(VLOOKUP(B772,'Coil Sheet at Plant'!$C:$L,9,FALSE),""))</f>
        <v/>
      </c>
      <c r="J772" s="85" t="str">
        <f>IF(B772="","",IFERROR(VLOOKUP(B772,'Coil Sheet at Plant'!$C:$M,10,FALSE),""))</f>
        <v/>
      </c>
      <c r="K772" s="69" t="str">
        <f>IF(B772="","",SUMIF(B:B,B772,G:G))</f>
        <v/>
      </c>
      <c r="L772" s="70" t="str">
        <f>IF(B772="","",IFERROR(VLOOKUP(B772,'Coil Sheet at Plant'!$C:$I,7,FALSE),""))</f>
        <v/>
      </c>
      <c r="M772" s="71" t="str">
        <f>IF(OR(K772="",L772=""),"",IF(L772=0,"⚠ NO PARENT WIDTH",IF(K772&gt;L772,"⚠ BABY &gt; PARENT","✔ OK")))</f>
        <v/>
      </c>
      <c r="N772" s="71" t="str">
        <f>IF(D772="","",IF(COUNTIF(D$3:D772,D772)&gt;1,"⚠ DUPLICATE",""))</f>
        <v/>
      </c>
      <c r="O772" s="72" t="str">
        <f>IF(B772="","",SUMIF(B:B,B772,G:G)&amp;" / "&amp;IFERROR(VLOOKUP(B772,'Coil Sheet at Plant'!$C:$I,7,FALSE),"?")&amp;" mm")</f>
        <v/>
      </c>
    </row>
    <row r="773" spans="1:15">
      <c r="A773" s="36"/>
      <c r="B773" s="32"/>
      <c r="C773" s="39"/>
      <c r="D773" s="44" t="str">
        <f>IF(OR(B773="",C773=""),"",CONCATENATE(B773,"-",C773))</f>
        <v/>
      </c>
      <c r="E773" s="49" t="str">
        <f>IF(B773="","",IFERROR(VLOOKUP(B773,'Coil Sheet at Plant'!$C:$G,5,FALSE),"ID Not Found"))</f>
        <v/>
      </c>
      <c r="F773" s="50" t="str">
        <f>IF(B773="","",IFERROR(VLOOKUP(B773,'Coil Sheet at Plant'!$C:$H,6,FALSE),"ID Not Found"))</f>
        <v/>
      </c>
      <c r="G773" s="81">
        <v>920</v>
      </c>
      <c r="H773" s="89" t="str">
        <f>IF(OR(B773="",G773=""),"",IFERROR(VLOOKUP(B773,'Coil Sheet at Plant'!$C:$J,8,FALSE),0)*G773/SUMIF(B:B,B773,G:G))</f>
        <v/>
      </c>
      <c r="I773" s="56" t="str">
        <f>IF(B773="","",IFERROR(VLOOKUP(B773,'Coil Sheet at Plant'!$C:$L,9,FALSE),""))</f>
        <v/>
      </c>
      <c r="J773" s="85" t="str">
        <f>IF(B773="","",IFERROR(VLOOKUP(B773,'Coil Sheet at Plant'!$C:$M,10,FALSE),""))</f>
        <v/>
      </c>
      <c r="K773" s="69" t="str">
        <f>IF(B773="","",SUMIF(B:B,B773,G:G))</f>
        <v/>
      </c>
      <c r="L773" s="70" t="str">
        <f>IF(B773="","",IFERROR(VLOOKUP(B773,'Coil Sheet at Plant'!$C:$I,7,FALSE),""))</f>
        <v/>
      </c>
      <c r="M773" s="71" t="str">
        <f>IF(OR(K773="",L773=""),"",IF(L773=0,"⚠ NO PARENT WIDTH",IF(K773&gt;L773,"⚠ BABY &gt; PARENT","✔ OK")))</f>
        <v/>
      </c>
      <c r="N773" s="71" t="str">
        <f>IF(D773="","",IF(COUNTIF(D$3:D773,D773)&gt;1,"⚠ DUPLICATE",""))</f>
        <v/>
      </c>
      <c r="O773" s="72" t="str">
        <f>IF(B773="","",SUMIF(B:B,B773,G:G)&amp;" / "&amp;IFERROR(VLOOKUP(B773,'Coil Sheet at Plant'!$C:$I,7,FALSE),"?")&amp;" mm")</f>
        <v/>
      </c>
    </row>
    <row r="774" spans="1:15">
      <c r="A774" s="36"/>
      <c r="B774" s="32"/>
      <c r="C774" s="39"/>
      <c r="D774" s="44" t="str">
        <f>IF(OR(B774="",C774=""),"",CONCATENATE(B774,"-",C774))</f>
        <v/>
      </c>
      <c r="E774" s="49" t="str">
        <f>IF(B774="","",IFERROR(VLOOKUP(B774,'Coil Sheet at Plant'!$C:$G,5,FALSE),"ID Not Found"))</f>
        <v/>
      </c>
      <c r="F774" s="50" t="str">
        <f>IF(B774="","",IFERROR(VLOOKUP(B774,'Coil Sheet at Plant'!$C:$H,6,FALSE),"ID Not Found"))</f>
        <v/>
      </c>
      <c r="G774" s="81">
        <v>921</v>
      </c>
      <c r="H774" s="89" t="str">
        <f>IF(OR(B774="",G774=""),"",IFERROR(VLOOKUP(B774,'Coil Sheet at Plant'!$C:$J,8,FALSE),0)*G774/SUMIF(B:B,B774,G:G))</f>
        <v/>
      </c>
      <c r="I774" s="56" t="str">
        <f>IF(B774="","",IFERROR(VLOOKUP(B774,'Coil Sheet at Plant'!$C:$L,9,FALSE),""))</f>
        <v/>
      </c>
      <c r="J774" s="85" t="str">
        <f>IF(B774="","",IFERROR(VLOOKUP(B774,'Coil Sheet at Plant'!$C:$M,10,FALSE),""))</f>
        <v/>
      </c>
      <c r="K774" s="69" t="str">
        <f>IF(B774="","",SUMIF(B:B,B774,G:G))</f>
        <v/>
      </c>
      <c r="L774" s="70" t="str">
        <f>IF(B774="","",IFERROR(VLOOKUP(B774,'Coil Sheet at Plant'!$C:$I,7,FALSE),""))</f>
        <v/>
      </c>
      <c r="M774" s="71" t="str">
        <f>IF(OR(K774="",L774=""),"",IF(L774=0,"⚠ NO PARENT WIDTH",IF(K774&gt;L774,"⚠ BABY &gt; PARENT","✔ OK")))</f>
        <v/>
      </c>
      <c r="N774" s="71" t="str">
        <f>IF(D774="","",IF(COUNTIF(D$3:D774,D774)&gt;1,"⚠ DUPLICATE",""))</f>
        <v/>
      </c>
      <c r="O774" s="72" t="str">
        <f>IF(B774="","",SUMIF(B:B,B774,G:G)&amp;" / "&amp;IFERROR(VLOOKUP(B774,'Coil Sheet at Plant'!$C:$I,7,FALSE),"?")&amp;" mm")</f>
        <v/>
      </c>
    </row>
    <row r="775" spans="1:15">
      <c r="A775" s="36"/>
      <c r="B775" s="32"/>
      <c r="C775" s="39"/>
      <c r="D775" s="44" t="str">
        <f>IF(OR(B775="",C775=""),"",CONCATENATE(B775,"-",C775))</f>
        <v/>
      </c>
      <c r="E775" s="49" t="str">
        <f>IF(B775="","",IFERROR(VLOOKUP(B775,'Coil Sheet at Plant'!$C:$G,5,FALSE),"ID Not Found"))</f>
        <v/>
      </c>
      <c r="F775" s="50" t="str">
        <f>IF(B775="","",IFERROR(VLOOKUP(B775,'Coil Sheet at Plant'!$C:$H,6,FALSE),"ID Not Found"))</f>
        <v/>
      </c>
      <c r="G775" s="81">
        <v>922</v>
      </c>
      <c r="H775" s="89" t="str">
        <f>IF(OR(B775="",G775=""),"",IFERROR(VLOOKUP(B775,'Coil Sheet at Plant'!$C:$J,8,FALSE),0)*G775/SUMIF(B:B,B775,G:G))</f>
        <v/>
      </c>
      <c r="I775" s="56" t="str">
        <f>IF(B775="","",IFERROR(VLOOKUP(B775,'Coil Sheet at Plant'!$C:$L,9,FALSE),""))</f>
        <v/>
      </c>
      <c r="J775" s="85" t="str">
        <f>IF(B775="","",IFERROR(VLOOKUP(B775,'Coil Sheet at Plant'!$C:$M,10,FALSE),""))</f>
        <v/>
      </c>
      <c r="K775" s="69" t="str">
        <f>IF(B775="","",SUMIF(B:B,B775,G:G))</f>
        <v/>
      </c>
      <c r="L775" s="70" t="str">
        <f>IF(B775="","",IFERROR(VLOOKUP(B775,'Coil Sheet at Plant'!$C:$I,7,FALSE),""))</f>
        <v/>
      </c>
      <c r="M775" s="71" t="str">
        <f>IF(OR(K775="",L775=""),"",IF(L775=0,"⚠ NO PARENT WIDTH",IF(K775&gt;L775,"⚠ BABY &gt; PARENT","✔ OK")))</f>
        <v/>
      </c>
      <c r="N775" s="71" t="str">
        <f>IF(D775="","",IF(COUNTIF(D$3:D775,D775)&gt;1,"⚠ DUPLICATE",""))</f>
        <v/>
      </c>
      <c r="O775" s="72" t="str">
        <f>IF(B775="","",SUMIF(B:B,B775,G:G)&amp;" / "&amp;IFERROR(VLOOKUP(B775,'Coil Sheet at Plant'!$C:$I,7,FALSE),"?")&amp;" mm")</f>
        <v/>
      </c>
    </row>
    <row r="776" spans="1:15">
      <c r="A776" s="36"/>
      <c r="B776" s="32"/>
      <c r="C776" s="39"/>
      <c r="D776" s="44" t="str">
        <f>IF(OR(B776="",C776=""),"",CONCATENATE(B776,"-",C776))</f>
        <v/>
      </c>
      <c r="E776" s="49" t="str">
        <f>IF(B776="","",IFERROR(VLOOKUP(B776,'Coil Sheet at Plant'!$C:$G,5,FALSE),"ID Not Found"))</f>
        <v/>
      </c>
      <c r="F776" s="50" t="str">
        <f>IF(B776="","",IFERROR(VLOOKUP(B776,'Coil Sheet at Plant'!$C:$H,6,FALSE),"ID Not Found"))</f>
        <v/>
      </c>
      <c r="G776" s="81">
        <v>923</v>
      </c>
      <c r="H776" s="89" t="str">
        <f>IF(OR(B776="",G776=""),"",IFERROR(VLOOKUP(B776,'Coil Sheet at Plant'!$C:$J,8,FALSE),0)*G776/SUMIF(B:B,B776,G:G))</f>
        <v/>
      </c>
      <c r="I776" s="56" t="str">
        <f>IF(B776="","",IFERROR(VLOOKUP(B776,'Coil Sheet at Plant'!$C:$L,9,FALSE),""))</f>
        <v/>
      </c>
      <c r="J776" s="85" t="str">
        <f>IF(B776="","",IFERROR(VLOOKUP(B776,'Coil Sheet at Plant'!$C:$M,10,FALSE),""))</f>
        <v/>
      </c>
      <c r="K776" s="69" t="str">
        <f>IF(B776="","",SUMIF(B:B,B776,G:G))</f>
        <v/>
      </c>
      <c r="L776" s="70" t="str">
        <f>IF(B776="","",IFERROR(VLOOKUP(B776,'Coil Sheet at Plant'!$C:$I,7,FALSE),""))</f>
        <v/>
      </c>
      <c r="M776" s="71" t="str">
        <f>IF(OR(K776="",L776=""),"",IF(L776=0,"⚠ NO PARENT WIDTH",IF(K776&gt;L776,"⚠ BABY &gt; PARENT","✔ OK")))</f>
        <v/>
      </c>
      <c r="N776" s="71" t="str">
        <f>IF(D776="","",IF(COUNTIF(D$3:D776,D776)&gt;1,"⚠ DUPLICATE",""))</f>
        <v/>
      </c>
      <c r="O776" s="72" t="str">
        <f>IF(B776="","",SUMIF(B:B,B776,G:G)&amp;" / "&amp;IFERROR(VLOOKUP(B776,'Coil Sheet at Plant'!$C:$I,7,FALSE),"?")&amp;" mm")</f>
        <v/>
      </c>
    </row>
    <row r="777" spans="1:15">
      <c r="A777" s="36"/>
      <c r="B777" s="32"/>
      <c r="C777" s="39"/>
      <c r="D777" s="44" t="str">
        <f>IF(OR(B777="",C777=""),"",CONCATENATE(B777,"-",C777))</f>
        <v/>
      </c>
      <c r="E777" s="49" t="str">
        <f>IF(B777="","",IFERROR(VLOOKUP(B777,'Coil Sheet at Plant'!$C:$G,5,FALSE),"ID Not Found"))</f>
        <v/>
      </c>
      <c r="F777" s="50" t="str">
        <f>IF(B777="","",IFERROR(VLOOKUP(B777,'Coil Sheet at Plant'!$C:$H,6,FALSE),"ID Not Found"))</f>
        <v/>
      </c>
      <c r="G777" s="81">
        <v>924</v>
      </c>
      <c r="H777" s="89" t="str">
        <f>IF(OR(B777="",G777=""),"",IFERROR(VLOOKUP(B777,'Coil Sheet at Plant'!$C:$J,8,FALSE),0)*G777/SUMIF(B:B,B777,G:G))</f>
        <v/>
      </c>
      <c r="I777" s="56" t="str">
        <f>IF(B777="","",IFERROR(VLOOKUP(B777,'Coil Sheet at Plant'!$C:$L,9,FALSE),""))</f>
        <v/>
      </c>
      <c r="J777" s="85" t="str">
        <f>IF(B777="","",IFERROR(VLOOKUP(B777,'Coil Sheet at Plant'!$C:$M,10,FALSE),""))</f>
        <v/>
      </c>
      <c r="K777" s="69" t="str">
        <f>IF(B777="","",SUMIF(B:B,B777,G:G))</f>
        <v/>
      </c>
      <c r="L777" s="70" t="str">
        <f>IF(B777="","",IFERROR(VLOOKUP(B777,'Coil Sheet at Plant'!$C:$I,7,FALSE),""))</f>
        <v/>
      </c>
      <c r="M777" s="71" t="str">
        <f>IF(OR(K777="",L777=""),"",IF(L777=0,"⚠ NO PARENT WIDTH",IF(K777&gt;L777,"⚠ BABY &gt; PARENT","✔ OK")))</f>
        <v/>
      </c>
      <c r="N777" s="71" t="str">
        <f>IF(D777="","",IF(COUNTIF(D$3:D777,D777)&gt;1,"⚠ DUPLICATE",""))</f>
        <v/>
      </c>
      <c r="O777" s="72" t="str">
        <f>IF(B777="","",SUMIF(B:B,B777,G:G)&amp;" / "&amp;IFERROR(VLOOKUP(B777,'Coil Sheet at Plant'!$C:$I,7,FALSE),"?")&amp;" mm")</f>
        <v/>
      </c>
    </row>
    <row r="778" spans="1:15">
      <c r="A778" s="36"/>
      <c r="B778" s="32"/>
      <c r="C778" s="39"/>
      <c r="D778" s="44" t="str">
        <f>IF(OR(B778="",C778=""),"",CONCATENATE(B778,"-",C778))</f>
        <v/>
      </c>
      <c r="E778" s="49" t="str">
        <f>IF(B778="","",IFERROR(VLOOKUP(B778,'Coil Sheet at Plant'!$C:$G,5,FALSE),"ID Not Found"))</f>
        <v/>
      </c>
      <c r="F778" s="50" t="str">
        <f>IF(B778="","",IFERROR(VLOOKUP(B778,'Coil Sheet at Plant'!$C:$H,6,FALSE),"ID Not Found"))</f>
        <v/>
      </c>
      <c r="G778" s="81">
        <v>925</v>
      </c>
      <c r="H778" s="89" t="str">
        <f>IF(OR(B778="",G778=""),"",IFERROR(VLOOKUP(B778,'Coil Sheet at Plant'!$C:$J,8,FALSE),0)*G778/SUMIF(B:B,B778,G:G))</f>
        <v/>
      </c>
      <c r="I778" s="56" t="str">
        <f>IF(B778="","",IFERROR(VLOOKUP(B778,'Coil Sheet at Plant'!$C:$L,9,FALSE),""))</f>
        <v/>
      </c>
      <c r="J778" s="85" t="str">
        <f>IF(B778="","",IFERROR(VLOOKUP(B778,'Coil Sheet at Plant'!$C:$M,10,FALSE),""))</f>
        <v/>
      </c>
      <c r="K778" s="69" t="str">
        <f>IF(B778="","",SUMIF(B:B,B778,G:G))</f>
        <v/>
      </c>
      <c r="L778" s="70" t="str">
        <f>IF(B778="","",IFERROR(VLOOKUP(B778,'Coil Sheet at Plant'!$C:$I,7,FALSE),""))</f>
        <v/>
      </c>
      <c r="M778" s="71" t="str">
        <f>IF(OR(K778="",L778=""),"",IF(L778=0,"⚠ NO PARENT WIDTH",IF(K778&gt;L778,"⚠ BABY &gt; PARENT","✔ OK")))</f>
        <v/>
      </c>
      <c r="N778" s="71" t="str">
        <f>IF(D778="","",IF(COUNTIF(D$3:D778,D778)&gt;1,"⚠ DUPLICATE",""))</f>
        <v/>
      </c>
      <c r="O778" s="72" t="str">
        <f>IF(B778="","",SUMIF(B:B,B778,G:G)&amp;" / "&amp;IFERROR(VLOOKUP(B778,'Coil Sheet at Plant'!$C:$I,7,FALSE),"?")&amp;" mm")</f>
        <v/>
      </c>
    </row>
    <row r="779" spans="1:15">
      <c r="A779" s="36"/>
      <c r="B779" s="32"/>
      <c r="C779" s="39"/>
      <c r="D779" s="44" t="str">
        <f>IF(OR(B779="",C779=""),"",CONCATENATE(B779,"-",C779))</f>
        <v/>
      </c>
      <c r="E779" s="49" t="str">
        <f>IF(B779="","",IFERROR(VLOOKUP(B779,'Coil Sheet at Plant'!$C:$G,5,FALSE),"ID Not Found"))</f>
        <v/>
      </c>
      <c r="F779" s="50" t="str">
        <f>IF(B779="","",IFERROR(VLOOKUP(B779,'Coil Sheet at Plant'!$C:$H,6,FALSE),"ID Not Found"))</f>
        <v/>
      </c>
      <c r="G779" s="81">
        <v>926</v>
      </c>
      <c r="H779" s="89" t="str">
        <f>IF(OR(B779="",G779=""),"",IFERROR(VLOOKUP(B779,'Coil Sheet at Plant'!$C:$J,8,FALSE),0)*G779/SUMIF(B:B,B779,G:G))</f>
        <v/>
      </c>
      <c r="I779" s="56" t="str">
        <f>IF(B779="","",IFERROR(VLOOKUP(B779,'Coil Sheet at Plant'!$C:$L,9,FALSE),""))</f>
        <v/>
      </c>
      <c r="J779" s="85" t="str">
        <f>IF(B779="","",IFERROR(VLOOKUP(B779,'Coil Sheet at Plant'!$C:$M,10,FALSE),""))</f>
        <v/>
      </c>
      <c r="K779" s="69" t="str">
        <f>IF(B779="","",SUMIF(B:B,B779,G:G))</f>
        <v/>
      </c>
      <c r="L779" s="70" t="str">
        <f>IF(B779="","",IFERROR(VLOOKUP(B779,'Coil Sheet at Plant'!$C:$I,7,FALSE),""))</f>
        <v/>
      </c>
      <c r="M779" s="71" t="str">
        <f>IF(OR(K779="",L779=""),"",IF(L779=0,"⚠ NO PARENT WIDTH",IF(K779&gt;L779,"⚠ BABY &gt; PARENT","✔ OK")))</f>
        <v/>
      </c>
      <c r="N779" s="71" t="str">
        <f>IF(D779="","",IF(COUNTIF(D$3:D779,D779)&gt;1,"⚠ DUPLICATE",""))</f>
        <v/>
      </c>
      <c r="O779" s="72" t="str">
        <f>IF(B779="","",SUMIF(B:B,B779,G:G)&amp;" / "&amp;IFERROR(VLOOKUP(B779,'Coil Sheet at Plant'!$C:$I,7,FALSE),"?")&amp;" mm")</f>
        <v/>
      </c>
    </row>
    <row r="780" spans="1:15">
      <c r="A780" s="36"/>
      <c r="B780" s="32"/>
      <c r="C780" s="39"/>
      <c r="D780" s="44" t="str">
        <f>IF(OR(B780="",C780=""),"",CONCATENATE(B780,"-",C780))</f>
        <v/>
      </c>
      <c r="E780" s="49" t="str">
        <f>IF(B780="","",IFERROR(VLOOKUP(B780,'Coil Sheet at Plant'!$C:$G,5,FALSE),"ID Not Found"))</f>
        <v/>
      </c>
      <c r="F780" s="50" t="str">
        <f>IF(B780="","",IFERROR(VLOOKUP(B780,'Coil Sheet at Plant'!$C:$H,6,FALSE),"ID Not Found"))</f>
        <v/>
      </c>
      <c r="G780" s="81">
        <v>927</v>
      </c>
      <c r="H780" s="89" t="str">
        <f>IF(OR(B780="",G780=""),"",IFERROR(VLOOKUP(B780,'Coil Sheet at Plant'!$C:$J,8,FALSE),0)*G780/SUMIF(B:B,B780,G:G))</f>
        <v/>
      </c>
      <c r="I780" s="56" t="str">
        <f>IF(B780="","",IFERROR(VLOOKUP(B780,'Coil Sheet at Plant'!$C:$L,9,FALSE),""))</f>
        <v/>
      </c>
      <c r="J780" s="85" t="str">
        <f>IF(B780="","",IFERROR(VLOOKUP(B780,'Coil Sheet at Plant'!$C:$M,10,FALSE),""))</f>
        <v/>
      </c>
      <c r="K780" s="69" t="str">
        <f>IF(B780="","",SUMIF(B:B,B780,G:G))</f>
        <v/>
      </c>
      <c r="L780" s="70" t="str">
        <f>IF(B780="","",IFERROR(VLOOKUP(B780,'Coil Sheet at Plant'!$C:$I,7,FALSE),""))</f>
        <v/>
      </c>
      <c r="M780" s="71" t="str">
        <f>IF(OR(K780="",L780=""),"",IF(L780=0,"⚠ NO PARENT WIDTH",IF(K780&gt;L780,"⚠ BABY &gt; PARENT","✔ OK")))</f>
        <v/>
      </c>
      <c r="N780" s="71" t="str">
        <f>IF(D780="","",IF(COUNTIF(D$3:D780,D780)&gt;1,"⚠ DUPLICATE",""))</f>
        <v/>
      </c>
      <c r="O780" s="72" t="str">
        <f>IF(B780="","",SUMIF(B:B,B780,G:G)&amp;" / "&amp;IFERROR(VLOOKUP(B780,'Coil Sheet at Plant'!$C:$I,7,FALSE),"?")&amp;" mm")</f>
        <v/>
      </c>
    </row>
    <row r="781" spans="1:15">
      <c r="A781" s="36"/>
      <c r="B781" s="32"/>
      <c r="C781" s="39"/>
      <c r="D781" s="44" t="str">
        <f>IF(OR(B781="",C781=""),"",CONCATENATE(B781,"-",C781))</f>
        <v/>
      </c>
      <c r="E781" s="49" t="str">
        <f>IF(B781="","",IFERROR(VLOOKUP(B781,'Coil Sheet at Plant'!$C:$G,5,FALSE),"ID Not Found"))</f>
        <v/>
      </c>
      <c r="F781" s="50" t="str">
        <f>IF(B781="","",IFERROR(VLOOKUP(B781,'Coil Sheet at Plant'!$C:$H,6,FALSE),"ID Not Found"))</f>
        <v/>
      </c>
      <c r="G781" s="81">
        <v>928</v>
      </c>
      <c r="H781" s="89" t="str">
        <f>IF(OR(B781="",G781=""),"",IFERROR(VLOOKUP(B781,'Coil Sheet at Plant'!$C:$J,8,FALSE),0)*G781/SUMIF(B:B,B781,G:G))</f>
        <v/>
      </c>
      <c r="I781" s="56" t="str">
        <f>IF(B781="","",IFERROR(VLOOKUP(B781,'Coil Sheet at Plant'!$C:$L,9,FALSE),""))</f>
        <v/>
      </c>
      <c r="J781" s="85" t="str">
        <f>IF(B781="","",IFERROR(VLOOKUP(B781,'Coil Sheet at Plant'!$C:$M,10,FALSE),""))</f>
        <v/>
      </c>
      <c r="K781" s="69" t="str">
        <f>IF(B781="","",SUMIF(B:B,B781,G:G))</f>
        <v/>
      </c>
      <c r="L781" s="70" t="str">
        <f>IF(B781="","",IFERROR(VLOOKUP(B781,'Coil Sheet at Plant'!$C:$I,7,FALSE),""))</f>
        <v/>
      </c>
      <c r="M781" s="71" t="str">
        <f>IF(OR(K781="",L781=""),"",IF(L781=0,"⚠ NO PARENT WIDTH",IF(K781&gt;L781,"⚠ BABY &gt; PARENT","✔ OK")))</f>
        <v/>
      </c>
      <c r="N781" s="71" t="str">
        <f>IF(D781="","",IF(COUNTIF(D$3:D781,D781)&gt;1,"⚠ DUPLICATE",""))</f>
        <v/>
      </c>
      <c r="O781" s="72" t="str">
        <f>IF(B781="","",SUMIF(B:B,B781,G:G)&amp;" / "&amp;IFERROR(VLOOKUP(B781,'Coil Sheet at Plant'!$C:$I,7,FALSE),"?")&amp;" mm")</f>
        <v/>
      </c>
    </row>
    <row r="782" spans="1:15">
      <c r="A782" s="36"/>
      <c r="B782" s="32"/>
      <c r="C782" s="39"/>
      <c r="D782" s="44" t="str">
        <f>IF(OR(B782="",C782=""),"",CONCATENATE(B782,"-",C782))</f>
        <v/>
      </c>
      <c r="E782" s="49" t="str">
        <f>IF(B782="","",IFERROR(VLOOKUP(B782,'Coil Sheet at Plant'!$C:$G,5,FALSE),"ID Not Found"))</f>
        <v/>
      </c>
      <c r="F782" s="50" t="str">
        <f>IF(B782="","",IFERROR(VLOOKUP(B782,'Coil Sheet at Plant'!$C:$H,6,FALSE),"ID Not Found"))</f>
        <v/>
      </c>
      <c r="G782" s="81">
        <v>929</v>
      </c>
      <c r="H782" s="89" t="str">
        <f>IF(OR(B782="",G782=""),"",IFERROR(VLOOKUP(B782,'Coil Sheet at Plant'!$C:$J,8,FALSE),0)*G782/SUMIF(B:B,B782,G:G))</f>
        <v/>
      </c>
      <c r="I782" s="56" t="str">
        <f>IF(B782="","",IFERROR(VLOOKUP(B782,'Coil Sheet at Plant'!$C:$L,9,FALSE),""))</f>
        <v/>
      </c>
      <c r="J782" s="85" t="str">
        <f>IF(B782="","",IFERROR(VLOOKUP(B782,'Coil Sheet at Plant'!$C:$M,10,FALSE),""))</f>
        <v/>
      </c>
      <c r="K782" s="69" t="str">
        <f>IF(B782="","",SUMIF(B:B,B782,G:G))</f>
        <v/>
      </c>
      <c r="L782" s="70" t="str">
        <f>IF(B782="","",IFERROR(VLOOKUP(B782,'Coil Sheet at Plant'!$C:$I,7,FALSE),""))</f>
        <v/>
      </c>
      <c r="M782" s="71" t="str">
        <f>IF(OR(K782="",L782=""),"",IF(L782=0,"⚠ NO PARENT WIDTH",IF(K782&gt;L782,"⚠ BABY &gt; PARENT","✔ OK")))</f>
        <v/>
      </c>
      <c r="N782" s="71" t="str">
        <f>IF(D782="","",IF(COUNTIF(D$3:D782,D782)&gt;1,"⚠ DUPLICATE",""))</f>
        <v/>
      </c>
      <c r="O782" s="72" t="str">
        <f>IF(B782="","",SUMIF(B:B,B782,G:G)&amp;" / "&amp;IFERROR(VLOOKUP(B782,'Coil Sheet at Plant'!$C:$I,7,FALSE),"?")&amp;" mm")</f>
        <v/>
      </c>
    </row>
    <row r="783" spans="1:15">
      <c r="A783" s="36"/>
      <c r="B783" s="32"/>
      <c r="C783" s="39"/>
      <c r="D783" s="44" t="str">
        <f>IF(OR(B783="",C783=""),"",CONCATENATE(B783,"-",C783))</f>
        <v/>
      </c>
      <c r="E783" s="49" t="str">
        <f>IF(B783="","",IFERROR(VLOOKUP(B783,'Coil Sheet at Plant'!$C:$G,5,FALSE),"ID Not Found"))</f>
        <v/>
      </c>
      <c r="F783" s="50" t="str">
        <f>IF(B783="","",IFERROR(VLOOKUP(B783,'Coil Sheet at Plant'!$C:$H,6,FALSE),"ID Not Found"))</f>
        <v/>
      </c>
      <c r="G783" s="81">
        <v>930</v>
      </c>
      <c r="H783" s="89" t="str">
        <f>IF(OR(B783="",G783=""),"",IFERROR(VLOOKUP(B783,'Coil Sheet at Plant'!$C:$J,8,FALSE),0)*G783/SUMIF(B:B,B783,G:G))</f>
        <v/>
      </c>
      <c r="I783" s="56" t="str">
        <f>IF(B783="","",IFERROR(VLOOKUP(B783,'Coil Sheet at Plant'!$C:$L,9,FALSE),""))</f>
        <v/>
      </c>
      <c r="J783" s="85" t="str">
        <f>IF(B783="","",IFERROR(VLOOKUP(B783,'Coil Sheet at Plant'!$C:$M,10,FALSE),""))</f>
        <v/>
      </c>
      <c r="K783" s="69" t="str">
        <f>IF(B783="","",SUMIF(B:B,B783,G:G))</f>
        <v/>
      </c>
      <c r="L783" s="70" t="str">
        <f>IF(B783="","",IFERROR(VLOOKUP(B783,'Coil Sheet at Plant'!$C:$I,7,FALSE),""))</f>
        <v/>
      </c>
      <c r="M783" s="71" t="str">
        <f>IF(OR(K783="",L783=""),"",IF(L783=0,"⚠ NO PARENT WIDTH",IF(K783&gt;L783,"⚠ BABY &gt; PARENT","✔ OK")))</f>
        <v/>
      </c>
      <c r="N783" s="71" t="str">
        <f>IF(D783="","",IF(COUNTIF(D$3:D783,D783)&gt;1,"⚠ DUPLICATE",""))</f>
        <v/>
      </c>
      <c r="O783" s="72" t="str">
        <f>IF(B783="","",SUMIF(B:B,B783,G:G)&amp;" / "&amp;IFERROR(VLOOKUP(B783,'Coil Sheet at Plant'!$C:$I,7,FALSE),"?")&amp;" mm")</f>
        <v/>
      </c>
    </row>
    <row r="784" spans="1:15">
      <c r="A784" s="36"/>
      <c r="B784" s="32"/>
      <c r="C784" s="39"/>
      <c r="D784" s="44" t="str">
        <f>IF(OR(B784="",C784=""),"",CONCATENATE(B784,"-",C784))</f>
        <v/>
      </c>
      <c r="E784" s="49" t="str">
        <f>IF(B784="","",IFERROR(VLOOKUP(B784,'Coil Sheet at Plant'!$C:$G,5,FALSE),"ID Not Found"))</f>
        <v/>
      </c>
      <c r="F784" s="50" t="str">
        <f>IF(B784="","",IFERROR(VLOOKUP(B784,'Coil Sheet at Plant'!$C:$H,6,FALSE),"ID Not Found"))</f>
        <v/>
      </c>
      <c r="G784" s="81">
        <v>931</v>
      </c>
      <c r="H784" s="89" t="str">
        <f>IF(OR(B784="",G784=""),"",IFERROR(VLOOKUP(B784,'Coil Sheet at Plant'!$C:$J,8,FALSE),0)*G784/SUMIF(B:B,B784,G:G))</f>
        <v/>
      </c>
      <c r="I784" s="56" t="str">
        <f>IF(B784="","",IFERROR(VLOOKUP(B784,'Coil Sheet at Plant'!$C:$L,9,FALSE),""))</f>
        <v/>
      </c>
      <c r="J784" s="85" t="str">
        <f>IF(B784="","",IFERROR(VLOOKUP(B784,'Coil Sheet at Plant'!$C:$M,10,FALSE),""))</f>
        <v/>
      </c>
      <c r="K784" s="69" t="str">
        <f>IF(B784="","",SUMIF(B:B,B784,G:G))</f>
        <v/>
      </c>
      <c r="L784" s="70" t="str">
        <f>IF(B784="","",IFERROR(VLOOKUP(B784,'Coil Sheet at Plant'!$C:$I,7,FALSE),""))</f>
        <v/>
      </c>
      <c r="M784" s="71" t="str">
        <f>IF(OR(K784="",L784=""),"",IF(L784=0,"⚠ NO PARENT WIDTH",IF(K784&gt;L784,"⚠ BABY &gt; PARENT","✔ OK")))</f>
        <v/>
      </c>
      <c r="N784" s="71" t="str">
        <f>IF(D784="","",IF(COUNTIF(D$3:D784,D784)&gt;1,"⚠ DUPLICATE",""))</f>
        <v/>
      </c>
      <c r="O784" s="72" t="str">
        <f>IF(B784="","",SUMIF(B:B,B784,G:G)&amp;" / "&amp;IFERROR(VLOOKUP(B784,'Coil Sheet at Plant'!$C:$I,7,FALSE),"?")&amp;" mm")</f>
        <v/>
      </c>
    </row>
    <row r="785" spans="1:15">
      <c r="A785" s="36"/>
      <c r="B785" s="32"/>
      <c r="C785" s="39"/>
      <c r="D785" s="44" t="str">
        <f>IF(OR(B785="",C785=""),"",CONCATENATE(B785,"-",C785))</f>
        <v/>
      </c>
      <c r="E785" s="49" t="str">
        <f>IF(B785="","",IFERROR(VLOOKUP(B785,'Coil Sheet at Plant'!$C:$G,5,FALSE),"ID Not Found"))</f>
        <v/>
      </c>
      <c r="F785" s="50" t="str">
        <f>IF(B785="","",IFERROR(VLOOKUP(B785,'Coil Sheet at Plant'!$C:$H,6,FALSE),"ID Not Found"))</f>
        <v/>
      </c>
      <c r="G785" s="81">
        <v>932</v>
      </c>
      <c r="H785" s="89" t="str">
        <f>IF(OR(B785="",G785=""),"",IFERROR(VLOOKUP(B785,'Coil Sheet at Plant'!$C:$J,8,FALSE),0)*G785/SUMIF(B:B,B785,G:G))</f>
        <v/>
      </c>
      <c r="I785" s="56" t="str">
        <f>IF(B785="","",IFERROR(VLOOKUP(B785,'Coil Sheet at Plant'!$C:$L,9,FALSE),""))</f>
        <v/>
      </c>
      <c r="J785" s="85" t="str">
        <f>IF(B785="","",IFERROR(VLOOKUP(B785,'Coil Sheet at Plant'!$C:$M,10,FALSE),""))</f>
        <v/>
      </c>
      <c r="K785" s="69" t="str">
        <f>IF(B785="","",SUMIF(B:B,B785,G:G))</f>
        <v/>
      </c>
      <c r="L785" s="70" t="str">
        <f>IF(B785="","",IFERROR(VLOOKUP(B785,'Coil Sheet at Plant'!$C:$I,7,FALSE),""))</f>
        <v/>
      </c>
      <c r="M785" s="71" t="str">
        <f>IF(OR(K785="",L785=""),"",IF(L785=0,"⚠ NO PARENT WIDTH",IF(K785&gt;L785,"⚠ BABY &gt; PARENT","✔ OK")))</f>
        <v/>
      </c>
      <c r="N785" s="71" t="str">
        <f>IF(D785="","",IF(COUNTIF(D$3:D785,D785)&gt;1,"⚠ DUPLICATE",""))</f>
        <v/>
      </c>
      <c r="O785" s="72" t="str">
        <f>IF(B785="","",SUMIF(B:B,B785,G:G)&amp;" / "&amp;IFERROR(VLOOKUP(B785,'Coil Sheet at Plant'!$C:$I,7,FALSE),"?")&amp;" mm")</f>
        <v/>
      </c>
    </row>
    <row r="786" spans="1:15">
      <c r="A786" s="36"/>
      <c r="B786" s="32"/>
      <c r="C786" s="39"/>
      <c r="D786" s="44" t="str">
        <f>IF(OR(B786="",C786=""),"",CONCATENATE(B786,"-",C786))</f>
        <v/>
      </c>
      <c r="E786" s="49" t="str">
        <f>IF(B786="","",IFERROR(VLOOKUP(B786,'Coil Sheet at Plant'!$C:$G,5,FALSE),"ID Not Found"))</f>
        <v/>
      </c>
      <c r="F786" s="50" t="str">
        <f>IF(B786="","",IFERROR(VLOOKUP(B786,'Coil Sheet at Plant'!$C:$H,6,FALSE),"ID Not Found"))</f>
        <v/>
      </c>
      <c r="G786" s="81">
        <v>933</v>
      </c>
      <c r="H786" s="89" t="str">
        <f>IF(OR(B786="",G786=""),"",IFERROR(VLOOKUP(B786,'Coil Sheet at Plant'!$C:$J,8,FALSE),0)*G786/SUMIF(B:B,B786,G:G))</f>
        <v/>
      </c>
      <c r="I786" s="56" t="str">
        <f>IF(B786="","",IFERROR(VLOOKUP(B786,'Coil Sheet at Plant'!$C:$L,9,FALSE),""))</f>
        <v/>
      </c>
      <c r="J786" s="85" t="str">
        <f>IF(B786="","",IFERROR(VLOOKUP(B786,'Coil Sheet at Plant'!$C:$M,10,FALSE),""))</f>
        <v/>
      </c>
      <c r="K786" s="69" t="str">
        <f>IF(B786="","",SUMIF(B:B,B786,G:G))</f>
        <v/>
      </c>
      <c r="L786" s="70" t="str">
        <f>IF(B786="","",IFERROR(VLOOKUP(B786,'Coil Sheet at Plant'!$C:$I,7,FALSE),""))</f>
        <v/>
      </c>
      <c r="M786" s="71" t="str">
        <f>IF(OR(K786="",L786=""),"",IF(L786=0,"⚠ NO PARENT WIDTH",IF(K786&gt;L786,"⚠ BABY &gt; PARENT","✔ OK")))</f>
        <v/>
      </c>
      <c r="N786" s="71" t="str">
        <f>IF(D786="","",IF(COUNTIF(D$3:D786,D786)&gt;1,"⚠ DUPLICATE",""))</f>
        <v/>
      </c>
      <c r="O786" s="72" t="str">
        <f>IF(B786="","",SUMIF(B:B,B786,G:G)&amp;" / "&amp;IFERROR(VLOOKUP(B786,'Coil Sheet at Plant'!$C:$I,7,FALSE),"?")&amp;" mm")</f>
        <v/>
      </c>
    </row>
    <row r="787" spans="1:15">
      <c r="A787" s="36"/>
      <c r="B787" s="32"/>
      <c r="C787" s="39"/>
      <c r="D787" s="44" t="str">
        <f>IF(OR(B787="",C787=""),"",CONCATENATE(B787,"-",C787))</f>
        <v/>
      </c>
      <c r="E787" s="49" t="str">
        <f>IF(B787="","",IFERROR(VLOOKUP(B787,'Coil Sheet at Plant'!$C:$G,5,FALSE),"ID Not Found"))</f>
        <v/>
      </c>
      <c r="F787" s="50" t="str">
        <f>IF(B787="","",IFERROR(VLOOKUP(B787,'Coil Sheet at Plant'!$C:$H,6,FALSE),"ID Not Found"))</f>
        <v/>
      </c>
      <c r="G787" s="81">
        <v>934</v>
      </c>
      <c r="H787" s="89" t="str">
        <f>IF(OR(B787="",G787=""),"",IFERROR(VLOOKUP(B787,'Coil Sheet at Plant'!$C:$J,8,FALSE),0)*G787/SUMIF(B:B,B787,G:G))</f>
        <v/>
      </c>
      <c r="I787" s="56" t="str">
        <f>IF(B787="","",IFERROR(VLOOKUP(B787,'Coil Sheet at Plant'!$C:$L,9,FALSE),""))</f>
        <v/>
      </c>
      <c r="J787" s="85" t="str">
        <f>IF(B787="","",IFERROR(VLOOKUP(B787,'Coil Sheet at Plant'!$C:$M,10,FALSE),""))</f>
        <v/>
      </c>
      <c r="K787" s="69" t="str">
        <f>IF(B787="","",SUMIF(B:B,B787,G:G))</f>
        <v/>
      </c>
      <c r="L787" s="70" t="str">
        <f>IF(B787="","",IFERROR(VLOOKUP(B787,'Coil Sheet at Plant'!$C:$I,7,FALSE),""))</f>
        <v/>
      </c>
      <c r="M787" s="71" t="str">
        <f>IF(OR(K787="",L787=""),"",IF(L787=0,"⚠ NO PARENT WIDTH",IF(K787&gt;L787,"⚠ BABY &gt; PARENT","✔ OK")))</f>
        <v/>
      </c>
      <c r="N787" s="71" t="str">
        <f>IF(D787="","",IF(COUNTIF(D$3:D787,D787)&gt;1,"⚠ DUPLICATE",""))</f>
        <v/>
      </c>
      <c r="O787" s="72" t="str">
        <f>IF(B787="","",SUMIF(B:B,B787,G:G)&amp;" / "&amp;IFERROR(VLOOKUP(B787,'Coil Sheet at Plant'!$C:$I,7,FALSE),"?")&amp;" mm")</f>
        <v/>
      </c>
    </row>
    <row r="788" spans="1:15">
      <c r="A788" s="36"/>
      <c r="B788" s="32"/>
      <c r="C788" s="39"/>
      <c r="D788" s="44" t="str">
        <f>IF(OR(B788="",C788=""),"",CONCATENATE(B788,"-",C788))</f>
        <v/>
      </c>
      <c r="E788" s="49" t="str">
        <f>IF(B788="","",IFERROR(VLOOKUP(B788,'Coil Sheet at Plant'!$C:$G,5,FALSE),"ID Not Found"))</f>
        <v/>
      </c>
      <c r="F788" s="50" t="str">
        <f>IF(B788="","",IFERROR(VLOOKUP(B788,'Coil Sheet at Plant'!$C:$H,6,FALSE),"ID Not Found"))</f>
        <v/>
      </c>
      <c r="G788" s="81">
        <v>935</v>
      </c>
      <c r="H788" s="89" t="str">
        <f>IF(OR(B788="",G788=""),"",IFERROR(VLOOKUP(B788,'Coil Sheet at Plant'!$C:$J,8,FALSE),0)*G788/SUMIF(B:B,B788,G:G))</f>
        <v/>
      </c>
      <c r="I788" s="56" t="str">
        <f>IF(B788="","",IFERROR(VLOOKUP(B788,'Coil Sheet at Plant'!$C:$L,9,FALSE),""))</f>
        <v/>
      </c>
      <c r="J788" s="85" t="str">
        <f>IF(B788="","",IFERROR(VLOOKUP(B788,'Coil Sheet at Plant'!$C:$M,10,FALSE),""))</f>
        <v/>
      </c>
      <c r="K788" s="69" t="str">
        <f>IF(B788="","",SUMIF(B:B,B788,G:G))</f>
        <v/>
      </c>
      <c r="L788" s="70" t="str">
        <f>IF(B788="","",IFERROR(VLOOKUP(B788,'Coil Sheet at Plant'!$C:$I,7,FALSE),""))</f>
        <v/>
      </c>
      <c r="M788" s="71" t="str">
        <f>IF(OR(K788="",L788=""),"",IF(L788=0,"⚠ NO PARENT WIDTH",IF(K788&gt;L788,"⚠ BABY &gt; PARENT","✔ OK")))</f>
        <v/>
      </c>
      <c r="N788" s="71" t="str">
        <f>IF(D788="","",IF(COUNTIF(D$3:D788,D788)&gt;1,"⚠ DUPLICATE",""))</f>
        <v/>
      </c>
      <c r="O788" s="72" t="str">
        <f>IF(B788="","",SUMIF(B:B,B788,G:G)&amp;" / "&amp;IFERROR(VLOOKUP(B788,'Coil Sheet at Plant'!$C:$I,7,FALSE),"?")&amp;" mm")</f>
        <v/>
      </c>
    </row>
    <row r="789" spans="1:15">
      <c r="A789" s="36"/>
      <c r="B789" s="32"/>
      <c r="C789" s="39"/>
      <c r="D789" s="44" t="str">
        <f>IF(OR(B789="",C789=""),"",CONCATENATE(B789,"-",C789))</f>
        <v/>
      </c>
      <c r="E789" s="49" t="str">
        <f>IF(B789="","",IFERROR(VLOOKUP(B789,'Coil Sheet at Plant'!$C:$G,5,FALSE),"ID Not Found"))</f>
        <v/>
      </c>
      <c r="F789" s="50" t="str">
        <f>IF(B789="","",IFERROR(VLOOKUP(B789,'Coil Sheet at Plant'!$C:$H,6,FALSE),"ID Not Found"))</f>
        <v/>
      </c>
      <c r="G789" s="81">
        <v>936</v>
      </c>
      <c r="H789" s="89" t="str">
        <f>IF(OR(B789="",G789=""),"",IFERROR(VLOOKUP(B789,'Coil Sheet at Plant'!$C:$J,8,FALSE),0)*G789/SUMIF(B:B,B789,G:G))</f>
        <v/>
      </c>
      <c r="I789" s="56" t="str">
        <f>IF(B789="","",IFERROR(VLOOKUP(B789,'Coil Sheet at Plant'!$C:$L,9,FALSE),""))</f>
        <v/>
      </c>
      <c r="J789" s="85" t="str">
        <f>IF(B789="","",IFERROR(VLOOKUP(B789,'Coil Sheet at Plant'!$C:$M,10,FALSE),""))</f>
        <v/>
      </c>
      <c r="K789" s="69" t="str">
        <f>IF(B789="","",SUMIF(B:B,B789,G:G))</f>
        <v/>
      </c>
      <c r="L789" s="70" t="str">
        <f>IF(B789="","",IFERROR(VLOOKUP(B789,'Coil Sheet at Plant'!$C:$I,7,FALSE),""))</f>
        <v/>
      </c>
      <c r="M789" s="71" t="str">
        <f>IF(OR(K789="",L789=""),"",IF(L789=0,"⚠ NO PARENT WIDTH",IF(K789&gt;L789,"⚠ BABY &gt; PARENT","✔ OK")))</f>
        <v/>
      </c>
      <c r="N789" s="71" t="str">
        <f>IF(D789="","",IF(COUNTIF(D$3:D789,D789)&gt;1,"⚠ DUPLICATE",""))</f>
        <v/>
      </c>
      <c r="O789" s="72" t="str">
        <f>IF(B789="","",SUMIF(B:B,B789,G:G)&amp;" / "&amp;IFERROR(VLOOKUP(B789,'Coil Sheet at Plant'!$C:$I,7,FALSE),"?")&amp;" mm")</f>
        <v/>
      </c>
    </row>
    <row r="790" spans="1:15">
      <c r="A790" s="36"/>
      <c r="B790" s="32"/>
      <c r="C790" s="39"/>
      <c r="D790" s="44" t="str">
        <f>IF(OR(B790="",C790=""),"",CONCATENATE(B790,"-",C790))</f>
        <v/>
      </c>
      <c r="E790" s="49" t="str">
        <f>IF(B790="","",IFERROR(VLOOKUP(B790,'Coil Sheet at Plant'!$C:$G,5,FALSE),"ID Not Found"))</f>
        <v/>
      </c>
      <c r="F790" s="50" t="str">
        <f>IF(B790="","",IFERROR(VLOOKUP(B790,'Coil Sheet at Plant'!$C:$H,6,FALSE),"ID Not Found"))</f>
        <v/>
      </c>
      <c r="G790" s="81">
        <v>937</v>
      </c>
      <c r="H790" s="89" t="str">
        <f>IF(OR(B790="",G790=""),"",IFERROR(VLOOKUP(B790,'Coil Sheet at Plant'!$C:$J,8,FALSE),0)*G790/SUMIF(B:B,B790,G:G))</f>
        <v/>
      </c>
      <c r="I790" s="56" t="str">
        <f>IF(B790="","",IFERROR(VLOOKUP(B790,'Coil Sheet at Plant'!$C:$L,9,FALSE),""))</f>
        <v/>
      </c>
      <c r="J790" s="85" t="str">
        <f>IF(B790="","",IFERROR(VLOOKUP(B790,'Coil Sheet at Plant'!$C:$M,10,FALSE),""))</f>
        <v/>
      </c>
      <c r="K790" s="69" t="str">
        <f>IF(B790="","",SUMIF(B:B,B790,G:G))</f>
        <v/>
      </c>
      <c r="L790" s="70" t="str">
        <f>IF(B790="","",IFERROR(VLOOKUP(B790,'Coil Sheet at Plant'!$C:$I,7,FALSE),""))</f>
        <v/>
      </c>
      <c r="M790" s="71" t="str">
        <f>IF(OR(K790="",L790=""),"",IF(L790=0,"⚠ NO PARENT WIDTH",IF(K790&gt;L790,"⚠ BABY &gt; PARENT","✔ OK")))</f>
        <v/>
      </c>
      <c r="N790" s="71" t="str">
        <f>IF(D790="","",IF(COUNTIF(D$3:D790,D790)&gt;1,"⚠ DUPLICATE",""))</f>
        <v/>
      </c>
      <c r="O790" s="72" t="str">
        <f>IF(B790="","",SUMIF(B:B,B790,G:G)&amp;" / "&amp;IFERROR(VLOOKUP(B790,'Coil Sheet at Plant'!$C:$I,7,FALSE),"?")&amp;" mm")</f>
        <v/>
      </c>
    </row>
    <row r="791" spans="1:15">
      <c r="A791" s="36"/>
      <c r="B791" s="32"/>
      <c r="C791" s="39"/>
      <c r="D791" s="44" t="str">
        <f>IF(OR(B791="",C791=""),"",CONCATENATE(B791,"-",C791))</f>
        <v/>
      </c>
      <c r="E791" s="49" t="str">
        <f>IF(B791="","",IFERROR(VLOOKUP(B791,'Coil Sheet at Plant'!$C:$G,5,FALSE),"ID Not Found"))</f>
        <v/>
      </c>
      <c r="F791" s="50" t="str">
        <f>IF(B791="","",IFERROR(VLOOKUP(B791,'Coil Sheet at Plant'!$C:$H,6,FALSE),"ID Not Found"))</f>
        <v/>
      </c>
      <c r="G791" s="81">
        <v>938</v>
      </c>
      <c r="H791" s="89" t="str">
        <f>IF(OR(B791="",G791=""),"",IFERROR(VLOOKUP(B791,'Coil Sheet at Plant'!$C:$J,8,FALSE),0)*G791/SUMIF(B:B,B791,G:G))</f>
        <v/>
      </c>
      <c r="I791" s="56" t="str">
        <f>IF(B791="","",IFERROR(VLOOKUP(B791,'Coil Sheet at Plant'!$C:$L,9,FALSE),""))</f>
        <v/>
      </c>
      <c r="J791" s="85" t="str">
        <f>IF(B791="","",IFERROR(VLOOKUP(B791,'Coil Sheet at Plant'!$C:$M,10,FALSE),""))</f>
        <v/>
      </c>
      <c r="K791" s="69" t="str">
        <f>IF(B791="","",SUMIF(B:B,B791,G:G))</f>
        <v/>
      </c>
      <c r="L791" s="70" t="str">
        <f>IF(B791="","",IFERROR(VLOOKUP(B791,'Coil Sheet at Plant'!$C:$I,7,FALSE),""))</f>
        <v/>
      </c>
      <c r="M791" s="71" t="str">
        <f>IF(OR(K791="",L791=""),"",IF(L791=0,"⚠ NO PARENT WIDTH",IF(K791&gt;L791,"⚠ BABY &gt; PARENT","✔ OK")))</f>
        <v/>
      </c>
      <c r="N791" s="71" t="str">
        <f>IF(D791="","",IF(COUNTIF(D$3:D791,D791)&gt;1,"⚠ DUPLICATE",""))</f>
        <v/>
      </c>
      <c r="O791" s="72" t="str">
        <f>IF(B791="","",SUMIF(B:B,B791,G:G)&amp;" / "&amp;IFERROR(VLOOKUP(B791,'Coil Sheet at Plant'!$C:$I,7,FALSE),"?")&amp;" mm")</f>
        <v/>
      </c>
    </row>
    <row r="792" spans="1:15">
      <c r="A792" s="36"/>
      <c r="B792" s="32"/>
      <c r="C792" s="39"/>
      <c r="D792" s="44" t="str">
        <f>IF(OR(B792="",C792=""),"",CONCATENATE(B792,"-",C792))</f>
        <v/>
      </c>
      <c r="E792" s="49" t="str">
        <f>IF(B792="","",IFERROR(VLOOKUP(B792,'Coil Sheet at Plant'!$C:$G,5,FALSE),"ID Not Found"))</f>
        <v/>
      </c>
      <c r="F792" s="50" t="str">
        <f>IF(B792="","",IFERROR(VLOOKUP(B792,'Coil Sheet at Plant'!$C:$H,6,FALSE),"ID Not Found"))</f>
        <v/>
      </c>
      <c r="G792" s="81">
        <v>939</v>
      </c>
      <c r="H792" s="89" t="str">
        <f>IF(OR(B792="",G792=""),"",IFERROR(VLOOKUP(B792,'Coil Sheet at Plant'!$C:$J,8,FALSE),0)*G792/SUMIF(B:B,B792,G:G))</f>
        <v/>
      </c>
      <c r="I792" s="56" t="str">
        <f>IF(B792="","",IFERROR(VLOOKUP(B792,'Coil Sheet at Plant'!$C:$L,9,FALSE),""))</f>
        <v/>
      </c>
      <c r="J792" s="85" t="str">
        <f>IF(B792="","",IFERROR(VLOOKUP(B792,'Coil Sheet at Plant'!$C:$M,10,FALSE),""))</f>
        <v/>
      </c>
      <c r="K792" s="69" t="str">
        <f>IF(B792="","",SUMIF(B:B,B792,G:G))</f>
        <v/>
      </c>
      <c r="L792" s="70" t="str">
        <f>IF(B792="","",IFERROR(VLOOKUP(B792,'Coil Sheet at Plant'!$C:$I,7,FALSE),""))</f>
        <v/>
      </c>
      <c r="M792" s="71" t="str">
        <f>IF(OR(K792="",L792=""),"",IF(L792=0,"⚠ NO PARENT WIDTH",IF(K792&gt;L792,"⚠ BABY &gt; PARENT","✔ OK")))</f>
        <v/>
      </c>
      <c r="N792" s="71" t="str">
        <f>IF(D792="","",IF(COUNTIF(D$3:D792,D792)&gt;1,"⚠ DUPLICATE",""))</f>
        <v/>
      </c>
      <c r="O792" s="72" t="str">
        <f>IF(B792="","",SUMIF(B:B,B792,G:G)&amp;" / "&amp;IFERROR(VLOOKUP(B792,'Coil Sheet at Plant'!$C:$I,7,FALSE),"?")&amp;" mm")</f>
        <v/>
      </c>
    </row>
    <row r="793" spans="1:15">
      <c r="A793" s="36"/>
      <c r="B793" s="32"/>
      <c r="C793" s="39"/>
      <c r="D793" s="44" t="str">
        <f>IF(OR(B793="",C793=""),"",CONCATENATE(B793,"-",C793))</f>
        <v/>
      </c>
      <c r="E793" s="49" t="str">
        <f>IF(B793="","",IFERROR(VLOOKUP(B793,'Coil Sheet at Plant'!$C:$G,5,FALSE),"ID Not Found"))</f>
        <v/>
      </c>
      <c r="F793" s="50" t="str">
        <f>IF(B793="","",IFERROR(VLOOKUP(B793,'Coil Sheet at Plant'!$C:$H,6,FALSE),"ID Not Found"))</f>
        <v/>
      </c>
      <c r="G793" s="81">
        <v>940</v>
      </c>
      <c r="H793" s="89" t="str">
        <f>IF(OR(B793="",G793=""),"",IFERROR(VLOOKUP(B793,'Coil Sheet at Plant'!$C:$J,8,FALSE),0)*G793/SUMIF(B:B,B793,G:G))</f>
        <v/>
      </c>
      <c r="I793" s="56" t="str">
        <f>IF(B793="","",IFERROR(VLOOKUP(B793,'Coil Sheet at Plant'!$C:$L,9,FALSE),""))</f>
        <v/>
      </c>
      <c r="J793" s="85" t="str">
        <f>IF(B793="","",IFERROR(VLOOKUP(B793,'Coil Sheet at Plant'!$C:$M,10,FALSE),""))</f>
        <v/>
      </c>
      <c r="K793" s="69" t="str">
        <f>IF(B793="","",SUMIF(B:B,B793,G:G))</f>
        <v/>
      </c>
      <c r="L793" s="70" t="str">
        <f>IF(B793="","",IFERROR(VLOOKUP(B793,'Coil Sheet at Plant'!$C:$I,7,FALSE),""))</f>
        <v/>
      </c>
      <c r="M793" s="71" t="str">
        <f>IF(OR(K793="",L793=""),"",IF(L793=0,"⚠ NO PARENT WIDTH",IF(K793&gt;L793,"⚠ BABY &gt; PARENT","✔ OK")))</f>
        <v/>
      </c>
      <c r="N793" s="71" t="str">
        <f>IF(D793="","",IF(COUNTIF(D$3:D793,D793)&gt;1,"⚠ DUPLICATE",""))</f>
        <v/>
      </c>
      <c r="O793" s="72" t="str">
        <f>IF(B793="","",SUMIF(B:B,B793,G:G)&amp;" / "&amp;IFERROR(VLOOKUP(B793,'Coil Sheet at Plant'!$C:$I,7,FALSE),"?")&amp;" mm")</f>
        <v/>
      </c>
    </row>
    <row r="794" spans="1:15">
      <c r="A794" s="36"/>
      <c r="B794" s="32"/>
      <c r="C794" s="39"/>
      <c r="D794" s="44" t="str">
        <f>IF(OR(B794="",C794=""),"",CONCATENATE(B794,"-",C794))</f>
        <v/>
      </c>
      <c r="E794" s="49" t="str">
        <f>IF(B794="","",IFERROR(VLOOKUP(B794,'Coil Sheet at Plant'!$C:$G,5,FALSE),"ID Not Found"))</f>
        <v/>
      </c>
      <c r="F794" s="50" t="str">
        <f>IF(B794="","",IFERROR(VLOOKUP(B794,'Coil Sheet at Plant'!$C:$H,6,FALSE),"ID Not Found"))</f>
        <v/>
      </c>
      <c r="G794" s="81">
        <v>941</v>
      </c>
      <c r="H794" s="89" t="str">
        <f>IF(OR(B794="",G794=""),"",IFERROR(VLOOKUP(B794,'Coil Sheet at Plant'!$C:$J,8,FALSE),0)*G794/SUMIF(B:B,B794,G:G))</f>
        <v/>
      </c>
      <c r="I794" s="56" t="str">
        <f>IF(B794="","",IFERROR(VLOOKUP(B794,'Coil Sheet at Plant'!$C:$L,9,FALSE),""))</f>
        <v/>
      </c>
      <c r="J794" s="85" t="str">
        <f>IF(B794="","",IFERROR(VLOOKUP(B794,'Coil Sheet at Plant'!$C:$M,10,FALSE),""))</f>
        <v/>
      </c>
      <c r="K794" s="69" t="str">
        <f>IF(B794="","",SUMIF(B:B,B794,G:G))</f>
        <v/>
      </c>
      <c r="L794" s="70" t="str">
        <f>IF(B794="","",IFERROR(VLOOKUP(B794,'Coil Sheet at Plant'!$C:$I,7,FALSE),""))</f>
        <v/>
      </c>
      <c r="M794" s="71" t="str">
        <f>IF(OR(K794="",L794=""),"",IF(L794=0,"⚠ NO PARENT WIDTH",IF(K794&gt;L794,"⚠ BABY &gt; PARENT","✔ OK")))</f>
        <v/>
      </c>
      <c r="N794" s="71" t="str">
        <f>IF(D794="","",IF(COUNTIF(D$3:D794,D794)&gt;1,"⚠ DUPLICATE",""))</f>
        <v/>
      </c>
      <c r="O794" s="72" t="str">
        <f>IF(B794="","",SUMIF(B:B,B794,G:G)&amp;" / "&amp;IFERROR(VLOOKUP(B794,'Coil Sheet at Plant'!$C:$I,7,FALSE),"?")&amp;" mm")</f>
        <v/>
      </c>
    </row>
    <row r="795" spans="1:15">
      <c r="A795" s="36"/>
      <c r="B795" s="32"/>
      <c r="C795" s="39"/>
      <c r="D795" s="44" t="str">
        <f>IF(OR(B795="",C795=""),"",CONCATENATE(B795,"-",C795))</f>
        <v/>
      </c>
      <c r="E795" s="49" t="str">
        <f>IF(B795="","",IFERROR(VLOOKUP(B795,'Coil Sheet at Plant'!$C:$G,5,FALSE),"ID Not Found"))</f>
        <v/>
      </c>
      <c r="F795" s="50" t="str">
        <f>IF(B795="","",IFERROR(VLOOKUP(B795,'Coil Sheet at Plant'!$C:$H,6,FALSE),"ID Not Found"))</f>
        <v/>
      </c>
      <c r="G795" s="81">
        <v>942</v>
      </c>
      <c r="H795" s="89" t="str">
        <f>IF(OR(B795="",G795=""),"",IFERROR(VLOOKUP(B795,'Coil Sheet at Plant'!$C:$J,8,FALSE),0)*G795/SUMIF(B:B,B795,G:G))</f>
        <v/>
      </c>
      <c r="I795" s="56" t="str">
        <f>IF(B795="","",IFERROR(VLOOKUP(B795,'Coil Sheet at Plant'!$C:$L,9,FALSE),""))</f>
        <v/>
      </c>
      <c r="J795" s="85" t="str">
        <f>IF(B795="","",IFERROR(VLOOKUP(B795,'Coil Sheet at Plant'!$C:$M,10,FALSE),""))</f>
        <v/>
      </c>
      <c r="K795" s="69" t="str">
        <f>IF(B795="","",SUMIF(B:B,B795,G:G))</f>
        <v/>
      </c>
      <c r="L795" s="70" t="str">
        <f>IF(B795="","",IFERROR(VLOOKUP(B795,'Coil Sheet at Plant'!$C:$I,7,FALSE),""))</f>
        <v/>
      </c>
      <c r="M795" s="71" t="str">
        <f>IF(OR(K795="",L795=""),"",IF(L795=0,"⚠ NO PARENT WIDTH",IF(K795&gt;L795,"⚠ BABY &gt; PARENT","✔ OK")))</f>
        <v/>
      </c>
      <c r="N795" s="71" t="str">
        <f>IF(D795="","",IF(COUNTIF(D$3:D795,D795)&gt;1,"⚠ DUPLICATE",""))</f>
        <v/>
      </c>
      <c r="O795" s="72" t="str">
        <f>IF(B795="","",SUMIF(B:B,B795,G:G)&amp;" / "&amp;IFERROR(VLOOKUP(B795,'Coil Sheet at Plant'!$C:$I,7,FALSE),"?")&amp;" mm")</f>
        <v/>
      </c>
    </row>
    <row r="796" spans="1:15">
      <c r="A796" s="36"/>
      <c r="B796" s="32"/>
      <c r="C796" s="39"/>
      <c r="D796" s="44" t="str">
        <f>IF(OR(B796="",C796=""),"",CONCATENATE(B796,"-",C796))</f>
        <v/>
      </c>
      <c r="E796" s="49" t="str">
        <f>IF(B796="","",IFERROR(VLOOKUP(B796,'Coil Sheet at Plant'!$C:$G,5,FALSE),"ID Not Found"))</f>
        <v/>
      </c>
      <c r="F796" s="50" t="str">
        <f>IF(B796="","",IFERROR(VLOOKUP(B796,'Coil Sheet at Plant'!$C:$H,6,FALSE),"ID Not Found"))</f>
        <v/>
      </c>
      <c r="G796" s="81">
        <v>943</v>
      </c>
      <c r="H796" s="89" t="str">
        <f>IF(OR(B796="",G796=""),"",IFERROR(VLOOKUP(B796,'Coil Sheet at Plant'!$C:$J,8,FALSE),0)*G796/SUMIF(B:B,B796,G:G))</f>
        <v/>
      </c>
      <c r="I796" s="56" t="str">
        <f>IF(B796="","",IFERROR(VLOOKUP(B796,'Coil Sheet at Plant'!$C:$L,9,FALSE),""))</f>
        <v/>
      </c>
      <c r="J796" s="85" t="str">
        <f>IF(B796="","",IFERROR(VLOOKUP(B796,'Coil Sheet at Plant'!$C:$M,10,FALSE),""))</f>
        <v/>
      </c>
      <c r="K796" s="69" t="str">
        <f>IF(B796="","",SUMIF(B:B,B796,G:G))</f>
        <v/>
      </c>
      <c r="L796" s="70" t="str">
        <f>IF(B796="","",IFERROR(VLOOKUP(B796,'Coil Sheet at Plant'!$C:$I,7,FALSE),""))</f>
        <v/>
      </c>
      <c r="M796" s="71" t="str">
        <f>IF(OR(K796="",L796=""),"",IF(L796=0,"⚠ NO PARENT WIDTH",IF(K796&gt;L796,"⚠ BABY &gt; PARENT","✔ OK")))</f>
        <v/>
      </c>
      <c r="N796" s="71" t="str">
        <f>IF(D796="","",IF(COUNTIF(D$3:D796,D796)&gt;1,"⚠ DUPLICATE",""))</f>
        <v/>
      </c>
      <c r="O796" s="72" t="str">
        <f>IF(B796="","",SUMIF(B:B,B796,G:G)&amp;" / "&amp;IFERROR(VLOOKUP(B796,'Coil Sheet at Plant'!$C:$I,7,FALSE),"?")&amp;" mm")</f>
        <v/>
      </c>
    </row>
    <row r="797" spans="1:15">
      <c r="A797" s="36"/>
      <c r="B797" s="32"/>
      <c r="C797" s="39"/>
      <c r="D797" s="44" t="str">
        <f>IF(OR(B797="",C797=""),"",CONCATENATE(B797,"-",C797))</f>
        <v/>
      </c>
      <c r="E797" s="49" t="str">
        <f>IF(B797="","",IFERROR(VLOOKUP(B797,'Coil Sheet at Plant'!$C:$G,5,FALSE),"ID Not Found"))</f>
        <v/>
      </c>
      <c r="F797" s="50" t="str">
        <f>IF(B797="","",IFERROR(VLOOKUP(B797,'Coil Sheet at Plant'!$C:$H,6,FALSE),"ID Not Found"))</f>
        <v/>
      </c>
      <c r="G797" s="81">
        <v>944</v>
      </c>
      <c r="H797" s="89" t="str">
        <f>IF(OR(B797="",G797=""),"",IFERROR(VLOOKUP(B797,'Coil Sheet at Plant'!$C:$J,8,FALSE),0)*G797/SUMIF(B:B,B797,G:G))</f>
        <v/>
      </c>
      <c r="I797" s="56" t="str">
        <f>IF(B797="","",IFERROR(VLOOKUP(B797,'Coil Sheet at Plant'!$C:$L,9,FALSE),""))</f>
        <v/>
      </c>
      <c r="J797" s="85" t="str">
        <f>IF(B797="","",IFERROR(VLOOKUP(B797,'Coil Sheet at Plant'!$C:$M,10,FALSE),""))</f>
        <v/>
      </c>
      <c r="K797" s="69" t="str">
        <f>IF(B797="","",SUMIF(B:B,B797,G:G))</f>
        <v/>
      </c>
      <c r="L797" s="70" t="str">
        <f>IF(B797="","",IFERROR(VLOOKUP(B797,'Coil Sheet at Plant'!$C:$I,7,FALSE),""))</f>
        <v/>
      </c>
      <c r="M797" s="71" t="str">
        <f>IF(OR(K797="",L797=""),"",IF(L797=0,"⚠ NO PARENT WIDTH",IF(K797&gt;L797,"⚠ BABY &gt; PARENT","✔ OK")))</f>
        <v/>
      </c>
      <c r="N797" s="71" t="str">
        <f>IF(D797="","",IF(COUNTIF(D$3:D797,D797)&gt;1,"⚠ DUPLICATE",""))</f>
        <v/>
      </c>
      <c r="O797" s="72" t="str">
        <f>IF(B797="","",SUMIF(B:B,B797,G:G)&amp;" / "&amp;IFERROR(VLOOKUP(B797,'Coil Sheet at Plant'!$C:$I,7,FALSE),"?")&amp;" mm")</f>
        <v/>
      </c>
    </row>
    <row r="798" spans="1:15">
      <c r="A798" s="36"/>
      <c r="B798" s="32"/>
      <c r="C798" s="39"/>
      <c r="D798" s="44" t="str">
        <f>IF(OR(B798="",C798=""),"",CONCATENATE(B798,"-",C798))</f>
        <v/>
      </c>
      <c r="E798" s="49" t="str">
        <f>IF(B798="","",IFERROR(VLOOKUP(B798,'Coil Sheet at Plant'!$C:$G,5,FALSE),"ID Not Found"))</f>
        <v/>
      </c>
      <c r="F798" s="50" t="str">
        <f>IF(B798="","",IFERROR(VLOOKUP(B798,'Coil Sheet at Plant'!$C:$H,6,FALSE),"ID Not Found"))</f>
        <v/>
      </c>
      <c r="G798" s="81">
        <v>945</v>
      </c>
      <c r="H798" s="89" t="str">
        <f>IF(OR(B798="",G798=""),"",IFERROR(VLOOKUP(B798,'Coil Sheet at Plant'!$C:$J,8,FALSE),0)*G798/SUMIF(B:B,B798,G:G))</f>
        <v/>
      </c>
      <c r="I798" s="56" t="str">
        <f>IF(B798="","",IFERROR(VLOOKUP(B798,'Coil Sheet at Plant'!$C:$L,9,FALSE),""))</f>
        <v/>
      </c>
      <c r="J798" s="85" t="str">
        <f>IF(B798="","",IFERROR(VLOOKUP(B798,'Coil Sheet at Plant'!$C:$M,10,FALSE),""))</f>
        <v/>
      </c>
      <c r="K798" s="69" t="str">
        <f>IF(B798="","",SUMIF(B:B,B798,G:G))</f>
        <v/>
      </c>
      <c r="L798" s="70" t="str">
        <f>IF(B798="","",IFERROR(VLOOKUP(B798,'Coil Sheet at Plant'!$C:$I,7,FALSE),""))</f>
        <v/>
      </c>
      <c r="M798" s="71" t="str">
        <f>IF(OR(K798="",L798=""),"",IF(L798=0,"⚠ NO PARENT WIDTH",IF(K798&gt;L798,"⚠ BABY &gt; PARENT","✔ OK")))</f>
        <v/>
      </c>
      <c r="N798" s="71" t="str">
        <f>IF(D798="","",IF(COUNTIF(D$3:D798,D798)&gt;1,"⚠ DUPLICATE",""))</f>
        <v/>
      </c>
      <c r="O798" s="72" t="str">
        <f>IF(B798="","",SUMIF(B:B,B798,G:G)&amp;" / "&amp;IFERROR(VLOOKUP(B798,'Coil Sheet at Plant'!$C:$I,7,FALSE),"?")&amp;" mm")</f>
        <v/>
      </c>
    </row>
    <row r="799" spans="1:15">
      <c r="A799" s="36"/>
      <c r="B799" s="32"/>
      <c r="C799" s="39"/>
      <c r="D799" s="44" t="str">
        <f>IF(OR(B799="",C799=""),"",CONCATENATE(B799,"-",C799))</f>
        <v/>
      </c>
      <c r="E799" s="49" t="str">
        <f>IF(B799="","",IFERROR(VLOOKUP(B799,'Coil Sheet at Plant'!$C:$G,5,FALSE),"ID Not Found"))</f>
        <v/>
      </c>
      <c r="F799" s="50" t="str">
        <f>IF(B799="","",IFERROR(VLOOKUP(B799,'Coil Sheet at Plant'!$C:$H,6,FALSE),"ID Not Found"))</f>
        <v/>
      </c>
      <c r="G799" s="81">
        <v>946</v>
      </c>
      <c r="H799" s="89" t="str">
        <f>IF(OR(B799="",G799=""),"",IFERROR(VLOOKUP(B799,'Coil Sheet at Plant'!$C:$J,8,FALSE),0)*G799/SUMIF(B:B,B799,G:G))</f>
        <v/>
      </c>
      <c r="I799" s="56" t="str">
        <f>IF(B799="","",IFERROR(VLOOKUP(B799,'Coil Sheet at Plant'!$C:$L,9,FALSE),""))</f>
        <v/>
      </c>
      <c r="J799" s="85" t="str">
        <f>IF(B799="","",IFERROR(VLOOKUP(B799,'Coil Sheet at Plant'!$C:$M,10,FALSE),""))</f>
        <v/>
      </c>
      <c r="K799" s="69" t="str">
        <f>IF(B799="","",SUMIF(B:B,B799,G:G))</f>
        <v/>
      </c>
      <c r="L799" s="70" t="str">
        <f>IF(B799="","",IFERROR(VLOOKUP(B799,'Coil Sheet at Plant'!$C:$I,7,FALSE),""))</f>
        <v/>
      </c>
      <c r="M799" s="71" t="str">
        <f>IF(OR(K799="",L799=""),"",IF(L799=0,"⚠ NO PARENT WIDTH",IF(K799&gt;L799,"⚠ BABY &gt; PARENT","✔ OK")))</f>
        <v/>
      </c>
      <c r="N799" s="71" t="str">
        <f>IF(D799="","",IF(COUNTIF(D$3:D799,D799)&gt;1,"⚠ DUPLICATE",""))</f>
        <v/>
      </c>
      <c r="O799" s="72" t="str">
        <f>IF(B799="","",SUMIF(B:B,B799,G:G)&amp;" / "&amp;IFERROR(VLOOKUP(B799,'Coil Sheet at Plant'!$C:$I,7,FALSE),"?")&amp;" mm")</f>
        <v/>
      </c>
    </row>
    <row r="800" spans="1:15">
      <c r="A800" s="36"/>
      <c r="B800" s="32"/>
      <c r="C800" s="39"/>
      <c r="D800" s="44" t="str">
        <f>IF(OR(B800="",C800=""),"",CONCATENATE(B800,"-",C800))</f>
        <v/>
      </c>
      <c r="E800" s="49" t="str">
        <f>IF(B800="","",IFERROR(VLOOKUP(B800,'Coil Sheet at Plant'!$C:$G,5,FALSE),"ID Not Found"))</f>
        <v/>
      </c>
      <c r="F800" s="50" t="str">
        <f>IF(B800="","",IFERROR(VLOOKUP(B800,'Coil Sheet at Plant'!$C:$H,6,FALSE),"ID Not Found"))</f>
        <v/>
      </c>
      <c r="G800" s="81">
        <v>947</v>
      </c>
      <c r="H800" s="89" t="str">
        <f>IF(OR(B800="",G800=""),"",IFERROR(VLOOKUP(B800,'Coil Sheet at Plant'!$C:$J,8,FALSE),0)*G800/SUMIF(B:B,B800,G:G))</f>
        <v/>
      </c>
      <c r="I800" s="56" t="str">
        <f>IF(B800="","",IFERROR(VLOOKUP(B800,'Coil Sheet at Plant'!$C:$L,9,FALSE),""))</f>
        <v/>
      </c>
      <c r="J800" s="85" t="str">
        <f>IF(B800="","",IFERROR(VLOOKUP(B800,'Coil Sheet at Plant'!$C:$M,10,FALSE),""))</f>
        <v/>
      </c>
      <c r="K800" s="69" t="str">
        <f>IF(B800="","",SUMIF(B:B,B800,G:G))</f>
        <v/>
      </c>
      <c r="L800" s="70" t="str">
        <f>IF(B800="","",IFERROR(VLOOKUP(B800,'Coil Sheet at Plant'!$C:$I,7,FALSE),""))</f>
        <v/>
      </c>
      <c r="M800" s="71" t="str">
        <f>IF(OR(K800="",L800=""),"",IF(L800=0,"⚠ NO PARENT WIDTH",IF(K800&gt;L800,"⚠ BABY &gt; PARENT","✔ OK")))</f>
        <v/>
      </c>
      <c r="N800" s="71" t="str">
        <f>IF(D800="","",IF(COUNTIF(D$3:D800,D800)&gt;1,"⚠ DUPLICATE",""))</f>
        <v/>
      </c>
      <c r="O800" s="72" t="str">
        <f>IF(B800="","",SUMIF(B:B,B800,G:G)&amp;" / "&amp;IFERROR(VLOOKUP(B800,'Coil Sheet at Plant'!$C:$I,7,FALSE),"?")&amp;" mm")</f>
        <v/>
      </c>
    </row>
    <row r="801" spans="1:15">
      <c r="A801" s="36"/>
      <c r="B801" s="32"/>
      <c r="C801" s="39"/>
      <c r="D801" s="44" t="str">
        <f>IF(OR(B801="",C801=""),"",CONCATENATE(B801,"-",C801))</f>
        <v/>
      </c>
      <c r="E801" s="49" t="str">
        <f>IF(B801="","",IFERROR(VLOOKUP(B801,'Coil Sheet at Plant'!$C:$G,5,FALSE),"ID Not Found"))</f>
        <v/>
      </c>
      <c r="F801" s="50" t="str">
        <f>IF(B801="","",IFERROR(VLOOKUP(B801,'Coil Sheet at Plant'!$C:$H,6,FALSE),"ID Not Found"))</f>
        <v/>
      </c>
      <c r="G801" s="81">
        <v>948</v>
      </c>
      <c r="H801" s="89" t="str">
        <f>IF(OR(B801="",G801=""),"",IFERROR(VLOOKUP(B801,'Coil Sheet at Plant'!$C:$J,8,FALSE),0)*G801/SUMIF(B:B,B801,G:G))</f>
        <v/>
      </c>
      <c r="I801" s="56" t="str">
        <f>IF(B801="","",IFERROR(VLOOKUP(B801,'Coil Sheet at Plant'!$C:$L,9,FALSE),""))</f>
        <v/>
      </c>
      <c r="J801" s="85" t="str">
        <f>IF(B801="","",IFERROR(VLOOKUP(B801,'Coil Sheet at Plant'!$C:$M,10,FALSE),""))</f>
        <v/>
      </c>
      <c r="K801" s="69" t="str">
        <f>IF(B801="","",SUMIF(B:B,B801,G:G))</f>
        <v/>
      </c>
      <c r="L801" s="70" t="str">
        <f>IF(B801="","",IFERROR(VLOOKUP(B801,'Coil Sheet at Plant'!$C:$I,7,FALSE),""))</f>
        <v/>
      </c>
      <c r="M801" s="71" t="str">
        <f>IF(OR(K801="",L801=""),"",IF(L801=0,"⚠ NO PARENT WIDTH",IF(K801&gt;L801,"⚠ BABY &gt; PARENT","✔ OK")))</f>
        <v/>
      </c>
      <c r="N801" s="71" t="str">
        <f>IF(D801="","",IF(COUNTIF(D$3:D801,D801)&gt;1,"⚠ DUPLICATE",""))</f>
        <v/>
      </c>
      <c r="O801" s="72" t="str">
        <f>IF(B801="","",SUMIF(B:B,B801,G:G)&amp;" / "&amp;IFERROR(VLOOKUP(B801,'Coil Sheet at Plant'!$C:$I,7,FALSE),"?")&amp;" mm")</f>
        <v/>
      </c>
    </row>
    <row r="802" spans="1:15">
      <c r="A802" s="36"/>
      <c r="B802" s="32"/>
      <c r="C802" s="39"/>
      <c r="D802" s="44" t="str">
        <f>IF(OR(B802="",C802=""),"",CONCATENATE(B802,"-",C802))</f>
        <v/>
      </c>
      <c r="E802" s="49" t="str">
        <f>IF(B802="","",IFERROR(VLOOKUP(B802,'Coil Sheet at Plant'!$C:$G,5,FALSE),"ID Not Found"))</f>
        <v/>
      </c>
      <c r="F802" s="50" t="str">
        <f>IF(B802="","",IFERROR(VLOOKUP(B802,'Coil Sheet at Plant'!$C:$H,6,FALSE),"ID Not Found"))</f>
        <v/>
      </c>
      <c r="G802" s="81">
        <v>949</v>
      </c>
      <c r="H802" s="89" t="str">
        <f>IF(OR(B802="",G802=""),"",IFERROR(VLOOKUP(B802,'Coil Sheet at Plant'!$C:$J,8,FALSE),0)*G802/SUMIF(B:B,B802,G:G))</f>
        <v/>
      </c>
      <c r="I802" s="56" t="str">
        <f>IF(B802="","",IFERROR(VLOOKUP(B802,'Coil Sheet at Plant'!$C:$L,9,FALSE),""))</f>
        <v/>
      </c>
      <c r="J802" s="85" t="str">
        <f>IF(B802="","",IFERROR(VLOOKUP(B802,'Coil Sheet at Plant'!$C:$M,10,FALSE),""))</f>
        <v/>
      </c>
      <c r="K802" s="69" t="str">
        <f>IF(B802="","",SUMIF(B:B,B802,G:G))</f>
        <v/>
      </c>
      <c r="L802" s="70" t="str">
        <f>IF(B802="","",IFERROR(VLOOKUP(B802,'Coil Sheet at Plant'!$C:$I,7,FALSE),""))</f>
        <v/>
      </c>
      <c r="M802" s="71" t="str">
        <f>IF(OR(K802="",L802=""),"",IF(L802=0,"⚠ NO PARENT WIDTH",IF(K802&gt;L802,"⚠ BABY &gt; PARENT","✔ OK")))</f>
        <v/>
      </c>
      <c r="N802" s="71" t="str">
        <f>IF(D802="","",IF(COUNTIF(D$3:D802,D802)&gt;1,"⚠ DUPLICATE",""))</f>
        <v/>
      </c>
      <c r="O802" s="72" t="str">
        <f>IF(B802="","",SUMIF(B:B,B802,G:G)&amp;" / "&amp;IFERROR(VLOOKUP(B802,'Coil Sheet at Plant'!$C:$I,7,FALSE),"?")&amp;" mm")</f>
        <v/>
      </c>
    </row>
    <row r="803" spans="1:15">
      <c r="A803" s="36"/>
      <c r="B803" s="32"/>
      <c r="C803" s="39"/>
      <c r="D803" s="44" t="str">
        <f>IF(OR(B803="",C803=""),"",CONCATENATE(B803,"-",C803))</f>
        <v/>
      </c>
      <c r="E803" s="49" t="str">
        <f>IF(B803="","",IFERROR(VLOOKUP(B803,'Coil Sheet at Plant'!$C:$G,5,FALSE),"ID Not Found"))</f>
        <v/>
      </c>
      <c r="F803" s="50" t="str">
        <f>IF(B803="","",IFERROR(VLOOKUP(B803,'Coil Sheet at Plant'!$C:$H,6,FALSE),"ID Not Found"))</f>
        <v/>
      </c>
      <c r="G803" s="81">
        <v>950</v>
      </c>
      <c r="H803" s="89" t="str">
        <f>IF(OR(B803="",G803=""),"",IFERROR(VLOOKUP(B803,'Coil Sheet at Plant'!$C:$J,8,FALSE),0)*G803/SUMIF(B:B,B803,G:G))</f>
        <v/>
      </c>
      <c r="I803" s="56" t="str">
        <f>IF(B803="","",IFERROR(VLOOKUP(B803,'Coil Sheet at Plant'!$C:$L,9,FALSE),""))</f>
        <v/>
      </c>
      <c r="J803" s="85" t="str">
        <f>IF(B803="","",IFERROR(VLOOKUP(B803,'Coil Sheet at Plant'!$C:$M,10,FALSE),""))</f>
        <v/>
      </c>
      <c r="K803" s="69" t="str">
        <f>IF(B803="","",SUMIF(B:B,B803,G:G))</f>
        <v/>
      </c>
      <c r="L803" s="70" t="str">
        <f>IF(B803="","",IFERROR(VLOOKUP(B803,'Coil Sheet at Plant'!$C:$I,7,FALSE),""))</f>
        <v/>
      </c>
      <c r="M803" s="71" t="str">
        <f>IF(OR(K803="",L803=""),"",IF(L803=0,"⚠ NO PARENT WIDTH",IF(K803&gt;L803,"⚠ BABY &gt; PARENT","✔ OK")))</f>
        <v/>
      </c>
      <c r="N803" s="71" t="str">
        <f>IF(D803="","",IF(COUNTIF(D$3:D803,D803)&gt;1,"⚠ DUPLICATE",""))</f>
        <v/>
      </c>
      <c r="O803" s="72" t="str">
        <f>IF(B803="","",SUMIF(B:B,B803,G:G)&amp;" / "&amp;IFERROR(VLOOKUP(B803,'Coil Sheet at Plant'!$C:$I,7,FALSE),"?")&amp;" mm")</f>
        <v/>
      </c>
    </row>
    <row r="804" spans="1:15">
      <c r="A804" s="36"/>
      <c r="B804" s="32"/>
      <c r="C804" s="39"/>
      <c r="D804" s="44" t="str">
        <f>IF(OR(B804="",C804=""),"",CONCATENATE(B804,"-",C804))</f>
        <v/>
      </c>
      <c r="E804" s="49" t="str">
        <f>IF(B804="","",IFERROR(VLOOKUP(B804,'Coil Sheet at Plant'!$C:$G,5,FALSE),"ID Not Found"))</f>
        <v/>
      </c>
      <c r="F804" s="50" t="str">
        <f>IF(B804="","",IFERROR(VLOOKUP(B804,'Coil Sheet at Plant'!$C:$H,6,FALSE),"ID Not Found"))</f>
        <v/>
      </c>
      <c r="G804" s="81">
        <v>951</v>
      </c>
      <c r="H804" s="89" t="str">
        <f>IF(OR(B804="",G804=""),"",IFERROR(VLOOKUP(B804,'Coil Sheet at Plant'!$C:$J,8,FALSE),0)*G804/SUMIF(B:B,B804,G:G))</f>
        <v/>
      </c>
      <c r="I804" s="56" t="str">
        <f>IF(B804="","",IFERROR(VLOOKUP(B804,'Coil Sheet at Plant'!$C:$L,9,FALSE),""))</f>
        <v/>
      </c>
      <c r="J804" s="85" t="str">
        <f>IF(B804="","",IFERROR(VLOOKUP(B804,'Coil Sheet at Plant'!$C:$M,10,FALSE),""))</f>
        <v/>
      </c>
      <c r="K804" s="69" t="str">
        <f>IF(B804="","",SUMIF(B:B,B804,G:G))</f>
        <v/>
      </c>
      <c r="L804" s="70" t="str">
        <f>IF(B804="","",IFERROR(VLOOKUP(B804,'Coil Sheet at Plant'!$C:$I,7,FALSE),""))</f>
        <v/>
      </c>
      <c r="M804" s="71" t="str">
        <f>IF(OR(K804="",L804=""),"",IF(L804=0,"⚠ NO PARENT WIDTH",IF(K804&gt;L804,"⚠ BABY &gt; PARENT","✔ OK")))</f>
        <v/>
      </c>
      <c r="N804" s="71" t="str">
        <f>IF(D804="","",IF(COUNTIF(D$3:D804,D804)&gt;1,"⚠ DUPLICATE",""))</f>
        <v/>
      </c>
      <c r="O804" s="72" t="str">
        <f>IF(B804="","",SUMIF(B:B,B804,G:G)&amp;" / "&amp;IFERROR(VLOOKUP(B804,'Coil Sheet at Plant'!$C:$I,7,FALSE),"?")&amp;" mm")</f>
        <v/>
      </c>
    </row>
    <row r="805" spans="1:15">
      <c r="A805" s="36"/>
      <c r="B805" s="32"/>
      <c r="C805" s="39"/>
      <c r="D805" s="44" t="str">
        <f>IF(OR(B805="",C805=""),"",CONCATENATE(B805,"-",C805))</f>
        <v/>
      </c>
      <c r="E805" s="49" t="str">
        <f>IF(B805="","",IFERROR(VLOOKUP(B805,'Coil Sheet at Plant'!$C:$G,5,FALSE),"ID Not Found"))</f>
        <v/>
      </c>
      <c r="F805" s="50" t="str">
        <f>IF(B805="","",IFERROR(VLOOKUP(B805,'Coil Sheet at Plant'!$C:$H,6,FALSE),"ID Not Found"))</f>
        <v/>
      </c>
      <c r="G805" s="81">
        <v>952</v>
      </c>
      <c r="H805" s="89" t="str">
        <f>IF(OR(B805="",G805=""),"",IFERROR(VLOOKUP(B805,'Coil Sheet at Plant'!$C:$J,8,FALSE),0)*G805/SUMIF(B:B,B805,G:G))</f>
        <v/>
      </c>
      <c r="I805" s="56" t="str">
        <f>IF(B805="","",IFERROR(VLOOKUP(B805,'Coil Sheet at Plant'!$C:$L,9,FALSE),""))</f>
        <v/>
      </c>
      <c r="J805" s="85" t="str">
        <f>IF(B805="","",IFERROR(VLOOKUP(B805,'Coil Sheet at Plant'!$C:$M,10,FALSE),""))</f>
        <v/>
      </c>
      <c r="K805" s="69" t="str">
        <f>IF(B805="","",SUMIF(B:B,B805,G:G))</f>
        <v/>
      </c>
      <c r="L805" s="70" t="str">
        <f>IF(B805="","",IFERROR(VLOOKUP(B805,'Coil Sheet at Plant'!$C:$I,7,FALSE),""))</f>
        <v/>
      </c>
      <c r="M805" s="71" t="str">
        <f>IF(OR(K805="",L805=""),"",IF(L805=0,"⚠ NO PARENT WIDTH",IF(K805&gt;L805,"⚠ BABY &gt; PARENT","✔ OK")))</f>
        <v/>
      </c>
      <c r="N805" s="71" t="str">
        <f>IF(D805="","",IF(COUNTIF(D$3:D805,D805)&gt;1,"⚠ DUPLICATE",""))</f>
        <v/>
      </c>
      <c r="O805" s="72" t="str">
        <f>IF(B805="","",SUMIF(B:B,B805,G:G)&amp;" / "&amp;IFERROR(VLOOKUP(B805,'Coil Sheet at Plant'!$C:$I,7,FALSE),"?")&amp;" mm")</f>
        <v/>
      </c>
    </row>
    <row r="806" spans="1:15">
      <c r="A806" s="36"/>
      <c r="B806" s="32"/>
      <c r="C806" s="39"/>
      <c r="D806" s="44" t="str">
        <f>IF(OR(B806="",C806=""),"",CONCATENATE(B806,"-",C806))</f>
        <v/>
      </c>
      <c r="E806" s="49" t="str">
        <f>IF(B806="","",IFERROR(VLOOKUP(B806,'Coil Sheet at Plant'!$C:$G,5,FALSE),"ID Not Found"))</f>
        <v/>
      </c>
      <c r="F806" s="50" t="str">
        <f>IF(B806="","",IFERROR(VLOOKUP(B806,'Coil Sheet at Plant'!$C:$H,6,FALSE),"ID Not Found"))</f>
        <v/>
      </c>
      <c r="G806" s="81">
        <v>953</v>
      </c>
      <c r="H806" s="89" t="str">
        <f>IF(OR(B806="",G806=""),"",IFERROR(VLOOKUP(B806,'Coil Sheet at Plant'!$C:$J,8,FALSE),0)*G806/SUMIF(B:B,B806,G:G))</f>
        <v/>
      </c>
      <c r="I806" s="56" t="str">
        <f>IF(B806="","",IFERROR(VLOOKUP(B806,'Coil Sheet at Plant'!$C:$L,9,FALSE),""))</f>
        <v/>
      </c>
      <c r="J806" s="85" t="str">
        <f>IF(B806="","",IFERROR(VLOOKUP(B806,'Coil Sheet at Plant'!$C:$M,10,FALSE),""))</f>
        <v/>
      </c>
      <c r="K806" s="69" t="str">
        <f>IF(B806="","",SUMIF(B:B,B806,G:G))</f>
        <v/>
      </c>
      <c r="L806" s="70" t="str">
        <f>IF(B806="","",IFERROR(VLOOKUP(B806,'Coil Sheet at Plant'!$C:$I,7,FALSE),""))</f>
        <v/>
      </c>
      <c r="M806" s="71" t="str">
        <f>IF(OR(K806="",L806=""),"",IF(L806=0,"⚠ NO PARENT WIDTH",IF(K806&gt;L806,"⚠ BABY &gt; PARENT","✔ OK")))</f>
        <v/>
      </c>
      <c r="N806" s="71" t="str">
        <f>IF(D806="","",IF(COUNTIF(D$3:D806,D806)&gt;1,"⚠ DUPLICATE",""))</f>
        <v/>
      </c>
      <c r="O806" s="72" t="str">
        <f>IF(B806="","",SUMIF(B:B,B806,G:G)&amp;" / "&amp;IFERROR(VLOOKUP(B806,'Coil Sheet at Plant'!$C:$I,7,FALSE),"?")&amp;" mm")</f>
        <v/>
      </c>
    </row>
    <row r="807" spans="1:15">
      <c r="A807" s="36"/>
      <c r="B807" s="32"/>
      <c r="C807" s="39"/>
      <c r="D807" s="44" t="str">
        <f>IF(OR(B807="",C807=""),"",CONCATENATE(B807,"-",C807))</f>
        <v/>
      </c>
      <c r="E807" s="49" t="str">
        <f>IF(B807="","",IFERROR(VLOOKUP(B807,'Coil Sheet at Plant'!$C:$G,5,FALSE),"ID Not Found"))</f>
        <v/>
      </c>
      <c r="F807" s="50" t="str">
        <f>IF(B807="","",IFERROR(VLOOKUP(B807,'Coil Sheet at Plant'!$C:$H,6,FALSE),"ID Not Found"))</f>
        <v/>
      </c>
      <c r="G807" s="81">
        <v>954</v>
      </c>
      <c r="H807" s="89" t="str">
        <f>IF(OR(B807="",G807=""),"",IFERROR(VLOOKUP(B807,'Coil Sheet at Plant'!$C:$J,8,FALSE),0)*G807/SUMIF(B:B,B807,G:G))</f>
        <v/>
      </c>
      <c r="I807" s="56" t="str">
        <f>IF(B807="","",IFERROR(VLOOKUP(B807,'Coil Sheet at Plant'!$C:$L,9,FALSE),""))</f>
        <v/>
      </c>
      <c r="J807" s="85" t="str">
        <f>IF(B807="","",IFERROR(VLOOKUP(B807,'Coil Sheet at Plant'!$C:$M,10,FALSE),""))</f>
        <v/>
      </c>
      <c r="K807" s="69" t="str">
        <f>IF(B807="","",SUMIF(B:B,B807,G:G))</f>
        <v/>
      </c>
      <c r="L807" s="70" t="str">
        <f>IF(B807="","",IFERROR(VLOOKUP(B807,'Coil Sheet at Plant'!$C:$I,7,FALSE),""))</f>
        <v/>
      </c>
      <c r="M807" s="71" t="str">
        <f>IF(OR(K807="",L807=""),"",IF(L807=0,"⚠ NO PARENT WIDTH",IF(K807&gt;L807,"⚠ BABY &gt; PARENT","✔ OK")))</f>
        <v/>
      </c>
      <c r="N807" s="71" t="str">
        <f>IF(D807="","",IF(COUNTIF(D$3:D807,D807)&gt;1,"⚠ DUPLICATE",""))</f>
        <v/>
      </c>
      <c r="O807" s="72" t="str">
        <f>IF(B807="","",SUMIF(B:B,B807,G:G)&amp;" / "&amp;IFERROR(VLOOKUP(B807,'Coil Sheet at Plant'!$C:$I,7,FALSE),"?")&amp;" mm")</f>
        <v/>
      </c>
    </row>
    <row r="808" spans="1:15">
      <c r="A808" s="36"/>
      <c r="B808" s="32"/>
      <c r="C808" s="39"/>
      <c r="D808" s="44" t="str">
        <f>IF(OR(B808="",C808=""),"",CONCATENATE(B808,"-",C808))</f>
        <v/>
      </c>
      <c r="E808" s="49" t="str">
        <f>IF(B808="","",IFERROR(VLOOKUP(B808,'Coil Sheet at Plant'!$C:$G,5,FALSE),"ID Not Found"))</f>
        <v/>
      </c>
      <c r="F808" s="50" t="str">
        <f>IF(B808="","",IFERROR(VLOOKUP(B808,'Coil Sheet at Plant'!$C:$H,6,FALSE),"ID Not Found"))</f>
        <v/>
      </c>
      <c r="G808" s="81">
        <v>955</v>
      </c>
      <c r="H808" s="89" t="str">
        <f>IF(OR(B808="",G808=""),"",IFERROR(VLOOKUP(B808,'Coil Sheet at Plant'!$C:$J,8,FALSE),0)*G808/SUMIF(B:B,B808,G:G))</f>
        <v/>
      </c>
      <c r="I808" s="56" t="str">
        <f>IF(B808="","",IFERROR(VLOOKUP(B808,'Coil Sheet at Plant'!$C:$L,9,FALSE),""))</f>
        <v/>
      </c>
      <c r="J808" s="85" t="str">
        <f>IF(B808="","",IFERROR(VLOOKUP(B808,'Coil Sheet at Plant'!$C:$M,10,FALSE),""))</f>
        <v/>
      </c>
      <c r="K808" s="69" t="str">
        <f>IF(B808="","",SUMIF(B:B,B808,G:G))</f>
        <v/>
      </c>
      <c r="L808" s="70" t="str">
        <f>IF(B808="","",IFERROR(VLOOKUP(B808,'Coil Sheet at Plant'!$C:$I,7,FALSE),""))</f>
        <v/>
      </c>
      <c r="M808" s="71" t="str">
        <f>IF(OR(K808="",L808=""),"",IF(L808=0,"⚠ NO PARENT WIDTH",IF(K808&gt;L808,"⚠ BABY &gt; PARENT","✔ OK")))</f>
        <v/>
      </c>
      <c r="N808" s="71" t="str">
        <f>IF(D808="","",IF(COUNTIF(D$3:D808,D808)&gt;1,"⚠ DUPLICATE",""))</f>
        <v/>
      </c>
      <c r="O808" s="72" t="str">
        <f>IF(B808="","",SUMIF(B:B,B808,G:G)&amp;" / "&amp;IFERROR(VLOOKUP(B808,'Coil Sheet at Plant'!$C:$I,7,FALSE),"?")&amp;" mm")</f>
        <v/>
      </c>
    </row>
    <row r="809" spans="1:15">
      <c r="A809" s="36"/>
      <c r="B809" s="32"/>
      <c r="C809" s="39"/>
      <c r="D809" s="44" t="str">
        <f>IF(OR(B809="",C809=""),"",CONCATENATE(B809,"-",C809))</f>
        <v/>
      </c>
      <c r="E809" s="49" t="str">
        <f>IF(B809="","",IFERROR(VLOOKUP(B809,'Coil Sheet at Plant'!$C:$G,5,FALSE),"ID Not Found"))</f>
        <v/>
      </c>
      <c r="F809" s="50" t="str">
        <f>IF(B809="","",IFERROR(VLOOKUP(B809,'Coil Sheet at Plant'!$C:$H,6,FALSE),"ID Not Found"))</f>
        <v/>
      </c>
      <c r="G809" s="81">
        <v>956</v>
      </c>
      <c r="H809" s="89" t="str">
        <f>IF(OR(B809="",G809=""),"",IFERROR(VLOOKUP(B809,'Coil Sheet at Plant'!$C:$J,8,FALSE),0)*G809/SUMIF(B:B,B809,G:G))</f>
        <v/>
      </c>
      <c r="I809" s="56" t="str">
        <f>IF(B809="","",IFERROR(VLOOKUP(B809,'Coil Sheet at Plant'!$C:$L,9,FALSE),""))</f>
        <v/>
      </c>
      <c r="J809" s="85" t="str">
        <f>IF(B809="","",IFERROR(VLOOKUP(B809,'Coil Sheet at Plant'!$C:$M,10,FALSE),""))</f>
        <v/>
      </c>
      <c r="K809" s="69" t="str">
        <f>IF(B809="","",SUMIF(B:B,B809,G:G))</f>
        <v/>
      </c>
      <c r="L809" s="70" t="str">
        <f>IF(B809="","",IFERROR(VLOOKUP(B809,'Coil Sheet at Plant'!$C:$I,7,FALSE),""))</f>
        <v/>
      </c>
      <c r="M809" s="71" t="str">
        <f>IF(OR(K809="",L809=""),"",IF(L809=0,"⚠ NO PARENT WIDTH",IF(K809&gt;L809,"⚠ BABY &gt; PARENT","✔ OK")))</f>
        <v/>
      </c>
      <c r="N809" s="71" t="str">
        <f>IF(D809="","",IF(COUNTIF(D$3:D809,D809)&gt;1,"⚠ DUPLICATE",""))</f>
        <v/>
      </c>
      <c r="O809" s="72" t="str">
        <f>IF(B809="","",SUMIF(B:B,B809,G:G)&amp;" / "&amp;IFERROR(VLOOKUP(B809,'Coil Sheet at Plant'!$C:$I,7,FALSE),"?")&amp;" mm")</f>
        <v/>
      </c>
    </row>
    <row r="810" spans="1:15">
      <c r="A810" s="36"/>
      <c r="B810" s="32"/>
      <c r="C810" s="39"/>
      <c r="D810" s="44" t="str">
        <f>IF(OR(B810="",C810=""),"",CONCATENATE(B810,"-",C810))</f>
        <v/>
      </c>
      <c r="E810" s="49" t="str">
        <f>IF(B810="","",IFERROR(VLOOKUP(B810,'Coil Sheet at Plant'!$C:$G,5,FALSE),"ID Not Found"))</f>
        <v/>
      </c>
      <c r="F810" s="50" t="str">
        <f>IF(B810="","",IFERROR(VLOOKUP(B810,'Coil Sheet at Plant'!$C:$H,6,FALSE),"ID Not Found"))</f>
        <v/>
      </c>
      <c r="G810" s="81">
        <v>957</v>
      </c>
      <c r="H810" s="89" t="str">
        <f>IF(OR(B810="",G810=""),"",IFERROR(VLOOKUP(B810,'Coil Sheet at Plant'!$C:$J,8,FALSE),0)*G810/SUMIF(B:B,B810,G:G))</f>
        <v/>
      </c>
      <c r="I810" s="56" t="str">
        <f>IF(B810="","",IFERROR(VLOOKUP(B810,'Coil Sheet at Plant'!$C:$L,9,FALSE),""))</f>
        <v/>
      </c>
      <c r="J810" s="85" t="str">
        <f>IF(B810="","",IFERROR(VLOOKUP(B810,'Coil Sheet at Plant'!$C:$M,10,FALSE),""))</f>
        <v/>
      </c>
      <c r="K810" s="69" t="str">
        <f>IF(B810="","",SUMIF(B:B,B810,G:G))</f>
        <v/>
      </c>
      <c r="L810" s="70" t="str">
        <f>IF(B810="","",IFERROR(VLOOKUP(B810,'Coil Sheet at Plant'!$C:$I,7,FALSE),""))</f>
        <v/>
      </c>
      <c r="M810" s="71" t="str">
        <f>IF(OR(K810="",L810=""),"",IF(L810=0,"⚠ NO PARENT WIDTH",IF(K810&gt;L810,"⚠ BABY &gt; PARENT","✔ OK")))</f>
        <v/>
      </c>
      <c r="N810" s="71" t="str">
        <f>IF(D810="","",IF(COUNTIF(D$3:D810,D810)&gt;1,"⚠ DUPLICATE",""))</f>
        <v/>
      </c>
      <c r="O810" s="72" t="str">
        <f>IF(B810="","",SUMIF(B:B,B810,G:G)&amp;" / "&amp;IFERROR(VLOOKUP(B810,'Coil Sheet at Plant'!$C:$I,7,FALSE),"?")&amp;" mm")</f>
        <v/>
      </c>
    </row>
    <row r="811" spans="1:15">
      <c r="A811" s="36"/>
      <c r="B811" s="32"/>
      <c r="C811" s="39"/>
      <c r="D811" s="44" t="str">
        <f>IF(OR(B811="",C811=""),"",CONCATENATE(B811,"-",C811))</f>
        <v/>
      </c>
      <c r="E811" s="49" t="str">
        <f>IF(B811="","",IFERROR(VLOOKUP(B811,'Coil Sheet at Plant'!$C:$G,5,FALSE),"ID Not Found"))</f>
        <v/>
      </c>
      <c r="F811" s="50" t="str">
        <f>IF(B811="","",IFERROR(VLOOKUP(B811,'Coil Sheet at Plant'!$C:$H,6,FALSE),"ID Not Found"))</f>
        <v/>
      </c>
      <c r="G811" s="81">
        <v>958</v>
      </c>
      <c r="H811" s="89" t="str">
        <f>IF(OR(B811="",G811=""),"",IFERROR(VLOOKUP(B811,'Coil Sheet at Plant'!$C:$J,8,FALSE),0)*G811/SUMIF(B:B,B811,G:G))</f>
        <v/>
      </c>
      <c r="I811" s="56" t="str">
        <f>IF(B811="","",IFERROR(VLOOKUP(B811,'Coil Sheet at Plant'!$C:$L,9,FALSE),""))</f>
        <v/>
      </c>
      <c r="J811" s="85" t="str">
        <f>IF(B811="","",IFERROR(VLOOKUP(B811,'Coil Sheet at Plant'!$C:$M,10,FALSE),""))</f>
        <v/>
      </c>
      <c r="K811" s="69" t="str">
        <f>IF(B811="","",SUMIF(B:B,B811,G:G))</f>
        <v/>
      </c>
      <c r="L811" s="70" t="str">
        <f>IF(B811="","",IFERROR(VLOOKUP(B811,'Coil Sheet at Plant'!$C:$I,7,FALSE),""))</f>
        <v/>
      </c>
      <c r="M811" s="71" t="str">
        <f>IF(OR(K811="",L811=""),"",IF(L811=0,"⚠ NO PARENT WIDTH",IF(K811&gt;L811,"⚠ BABY &gt; PARENT","✔ OK")))</f>
        <v/>
      </c>
      <c r="N811" s="71" t="str">
        <f>IF(D811="","",IF(COUNTIF(D$3:D811,D811)&gt;1,"⚠ DUPLICATE",""))</f>
        <v/>
      </c>
      <c r="O811" s="72" t="str">
        <f>IF(B811="","",SUMIF(B:B,B811,G:G)&amp;" / "&amp;IFERROR(VLOOKUP(B811,'Coil Sheet at Plant'!$C:$I,7,FALSE),"?")&amp;" mm")</f>
        <v/>
      </c>
    </row>
    <row r="812" spans="1:15">
      <c r="A812" s="36"/>
      <c r="B812" s="32"/>
      <c r="C812" s="39"/>
      <c r="D812" s="44" t="str">
        <f>IF(OR(B812="",C812=""),"",CONCATENATE(B812,"-",C812))</f>
        <v/>
      </c>
      <c r="E812" s="49" t="str">
        <f>IF(B812="","",IFERROR(VLOOKUP(B812,'Coil Sheet at Plant'!$C:$G,5,FALSE),"ID Not Found"))</f>
        <v/>
      </c>
      <c r="F812" s="50" t="str">
        <f>IF(B812="","",IFERROR(VLOOKUP(B812,'Coil Sheet at Plant'!$C:$H,6,FALSE),"ID Not Found"))</f>
        <v/>
      </c>
      <c r="G812" s="81">
        <v>959</v>
      </c>
      <c r="H812" s="89" t="str">
        <f>IF(OR(B812="",G812=""),"",IFERROR(VLOOKUP(B812,'Coil Sheet at Plant'!$C:$J,8,FALSE),0)*G812/SUMIF(B:B,B812,G:G))</f>
        <v/>
      </c>
      <c r="I812" s="56" t="str">
        <f>IF(B812="","",IFERROR(VLOOKUP(B812,'Coil Sheet at Plant'!$C:$L,9,FALSE),""))</f>
        <v/>
      </c>
      <c r="J812" s="85" t="str">
        <f>IF(B812="","",IFERROR(VLOOKUP(B812,'Coil Sheet at Plant'!$C:$M,10,FALSE),""))</f>
        <v/>
      </c>
      <c r="K812" s="69" t="str">
        <f>IF(B812="","",SUMIF(B:B,B812,G:G))</f>
        <v/>
      </c>
      <c r="L812" s="70" t="str">
        <f>IF(B812="","",IFERROR(VLOOKUP(B812,'Coil Sheet at Plant'!$C:$I,7,FALSE),""))</f>
        <v/>
      </c>
      <c r="M812" s="71" t="str">
        <f>IF(OR(K812="",L812=""),"",IF(L812=0,"⚠ NO PARENT WIDTH",IF(K812&gt;L812,"⚠ BABY &gt; PARENT","✔ OK")))</f>
        <v/>
      </c>
      <c r="N812" s="71" t="str">
        <f>IF(D812="","",IF(COUNTIF(D$3:D812,D812)&gt;1,"⚠ DUPLICATE",""))</f>
        <v/>
      </c>
      <c r="O812" s="72" t="str">
        <f>IF(B812="","",SUMIF(B:B,B812,G:G)&amp;" / "&amp;IFERROR(VLOOKUP(B812,'Coil Sheet at Plant'!$C:$I,7,FALSE),"?")&amp;" mm")</f>
        <v/>
      </c>
    </row>
    <row r="813" spans="1:15">
      <c r="A813" s="36"/>
      <c r="B813" s="32"/>
      <c r="C813" s="39"/>
      <c r="D813" s="44" t="str">
        <f>IF(OR(B813="",C813=""),"",CONCATENATE(B813,"-",C813))</f>
        <v/>
      </c>
      <c r="E813" s="49" t="str">
        <f>IF(B813="","",IFERROR(VLOOKUP(B813,'Coil Sheet at Plant'!$C:$G,5,FALSE),"ID Not Found"))</f>
        <v/>
      </c>
      <c r="F813" s="50" t="str">
        <f>IF(B813="","",IFERROR(VLOOKUP(B813,'Coil Sheet at Plant'!$C:$H,6,FALSE),"ID Not Found"))</f>
        <v/>
      </c>
      <c r="G813" s="81">
        <v>960</v>
      </c>
      <c r="H813" s="89" t="str">
        <f>IF(OR(B813="",G813=""),"",IFERROR(VLOOKUP(B813,'Coil Sheet at Plant'!$C:$J,8,FALSE),0)*G813/SUMIF(B:B,B813,G:G))</f>
        <v/>
      </c>
      <c r="I813" s="56" t="str">
        <f>IF(B813="","",IFERROR(VLOOKUP(B813,'Coil Sheet at Plant'!$C:$L,9,FALSE),""))</f>
        <v/>
      </c>
      <c r="J813" s="85" t="str">
        <f>IF(B813="","",IFERROR(VLOOKUP(B813,'Coil Sheet at Plant'!$C:$M,10,FALSE),""))</f>
        <v/>
      </c>
      <c r="K813" s="69" t="str">
        <f>IF(B813="","",SUMIF(B:B,B813,G:G))</f>
        <v/>
      </c>
      <c r="L813" s="70" t="str">
        <f>IF(B813="","",IFERROR(VLOOKUP(B813,'Coil Sheet at Plant'!$C:$I,7,FALSE),""))</f>
        <v/>
      </c>
      <c r="M813" s="71" t="str">
        <f>IF(OR(K813="",L813=""),"",IF(L813=0,"⚠ NO PARENT WIDTH",IF(K813&gt;L813,"⚠ BABY &gt; PARENT","✔ OK")))</f>
        <v/>
      </c>
      <c r="N813" s="71" t="str">
        <f>IF(D813="","",IF(COUNTIF(D$3:D813,D813)&gt;1,"⚠ DUPLICATE",""))</f>
        <v/>
      </c>
      <c r="O813" s="72" t="str">
        <f>IF(B813="","",SUMIF(B:B,B813,G:G)&amp;" / "&amp;IFERROR(VLOOKUP(B813,'Coil Sheet at Plant'!$C:$I,7,FALSE),"?")&amp;" mm")</f>
        <v/>
      </c>
    </row>
    <row r="814" spans="1:15">
      <c r="A814" s="36"/>
      <c r="B814" s="32"/>
      <c r="C814" s="39"/>
      <c r="D814" s="44" t="str">
        <f>IF(OR(B814="",C814=""),"",CONCATENATE(B814,"-",C814))</f>
        <v/>
      </c>
      <c r="E814" s="49" t="str">
        <f>IF(B814="","",IFERROR(VLOOKUP(B814,'Coil Sheet at Plant'!$C:$G,5,FALSE),"ID Not Found"))</f>
        <v/>
      </c>
      <c r="F814" s="50" t="str">
        <f>IF(B814="","",IFERROR(VLOOKUP(B814,'Coil Sheet at Plant'!$C:$H,6,FALSE),"ID Not Found"))</f>
        <v/>
      </c>
      <c r="G814" s="81">
        <v>961</v>
      </c>
      <c r="H814" s="89" t="str">
        <f>IF(OR(B814="",G814=""),"",IFERROR(VLOOKUP(B814,'Coil Sheet at Plant'!$C:$J,8,FALSE),0)*G814/SUMIF(B:B,B814,G:G))</f>
        <v/>
      </c>
      <c r="I814" s="56" t="str">
        <f>IF(B814="","",IFERROR(VLOOKUP(B814,'Coil Sheet at Plant'!$C:$L,9,FALSE),""))</f>
        <v/>
      </c>
      <c r="J814" s="85" t="str">
        <f>IF(B814="","",IFERROR(VLOOKUP(B814,'Coil Sheet at Plant'!$C:$M,10,FALSE),""))</f>
        <v/>
      </c>
      <c r="K814" s="69" t="str">
        <f>IF(B814="","",SUMIF(B:B,B814,G:G))</f>
        <v/>
      </c>
      <c r="L814" s="70" t="str">
        <f>IF(B814="","",IFERROR(VLOOKUP(B814,'Coil Sheet at Plant'!$C:$I,7,FALSE),""))</f>
        <v/>
      </c>
      <c r="M814" s="71" t="str">
        <f>IF(OR(K814="",L814=""),"",IF(L814=0,"⚠ NO PARENT WIDTH",IF(K814&gt;L814,"⚠ BABY &gt; PARENT","✔ OK")))</f>
        <v/>
      </c>
      <c r="N814" s="71" t="str">
        <f>IF(D814="","",IF(COUNTIF(D$3:D814,D814)&gt;1,"⚠ DUPLICATE",""))</f>
        <v/>
      </c>
      <c r="O814" s="72" t="str">
        <f>IF(B814="","",SUMIF(B:B,B814,G:G)&amp;" / "&amp;IFERROR(VLOOKUP(B814,'Coil Sheet at Plant'!$C:$I,7,FALSE),"?")&amp;" mm")</f>
        <v/>
      </c>
    </row>
    <row r="815" spans="1:15">
      <c r="A815" s="36"/>
      <c r="B815" s="32"/>
      <c r="C815" s="39"/>
      <c r="D815" s="44" t="str">
        <f>IF(OR(B815="",C815=""),"",CONCATENATE(B815,"-",C815))</f>
        <v/>
      </c>
      <c r="E815" s="49" t="str">
        <f>IF(B815="","",IFERROR(VLOOKUP(B815,'Coil Sheet at Plant'!$C:$G,5,FALSE),"ID Not Found"))</f>
        <v/>
      </c>
      <c r="F815" s="50" t="str">
        <f>IF(B815="","",IFERROR(VLOOKUP(B815,'Coil Sheet at Plant'!$C:$H,6,FALSE),"ID Not Found"))</f>
        <v/>
      </c>
      <c r="G815" s="81">
        <v>962</v>
      </c>
      <c r="H815" s="89" t="str">
        <f>IF(OR(B815="",G815=""),"",IFERROR(VLOOKUP(B815,'Coil Sheet at Plant'!$C:$J,8,FALSE),0)*G815/SUMIF(B:B,B815,G:G))</f>
        <v/>
      </c>
      <c r="I815" s="56" t="str">
        <f>IF(B815="","",IFERROR(VLOOKUP(B815,'Coil Sheet at Plant'!$C:$L,9,FALSE),""))</f>
        <v/>
      </c>
      <c r="J815" s="85" t="str">
        <f>IF(B815="","",IFERROR(VLOOKUP(B815,'Coil Sheet at Plant'!$C:$M,10,FALSE),""))</f>
        <v/>
      </c>
      <c r="K815" s="69" t="str">
        <f>IF(B815="","",SUMIF(B:B,B815,G:G))</f>
        <v/>
      </c>
      <c r="L815" s="70" t="str">
        <f>IF(B815="","",IFERROR(VLOOKUP(B815,'Coil Sheet at Plant'!$C:$I,7,FALSE),""))</f>
        <v/>
      </c>
      <c r="M815" s="71" t="str">
        <f>IF(OR(K815="",L815=""),"",IF(L815=0,"⚠ NO PARENT WIDTH",IF(K815&gt;L815,"⚠ BABY &gt; PARENT","✔ OK")))</f>
        <v/>
      </c>
      <c r="N815" s="71" t="str">
        <f>IF(D815="","",IF(COUNTIF(D$3:D815,D815)&gt;1,"⚠ DUPLICATE",""))</f>
        <v/>
      </c>
      <c r="O815" s="72" t="str">
        <f>IF(B815="","",SUMIF(B:B,B815,G:G)&amp;" / "&amp;IFERROR(VLOOKUP(B815,'Coil Sheet at Plant'!$C:$I,7,FALSE),"?")&amp;" mm")</f>
        <v/>
      </c>
    </row>
    <row r="816" spans="1:15">
      <c r="A816" s="36"/>
      <c r="B816" s="32"/>
      <c r="C816" s="39"/>
      <c r="D816" s="44" t="str">
        <f>IF(OR(B816="",C816=""),"",CONCATENATE(B816,"-",C816))</f>
        <v/>
      </c>
      <c r="E816" s="49" t="str">
        <f>IF(B816="","",IFERROR(VLOOKUP(B816,'Coil Sheet at Plant'!$C:$G,5,FALSE),"ID Not Found"))</f>
        <v/>
      </c>
      <c r="F816" s="50" t="str">
        <f>IF(B816="","",IFERROR(VLOOKUP(B816,'Coil Sheet at Plant'!$C:$H,6,FALSE),"ID Not Found"))</f>
        <v/>
      </c>
      <c r="G816" s="81">
        <v>963</v>
      </c>
      <c r="H816" s="89" t="str">
        <f>IF(OR(B816="",G816=""),"",IFERROR(VLOOKUP(B816,'Coil Sheet at Plant'!$C:$J,8,FALSE),0)*G816/SUMIF(B:B,B816,G:G))</f>
        <v/>
      </c>
      <c r="I816" s="56" t="str">
        <f>IF(B816="","",IFERROR(VLOOKUP(B816,'Coil Sheet at Plant'!$C:$L,9,FALSE),""))</f>
        <v/>
      </c>
      <c r="J816" s="85" t="str">
        <f>IF(B816="","",IFERROR(VLOOKUP(B816,'Coil Sheet at Plant'!$C:$M,10,FALSE),""))</f>
        <v/>
      </c>
      <c r="K816" s="69" t="str">
        <f>IF(B816="","",SUMIF(B:B,B816,G:G))</f>
        <v/>
      </c>
      <c r="L816" s="70" t="str">
        <f>IF(B816="","",IFERROR(VLOOKUP(B816,'Coil Sheet at Plant'!$C:$I,7,FALSE),""))</f>
        <v/>
      </c>
      <c r="M816" s="71" t="str">
        <f>IF(OR(K816="",L816=""),"",IF(L816=0,"⚠ NO PARENT WIDTH",IF(K816&gt;L816,"⚠ BABY &gt; PARENT","✔ OK")))</f>
        <v/>
      </c>
      <c r="N816" s="71" t="str">
        <f>IF(D816="","",IF(COUNTIF(D$3:D816,D816)&gt;1,"⚠ DUPLICATE",""))</f>
        <v/>
      </c>
      <c r="O816" s="72" t="str">
        <f>IF(B816="","",SUMIF(B:B,B816,G:G)&amp;" / "&amp;IFERROR(VLOOKUP(B816,'Coil Sheet at Plant'!$C:$I,7,FALSE),"?")&amp;" mm")</f>
        <v/>
      </c>
    </row>
    <row r="817" spans="1:15">
      <c r="A817" s="36"/>
      <c r="B817" s="32"/>
      <c r="C817" s="39"/>
      <c r="D817" s="44" t="str">
        <f>IF(OR(B817="",C817=""),"",CONCATENATE(B817,"-",C817))</f>
        <v/>
      </c>
      <c r="E817" s="49" t="str">
        <f>IF(B817="","",IFERROR(VLOOKUP(B817,'Coil Sheet at Plant'!$C:$G,5,FALSE),"ID Not Found"))</f>
        <v/>
      </c>
      <c r="F817" s="50" t="str">
        <f>IF(B817="","",IFERROR(VLOOKUP(B817,'Coil Sheet at Plant'!$C:$H,6,FALSE),"ID Not Found"))</f>
        <v/>
      </c>
      <c r="G817" s="81">
        <v>964</v>
      </c>
      <c r="H817" s="89" t="str">
        <f>IF(OR(B817="",G817=""),"",IFERROR(VLOOKUP(B817,'Coil Sheet at Plant'!$C:$J,8,FALSE),0)*G817/SUMIF(B:B,B817,G:G))</f>
        <v/>
      </c>
      <c r="I817" s="56" t="str">
        <f>IF(B817="","",IFERROR(VLOOKUP(B817,'Coil Sheet at Plant'!$C:$L,9,FALSE),""))</f>
        <v/>
      </c>
      <c r="J817" s="85" t="str">
        <f>IF(B817="","",IFERROR(VLOOKUP(B817,'Coil Sheet at Plant'!$C:$M,10,FALSE),""))</f>
        <v/>
      </c>
      <c r="K817" s="69" t="str">
        <f>IF(B817="","",SUMIF(B:B,B817,G:G))</f>
        <v/>
      </c>
      <c r="L817" s="70" t="str">
        <f>IF(B817="","",IFERROR(VLOOKUP(B817,'Coil Sheet at Plant'!$C:$I,7,FALSE),""))</f>
        <v/>
      </c>
      <c r="M817" s="71" t="str">
        <f>IF(OR(K817="",L817=""),"",IF(L817=0,"⚠ NO PARENT WIDTH",IF(K817&gt;L817,"⚠ BABY &gt; PARENT","✔ OK")))</f>
        <v/>
      </c>
      <c r="N817" s="71" t="str">
        <f>IF(D817="","",IF(COUNTIF(D$3:D817,D817)&gt;1,"⚠ DUPLICATE",""))</f>
        <v/>
      </c>
      <c r="O817" s="72" t="str">
        <f>IF(B817="","",SUMIF(B:B,B817,G:G)&amp;" / "&amp;IFERROR(VLOOKUP(B817,'Coil Sheet at Plant'!$C:$I,7,FALSE),"?")&amp;" mm")</f>
        <v/>
      </c>
    </row>
    <row r="818" spans="1:15">
      <c r="A818" s="36"/>
      <c r="B818" s="32"/>
      <c r="C818" s="39"/>
      <c r="D818" s="44" t="str">
        <f>IF(OR(B818="",C818=""),"",CONCATENATE(B818,"-",C818))</f>
        <v/>
      </c>
      <c r="E818" s="49" t="str">
        <f>IF(B818="","",IFERROR(VLOOKUP(B818,'Coil Sheet at Plant'!$C:$G,5,FALSE),"ID Not Found"))</f>
        <v/>
      </c>
      <c r="F818" s="50" t="str">
        <f>IF(B818="","",IFERROR(VLOOKUP(B818,'Coil Sheet at Plant'!$C:$H,6,FALSE),"ID Not Found"))</f>
        <v/>
      </c>
      <c r="G818" s="81">
        <v>965</v>
      </c>
      <c r="H818" s="89" t="str">
        <f>IF(OR(B818="",G818=""),"",IFERROR(VLOOKUP(B818,'Coil Sheet at Plant'!$C:$J,8,FALSE),0)*G818/SUMIF(B:B,B818,G:G))</f>
        <v/>
      </c>
      <c r="I818" s="56" t="str">
        <f>IF(B818="","",IFERROR(VLOOKUP(B818,'Coil Sheet at Plant'!$C:$L,9,FALSE),""))</f>
        <v/>
      </c>
      <c r="J818" s="85" t="str">
        <f>IF(B818="","",IFERROR(VLOOKUP(B818,'Coil Sheet at Plant'!$C:$M,10,FALSE),""))</f>
        <v/>
      </c>
      <c r="K818" s="69" t="str">
        <f>IF(B818="","",SUMIF(B:B,B818,G:G))</f>
        <v/>
      </c>
      <c r="L818" s="70" t="str">
        <f>IF(B818="","",IFERROR(VLOOKUP(B818,'Coil Sheet at Plant'!$C:$I,7,FALSE),""))</f>
        <v/>
      </c>
      <c r="M818" s="71" t="str">
        <f>IF(OR(K818="",L818=""),"",IF(L818=0,"⚠ NO PARENT WIDTH",IF(K818&gt;L818,"⚠ BABY &gt; PARENT","✔ OK")))</f>
        <v/>
      </c>
      <c r="N818" s="71" t="str">
        <f>IF(D818="","",IF(COUNTIF(D$3:D818,D818)&gt;1,"⚠ DUPLICATE",""))</f>
        <v/>
      </c>
      <c r="O818" s="72" t="str">
        <f>IF(B818="","",SUMIF(B:B,B818,G:G)&amp;" / "&amp;IFERROR(VLOOKUP(B818,'Coil Sheet at Plant'!$C:$I,7,FALSE),"?")&amp;" mm")</f>
        <v/>
      </c>
    </row>
    <row r="819" spans="1:15">
      <c r="A819" s="36"/>
      <c r="B819" s="32"/>
      <c r="C819" s="39"/>
      <c r="D819" s="44" t="str">
        <f>IF(OR(B819="",C819=""),"",CONCATENATE(B819,"-",C819))</f>
        <v/>
      </c>
      <c r="E819" s="49" t="str">
        <f>IF(B819="","",IFERROR(VLOOKUP(B819,'Coil Sheet at Plant'!$C:$G,5,FALSE),"ID Not Found"))</f>
        <v/>
      </c>
      <c r="F819" s="50" t="str">
        <f>IF(B819="","",IFERROR(VLOOKUP(B819,'Coil Sheet at Plant'!$C:$H,6,FALSE),"ID Not Found"))</f>
        <v/>
      </c>
      <c r="G819" s="81">
        <v>966</v>
      </c>
      <c r="H819" s="89" t="str">
        <f>IF(OR(B819="",G819=""),"",IFERROR(VLOOKUP(B819,'Coil Sheet at Plant'!$C:$J,8,FALSE),0)*G819/SUMIF(B:B,B819,G:G))</f>
        <v/>
      </c>
      <c r="I819" s="56" t="str">
        <f>IF(B819="","",IFERROR(VLOOKUP(B819,'Coil Sheet at Plant'!$C:$L,9,FALSE),""))</f>
        <v/>
      </c>
      <c r="J819" s="85" t="str">
        <f>IF(B819="","",IFERROR(VLOOKUP(B819,'Coil Sheet at Plant'!$C:$M,10,FALSE),""))</f>
        <v/>
      </c>
      <c r="K819" s="69" t="str">
        <f>IF(B819="","",SUMIF(B:B,B819,G:G))</f>
        <v/>
      </c>
      <c r="L819" s="70" t="str">
        <f>IF(B819="","",IFERROR(VLOOKUP(B819,'Coil Sheet at Plant'!$C:$I,7,FALSE),""))</f>
        <v/>
      </c>
      <c r="M819" s="71" t="str">
        <f>IF(OR(K819="",L819=""),"",IF(L819=0,"⚠ NO PARENT WIDTH",IF(K819&gt;L819,"⚠ BABY &gt; PARENT","✔ OK")))</f>
        <v/>
      </c>
      <c r="N819" s="71" t="str">
        <f>IF(D819="","",IF(COUNTIF(D$3:D819,D819)&gt;1,"⚠ DUPLICATE",""))</f>
        <v/>
      </c>
      <c r="O819" s="72" t="str">
        <f>IF(B819="","",SUMIF(B:B,B819,G:G)&amp;" / "&amp;IFERROR(VLOOKUP(B819,'Coil Sheet at Plant'!$C:$I,7,FALSE),"?")&amp;" mm")</f>
        <v/>
      </c>
    </row>
    <row r="820" spans="1:15">
      <c r="A820" s="36"/>
      <c r="B820" s="32"/>
      <c r="C820" s="39"/>
      <c r="D820" s="44" t="str">
        <f>IF(OR(B820="",C820=""),"",CONCATENATE(B820,"-",C820))</f>
        <v/>
      </c>
      <c r="E820" s="49" t="str">
        <f>IF(B820="","",IFERROR(VLOOKUP(B820,'Coil Sheet at Plant'!$C:$G,5,FALSE),"ID Not Found"))</f>
        <v/>
      </c>
      <c r="F820" s="50" t="str">
        <f>IF(B820="","",IFERROR(VLOOKUP(B820,'Coil Sheet at Plant'!$C:$H,6,FALSE),"ID Not Found"))</f>
        <v/>
      </c>
      <c r="G820" s="81">
        <v>967</v>
      </c>
      <c r="H820" s="89" t="str">
        <f>IF(OR(B820="",G820=""),"",IFERROR(VLOOKUP(B820,'Coil Sheet at Plant'!$C:$J,8,FALSE),0)*G820/SUMIF(B:B,B820,G:G))</f>
        <v/>
      </c>
      <c r="I820" s="56" t="str">
        <f>IF(B820="","",IFERROR(VLOOKUP(B820,'Coil Sheet at Plant'!$C:$L,9,FALSE),""))</f>
        <v/>
      </c>
      <c r="J820" s="85" t="str">
        <f>IF(B820="","",IFERROR(VLOOKUP(B820,'Coil Sheet at Plant'!$C:$M,10,FALSE),""))</f>
        <v/>
      </c>
      <c r="K820" s="69" t="str">
        <f>IF(B820="","",SUMIF(B:B,B820,G:G))</f>
        <v/>
      </c>
      <c r="L820" s="70" t="str">
        <f>IF(B820="","",IFERROR(VLOOKUP(B820,'Coil Sheet at Plant'!$C:$I,7,FALSE),""))</f>
        <v/>
      </c>
      <c r="M820" s="71" t="str">
        <f>IF(OR(K820="",L820=""),"",IF(L820=0,"⚠ NO PARENT WIDTH",IF(K820&gt;L820,"⚠ BABY &gt; PARENT","✔ OK")))</f>
        <v/>
      </c>
      <c r="N820" s="71" t="str">
        <f>IF(D820="","",IF(COUNTIF(D$3:D820,D820)&gt;1,"⚠ DUPLICATE",""))</f>
        <v/>
      </c>
      <c r="O820" s="72" t="str">
        <f>IF(B820="","",SUMIF(B:B,B820,G:G)&amp;" / "&amp;IFERROR(VLOOKUP(B820,'Coil Sheet at Plant'!$C:$I,7,FALSE),"?")&amp;" mm")</f>
        <v/>
      </c>
    </row>
    <row r="821" spans="1:15">
      <c r="A821" s="36"/>
      <c r="B821" s="32"/>
      <c r="C821" s="39"/>
      <c r="D821" s="44" t="str">
        <f>IF(OR(B821="",C821=""),"",CONCATENATE(B821,"-",C821))</f>
        <v/>
      </c>
      <c r="E821" s="49" t="str">
        <f>IF(B821="","",IFERROR(VLOOKUP(B821,'Coil Sheet at Plant'!$C:$G,5,FALSE),"ID Not Found"))</f>
        <v/>
      </c>
      <c r="F821" s="50" t="str">
        <f>IF(B821="","",IFERROR(VLOOKUP(B821,'Coil Sheet at Plant'!$C:$H,6,FALSE),"ID Not Found"))</f>
        <v/>
      </c>
      <c r="G821" s="81">
        <v>968</v>
      </c>
      <c r="H821" s="89" t="str">
        <f>IF(OR(B821="",G821=""),"",IFERROR(VLOOKUP(B821,'Coil Sheet at Plant'!$C:$J,8,FALSE),0)*G821/SUMIF(B:B,B821,G:G))</f>
        <v/>
      </c>
      <c r="I821" s="56" t="str">
        <f>IF(B821="","",IFERROR(VLOOKUP(B821,'Coil Sheet at Plant'!$C:$L,9,FALSE),""))</f>
        <v/>
      </c>
      <c r="J821" s="85" t="str">
        <f>IF(B821="","",IFERROR(VLOOKUP(B821,'Coil Sheet at Plant'!$C:$M,10,FALSE),""))</f>
        <v/>
      </c>
      <c r="K821" s="69" t="str">
        <f>IF(B821="","",SUMIF(B:B,B821,G:G))</f>
        <v/>
      </c>
      <c r="L821" s="70" t="str">
        <f>IF(B821="","",IFERROR(VLOOKUP(B821,'Coil Sheet at Plant'!$C:$I,7,FALSE),""))</f>
        <v/>
      </c>
      <c r="M821" s="71" t="str">
        <f>IF(OR(K821="",L821=""),"",IF(L821=0,"⚠ NO PARENT WIDTH",IF(K821&gt;L821,"⚠ BABY &gt; PARENT","✔ OK")))</f>
        <v/>
      </c>
      <c r="N821" s="71" t="str">
        <f>IF(D821="","",IF(COUNTIF(D$3:D821,D821)&gt;1,"⚠ DUPLICATE",""))</f>
        <v/>
      </c>
      <c r="O821" s="72" t="str">
        <f>IF(B821="","",SUMIF(B:B,B821,G:G)&amp;" / "&amp;IFERROR(VLOOKUP(B821,'Coil Sheet at Plant'!$C:$I,7,FALSE),"?")&amp;" mm")</f>
        <v/>
      </c>
    </row>
    <row r="822" spans="1:15">
      <c r="A822" s="36"/>
      <c r="B822" s="32"/>
      <c r="C822" s="39"/>
      <c r="D822" s="44" t="str">
        <f>IF(OR(B822="",C822=""),"",CONCATENATE(B822,"-",C822))</f>
        <v/>
      </c>
      <c r="E822" s="49" t="str">
        <f>IF(B822="","",IFERROR(VLOOKUP(B822,'Coil Sheet at Plant'!$C:$G,5,FALSE),"ID Not Found"))</f>
        <v/>
      </c>
      <c r="F822" s="50" t="str">
        <f>IF(B822="","",IFERROR(VLOOKUP(B822,'Coil Sheet at Plant'!$C:$H,6,FALSE),"ID Not Found"))</f>
        <v/>
      </c>
      <c r="G822" s="81">
        <v>969</v>
      </c>
      <c r="H822" s="89" t="str">
        <f>IF(OR(B822="",G822=""),"",IFERROR(VLOOKUP(B822,'Coil Sheet at Plant'!$C:$J,8,FALSE),0)*G822/SUMIF(B:B,B822,G:G))</f>
        <v/>
      </c>
      <c r="I822" s="56" t="str">
        <f>IF(B822="","",IFERROR(VLOOKUP(B822,'Coil Sheet at Plant'!$C:$L,9,FALSE),""))</f>
        <v/>
      </c>
      <c r="J822" s="85" t="str">
        <f>IF(B822="","",IFERROR(VLOOKUP(B822,'Coil Sheet at Plant'!$C:$M,10,FALSE),""))</f>
        <v/>
      </c>
      <c r="K822" s="69" t="str">
        <f>IF(B822="","",SUMIF(B:B,B822,G:G))</f>
        <v/>
      </c>
      <c r="L822" s="70" t="str">
        <f>IF(B822="","",IFERROR(VLOOKUP(B822,'Coil Sheet at Plant'!$C:$I,7,FALSE),""))</f>
        <v/>
      </c>
      <c r="M822" s="71" t="str">
        <f>IF(OR(K822="",L822=""),"",IF(L822=0,"⚠ NO PARENT WIDTH",IF(K822&gt;L822,"⚠ BABY &gt; PARENT","✔ OK")))</f>
        <v/>
      </c>
      <c r="N822" s="71" t="str">
        <f>IF(D822="","",IF(COUNTIF(D$3:D822,D822)&gt;1,"⚠ DUPLICATE",""))</f>
        <v/>
      </c>
      <c r="O822" s="72" t="str">
        <f>IF(B822="","",SUMIF(B:B,B822,G:G)&amp;" / "&amp;IFERROR(VLOOKUP(B822,'Coil Sheet at Plant'!$C:$I,7,FALSE),"?")&amp;" mm")</f>
        <v/>
      </c>
    </row>
    <row r="823" spans="1:15">
      <c r="A823" s="36"/>
      <c r="B823" s="32"/>
      <c r="C823" s="39"/>
      <c r="D823" s="44" t="str">
        <f>IF(OR(B823="",C823=""),"",CONCATENATE(B823,"-",C823))</f>
        <v/>
      </c>
      <c r="E823" s="49" t="str">
        <f>IF(B823="","",IFERROR(VLOOKUP(B823,'Coil Sheet at Plant'!$C:$G,5,FALSE),"ID Not Found"))</f>
        <v/>
      </c>
      <c r="F823" s="50" t="str">
        <f>IF(B823="","",IFERROR(VLOOKUP(B823,'Coil Sheet at Plant'!$C:$H,6,FALSE),"ID Not Found"))</f>
        <v/>
      </c>
      <c r="G823" s="81">
        <v>970</v>
      </c>
      <c r="H823" s="89" t="str">
        <f>IF(OR(B823="",G823=""),"",IFERROR(VLOOKUP(B823,'Coil Sheet at Plant'!$C:$J,8,FALSE),0)*G823/SUMIF(B:B,B823,G:G))</f>
        <v/>
      </c>
      <c r="I823" s="56" t="str">
        <f>IF(B823="","",IFERROR(VLOOKUP(B823,'Coil Sheet at Plant'!$C:$L,9,FALSE),""))</f>
        <v/>
      </c>
      <c r="J823" s="85" t="str">
        <f>IF(B823="","",IFERROR(VLOOKUP(B823,'Coil Sheet at Plant'!$C:$M,10,FALSE),""))</f>
        <v/>
      </c>
      <c r="K823" s="69" t="str">
        <f>IF(B823="","",SUMIF(B:B,B823,G:G))</f>
        <v/>
      </c>
      <c r="L823" s="70" t="str">
        <f>IF(B823="","",IFERROR(VLOOKUP(B823,'Coil Sheet at Plant'!$C:$I,7,FALSE),""))</f>
        <v/>
      </c>
      <c r="M823" s="71" t="str">
        <f>IF(OR(K823="",L823=""),"",IF(L823=0,"⚠ NO PARENT WIDTH",IF(K823&gt;L823,"⚠ BABY &gt; PARENT","✔ OK")))</f>
        <v/>
      </c>
      <c r="N823" s="71" t="str">
        <f>IF(D823="","",IF(COUNTIF(D$3:D823,D823)&gt;1,"⚠ DUPLICATE",""))</f>
        <v/>
      </c>
      <c r="O823" s="72" t="str">
        <f>IF(B823="","",SUMIF(B:B,B823,G:G)&amp;" / "&amp;IFERROR(VLOOKUP(B823,'Coil Sheet at Plant'!$C:$I,7,FALSE),"?")&amp;" mm")</f>
        <v/>
      </c>
    </row>
    <row r="824" spans="1:15">
      <c r="A824" s="36"/>
      <c r="B824" s="32"/>
      <c r="C824" s="39"/>
      <c r="D824" s="44" t="str">
        <f>IF(OR(B824="",C824=""),"",CONCATENATE(B824,"-",C824))</f>
        <v/>
      </c>
      <c r="E824" s="49" t="str">
        <f>IF(B824="","",IFERROR(VLOOKUP(B824,'Coil Sheet at Plant'!$C:$G,5,FALSE),"ID Not Found"))</f>
        <v/>
      </c>
      <c r="F824" s="50" t="str">
        <f>IF(B824="","",IFERROR(VLOOKUP(B824,'Coil Sheet at Plant'!$C:$H,6,FALSE),"ID Not Found"))</f>
        <v/>
      </c>
      <c r="G824" s="81">
        <v>971</v>
      </c>
      <c r="H824" s="89" t="str">
        <f>IF(OR(B824="",G824=""),"",IFERROR(VLOOKUP(B824,'Coil Sheet at Plant'!$C:$J,8,FALSE),0)*G824/SUMIF(B:B,B824,G:G))</f>
        <v/>
      </c>
      <c r="I824" s="56" t="str">
        <f>IF(B824="","",IFERROR(VLOOKUP(B824,'Coil Sheet at Plant'!$C:$L,9,FALSE),""))</f>
        <v/>
      </c>
      <c r="J824" s="85" t="str">
        <f>IF(B824="","",IFERROR(VLOOKUP(B824,'Coil Sheet at Plant'!$C:$M,10,FALSE),""))</f>
        <v/>
      </c>
      <c r="K824" s="69" t="str">
        <f>IF(B824="","",SUMIF(B:B,B824,G:G))</f>
        <v/>
      </c>
      <c r="L824" s="70" t="str">
        <f>IF(B824="","",IFERROR(VLOOKUP(B824,'Coil Sheet at Plant'!$C:$I,7,FALSE),""))</f>
        <v/>
      </c>
      <c r="M824" s="71" t="str">
        <f>IF(OR(K824="",L824=""),"",IF(L824=0,"⚠ NO PARENT WIDTH",IF(K824&gt;L824,"⚠ BABY &gt; PARENT","✔ OK")))</f>
        <v/>
      </c>
      <c r="N824" s="71" t="str">
        <f>IF(D824="","",IF(COUNTIF(D$3:D824,D824)&gt;1,"⚠ DUPLICATE",""))</f>
        <v/>
      </c>
      <c r="O824" s="72" t="str">
        <f>IF(B824="","",SUMIF(B:B,B824,G:G)&amp;" / "&amp;IFERROR(VLOOKUP(B824,'Coil Sheet at Plant'!$C:$I,7,FALSE),"?")&amp;" mm")</f>
        <v/>
      </c>
    </row>
    <row r="825" spans="1:15">
      <c r="A825" s="36"/>
      <c r="B825" s="32"/>
      <c r="C825" s="39"/>
      <c r="D825" s="44" t="str">
        <f>IF(OR(B825="",C825=""),"",CONCATENATE(B825,"-",C825))</f>
        <v/>
      </c>
      <c r="E825" s="49" t="str">
        <f>IF(B825="","",IFERROR(VLOOKUP(B825,'Coil Sheet at Plant'!$C:$G,5,FALSE),"ID Not Found"))</f>
        <v/>
      </c>
      <c r="F825" s="50" t="str">
        <f>IF(B825="","",IFERROR(VLOOKUP(B825,'Coil Sheet at Plant'!$C:$H,6,FALSE),"ID Not Found"))</f>
        <v/>
      </c>
      <c r="G825" s="81">
        <v>972</v>
      </c>
      <c r="H825" s="89" t="str">
        <f>IF(OR(B825="",G825=""),"",IFERROR(VLOOKUP(B825,'Coil Sheet at Plant'!$C:$J,8,FALSE),0)*G825/SUMIF(B:B,B825,G:G))</f>
        <v/>
      </c>
      <c r="I825" s="56" t="str">
        <f>IF(B825="","",IFERROR(VLOOKUP(B825,'Coil Sheet at Plant'!$C:$L,9,FALSE),""))</f>
        <v/>
      </c>
      <c r="J825" s="85" t="str">
        <f>IF(B825="","",IFERROR(VLOOKUP(B825,'Coil Sheet at Plant'!$C:$M,10,FALSE),""))</f>
        <v/>
      </c>
      <c r="K825" s="69" t="str">
        <f>IF(B825="","",SUMIF(B:B,B825,G:G))</f>
        <v/>
      </c>
      <c r="L825" s="70" t="str">
        <f>IF(B825="","",IFERROR(VLOOKUP(B825,'Coil Sheet at Plant'!$C:$I,7,FALSE),""))</f>
        <v/>
      </c>
      <c r="M825" s="71" t="str">
        <f>IF(OR(K825="",L825=""),"",IF(L825=0,"⚠ NO PARENT WIDTH",IF(K825&gt;L825,"⚠ BABY &gt; PARENT","✔ OK")))</f>
        <v/>
      </c>
      <c r="N825" s="71" t="str">
        <f>IF(D825="","",IF(COUNTIF(D$3:D825,D825)&gt;1,"⚠ DUPLICATE",""))</f>
        <v/>
      </c>
      <c r="O825" s="72" t="str">
        <f>IF(B825="","",SUMIF(B:B,B825,G:G)&amp;" / "&amp;IFERROR(VLOOKUP(B825,'Coil Sheet at Plant'!$C:$I,7,FALSE),"?")&amp;" mm")</f>
        <v/>
      </c>
    </row>
    <row r="826" spans="1:15">
      <c r="A826" s="36"/>
      <c r="B826" s="32"/>
      <c r="C826" s="39"/>
      <c r="D826" s="44" t="str">
        <f>IF(OR(B826="",C826=""),"",CONCATENATE(B826,"-",C826))</f>
        <v/>
      </c>
      <c r="E826" s="49" t="str">
        <f>IF(B826="","",IFERROR(VLOOKUP(B826,'Coil Sheet at Plant'!$C:$G,5,FALSE),"ID Not Found"))</f>
        <v/>
      </c>
      <c r="F826" s="50" t="str">
        <f>IF(B826="","",IFERROR(VLOOKUP(B826,'Coil Sheet at Plant'!$C:$H,6,FALSE),"ID Not Found"))</f>
        <v/>
      </c>
      <c r="G826" s="81">
        <v>973</v>
      </c>
      <c r="H826" s="89" t="str">
        <f>IF(OR(B826="",G826=""),"",IFERROR(VLOOKUP(B826,'Coil Sheet at Plant'!$C:$J,8,FALSE),0)*G826/SUMIF(B:B,B826,G:G))</f>
        <v/>
      </c>
      <c r="I826" s="56" t="str">
        <f>IF(B826="","",IFERROR(VLOOKUP(B826,'Coil Sheet at Plant'!$C:$L,9,FALSE),""))</f>
        <v/>
      </c>
      <c r="J826" s="85" t="str">
        <f>IF(B826="","",IFERROR(VLOOKUP(B826,'Coil Sheet at Plant'!$C:$M,10,FALSE),""))</f>
        <v/>
      </c>
      <c r="K826" s="69" t="str">
        <f>IF(B826="","",SUMIF(B:B,B826,G:G))</f>
        <v/>
      </c>
      <c r="L826" s="70" t="str">
        <f>IF(B826="","",IFERROR(VLOOKUP(B826,'Coil Sheet at Plant'!$C:$I,7,FALSE),""))</f>
        <v/>
      </c>
      <c r="M826" s="71" t="str">
        <f>IF(OR(K826="",L826=""),"",IF(L826=0,"⚠ NO PARENT WIDTH",IF(K826&gt;L826,"⚠ BABY &gt; PARENT","✔ OK")))</f>
        <v/>
      </c>
      <c r="N826" s="71" t="str">
        <f>IF(D826="","",IF(COUNTIF(D$3:D826,D826)&gt;1,"⚠ DUPLICATE",""))</f>
        <v/>
      </c>
      <c r="O826" s="72" t="str">
        <f>IF(B826="","",SUMIF(B:B,B826,G:G)&amp;" / "&amp;IFERROR(VLOOKUP(B826,'Coil Sheet at Plant'!$C:$I,7,FALSE),"?")&amp;" mm")</f>
        <v/>
      </c>
    </row>
    <row r="827" spans="1:15">
      <c r="A827" s="36"/>
      <c r="B827" s="32"/>
      <c r="C827" s="39"/>
      <c r="D827" s="44" t="str">
        <f>IF(OR(B827="",C827=""),"",CONCATENATE(B827,"-",C827))</f>
        <v/>
      </c>
      <c r="E827" s="49" t="str">
        <f>IF(B827="","",IFERROR(VLOOKUP(B827,'Coil Sheet at Plant'!$C:$G,5,FALSE),"ID Not Found"))</f>
        <v/>
      </c>
      <c r="F827" s="50" t="str">
        <f>IF(B827="","",IFERROR(VLOOKUP(B827,'Coil Sheet at Plant'!$C:$H,6,FALSE),"ID Not Found"))</f>
        <v/>
      </c>
      <c r="G827" s="81">
        <v>974</v>
      </c>
      <c r="H827" s="89" t="str">
        <f>IF(OR(B827="",G827=""),"",IFERROR(VLOOKUP(B827,'Coil Sheet at Plant'!$C:$J,8,FALSE),0)*G827/SUMIF(B:B,B827,G:G))</f>
        <v/>
      </c>
      <c r="I827" s="56" t="str">
        <f>IF(B827="","",IFERROR(VLOOKUP(B827,'Coil Sheet at Plant'!$C:$L,9,FALSE),""))</f>
        <v/>
      </c>
      <c r="J827" s="85" t="str">
        <f>IF(B827="","",IFERROR(VLOOKUP(B827,'Coil Sheet at Plant'!$C:$M,10,FALSE),""))</f>
        <v/>
      </c>
      <c r="K827" s="69" t="str">
        <f>IF(B827="","",SUMIF(B:B,B827,G:G))</f>
        <v/>
      </c>
      <c r="L827" s="70" t="str">
        <f>IF(B827="","",IFERROR(VLOOKUP(B827,'Coil Sheet at Plant'!$C:$I,7,FALSE),""))</f>
        <v/>
      </c>
      <c r="M827" s="71" t="str">
        <f>IF(OR(K827="",L827=""),"",IF(L827=0,"⚠ NO PARENT WIDTH",IF(K827&gt;L827,"⚠ BABY &gt; PARENT","✔ OK")))</f>
        <v/>
      </c>
      <c r="N827" s="71" t="str">
        <f>IF(D827="","",IF(COUNTIF(D$3:D827,D827)&gt;1,"⚠ DUPLICATE",""))</f>
        <v/>
      </c>
      <c r="O827" s="72" t="str">
        <f>IF(B827="","",SUMIF(B:B,B827,G:G)&amp;" / "&amp;IFERROR(VLOOKUP(B827,'Coil Sheet at Plant'!$C:$I,7,FALSE),"?")&amp;" mm")</f>
        <v/>
      </c>
    </row>
    <row r="828" spans="1:15">
      <c r="A828" s="36"/>
      <c r="B828" s="32"/>
      <c r="C828" s="39"/>
      <c r="D828" s="44" t="str">
        <f>IF(OR(B828="",C828=""),"",CONCATENATE(B828,"-",C828))</f>
        <v/>
      </c>
      <c r="E828" s="49" t="str">
        <f>IF(B828="","",IFERROR(VLOOKUP(B828,'Coil Sheet at Plant'!$C:$G,5,FALSE),"ID Not Found"))</f>
        <v/>
      </c>
      <c r="F828" s="50" t="str">
        <f>IF(B828="","",IFERROR(VLOOKUP(B828,'Coil Sheet at Plant'!$C:$H,6,FALSE),"ID Not Found"))</f>
        <v/>
      </c>
      <c r="G828" s="81">
        <v>975</v>
      </c>
      <c r="H828" s="89" t="str">
        <f>IF(OR(B828="",G828=""),"",IFERROR(VLOOKUP(B828,'Coil Sheet at Plant'!$C:$J,8,FALSE),0)*G828/SUMIF(B:B,B828,G:G))</f>
        <v/>
      </c>
      <c r="I828" s="56" t="str">
        <f>IF(B828="","",IFERROR(VLOOKUP(B828,'Coil Sheet at Plant'!$C:$L,9,FALSE),""))</f>
        <v/>
      </c>
      <c r="J828" s="85" t="str">
        <f>IF(B828="","",IFERROR(VLOOKUP(B828,'Coil Sheet at Plant'!$C:$M,10,FALSE),""))</f>
        <v/>
      </c>
      <c r="K828" s="69" t="str">
        <f>IF(B828="","",SUMIF(B:B,B828,G:G))</f>
        <v/>
      </c>
      <c r="L828" s="70" t="str">
        <f>IF(B828="","",IFERROR(VLOOKUP(B828,'Coil Sheet at Plant'!$C:$I,7,FALSE),""))</f>
        <v/>
      </c>
      <c r="M828" s="71" t="str">
        <f>IF(OR(K828="",L828=""),"",IF(L828=0,"⚠ NO PARENT WIDTH",IF(K828&gt;L828,"⚠ BABY &gt; PARENT","✔ OK")))</f>
        <v/>
      </c>
      <c r="N828" s="71" t="str">
        <f>IF(D828="","",IF(COUNTIF(D$3:D828,D828)&gt;1,"⚠ DUPLICATE",""))</f>
        <v/>
      </c>
      <c r="O828" s="72" t="str">
        <f>IF(B828="","",SUMIF(B:B,B828,G:G)&amp;" / "&amp;IFERROR(VLOOKUP(B828,'Coil Sheet at Plant'!$C:$I,7,FALSE),"?")&amp;" mm")</f>
        <v/>
      </c>
    </row>
    <row r="829" spans="1:15">
      <c r="A829" s="36"/>
      <c r="B829" s="32"/>
      <c r="C829" s="39"/>
      <c r="D829" s="44" t="str">
        <f>IF(OR(B829="",C829=""),"",CONCATENATE(B829,"-",C829))</f>
        <v/>
      </c>
      <c r="E829" s="49" t="str">
        <f>IF(B829="","",IFERROR(VLOOKUP(B829,'Coil Sheet at Plant'!$C:$G,5,FALSE),"ID Not Found"))</f>
        <v/>
      </c>
      <c r="F829" s="50" t="str">
        <f>IF(B829="","",IFERROR(VLOOKUP(B829,'Coil Sheet at Plant'!$C:$H,6,FALSE),"ID Not Found"))</f>
        <v/>
      </c>
      <c r="G829" s="81">
        <v>976</v>
      </c>
      <c r="H829" s="89" t="str">
        <f>IF(OR(B829="",G829=""),"",IFERROR(VLOOKUP(B829,'Coil Sheet at Plant'!$C:$J,8,FALSE),0)*G829/SUMIF(B:B,B829,G:G))</f>
        <v/>
      </c>
      <c r="I829" s="56" t="str">
        <f>IF(B829="","",IFERROR(VLOOKUP(B829,'Coil Sheet at Plant'!$C:$L,9,FALSE),""))</f>
        <v/>
      </c>
      <c r="J829" s="85" t="str">
        <f>IF(B829="","",IFERROR(VLOOKUP(B829,'Coil Sheet at Plant'!$C:$M,10,FALSE),""))</f>
        <v/>
      </c>
      <c r="K829" s="69" t="str">
        <f>IF(B829="","",SUMIF(B:B,B829,G:G))</f>
        <v/>
      </c>
      <c r="L829" s="70" t="str">
        <f>IF(B829="","",IFERROR(VLOOKUP(B829,'Coil Sheet at Plant'!$C:$I,7,FALSE),""))</f>
        <v/>
      </c>
      <c r="M829" s="71" t="str">
        <f>IF(OR(K829="",L829=""),"",IF(L829=0,"⚠ NO PARENT WIDTH",IF(K829&gt;L829,"⚠ BABY &gt; PARENT","✔ OK")))</f>
        <v/>
      </c>
      <c r="N829" s="71" t="str">
        <f>IF(D829="","",IF(COUNTIF(D$3:D829,D829)&gt;1,"⚠ DUPLICATE",""))</f>
        <v/>
      </c>
      <c r="O829" s="72" t="str">
        <f>IF(B829="","",SUMIF(B:B,B829,G:G)&amp;" / "&amp;IFERROR(VLOOKUP(B829,'Coil Sheet at Plant'!$C:$I,7,FALSE),"?")&amp;" mm")</f>
        <v/>
      </c>
    </row>
    <row r="830" spans="1:15">
      <c r="A830" s="36"/>
      <c r="B830" s="32"/>
      <c r="C830" s="39"/>
      <c r="D830" s="44" t="str">
        <f>IF(OR(B830="",C830=""),"",CONCATENATE(B830,"-",C830))</f>
        <v/>
      </c>
      <c r="E830" s="49" t="str">
        <f>IF(B830="","",IFERROR(VLOOKUP(B830,'Coil Sheet at Plant'!$C:$G,5,FALSE),"ID Not Found"))</f>
        <v/>
      </c>
      <c r="F830" s="50" t="str">
        <f>IF(B830="","",IFERROR(VLOOKUP(B830,'Coil Sheet at Plant'!$C:$H,6,FALSE),"ID Not Found"))</f>
        <v/>
      </c>
      <c r="G830" s="81">
        <v>977</v>
      </c>
      <c r="H830" s="89" t="str">
        <f>IF(OR(B830="",G830=""),"",IFERROR(VLOOKUP(B830,'Coil Sheet at Plant'!$C:$J,8,FALSE),0)*G830/SUMIF(B:B,B830,G:G))</f>
        <v/>
      </c>
      <c r="I830" s="56" t="str">
        <f>IF(B830="","",IFERROR(VLOOKUP(B830,'Coil Sheet at Plant'!$C:$L,9,FALSE),""))</f>
        <v/>
      </c>
      <c r="J830" s="85" t="str">
        <f>IF(B830="","",IFERROR(VLOOKUP(B830,'Coil Sheet at Plant'!$C:$M,10,FALSE),""))</f>
        <v/>
      </c>
      <c r="K830" s="69" t="str">
        <f>IF(B830="","",SUMIF(B:B,B830,G:G))</f>
        <v/>
      </c>
      <c r="L830" s="70" t="str">
        <f>IF(B830="","",IFERROR(VLOOKUP(B830,'Coil Sheet at Plant'!$C:$I,7,FALSE),""))</f>
        <v/>
      </c>
      <c r="M830" s="71" t="str">
        <f>IF(OR(K830="",L830=""),"",IF(L830=0,"⚠ NO PARENT WIDTH",IF(K830&gt;L830,"⚠ BABY &gt; PARENT","✔ OK")))</f>
        <v/>
      </c>
      <c r="N830" s="71" t="str">
        <f>IF(D830="","",IF(COUNTIF(D$3:D830,D830)&gt;1,"⚠ DUPLICATE",""))</f>
        <v/>
      </c>
      <c r="O830" s="72" t="str">
        <f>IF(B830="","",SUMIF(B:B,B830,G:G)&amp;" / "&amp;IFERROR(VLOOKUP(B830,'Coil Sheet at Plant'!$C:$I,7,FALSE),"?")&amp;" mm")</f>
        <v/>
      </c>
    </row>
    <row r="831" spans="1:15">
      <c r="A831" s="36"/>
      <c r="B831" s="32"/>
      <c r="C831" s="39"/>
      <c r="D831" s="44" t="str">
        <f>IF(OR(B831="",C831=""),"",CONCATENATE(B831,"-",C831))</f>
        <v/>
      </c>
      <c r="E831" s="49" t="str">
        <f>IF(B831="","",IFERROR(VLOOKUP(B831,'Coil Sheet at Plant'!$C:$G,5,FALSE),"ID Not Found"))</f>
        <v/>
      </c>
      <c r="F831" s="50" t="str">
        <f>IF(B831="","",IFERROR(VLOOKUP(B831,'Coil Sheet at Plant'!$C:$H,6,FALSE),"ID Not Found"))</f>
        <v/>
      </c>
      <c r="G831" s="81">
        <v>978</v>
      </c>
      <c r="H831" s="89" t="str">
        <f>IF(OR(B831="",G831=""),"",IFERROR(VLOOKUP(B831,'Coil Sheet at Plant'!$C:$J,8,FALSE),0)*G831/SUMIF(B:B,B831,G:G))</f>
        <v/>
      </c>
      <c r="I831" s="56" t="str">
        <f>IF(B831="","",IFERROR(VLOOKUP(B831,'Coil Sheet at Plant'!$C:$L,9,FALSE),""))</f>
        <v/>
      </c>
      <c r="J831" s="85" t="str">
        <f>IF(B831="","",IFERROR(VLOOKUP(B831,'Coil Sheet at Plant'!$C:$M,10,FALSE),""))</f>
        <v/>
      </c>
      <c r="K831" s="69" t="str">
        <f>IF(B831="","",SUMIF(B:B,B831,G:G))</f>
        <v/>
      </c>
      <c r="L831" s="70" t="str">
        <f>IF(B831="","",IFERROR(VLOOKUP(B831,'Coil Sheet at Plant'!$C:$I,7,FALSE),""))</f>
        <v/>
      </c>
      <c r="M831" s="71" t="str">
        <f>IF(OR(K831="",L831=""),"",IF(L831=0,"⚠ NO PARENT WIDTH",IF(K831&gt;L831,"⚠ BABY &gt; PARENT","✔ OK")))</f>
        <v/>
      </c>
      <c r="N831" s="71" t="str">
        <f>IF(D831="","",IF(COUNTIF(D$3:D831,D831)&gt;1,"⚠ DUPLICATE",""))</f>
        <v/>
      </c>
      <c r="O831" s="72" t="str">
        <f>IF(B831="","",SUMIF(B:B,B831,G:G)&amp;" / "&amp;IFERROR(VLOOKUP(B831,'Coil Sheet at Plant'!$C:$I,7,FALSE),"?")&amp;" mm")</f>
        <v/>
      </c>
    </row>
    <row r="832" spans="1:15">
      <c r="A832" s="36"/>
      <c r="B832" s="32"/>
      <c r="C832" s="39"/>
      <c r="D832" s="44" t="str">
        <f>IF(OR(B832="",C832=""),"",CONCATENATE(B832,"-",C832))</f>
        <v/>
      </c>
      <c r="E832" s="49" t="str">
        <f>IF(B832="","",IFERROR(VLOOKUP(B832,'Coil Sheet at Plant'!$C:$G,5,FALSE),"ID Not Found"))</f>
        <v/>
      </c>
      <c r="F832" s="50" t="str">
        <f>IF(B832="","",IFERROR(VLOOKUP(B832,'Coil Sheet at Plant'!$C:$H,6,FALSE),"ID Not Found"))</f>
        <v/>
      </c>
      <c r="G832" s="81">
        <v>979</v>
      </c>
      <c r="H832" s="89" t="str">
        <f>IF(OR(B832="",G832=""),"",IFERROR(VLOOKUP(B832,'Coil Sheet at Plant'!$C:$J,8,FALSE),0)*G832/SUMIF(B:B,B832,G:G))</f>
        <v/>
      </c>
      <c r="I832" s="56" t="str">
        <f>IF(B832="","",IFERROR(VLOOKUP(B832,'Coil Sheet at Plant'!$C:$L,9,FALSE),""))</f>
        <v/>
      </c>
      <c r="J832" s="85" t="str">
        <f>IF(B832="","",IFERROR(VLOOKUP(B832,'Coil Sheet at Plant'!$C:$M,10,FALSE),""))</f>
        <v/>
      </c>
      <c r="K832" s="69" t="str">
        <f>IF(B832="","",SUMIF(B:B,B832,G:G))</f>
        <v/>
      </c>
      <c r="L832" s="70" t="str">
        <f>IF(B832="","",IFERROR(VLOOKUP(B832,'Coil Sheet at Plant'!$C:$I,7,FALSE),""))</f>
        <v/>
      </c>
      <c r="M832" s="71" t="str">
        <f>IF(OR(K832="",L832=""),"",IF(L832=0,"⚠ NO PARENT WIDTH",IF(K832&gt;L832,"⚠ BABY &gt; PARENT","✔ OK")))</f>
        <v/>
      </c>
      <c r="N832" s="71" t="str">
        <f>IF(D832="","",IF(COUNTIF(D$3:D832,D832)&gt;1,"⚠ DUPLICATE",""))</f>
        <v/>
      </c>
      <c r="O832" s="72" t="str">
        <f>IF(B832="","",SUMIF(B:B,B832,G:G)&amp;" / "&amp;IFERROR(VLOOKUP(B832,'Coil Sheet at Plant'!$C:$I,7,FALSE),"?")&amp;" mm")</f>
        <v/>
      </c>
    </row>
    <row r="833" spans="1:15">
      <c r="A833" s="36"/>
      <c r="B833" s="32"/>
      <c r="C833" s="39"/>
      <c r="D833" s="44" t="str">
        <f>IF(OR(B833="",C833=""),"",CONCATENATE(B833,"-",C833))</f>
        <v/>
      </c>
      <c r="E833" s="49" t="str">
        <f>IF(B833="","",IFERROR(VLOOKUP(B833,'Coil Sheet at Plant'!$C:$G,5,FALSE),"ID Not Found"))</f>
        <v/>
      </c>
      <c r="F833" s="50" t="str">
        <f>IF(B833="","",IFERROR(VLOOKUP(B833,'Coil Sheet at Plant'!$C:$H,6,FALSE),"ID Not Found"))</f>
        <v/>
      </c>
      <c r="G833" s="81">
        <v>980</v>
      </c>
      <c r="H833" s="89" t="str">
        <f>IF(OR(B833="",G833=""),"",IFERROR(VLOOKUP(B833,'Coil Sheet at Plant'!$C:$J,8,FALSE),0)*G833/SUMIF(B:B,B833,G:G))</f>
        <v/>
      </c>
      <c r="I833" s="56" t="str">
        <f>IF(B833="","",IFERROR(VLOOKUP(B833,'Coil Sheet at Plant'!$C:$L,9,FALSE),""))</f>
        <v/>
      </c>
      <c r="J833" s="85" t="str">
        <f>IF(B833="","",IFERROR(VLOOKUP(B833,'Coil Sheet at Plant'!$C:$M,10,FALSE),""))</f>
        <v/>
      </c>
      <c r="K833" s="69" t="str">
        <f>IF(B833="","",SUMIF(B:B,B833,G:G))</f>
        <v/>
      </c>
      <c r="L833" s="70" t="str">
        <f>IF(B833="","",IFERROR(VLOOKUP(B833,'Coil Sheet at Plant'!$C:$I,7,FALSE),""))</f>
        <v/>
      </c>
      <c r="M833" s="71" t="str">
        <f>IF(OR(K833="",L833=""),"",IF(L833=0,"⚠ NO PARENT WIDTH",IF(K833&gt;L833,"⚠ BABY &gt; PARENT","✔ OK")))</f>
        <v/>
      </c>
      <c r="N833" s="71" t="str">
        <f>IF(D833="","",IF(COUNTIF(D$3:D833,D833)&gt;1,"⚠ DUPLICATE",""))</f>
        <v/>
      </c>
      <c r="O833" s="72" t="str">
        <f>IF(B833="","",SUMIF(B:B,B833,G:G)&amp;" / "&amp;IFERROR(VLOOKUP(B833,'Coil Sheet at Plant'!$C:$I,7,FALSE),"?")&amp;" mm")</f>
        <v/>
      </c>
    </row>
    <row r="834" spans="1:15">
      <c r="A834" s="36"/>
      <c r="B834" s="32"/>
      <c r="C834" s="39"/>
      <c r="D834" s="44" t="str">
        <f>IF(OR(B834="",C834=""),"",CONCATENATE(B834,"-",C834))</f>
        <v/>
      </c>
      <c r="E834" s="49" t="str">
        <f>IF(B834="","",IFERROR(VLOOKUP(B834,'Coil Sheet at Plant'!$C:$G,5,FALSE),"ID Not Found"))</f>
        <v/>
      </c>
      <c r="F834" s="50" t="str">
        <f>IF(B834="","",IFERROR(VLOOKUP(B834,'Coil Sheet at Plant'!$C:$H,6,FALSE),"ID Not Found"))</f>
        <v/>
      </c>
      <c r="G834" s="81">
        <v>981</v>
      </c>
      <c r="H834" s="89" t="str">
        <f>IF(OR(B834="",G834=""),"",IFERROR(VLOOKUP(B834,'Coil Sheet at Plant'!$C:$J,8,FALSE),0)*G834/SUMIF(B:B,B834,G:G))</f>
        <v/>
      </c>
      <c r="I834" s="56" t="str">
        <f>IF(B834="","",IFERROR(VLOOKUP(B834,'Coil Sheet at Plant'!$C:$L,9,FALSE),""))</f>
        <v/>
      </c>
      <c r="J834" s="85" t="str">
        <f>IF(B834="","",IFERROR(VLOOKUP(B834,'Coil Sheet at Plant'!$C:$M,10,FALSE),""))</f>
        <v/>
      </c>
      <c r="K834" s="69" t="str">
        <f>IF(B834="","",SUMIF(B:B,B834,G:G))</f>
        <v/>
      </c>
      <c r="L834" s="70" t="str">
        <f>IF(B834="","",IFERROR(VLOOKUP(B834,'Coil Sheet at Plant'!$C:$I,7,FALSE),""))</f>
        <v/>
      </c>
      <c r="M834" s="71" t="str">
        <f>IF(OR(K834="",L834=""),"",IF(L834=0,"⚠ NO PARENT WIDTH",IF(K834&gt;L834,"⚠ BABY &gt; PARENT","✔ OK")))</f>
        <v/>
      </c>
      <c r="N834" s="71" t="str">
        <f>IF(D834="","",IF(COUNTIF(D$3:D834,D834)&gt;1,"⚠ DUPLICATE",""))</f>
        <v/>
      </c>
      <c r="O834" s="72" t="str">
        <f>IF(B834="","",SUMIF(B:B,B834,G:G)&amp;" / "&amp;IFERROR(VLOOKUP(B834,'Coil Sheet at Plant'!$C:$I,7,FALSE),"?")&amp;" mm")</f>
        <v/>
      </c>
    </row>
    <row r="835" spans="1:15">
      <c r="A835" s="36"/>
      <c r="B835" s="32"/>
      <c r="C835" s="39"/>
      <c r="D835" s="44" t="str">
        <f>IF(OR(B835="",C835=""),"",CONCATENATE(B835,"-",C835))</f>
        <v/>
      </c>
      <c r="E835" s="49" t="str">
        <f>IF(B835="","",IFERROR(VLOOKUP(B835,'Coil Sheet at Plant'!$C:$G,5,FALSE),"ID Not Found"))</f>
        <v/>
      </c>
      <c r="F835" s="50" t="str">
        <f>IF(B835="","",IFERROR(VLOOKUP(B835,'Coil Sheet at Plant'!$C:$H,6,FALSE),"ID Not Found"))</f>
        <v/>
      </c>
      <c r="G835" s="81">
        <v>982</v>
      </c>
      <c r="H835" s="89" t="str">
        <f>IF(OR(B835="",G835=""),"",IFERROR(VLOOKUP(B835,'Coil Sheet at Plant'!$C:$J,8,FALSE),0)*G835/SUMIF(B:B,B835,G:G))</f>
        <v/>
      </c>
      <c r="I835" s="56" t="str">
        <f>IF(B835="","",IFERROR(VLOOKUP(B835,'Coil Sheet at Plant'!$C:$L,9,FALSE),""))</f>
        <v/>
      </c>
      <c r="J835" s="85" t="str">
        <f>IF(B835="","",IFERROR(VLOOKUP(B835,'Coil Sheet at Plant'!$C:$M,10,FALSE),""))</f>
        <v/>
      </c>
      <c r="K835" s="69" t="str">
        <f>IF(B835="","",SUMIF(B:B,B835,G:G))</f>
        <v/>
      </c>
      <c r="L835" s="70" t="str">
        <f>IF(B835="","",IFERROR(VLOOKUP(B835,'Coil Sheet at Plant'!$C:$I,7,FALSE),""))</f>
        <v/>
      </c>
      <c r="M835" s="71" t="str">
        <f>IF(OR(K835="",L835=""),"",IF(L835=0,"⚠ NO PARENT WIDTH",IF(K835&gt;L835,"⚠ BABY &gt; PARENT","✔ OK")))</f>
        <v/>
      </c>
      <c r="N835" s="71" t="str">
        <f>IF(D835="","",IF(COUNTIF(D$3:D835,D835)&gt;1,"⚠ DUPLICATE",""))</f>
        <v/>
      </c>
      <c r="O835" s="72" t="str">
        <f>IF(B835="","",SUMIF(B:B,B835,G:G)&amp;" / "&amp;IFERROR(VLOOKUP(B835,'Coil Sheet at Plant'!$C:$I,7,FALSE),"?")&amp;" mm")</f>
        <v/>
      </c>
    </row>
    <row r="836" spans="1:15">
      <c r="A836" s="36"/>
      <c r="B836" s="32"/>
      <c r="C836" s="39"/>
      <c r="D836" s="44" t="str">
        <f>IF(OR(B836="",C836=""),"",CONCATENATE(B836,"-",C836))</f>
        <v/>
      </c>
      <c r="E836" s="49" t="str">
        <f>IF(B836="","",IFERROR(VLOOKUP(B836,'Coil Sheet at Plant'!$C:$G,5,FALSE),"ID Not Found"))</f>
        <v/>
      </c>
      <c r="F836" s="50" t="str">
        <f>IF(B836="","",IFERROR(VLOOKUP(B836,'Coil Sheet at Plant'!$C:$H,6,FALSE),"ID Not Found"))</f>
        <v/>
      </c>
      <c r="G836" s="81">
        <v>983</v>
      </c>
      <c r="H836" s="89" t="str">
        <f>IF(OR(B836="",G836=""),"",IFERROR(VLOOKUP(B836,'Coil Sheet at Plant'!$C:$J,8,FALSE),0)*G836/SUMIF(B:B,B836,G:G))</f>
        <v/>
      </c>
      <c r="I836" s="56" t="str">
        <f>IF(B836="","",IFERROR(VLOOKUP(B836,'Coil Sheet at Plant'!$C:$L,9,FALSE),""))</f>
        <v/>
      </c>
      <c r="J836" s="85" t="str">
        <f>IF(B836="","",IFERROR(VLOOKUP(B836,'Coil Sheet at Plant'!$C:$M,10,FALSE),""))</f>
        <v/>
      </c>
      <c r="K836" s="69" t="str">
        <f>IF(B836="","",SUMIF(B:B,B836,G:G))</f>
        <v/>
      </c>
      <c r="L836" s="70" t="str">
        <f>IF(B836="","",IFERROR(VLOOKUP(B836,'Coil Sheet at Plant'!$C:$I,7,FALSE),""))</f>
        <v/>
      </c>
      <c r="M836" s="71" t="str">
        <f>IF(OR(K836="",L836=""),"",IF(L836=0,"⚠ NO PARENT WIDTH",IF(K836&gt;L836,"⚠ BABY &gt; PARENT","✔ OK")))</f>
        <v/>
      </c>
      <c r="N836" s="71" t="str">
        <f>IF(D836="","",IF(COUNTIF(D$3:D836,D836)&gt;1,"⚠ DUPLICATE",""))</f>
        <v/>
      </c>
      <c r="O836" s="72" t="str">
        <f>IF(B836="","",SUMIF(B:B,B836,G:G)&amp;" / "&amp;IFERROR(VLOOKUP(B836,'Coil Sheet at Plant'!$C:$I,7,FALSE),"?")&amp;" mm")</f>
        <v/>
      </c>
    </row>
    <row r="837" spans="1:15">
      <c r="A837" s="36"/>
      <c r="B837" s="32"/>
      <c r="C837" s="39"/>
      <c r="D837" s="44" t="str">
        <f>IF(OR(B837="",C837=""),"",CONCATENATE(B837,"-",C837))</f>
        <v/>
      </c>
      <c r="E837" s="49" t="str">
        <f>IF(B837="","",IFERROR(VLOOKUP(B837,'Coil Sheet at Plant'!$C:$G,5,FALSE),"ID Not Found"))</f>
        <v/>
      </c>
      <c r="F837" s="50" t="str">
        <f>IF(B837="","",IFERROR(VLOOKUP(B837,'Coil Sheet at Plant'!$C:$H,6,FALSE),"ID Not Found"))</f>
        <v/>
      </c>
      <c r="G837" s="81">
        <v>984</v>
      </c>
      <c r="H837" s="89" t="str">
        <f>IF(OR(B837="",G837=""),"",IFERROR(VLOOKUP(B837,'Coil Sheet at Plant'!$C:$J,8,FALSE),0)*G837/SUMIF(B:B,B837,G:G))</f>
        <v/>
      </c>
      <c r="I837" s="56" t="str">
        <f>IF(B837="","",IFERROR(VLOOKUP(B837,'Coil Sheet at Plant'!$C:$L,9,FALSE),""))</f>
        <v/>
      </c>
      <c r="J837" s="85" t="str">
        <f>IF(B837="","",IFERROR(VLOOKUP(B837,'Coil Sheet at Plant'!$C:$M,10,FALSE),""))</f>
        <v/>
      </c>
      <c r="K837" s="69" t="str">
        <f>IF(B837="","",SUMIF(B:B,B837,G:G))</f>
        <v/>
      </c>
      <c r="L837" s="70" t="str">
        <f>IF(B837="","",IFERROR(VLOOKUP(B837,'Coil Sheet at Plant'!$C:$I,7,FALSE),""))</f>
        <v/>
      </c>
      <c r="M837" s="71" t="str">
        <f>IF(OR(K837="",L837=""),"",IF(L837=0,"⚠ NO PARENT WIDTH",IF(K837&gt;L837,"⚠ BABY &gt; PARENT","✔ OK")))</f>
        <v/>
      </c>
      <c r="N837" s="71" t="str">
        <f>IF(D837="","",IF(COUNTIF(D$3:D837,D837)&gt;1,"⚠ DUPLICATE",""))</f>
        <v/>
      </c>
      <c r="O837" s="72" t="str">
        <f>IF(B837="","",SUMIF(B:B,B837,G:G)&amp;" / "&amp;IFERROR(VLOOKUP(B837,'Coil Sheet at Plant'!$C:$I,7,FALSE),"?")&amp;" mm")</f>
        <v/>
      </c>
    </row>
    <row r="838" spans="1:15">
      <c r="A838" s="36"/>
      <c r="B838" s="32"/>
      <c r="C838" s="39"/>
      <c r="D838" s="44" t="str">
        <f>IF(OR(B838="",C838=""),"",CONCATENATE(B838,"-",C838))</f>
        <v/>
      </c>
      <c r="E838" s="49" t="str">
        <f>IF(B838="","",IFERROR(VLOOKUP(B838,'Coil Sheet at Plant'!$C:$G,5,FALSE),"ID Not Found"))</f>
        <v/>
      </c>
      <c r="F838" s="50" t="str">
        <f>IF(B838="","",IFERROR(VLOOKUP(B838,'Coil Sheet at Plant'!$C:$H,6,FALSE),"ID Not Found"))</f>
        <v/>
      </c>
      <c r="G838" s="81">
        <v>985</v>
      </c>
      <c r="H838" s="89" t="str">
        <f>IF(OR(B838="",G838=""),"",IFERROR(VLOOKUP(B838,'Coil Sheet at Plant'!$C:$J,8,FALSE),0)*G838/SUMIF(B:B,B838,G:G))</f>
        <v/>
      </c>
      <c r="I838" s="56" t="str">
        <f>IF(B838="","",IFERROR(VLOOKUP(B838,'Coil Sheet at Plant'!$C:$L,9,FALSE),""))</f>
        <v/>
      </c>
      <c r="J838" s="85" t="str">
        <f>IF(B838="","",IFERROR(VLOOKUP(B838,'Coil Sheet at Plant'!$C:$M,10,FALSE),""))</f>
        <v/>
      </c>
      <c r="K838" s="69" t="str">
        <f>IF(B838="","",SUMIF(B:B,B838,G:G))</f>
        <v/>
      </c>
      <c r="L838" s="70" t="str">
        <f>IF(B838="","",IFERROR(VLOOKUP(B838,'Coil Sheet at Plant'!$C:$I,7,FALSE),""))</f>
        <v/>
      </c>
      <c r="M838" s="71" t="str">
        <f>IF(OR(K838="",L838=""),"",IF(L838=0,"⚠ NO PARENT WIDTH",IF(K838&gt;L838,"⚠ BABY &gt; PARENT","✔ OK")))</f>
        <v/>
      </c>
      <c r="N838" s="71" t="str">
        <f>IF(D838="","",IF(COUNTIF(D$3:D838,D838)&gt;1,"⚠ DUPLICATE",""))</f>
        <v/>
      </c>
      <c r="O838" s="72" t="str">
        <f>IF(B838="","",SUMIF(B:B,B838,G:G)&amp;" / "&amp;IFERROR(VLOOKUP(B838,'Coil Sheet at Plant'!$C:$I,7,FALSE),"?")&amp;" mm")</f>
        <v/>
      </c>
    </row>
    <row r="839" spans="1:15">
      <c r="A839" s="36"/>
      <c r="B839" s="32"/>
      <c r="C839" s="39"/>
      <c r="D839" s="44" t="str">
        <f>IF(OR(B839="",C839=""),"",CONCATENATE(B839,"-",C839))</f>
        <v/>
      </c>
      <c r="E839" s="49" t="str">
        <f>IF(B839="","",IFERROR(VLOOKUP(B839,'Coil Sheet at Plant'!$C:$G,5,FALSE),"ID Not Found"))</f>
        <v/>
      </c>
      <c r="F839" s="50" t="str">
        <f>IF(B839="","",IFERROR(VLOOKUP(B839,'Coil Sheet at Plant'!$C:$H,6,FALSE),"ID Not Found"))</f>
        <v/>
      </c>
      <c r="G839" s="81">
        <v>986</v>
      </c>
      <c r="H839" s="89" t="str">
        <f>IF(OR(B839="",G839=""),"",IFERROR(VLOOKUP(B839,'Coil Sheet at Plant'!$C:$J,8,FALSE),0)*G839/SUMIF(B:B,B839,G:G))</f>
        <v/>
      </c>
      <c r="I839" s="56" t="str">
        <f>IF(B839="","",IFERROR(VLOOKUP(B839,'Coil Sheet at Plant'!$C:$L,9,FALSE),""))</f>
        <v/>
      </c>
      <c r="J839" s="85" t="str">
        <f>IF(B839="","",IFERROR(VLOOKUP(B839,'Coil Sheet at Plant'!$C:$M,10,FALSE),""))</f>
        <v/>
      </c>
      <c r="K839" s="69" t="str">
        <f>IF(B839="","",SUMIF(B:B,B839,G:G))</f>
        <v/>
      </c>
      <c r="L839" s="70" t="str">
        <f>IF(B839="","",IFERROR(VLOOKUP(B839,'Coil Sheet at Plant'!$C:$I,7,FALSE),""))</f>
        <v/>
      </c>
      <c r="M839" s="71" t="str">
        <f>IF(OR(K839="",L839=""),"",IF(L839=0,"⚠ NO PARENT WIDTH",IF(K839&gt;L839,"⚠ BABY &gt; PARENT","✔ OK")))</f>
        <v/>
      </c>
      <c r="N839" s="71" t="str">
        <f>IF(D839="","",IF(COUNTIF(D$3:D839,D839)&gt;1,"⚠ DUPLICATE",""))</f>
        <v/>
      </c>
      <c r="O839" s="72" t="str">
        <f>IF(B839="","",SUMIF(B:B,B839,G:G)&amp;" / "&amp;IFERROR(VLOOKUP(B839,'Coil Sheet at Plant'!$C:$I,7,FALSE),"?")&amp;" mm")</f>
        <v/>
      </c>
    </row>
    <row r="840" spans="1:15">
      <c r="A840" s="36"/>
      <c r="B840" s="32"/>
      <c r="C840" s="39"/>
      <c r="D840" s="44" t="str">
        <f>IF(OR(B840="",C840=""),"",CONCATENATE(B840,"-",C840))</f>
        <v/>
      </c>
      <c r="E840" s="49" t="str">
        <f>IF(B840="","",IFERROR(VLOOKUP(B840,'Coil Sheet at Plant'!$C:$G,5,FALSE),"ID Not Found"))</f>
        <v/>
      </c>
      <c r="F840" s="50" t="str">
        <f>IF(B840="","",IFERROR(VLOOKUP(B840,'Coil Sheet at Plant'!$C:$H,6,FALSE),"ID Not Found"))</f>
        <v/>
      </c>
      <c r="G840" s="81">
        <v>987</v>
      </c>
      <c r="H840" s="89" t="str">
        <f>IF(OR(B840="",G840=""),"",IFERROR(VLOOKUP(B840,'Coil Sheet at Plant'!$C:$J,8,FALSE),0)*G840/SUMIF(B:B,B840,G:G))</f>
        <v/>
      </c>
      <c r="I840" s="56" t="str">
        <f>IF(B840="","",IFERROR(VLOOKUP(B840,'Coil Sheet at Plant'!$C:$L,9,FALSE),""))</f>
        <v/>
      </c>
      <c r="J840" s="85" t="str">
        <f>IF(B840="","",IFERROR(VLOOKUP(B840,'Coil Sheet at Plant'!$C:$M,10,FALSE),""))</f>
        <v/>
      </c>
      <c r="K840" s="69" t="str">
        <f>IF(B840="","",SUMIF(B:B,B840,G:G))</f>
        <v/>
      </c>
      <c r="L840" s="70" t="str">
        <f>IF(B840="","",IFERROR(VLOOKUP(B840,'Coil Sheet at Plant'!$C:$I,7,FALSE),""))</f>
        <v/>
      </c>
      <c r="M840" s="71" t="str">
        <f>IF(OR(K840="",L840=""),"",IF(L840=0,"⚠ NO PARENT WIDTH",IF(K840&gt;L840,"⚠ BABY &gt; PARENT","✔ OK")))</f>
        <v/>
      </c>
      <c r="N840" s="71" t="str">
        <f>IF(D840="","",IF(COUNTIF(D$3:D840,D840)&gt;1,"⚠ DUPLICATE",""))</f>
        <v/>
      </c>
      <c r="O840" s="72" t="str">
        <f>IF(B840="","",SUMIF(B:B,B840,G:G)&amp;" / "&amp;IFERROR(VLOOKUP(B840,'Coil Sheet at Plant'!$C:$I,7,FALSE),"?")&amp;" mm")</f>
        <v/>
      </c>
    </row>
    <row r="841" spans="1:15">
      <c r="A841" s="36"/>
      <c r="B841" s="32"/>
      <c r="C841" s="39"/>
      <c r="D841" s="44" t="str">
        <f>IF(OR(B841="",C841=""),"",CONCATENATE(B841,"-",C841))</f>
        <v/>
      </c>
      <c r="E841" s="49" t="str">
        <f>IF(B841="","",IFERROR(VLOOKUP(B841,'Coil Sheet at Plant'!$C:$G,5,FALSE),"ID Not Found"))</f>
        <v/>
      </c>
      <c r="F841" s="50" t="str">
        <f>IF(B841="","",IFERROR(VLOOKUP(B841,'Coil Sheet at Plant'!$C:$H,6,FALSE),"ID Not Found"))</f>
        <v/>
      </c>
      <c r="G841" s="81">
        <v>988</v>
      </c>
      <c r="H841" s="89" t="str">
        <f>IF(OR(B841="",G841=""),"",IFERROR(VLOOKUP(B841,'Coil Sheet at Plant'!$C:$J,8,FALSE),0)*G841/SUMIF(B:B,B841,G:G))</f>
        <v/>
      </c>
      <c r="I841" s="56" t="str">
        <f>IF(B841="","",IFERROR(VLOOKUP(B841,'Coil Sheet at Plant'!$C:$L,9,FALSE),""))</f>
        <v/>
      </c>
      <c r="J841" s="85" t="str">
        <f>IF(B841="","",IFERROR(VLOOKUP(B841,'Coil Sheet at Plant'!$C:$M,10,FALSE),""))</f>
        <v/>
      </c>
      <c r="K841" s="69" t="str">
        <f>IF(B841="","",SUMIF(B:B,B841,G:G))</f>
        <v/>
      </c>
      <c r="L841" s="70" t="str">
        <f>IF(B841="","",IFERROR(VLOOKUP(B841,'Coil Sheet at Plant'!$C:$I,7,FALSE),""))</f>
        <v/>
      </c>
      <c r="M841" s="71" t="str">
        <f>IF(OR(K841="",L841=""),"",IF(L841=0,"⚠ NO PARENT WIDTH",IF(K841&gt;L841,"⚠ BABY &gt; PARENT","✔ OK")))</f>
        <v/>
      </c>
      <c r="N841" s="71" t="str">
        <f>IF(D841="","",IF(COUNTIF(D$3:D841,D841)&gt;1,"⚠ DUPLICATE",""))</f>
        <v/>
      </c>
      <c r="O841" s="72" t="str">
        <f>IF(B841="","",SUMIF(B:B,B841,G:G)&amp;" / "&amp;IFERROR(VLOOKUP(B841,'Coil Sheet at Plant'!$C:$I,7,FALSE),"?")&amp;" mm")</f>
        <v/>
      </c>
    </row>
    <row r="842" spans="1:15">
      <c r="A842" s="36"/>
      <c r="B842" s="32"/>
      <c r="C842" s="39"/>
      <c r="D842" s="44" t="str">
        <f>IF(OR(B842="",C842=""),"",CONCATENATE(B842,"-",C842))</f>
        <v/>
      </c>
      <c r="E842" s="49" t="str">
        <f>IF(B842="","",IFERROR(VLOOKUP(B842,'Coil Sheet at Plant'!$C:$G,5,FALSE),"ID Not Found"))</f>
        <v/>
      </c>
      <c r="F842" s="50" t="str">
        <f>IF(B842="","",IFERROR(VLOOKUP(B842,'Coil Sheet at Plant'!$C:$H,6,FALSE),"ID Not Found"))</f>
        <v/>
      </c>
      <c r="G842" s="81">
        <v>989</v>
      </c>
      <c r="H842" s="89" t="str">
        <f>IF(OR(B842="",G842=""),"",IFERROR(VLOOKUP(B842,'Coil Sheet at Plant'!$C:$J,8,FALSE),0)*G842/SUMIF(B:B,B842,G:G))</f>
        <v/>
      </c>
      <c r="I842" s="56" t="str">
        <f>IF(B842="","",IFERROR(VLOOKUP(B842,'Coil Sheet at Plant'!$C:$L,9,FALSE),""))</f>
        <v/>
      </c>
      <c r="J842" s="85" t="str">
        <f>IF(B842="","",IFERROR(VLOOKUP(B842,'Coil Sheet at Plant'!$C:$M,10,FALSE),""))</f>
        <v/>
      </c>
      <c r="K842" s="69" t="str">
        <f>IF(B842="","",SUMIF(B:B,B842,G:G))</f>
        <v/>
      </c>
      <c r="L842" s="70" t="str">
        <f>IF(B842="","",IFERROR(VLOOKUP(B842,'Coil Sheet at Plant'!$C:$I,7,FALSE),""))</f>
        <v/>
      </c>
      <c r="M842" s="71" t="str">
        <f>IF(OR(K842="",L842=""),"",IF(L842=0,"⚠ NO PARENT WIDTH",IF(K842&gt;L842,"⚠ BABY &gt; PARENT","✔ OK")))</f>
        <v/>
      </c>
      <c r="N842" s="71" t="str">
        <f>IF(D842="","",IF(COUNTIF(D$3:D842,D842)&gt;1,"⚠ DUPLICATE",""))</f>
        <v/>
      </c>
      <c r="O842" s="72" t="str">
        <f>IF(B842="","",SUMIF(B:B,B842,G:G)&amp;" / "&amp;IFERROR(VLOOKUP(B842,'Coil Sheet at Plant'!$C:$I,7,FALSE),"?")&amp;" mm")</f>
        <v/>
      </c>
    </row>
    <row r="843" spans="1:15">
      <c r="A843" s="36"/>
      <c r="B843" s="32"/>
      <c r="C843" s="39"/>
      <c r="D843" s="44" t="str">
        <f>IF(OR(B843="",C843=""),"",CONCATENATE(B843,"-",C843))</f>
        <v/>
      </c>
      <c r="E843" s="49" t="str">
        <f>IF(B843="","",IFERROR(VLOOKUP(B843,'Coil Sheet at Plant'!$C:$G,5,FALSE),"ID Not Found"))</f>
        <v/>
      </c>
      <c r="F843" s="50" t="str">
        <f>IF(B843="","",IFERROR(VLOOKUP(B843,'Coil Sheet at Plant'!$C:$H,6,FALSE),"ID Not Found"))</f>
        <v/>
      </c>
      <c r="G843" s="81">
        <v>990</v>
      </c>
      <c r="H843" s="89" t="str">
        <f>IF(OR(B843="",G843=""),"",IFERROR(VLOOKUP(B843,'Coil Sheet at Plant'!$C:$J,8,FALSE),0)*G843/SUMIF(B:B,B843,G:G))</f>
        <v/>
      </c>
      <c r="I843" s="56" t="str">
        <f>IF(B843="","",IFERROR(VLOOKUP(B843,'Coil Sheet at Plant'!$C:$L,9,FALSE),""))</f>
        <v/>
      </c>
      <c r="J843" s="85" t="str">
        <f>IF(B843="","",IFERROR(VLOOKUP(B843,'Coil Sheet at Plant'!$C:$M,10,FALSE),""))</f>
        <v/>
      </c>
      <c r="K843" s="69" t="str">
        <f>IF(B843="","",SUMIF(B:B,B843,G:G))</f>
        <v/>
      </c>
      <c r="L843" s="70" t="str">
        <f>IF(B843="","",IFERROR(VLOOKUP(B843,'Coil Sheet at Plant'!$C:$I,7,FALSE),""))</f>
        <v/>
      </c>
      <c r="M843" s="71" t="str">
        <f>IF(OR(K843="",L843=""),"",IF(L843=0,"⚠ NO PARENT WIDTH",IF(K843&gt;L843,"⚠ BABY &gt; PARENT","✔ OK")))</f>
        <v/>
      </c>
      <c r="N843" s="71" t="str">
        <f>IF(D843="","",IF(COUNTIF(D$3:D843,D843)&gt;1,"⚠ DUPLICATE",""))</f>
        <v/>
      </c>
      <c r="O843" s="72" t="str">
        <f>IF(B843="","",SUMIF(B:B,B843,G:G)&amp;" / "&amp;IFERROR(VLOOKUP(B843,'Coil Sheet at Plant'!$C:$I,7,FALSE),"?")&amp;" mm")</f>
        <v/>
      </c>
    </row>
    <row r="844" spans="1:15">
      <c r="A844" s="36"/>
      <c r="B844" s="32"/>
      <c r="C844" s="39"/>
      <c r="D844" s="44" t="str">
        <f>IF(OR(B844="",C844=""),"",CONCATENATE(B844,"-",C844))</f>
        <v/>
      </c>
      <c r="E844" s="49" t="str">
        <f>IF(B844="","",IFERROR(VLOOKUP(B844,'Coil Sheet at Plant'!$C:$G,5,FALSE),"ID Not Found"))</f>
        <v/>
      </c>
      <c r="F844" s="50" t="str">
        <f>IF(B844="","",IFERROR(VLOOKUP(B844,'Coil Sheet at Plant'!$C:$H,6,FALSE),"ID Not Found"))</f>
        <v/>
      </c>
      <c r="G844" s="81">
        <v>991</v>
      </c>
      <c r="H844" s="89" t="str">
        <f>IF(OR(B844="",G844=""),"",IFERROR(VLOOKUP(B844,'Coil Sheet at Plant'!$C:$J,8,FALSE),0)*G844/SUMIF(B:B,B844,G:G))</f>
        <v/>
      </c>
      <c r="I844" s="56" t="str">
        <f>IF(B844="","",IFERROR(VLOOKUP(B844,'Coil Sheet at Plant'!$C:$L,9,FALSE),""))</f>
        <v/>
      </c>
      <c r="J844" s="85" t="str">
        <f>IF(B844="","",IFERROR(VLOOKUP(B844,'Coil Sheet at Plant'!$C:$M,10,FALSE),""))</f>
        <v/>
      </c>
      <c r="K844" s="69" t="str">
        <f>IF(B844="","",SUMIF(B:B,B844,G:G))</f>
        <v/>
      </c>
      <c r="L844" s="70" t="str">
        <f>IF(B844="","",IFERROR(VLOOKUP(B844,'Coil Sheet at Plant'!$C:$I,7,FALSE),""))</f>
        <v/>
      </c>
      <c r="M844" s="71" t="str">
        <f>IF(OR(K844="",L844=""),"",IF(L844=0,"⚠ NO PARENT WIDTH",IF(K844&gt;L844,"⚠ BABY &gt; PARENT","✔ OK")))</f>
        <v/>
      </c>
      <c r="N844" s="71" t="str">
        <f>IF(D844="","",IF(COUNTIF(D$3:D844,D844)&gt;1,"⚠ DUPLICATE",""))</f>
        <v/>
      </c>
      <c r="O844" s="72" t="str">
        <f>IF(B844="","",SUMIF(B:B,B844,G:G)&amp;" / "&amp;IFERROR(VLOOKUP(B844,'Coil Sheet at Plant'!$C:$I,7,FALSE),"?")&amp;" mm")</f>
        <v/>
      </c>
    </row>
    <row r="845" spans="1:15">
      <c r="A845" s="36"/>
      <c r="B845" s="32"/>
      <c r="C845" s="39"/>
      <c r="D845" s="44" t="str">
        <f>IF(OR(B845="",C845=""),"",CONCATENATE(B845,"-",C845))</f>
        <v/>
      </c>
      <c r="E845" s="49" t="str">
        <f>IF(B845="","",IFERROR(VLOOKUP(B845,'Coil Sheet at Plant'!$C:$G,5,FALSE),"ID Not Found"))</f>
        <v/>
      </c>
      <c r="F845" s="50" t="str">
        <f>IF(B845="","",IFERROR(VLOOKUP(B845,'Coil Sheet at Plant'!$C:$H,6,FALSE),"ID Not Found"))</f>
        <v/>
      </c>
      <c r="G845" s="81">
        <v>992</v>
      </c>
      <c r="H845" s="89" t="str">
        <f>IF(OR(B845="",G845=""),"",IFERROR(VLOOKUP(B845,'Coil Sheet at Plant'!$C:$J,8,FALSE),0)*G845/SUMIF(B:B,B845,G:G))</f>
        <v/>
      </c>
      <c r="I845" s="56" t="str">
        <f>IF(B845="","",IFERROR(VLOOKUP(B845,'Coil Sheet at Plant'!$C:$L,9,FALSE),""))</f>
        <v/>
      </c>
      <c r="J845" s="85" t="str">
        <f>IF(B845="","",IFERROR(VLOOKUP(B845,'Coil Sheet at Plant'!$C:$M,10,FALSE),""))</f>
        <v/>
      </c>
      <c r="K845" s="69" t="str">
        <f>IF(B845="","",SUMIF(B:B,B845,G:G))</f>
        <v/>
      </c>
      <c r="L845" s="70" t="str">
        <f>IF(B845="","",IFERROR(VLOOKUP(B845,'Coil Sheet at Plant'!$C:$I,7,FALSE),""))</f>
        <v/>
      </c>
      <c r="M845" s="71" t="str">
        <f>IF(OR(K845="",L845=""),"",IF(L845=0,"⚠ NO PARENT WIDTH",IF(K845&gt;L845,"⚠ BABY &gt; PARENT","✔ OK")))</f>
        <v/>
      </c>
      <c r="N845" s="71" t="str">
        <f>IF(D845="","",IF(COUNTIF(D$3:D845,D845)&gt;1,"⚠ DUPLICATE",""))</f>
        <v/>
      </c>
      <c r="O845" s="72" t="str">
        <f>IF(B845="","",SUMIF(B:B,B845,G:G)&amp;" / "&amp;IFERROR(VLOOKUP(B845,'Coil Sheet at Plant'!$C:$I,7,FALSE),"?")&amp;" mm")</f>
        <v/>
      </c>
    </row>
    <row r="846" spans="1:15">
      <c r="A846" s="36"/>
      <c r="B846" s="32"/>
      <c r="C846" s="39"/>
      <c r="D846" s="44" t="str">
        <f>IF(OR(B846="",C846=""),"",CONCATENATE(B846,"-",C846))</f>
        <v/>
      </c>
      <c r="E846" s="49" t="str">
        <f>IF(B846="","",IFERROR(VLOOKUP(B846,'Coil Sheet at Plant'!$C:$G,5,FALSE),"ID Not Found"))</f>
        <v/>
      </c>
      <c r="F846" s="50" t="str">
        <f>IF(B846="","",IFERROR(VLOOKUP(B846,'Coil Sheet at Plant'!$C:$H,6,FALSE),"ID Not Found"))</f>
        <v/>
      </c>
      <c r="G846" s="81">
        <v>993</v>
      </c>
      <c r="H846" s="89" t="str">
        <f>IF(OR(B846="",G846=""),"",IFERROR(VLOOKUP(B846,'Coil Sheet at Plant'!$C:$J,8,FALSE),0)*G846/SUMIF(B:B,B846,G:G))</f>
        <v/>
      </c>
      <c r="I846" s="56" t="str">
        <f>IF(B846="","",IFERROR(VLOOKUP(B846,'Coil Sheet at Plant'!$C:$L,9,FALSE),""))</f>
        <v/>
      </c>
      <c r="J846" s="85" t="str">
        <f>IF(B846="","",IFERROR(VLOOKUP(B846,'Coil Sheet at Plant'!$C:$M,10,FALSE),""))</f>
        <v/>
      </c>
      <c r="K846" s="69" t="str">
        <f>IF(B846="","",SUMIF(B:B,B846,G:G))</f>
        <v/>
      </c>
      <c r="L846" s="70" t="str">
        <f>IF(B846="","",IFERROR(VLOOKUP(B846,'Coil Sheet at Plant'!$C:$I,7,FALSE),""))</f>
        <v/>
      </c>
      <c r="M846" s="71" t="str">
        <f>IF(OR(K846="",L846=""),"",IF(L846=0,"⚠ NO PARENT WIDTH",IF(K846&gt;L846,"⚠ BABY &gt; PARENT","✔ OK")))</f>
        <v/>
      </c>
      <c r="N846" s="71" t="str">
        <f>IF(D846="","",IF(COUNTIF(D$3:D846,D846)&gt;1,"⚠ DUPLICATE",""))</f>
        <v/>
      </c>
      <c r="O846" s="72" t="str">
        <f>IF(B846="","",SUMIF(B:B,B846,G:G)&amp;" / "&amp;IFERROR(VLOOKUP(B846,'Coil Sheet at Plant'!$C:$I,7,FALSE),"?")&amp;" mm")</f>
        <v/>
      </c>
    </row>
    <row r="847" spans="1:15">
      <c r="A847" s="36"/>
      <c r="B847" s="32"/>
      <c r="C847" s="39"/>
      <c r="D847" s="44" t="str">
        <f>IF(OR(B847="",C847=""),"",CONCATENATE(B847,"-",C847))</f>
        <v/>
      </c>
      <c r="E847" s="49" t="str">
        <f>IF(B847="","",IFERROR(VLOOKUP(B847,'Coil Sheet at Plant'!$C:$G,5,FALSE),"ID Not Found"))</f>
        <v/>
      </c>
      <c r="F847" s="50" t="str">
        <f>IF(B847="","",IFERROR(VLOOKUP(B847,'Coil Sheet at Plant'!$C:$H,6,FALSE),"ID Not Found"))</f>
        <v/>
      </c>
      <c r="G847" s="81">
        <v>994</v>
      </c>
      <c r="H847" s="89" t="str">
        <f>IF(OR(B847="",G847=""),"",IFERROR(VLOOKUP(B847,'Coil Sheet at Plant'!$C:$J,8,FALSE),0)*G847/SUMIF(B:B,B847,G:G))</f>
        <v/>
      </c>
      <c r="I847" s="56" t="str">
        <f>IF(B847="","",IFERROR(VLOOKUP(B847,'Coil Sheet at Plant'!$C:$L,9,FALSE),""))</f>
        <v/>
      </c>
      <c r="J847" s="85" t="str">
        <f>IF(B847="","",IFERROR(VLOOKUP(B847,'Coil Sheet at Plant'!$C:$M,10,FALSE),""))</f>
        <v/>
      </c>
      <c r="K847" s="69" t="str">
        <f>IF(B847="","",SUMIF(B:B,B847,G:G))</f>
        <v/>
      </c>
      <c r="L847" s="70" t="str">
        <f>IF(B847="","",IFERROR(VLOOKUP(B847,'Coil Sheet at Plant'!$C:$I,7,FALSE),""))</f>
        <v/>
      </c>
      <c r="M847" s="71" t="str">
        <f>IF(OR(K847="",L847=""),"",IF(L847=0,"⚠ NO PARENT WIDTH",IF(K847&gt;L847,"⚠ BABY &gt; PARENT","✔ OK")))</f>
        <v/>
      </c>
      <c r="N847" s="71" t="str">
        <f>IF(D847="","",IF(COUNTIF(D$3:D847,D847)&gt;1,"⚠ DUPLICATE",""))</f>
        <v/>
      </c>
      <c r="O847" s="72" t="str">
        <f>IF(B847="","",SUMIF(B:B,B847,G:G)&amp;" / "&amp;IFERROR(VLOOKUP(B847,'Coil Sheet at Plant'!$C:$I,7,FALSE),"?")&amp;" mm")</f>
        <v/>
      </c>
    </row>
    <row r="848" spans="1:15">
      <c r="A848" s="36"/>
      <c r="B848" s="32"/>
      <c r="C848" s="39"/>
      <c r="D848" s="44" t="str">
        <f>IF(OR(B848="",C848=""),"",CONCATENATE(B848,"-",C848))</f>
        <v/>
      </c>
      <c r="E848" s="49" t="str">
        <f>IF(B848="","",IFERROR(VLOOKUP(B848,'Coil Sheet at Plant'!$C:$G,5,FALSE),"ID Not Found"))</f>
        <v/>
      </c>
      <c r="F848" s="50" t="str">
        <f>IF(B848="","",IFERROR(VLOOKUP(B848,'Coil Sheet at Plant'!$C:$H,6,FALSE),"ID Not Found"))</f>
        <v/>
      </c>
      <c r="G848" s="81">
        <v>995</v>
      </c>
      <c r="H848" s="89" t="str">
        <f>IF(OR(B848="",G848=""),"",IFERROR(VLOOKUP(B848,'Coil Sheet at Plant'!$C:$J,8,FALSE),0)*G848/SUMIF(B:B,B848,G:G))</f>
        <v/>
      </c>
      <c r="I848" s="56" t="str">
        <f>IF(B848="","",IFERROR(VLOOKUP(B848,'Coil Sheet at Plant'!$C:$L,9,FALSE),""))</f>
        <v/>
      </c>
      <c r="J848" s="85" t="str">
        <f>IF(B848="","",IFERROR(VLOOKUP(B848,'Coil Sheet at Plant'!$C:$M,10,FALSE),""))</f>
        <v/>
      </c>
      <c r="K848" s="69" t="str">
        <f>IF(B848="","",SUMIF(B:B,B848,G:G))</f>
        <v/>
      </c>
      <c r="L848" s="70" t="str">
        <f>IF(B848="","",IFERROR(VLOOKUP(B848,'Coil Sheet at Plant'!$C:$I,7,FALSE),""))</f>
        <v/>
      </c>
      <c r="M848" s="71" t="str">
        <f>IF(OR(K848="",L848=""),"",IF(L848=0,"⚠ NO PARENT WIDTH",IF(K848&gt;L848,"⚠ BABY &gt; PARENT","✔ OK")))</f>
        <v/>
      </c>
      <c r="N848" s="71" t="str">
        <f>IF(D848="","",IF(COUNTIF(D$3:D848,D848)&gt;1,"⚠ DUPLICATE",""))</f>
        <v/>
      </c>
      <c r="O848" s="72" t="str">
        <f>IF(B848="","",SUMIF(B:B,B848,G:G)&amp;" / "&amp;IFERROR(VLOOKUP(B848,'Coil Sheet at Plant'!$C:$I,7,FALSE),"?")&amp;" mm")</f>
        <v/>
      </c>
    </row>
    <row r="849" spans="1:15">
      <c r="A849" s="36"/>
      <c r="B849" s="32"/>
      <c r="C849" s="39"/>
      <c r="D849" s="44" t="str">
        <f>IF(OR(B849="",C849=""),"",CONCATENATE(B849,"-",C849))</f>
        <v/>
      </c>
      <c r="E849" s="49" t="str">
        <f>IF(B849="","",IFERROR(VLOOKUP(B849,'Coil Sheet at Plant'!$C:$G,5,FALSE),"ID Not Found"))</f>
        <v/>
      </c>
      <c r="F849" s="50" t="str">
        <f>IF(B849="","",IFERROR(VLOOKUP(B849,'Coil Sheet at Plant'!$C:$H,6,FALSE),"ID Not Found"))</f>
        <v/>
      </c>
      <c r="G849" s="81">
        <v>996</v>
      </c>
      <c r="H849" s="89" t="str">
        <f>IF(OR(B849="",G849=""),"",IFERROR(VLOOKUP(B849,'Coil Sheet at Plant'!$C:$J,8,FALSE),0)*G849/SUMIF(B:B,B849,G:G))</f>
        <v/>
      </c>
      <c r="I849" s="56" t="str">
        <f>IF(B849="","",IFERROR(VLOOKUP(B849,'Coil Sheet at Plant'!$C:$L,9,FALSE),""))</f>
        <v/>
      </c>
      <c r="J849" s="85" t="str">
        <f>IF(B849="","",IFERROR(VLOOKUP(B849,'Coil Sheet at Plant'!$C:$M,10,FALSE),""))</f>
        <v/>
      </c>
      <c r="K849" s="69" t="str">
        <f>IF(B849="","",SUMIF(B:B,B849,G:G))</f>
        <v/>
      </c>
      <c r="L849" s="70" t="str">
        <f>IF(B849="","",IFERROR(VLOOKUP(B849,'Coil Sheet at Plant'!$C:$I,7,FALSE),""))</f>
        <v/>
      </c>
      <c r="M849" s="71" t="str">
        <f>IF(OR(K849="",L849=""),"",IF(L849=0,"⚠ NO PARENT WIDTH",IF(K849&gt;L849,"⚠ BABY &gt; PARENT","✔ OK")))</f>
        <v/>
      </c>
      <c r="N849" s="71" t="str">
        <f>IF(D849="","",IF(COUNTIF(D$3:D849,D849)&gt;1,"⚠ DUPLICATE",""))</f>
        <v/>
      </c>
      <c r="O849" s="72" t="str">
        <f>IF(B849="","",SUMIF(B:B,B849,G:G)&amp;" / "&amp;IFERROR(VLOOKUP(B849,'Coil Sheet at Plant'!$C:$I,7,FALSE),"?")&amp;" mm")</f>
        <v/>
      </c>
    </row>
    <row r="850" spans="1:15">
      <c r="A850" s="36"/>
      <c r="B850" s="32"/>
      <c r="C850" s="39"/>
      <c r="D850" s="44" t="str">
        <f>IF(OR(B850="",C850=""),"",CONCATENATE(B850,"-",C850))</f>
        <v/>
      </c>
      <c r="E850" s="49" t="str">
        <f>IF(B850="","",IFERROR(VLOOKUP(B850,'Coil Sheet at Plant'!$C:$G,5,FALSE),"ID Not Found"))</f>
        <v/>
      </c>
      <c r="F850" s="50" t="str">
        <f>IF(B850="","",IFERROR(VLOOKUP(B850,'Coil Sheet at Plant'!$C:$H,6,FALSE),"ID Not Found"))</f>
        <v/>
      </c>
      <c r="G850" s="81">
        <v>997</v>
      </c>
      <c r="H850" s="89" t="str">
        <f>IF(OR(B850="",G850=""),"",IFERROR(VLOOKUP(B850,'Coil Sheet at Plant'!$C:$J,8,FALSE),0)*G850/SUMIF(B:B,B850,G:G))</f>
        <v/>
      </c>
      <c r="I850" s="56" t="str">
        <f>IF(B850="","",IFERROR(VLOOKUP(B850,'Coil Sheet at Plant'!$C:$L,9,FALSE),""))</f>
        <v/>
      </c>
      <c r="J850" s="85" t="str">
        <f>IF(B850="","",IFERROR(VLOOKUP(B850,'Coil Sheet at Plant'!$C:$M,10,FALSE),""))</f>
        <v/>
      </c>
      <c r="K850" s="69" t="str">
        <f>IF(B850="","",SUMIF(B:B,B850,G:G))</f>
        <v/>
      </c>
      <c r="L850" s="70" t="str">
        <f>IF(B850="","",IFERROR(VLOOKUP(B850,'Coil Sheet at Plant'!$C:$I,7,FALSE),""))</f>
        <v/>
      </c>
      <c r="M850" s="71" t="str">
        <f>IF(OR(K850="",L850=""),"",IF(L850=0,"⚠ NO PARENT WIDTH",IF(K850&gt;L850,"⚠ BABY &gt; PARENT","✔ OK")))</f>
        <v/>
      </c>
      <c r="N850" s="71" t="str">
        <f>IF(D850="","",IF(COUNTIF(D$3:D850,D850)&gt;1,"⚠ DUPLICATE",""))</f>
        <v/>
      </c>
      <c r="O850" s="72" t="str">
        <f>IF(B850="","",SUMIF(B:B,B850,G:G)&amp;" / "&amp;IFERROR(VLOOKUP(B850,'Coil Sheet at Plant'!$C:$I,7,FALSE),"?")&amp;" mm")</f>
        <v/>
      </c>
    </row>
    <row r="851" spans="1:15">
      <c r="A851" s="36"/>
      <c r="B851" s="32"/>
      <c r="C851" s="39"/>
      <c r="D851" s="44" t="str">
        <f>IF(OR(B851="",C851=""),"",CONCATENATE(B851,"-",C851))</f>
        <v/>
      </c>
      <c r="E851" s="49" t="str">
        <f>IF(B851="","",IFERROR(VLOOKUP(B851,'Coil Sheet at Plant'!$C:$G,5,FALSE),"ID Not Found"))</f>
        <v/>
      </c>
      <c r="F851" s="50" t="str">
        <f>IF(B851="","",IFERROR(VLOOKUP(B851,'Coil Sheet at Plant'!$C:$H,6,FALSE),"ID Not Found"))</f>
        <v/>
      </c>
      <c r="G851" s="81">
        <v>998</v>
      </c>
      <c r="H851" s="89" t="str">
        <f>IF(OR(B851="",G851=""),"",IFERROR(VLOOKUP(B851,'Coil Sheet at Plant'!$C:$J,8,FALSE),0)*G851/SUMIF(B:B,B851,G:G))</f>
        <v/>
      </c>
      <c r="I851" s="56" t="str">
        <f>IF(B851="","",IFERROR(VLOOKUP(B851,'Coil Sheet at Plant'!$C:$L,9,FALSE),""))</f>
        <v/>
      </c>
      <c r="J851" s="85" t="str">
        <f>IF(B851="","",IFERROR(VLOOKUP(B851,'Coil Sheet at Plant'!$C:$M,10,FALSE),""))</f>
        <v/>
      </c>
      <c r="K851" s="69" t="str">
        <f>IF(B851="","",SUMIF(B:B,B851,G:G))</f>
        <v/>
      </c>
      <c r="L851" s="70" t="str">
        <f>IF(B851="","",IFERROR(VLOOKUP(B851,'Coil Sheet at Plant'!$C:$I,7,FALSE),""))</f>
        <v/>
      </c>
      <c r="M851" s="71" t="str">
        <f>IF(OR(K851="",L851=""),"",IF(L851=0,"⚠ NO PARENT WIDTH",IF(K851&gt;L851,"⚠ BABY &gt; PARENT","✔ OK")))</f>
        <v/>
      </c>
      <c r="N851" s="71" t="str">
        <f>IF(D851="","",IF(COUNTIF(D$3:D851,D851)&gt;1,"⚠ DUPLICATE",""))</f>
        <v/>
      </c>
      <c r="O851" s="72" t="str">
        <f>IF(B851="","",SUMIF(B:B,B851,G:G)&amp;" / "&amp;IFERROR(VLOOKUP(B851,'Coil Sheet at Plant'!$C:$I,7,FALSE),"?")&amp;" mm")</f>
        <v/>
      </c>
    </row>
    <row r="852" spans="1:15">
      <c r="A852" s="36"/>
      <c r="B852" s="32"/>
      <c r="C852" s="39"/>
      <c r="D852" s="44" t="str">
        <f>IF(OR(B852="",C852=""),"",CONCATENATE(B852,"-",C852))</f>
        <v/>
      </c>
      <c r="E852" s="49" t="str">
        <f>IF(B852="","",IFERROR(VLOOKUP(B852,'Coil Sheet at Plant'!$C:$G,5,FALSE),"ID Not Found"))</f>
        <v/>
      </c>
      <c r="F852" s="50" t="str">
        <f>IF(B852="","",IFERROR(VLOOKUP(B852,'Coil Sheet at Plant'!$C:$H,6,FALSE),"ID Not Found"))</f>
        <v/>
      </c>
      <c r="G852" s="81">
        <v>999</v>
      </c>
      <c r="H852" s="89" t="str">
        <f>IF(OR(B852="",G852=""),"",IFERROR(VLOOKUP(B852,'Coil Sheet at Plant'!$C:$J,8,FALSE),0)*G852/SUMIF(B:B,B852,G:G))</f>
        <v/>
      </c>
      <c r="I852" s="56" t="str">
        <f>IF(B852="","",IFERROR(VLOOKUP(B852,'Coil Sheet at Plant'!$C:$L,9,FALSE),""))</f>
        <v/>
      </c>
      <c r="J852" s="85" t="str">
        <f>IF(B852="","",IFERROR(VLOOKUP(B852,'Coil Sheet at Plant'!$C:$M,10,FALSE),""))</f>
        <v/>
      </c>
      <c r="K852" s="69" t="str">
        <f>IF(B852="","",SUMIF(B:B,B852,G:G))</f>
        <v/>
      </c>
      <c r="L852" s="70" t="str">
        <f>IF(B852="","",IFERROR(VLOOKUP(B852,'Coil Sheet at Plant'!$C:$I,7,FALSE),""))</f>
        <v/>
      </c>
      <c r="M852" s="71" t="str">
        <f>IF(OR(K852="",L852=""),"",IF(L852=0,"⚠ NO PARENT WIDTH",IF(K852&gt;L852,"⚠ BABY &gt; PARENT","✔ OK")))</f>
        <v/>
      </c>
      <c r="N852" s="71" t="str">
        <f>IF(D852="","",IF(COUNTIF(D$3:D852,D852)&gt;1,"⚠ DUPLICATE",""))</f>
        <v/>
      </c>
      <c r="O852" s="72" t="str">
        <f>IF(B852="","",SUMIF(B:B,B852,G:G)&amp;" / "&amp;IFERROR(VLOOKUP(B852,'Coil Sheet at Plant'!$C:$I,7,FALSE),"?")&amp;" mm")</f>
        <v/>
      </c>
    </row>
    <row r="853" spans="1:15">
      <c r="A853" s="36"/>
      <c r="B853" s="32"/>
      <c r="C853" s="39"/>
      <c r="D853" s="44" t="str">
        <f>IF(OR(B853="",C853=""),"",CONCATENATE(B853,"-",C853))</f>
        <v/>
      </c>
      <c r="E853" s="49" t="str">
        <f>IF(B853="","",IFERROR(VLOOKUP(B853,'Coil Sheet at Plant'!$C:$G,5,FALSE),"ID Not Found"))</f>
        <v/>
      </c>
      <c r="F853" s="50" t="str">
        <f>IF(B853="","",IFERROR(VLOOKUP(B853,'Coil Sheet at Plant'!$C:$H,6,FALSE),"ID Not Found"))</f>
        <v/>
      </c>
      <c r="G853" s="81">
        <v>1000</v>
      </c>
      <c r="H853" s="89" t="str">
        <f>IF(OR(B853="",G853=""),"",IFERROR(VLOOKUP(B853,'Coil Sheet at Plant'!$C:$J,8,FALSE),0)*G853/SUMIF(B:B,B853,G:G))</f>
        <v/>
      </c>
      <c r="I853" s="56" t="str">
        <f>IF(B853="","",IFERROR(VLOOKUP(B853,'Coil Sheet at Plant'!$C:$L,9,FALSE),""))</f>
        <v/>
      </c>
      <c r="J853" s="85" t="str">
        <f>IF(B853="","",IFERROR(VLOOKUP(B853,'Coil Sheet at Plant'!$C:$M,10,FALSE),""))</f>
        <v/>
      </c>
      <c r="K853" s="69" t="str">
        <f>IF(B853="","",SUMIF(B:B,B853,G:G))</f>
        <v/>
      </c>
      <c r="L853" s="70" t="str">
        <f>IF(B853="","",IFERROR(VLOOKUP(B853,'Coil Sheet at Plant'!$C:$I,7,FALSE),""))</f>
        <v/>
      </c>
      <c r="M853" s="71" t="str">
        <f>IF(OR(K853="",L853=""),"",IF(L853=0,"⚠ NO PARENT WIDTH",IF(K853&gt;L853,"⚠ BABY &gt; PARENT","✔ OK")))</f>
        <v/>
      </c>
      <c r="N853" s="71" t="str">
        <f>IF(D853="","",IF(COUNTIF(D$3:D853,D853)&gt;1,"⚠ DUPLICATE",""))</f>
        <v/>
      </c>
      <c r="O853" s="72" t="str">
        <f>IF(B853="","",SUMIF(B:B,B853,G:G)&amp;" / "&amp;IFERROR(VLOOKUP(B853,'Coil Sheet at Plant'!$C:$I,7,FALSE),"?")&amp;" mm")</f>
        <v/>
      </c>
    </row>
    <row r="854" spans="1:15">
      <c r="A854" s="36"/>
      <c r="B854" s="32"/>
      <c r="C854" s="39"/>
      <c r="D854" s="44" t="str">
        <f>IF(OR(B854="",C854=""),"",CONCATENATE(B854,"-",C854))</f>
        <v/>
      </c>
      <c r="E854" s="49" t="str">
        <f>IF(B854="","",IFERROR(VLOOKUP(B854,'Coil Sheet at Plant'!$C:$G,5,FALSE),"ID Not Found"))</f>
        <v/>
      </c>
      <c r="F854" s="50" t="str">
        <f>IF(B854="","",IFERROR(VLOOKUP(B854,'Coil Sheet at Plant'!$C:$H,6,FALSE),"ID Not Found"))</f>
        <v/>
      </c>
      <c r="G854" s="81">
        <v>1001</v>
      </c>
      <c r="H854" s="89" t="str">
        <f>IF(OR(B854="",G854=""),"",IFERROR(VLOOKUP(B854,'Coil Sheet at Plant'!$C:$J,8,FALSE),0)*G854/SUMIF(B:B,B854,G:G))</f>
        <v/>
      </c>
      <c r="I854" s="56" t="str">
        <f>IF(B854="","",IFERROR(VLOOKUP(B854,'Coil Sheet at Plant'!$C:$L,9,FALSE),""))</f>
        <v/>
      </c>
      <c r="J854" s="85" t="str">
        <f>IF(B854="","",IFERROR(VLOOKUP(B854,'Coil Sheet at Plant'!$C:$M,10,FALSE),""))</f>
        <v/>
      </c>
      <c r="K854" s="69" t="str">
        <f>IF(B854="","",SUMIF(B:B,B854,G:G))</f>
        <v/>
      </c>
      <c r="L854" s="70" t="str">
        <f>IF(B854="","",IFERROR(VLOOKUP(B854,'Coil Sheet at Plant'!$C:$I,7,FALSE),""))</f>
        <v/>
      </c>
      <c r="M854" s="71" t="str">
        <f>IF(OR(K854="",L854=""),"",IF(L854=0,"⚠ NO PARENT WIDTH",IF(K854&gt;L854,"⚠ BABY &gt; PARENT","✔ OK")))</f>
        <v/>
      </c>
      <c r="N854" s="71" t="str">
        <f>IF(D854="","",IF(COUNTIF(D$3:D854,D854)&gt;1,"⚠ DUPLICATE",""))</f>
        <v/>
      </c>
      <c r="O854" s="72" t="str">
        <f>IF(B854="","",SUMIF(B:B,B854,G:G)&amp;" / "&amp;IFERROR(VLOOKUP(B854,'Coil Sheet at Plant'!$C:$I,7,FALSE),"?")&amp;" mm")</f>
        <v/>
      </c>
    </row>
    <row r="855" spans="1:15">
      <c r="A855" s="36"/>
      <c r="B855" s="32"/>
      <c r="C855" s="39"/>
      <c r="D855" s="44" t="str">
        <f>IF(OR(B855="",C855=""),"",CONCATENATE(B855,"-",C855))</f>
        <v/>
      </c>
      <c r="E855" s="49" t="str">
        <f>IF(B855="","",IFERROR(VLOOKUP(B855,'Coil Sheet at Plant'!$C:$G,5,FALSE),"ID Not Found"))</f>
        <v/>
      </c>
      <c r="F855" s="50" t="str">
        <f>IF(B855="","",IFERROR(VLOOKUP(B855,'Coil Sheet at Plant'!$C:$H,6,FALSE),"ID Not Found"))</f>
        <v/>
      </c>
      <c r="G855" s="81">
        <v>1002</v>
      </c>
      <c r="H855" s="89" t="str">
        <f>IF(OR(B855="",G855=""),"",IFERROR(VLOOKUP(B855,'Coil Sheet at Plant'!$C:$J,8,FALSE),0)*G855/SUMIF(B:B,B855,G:G))</f>
        <v/>
      </c>
      <c r="I855" s="56" t="str">
        <f>IF(B855="","",IFERROR(VLOOKUP(B855,'Coil Sheet at Plant'!$C:$L,9,FALSE),""))</f>
        <v/>
      </c>
      <c r="J855" s="85" t="str">
        <f>IF(B855="","",IFERROR(VLOOKUP(B855,'Coil Sheet at Plant'!$C:$M,10,FALSE),""))</f>
        <v/>
      </c>
      <c r="K855" s="69" t="str">
        <f>IF(B855="","",SUMIF(B:B,B855,G:G))</f>
        <v/>
      </c>
      <c r="L855" s="70" t="str">
        <f>IF(B855="","",IFERROR(VLOOKUP(B855,'Coil Sheet at Plant'!$C:$I,7,FALSE),""))</f>
        <v/>
      </c>
      <c r="M855" s="71" t="str">
        <f>IF(OR(K855="",L855=""),"",IF(L855=0,"⚠ NO PARENT WIDTH",IF(K855&gt;L855,"⚠ BABY &gt; PARENT","✔ OK")))</f>
        <v/>
      </c>
      <c r="N855" s="71" t="str">
        <f>IF(D855="","",IF(COUNTIF(D$3:D855,D855)&gt;1,"⚠ DUPLICATE",""))</f>
        <v/>
      </c>
      <c r="O855" s="72" t="str">
        <f>IF(B855="","",SUMIF(B:B,B855,G:G)&amp;" / "&amp;IFERROR(VLOOKUP(B855,'Coil Sheet at Plant'!$C:$I,7,FALSE),"?")&amp;" mm")</f>
        <v/>
      </c>
    </row>
    <row r="856" spans="1:15">
      <c r="A856" s="36"/>
      <c r="B856" s="32"/>
      <c r="C856" s="39"/>
      <c r="D856" s="44" t="str">
        <f>IF(OR(B856="",C856=""),"",CONCATENATE(B856,"-",C856))</f>
        <v/>
      </c>
      <c r="E856" s="49" t="str">
        <f>IF(B856="","",IFERROR(VLOOKUP(B856,'Coil Sheet at Plant'!$C:$G,5,FALSE),"ID Not Found"))</f>
        <v/>
      </c>
      <c r="F856" s="50" t="str">
        <f>IF(B856="","",IFERROR(VLOOKUP(B856,'Coil Sheet at Plant'!$C:$H,6,FALSE),"ID Not Found"))</f>
        <v/>
      </c>
      <c r="G856" s="81">
        <v>1003</v>
      </c>
      <c r="H856" s="89" t="str">
        <f>IF(OR(B856="",G856=""),"",IFERROR(VLOOKUP(B856,'Coil Sheet at Plant'!$C:$J,8,FALSE),0)*G856/SUMIF(B:B,B856,G:G))</f>
        <v/>
      </c>
      <c r="I856" s="56" t="str">
        <f>IF(B856="","",IFERROR(VLOOKUP(B856,'Coil Sheet at Plant'!$C:$L,9,FALSE),""))</f>
        <v/>
      </c>
      <c r="J856" s="85" t="str">
        <f>IF(B856="","",IFERROR(VLOOKUP(B856,'Coil Sheet at Plant'!$C:$M,10,FALSE),""))</f>
        <v/>
      </c>
      <c r="K856" s="69" t="str">
        <f>IF(B856="","",SUMIF(B:B,B856,G:G))</f>
        <v/>
      </c>
      <c r="L856" s="70" t="str">
        <f>IF(B856="","",IFERROR(VLOOKUP(B856,'Coil Sheet at Plant'!$C:$I,7,FALSE),""))</f>
        <v/>
      </c>
      <c r="M856" s="71" t="str">
        <f>IF(OR(K856="",L856=""),"",IF(L856=0,"⚠ NO PARENT WIDTH",IF(K856&gt;L856,"⚠ BABY &gt; PARENT","✔ OK")))</f>
        <v/>
      </c>
      <c r="N856" s="71" t="str">
        <f>IF(D856="","",IF(COUNTIF(D$3:D856,D856)&gt;1,"⚠ DUPLICATE",""))</f>
        <v/>
      </c>
      <c r="O856" s="72" t="str">
        <f>IF(B856="","",SUMIF(B:B,B856,G:G)&amp;" / "&amp;IFERROR(VLOOKUP(B856,'Coil Sheet at Plant'!$C:$I,7,FALSE),"?")&amp;" mm")</f>
        <v/>
      </c>
    </row>
    <row r="857" spans="1:15">
      <c r="A857" s="36"/>
      <c r="B857" s="32"/>
      <c r="C857" s="39"/>
      <c r="D857" s="44" t="str">
        <f>IF(OR(B857="",C857=""),"",CONCATENATE(B857,"-",C857))</f>
        <v/>
      </c>
      <c r="E857" s="49" t="str">
        <f>IF(B857="","",IFERROR(VLOOKUP(B857,'Coil Sheet at Plant'!$C:$G,5,FALSE),"ID Not Found"))</f>
        <v/>
      </c>
      <c r="F857" s="50" t="str">
        <f>IF(B857="","",IFERROR(VLOOKUP(B857,'Coil Sheet at Plant'!$C:$H,6,FALSE),"ID Not Found"))</f>
        <v/>
      </c>
      <c r="G857" s="81">
        <v>1004</v>
      </c>
      <c r="H857" s="89" t="str">
        <f>IF(OR(B857="",G857=""),"",IFERROR(VLOOKUP(B857,'Coil Sheet at Plant'!$C:$J,8,FALSE),0)*G857/SUMIF(B:B,B857,G:G))</f>
        <v/>
      </c>
      <c r="I857" s="56" t="str">
        <f>IF(B857="","",IFERROR(VLOOKUP(B857,'Coil Sheet at Plant'!$C:$L,9,FALSE),""))</f>
        <v/>
      </c>
      <c r="J857" s="85" t="str">
        <f>IF(B857="","",IFERROR(VLOOKUP(B857,'Coil Sheet at Plant'!$C:$M,10,FALSE),""))</f>
        <v/>
      </c>
      <c r="K857" s="69" t="str">
        <f>IF(B857="","",SUMIF(B:B,B857,G:G))</f>
        <v/>
      </c>
      <c r="L857" s="70" t="str">
        <f>IF(B857="","",IFERROR(VLOOKUP(B857,'Coil Sheet at Plant'!$C:$I,7,FALSE),""))</f>
        <v/>
      </c>
      <c r="M857" s="71" t="str">
        <f>IF(OR(K857="",L857=""),"",IF(L857=0,"⚠ NO PARENT WIDTH",IF(K857&gt;L857,"⚠ BABY &gt; PARENT","✔ OK")))</f>
        <v/>
      </c>
      <c r="N857" s="71" t="str">
        <f>IF(D857="","",IF(COUNTIF(D$3:D857,D857)&gt;1,"⚠ DUPLICATE",""))</f>
        <v/>
      </c>
      <c r="O857" s="72" t="str">
        <f>IF(B857="","",SUMIF(B:B,B857,G:G)&amp;" / "&amp;IFERROR(VLOOKUP(B857,'Coil Sheet at Plant'!$C:$I,7,FALSE),"?")&amp;" mm")</f>
        <v/>
      </c>
    </row>
    <row r="858" spans="1:15">
      <c r="A858" s="36"/>
      <c r="B858" s="32"/>
      <c r="C858" s="39"/>
      <c r="D858" s="44" t="str">
        <f>IF(OR(B858="",C858=""),"",CONCATENATE(B858,"-",C858))</f>
        <v/>
      </c>
      <c r="E858" s="49" t="str">
        <f>IF(B858="","",IFERROR(VLOOKUP(B858,'Coil Sheet at Plant'!$C:$G,5,FALSE),"ID Not Found"))</f>
        <v/>
      </c>
      <c r="F858" s="50" t="str">
        <f>IF(B858="","",IFERROR(VLOOKUP(B858,'Coil Sheet at Plant'!$C:$H,6,FALSE),"ID Not Found"))</f>
        <v/>
      </c>
      <c r="G858" s="81">
        <v>1005</v>
      </c>
      <c r="H858" s="89" t="str">
        <f>IF(OR(B858="",G858=""),"",IFERROR(VLOOKUP(B858,'Coil Sheet at Plant'!$C:$J,8,FALSE),0)*G858/SUMIF(B:B,B858,G:G))</f>
        <v/>
      </c>
      <c r="I858" s="56" t="str">
        <f>IF(B858="","",IFERROR(VLOOKUP(B858,'Coil Sheet at Plant'!$C:$L,9,FALSE),""))</f>
        <v/>
      </c>
      <c r="J858" s="85" t="str">
        <f>IF(B858="","",IFERROR(VLOOKUP(B858,'Coil Sheet at Plant'!$C:$M,10,FALSE),""))</f>
        <v/>
      </c>
      <c r="K858" s="69" t="str">
        <f>IF(B858="","",SUMIF(B:B,B858,G:G))</f>
        <v/>
      </c>
      <c r="L858" s="70" t="str">
        <f>IF(B858="","",IFERROR(VLOOKUP(B858,'Coil Sheet at Plant'!$C:$I,7,FALSE),""))</f>
        <v/>
      </c>
      <c r="M858" s="71" t="str">
        <f>IF(OR(K858="",L858=""),"",IF(L858=0,"⚠ NO PARENT WIDTH",IF(K858&gt;L858,"⚠ BABY &gt; PARENT","✔ OK")))</f>
        <v/>
      </c>
      <c r="N858" s="71" t="str">
        <f>IF(D858="","",IF(COUNTIF(D$3:D858,D858)&gt;1,"⚠ DUPLICATE",""))</f>
        <v/>
      </c>
      <c r="O858" s="72" t="str">
        <f>IF(B858="","",SUMIF(B:B,B858,G:G)&amp;" / "&amp;IFERROR(VLOOKUP(B858,'Coil Sheet at Plant'!$C:$I,7,FALSE),"?")&amp;" mm")</f>
        <v/>
      </c>
    </row>
    <row r="859" spans="1:15">
      <c r="A859" s="36"/>
      <c r="B859" s="32"/>
      <c r="C859" s="39"/>
      <c r="D859" s="44" t="str">
        <f>IF(OR(B859="",C859=""),"",CONCATENATE(B859,"-",C859))</f>
        <v/>
      </c>
      <c r="E859" s="49" t="str">
        <f>IF(B859="","",IFERROR(VLOOKUP(B859,'Coil Sheet at Plant'!$C:$G,5,FALSE),"ID Not Found"))</f>
        <v/>
      </c>
      <c r="F859" s="50" t="str">
        <f>IF(B859="","",IFERROR(VLOOKUP(B859,'Coil Sheet at Plant'!$C:$H,6,FALSE),"ID Not Found"))</f>
        <v/>
      </c>
      <c r="G859" s="81">
        <v>1006</v>
      </c>
      <c r="H859" s="89" t="str">
        <f>IF(OR(B859="",G859=""),"",IFERROR(VLOOKUP(B859,'Coil Sheet at Plant'!$C:$J,8,FALSE),0)*G859/SUMIF(B:B,B859,G:G))</f>
        <v/>
      </c>
      <c r="I859" s="56" t="str">
        <f>IF(B859="","",IFERROR(VLOOKUP(B859,'Coil Sheet at Plant'!$C:$L,9,FALSE),""))</f>
        <v/>
      </c>
      <c r="J859" s="85" t="str">
        <f>IF(B859="","",IFERROR(VLOOKUP(B859,'Coil Sheet at Plant'!$C:$M,10,FALSE),""))</f>
        <v/>
      </c>
      <c r="K859" s="69" t="str">
        <f>IF(B859="","",SUMIF(B:B,B859,G:G))</f>
        <v/>
      </c>
      <c r="L859" s="70" t="str">
        <f>IF(B859="","",IFERROR(VLOOKUP(B859,'Coil Sheet at Plant'!$C:$I,7,FALSE),""))</f>
        <v/>
      </c>
      <c r="M859" s="71" t="str">
        <f>IF(OR(K859="",L859=""),"",IF(L859=0,"⚠ NO PARENT WIDTH",IF(K859&gt;L859,"⚠ BABY &gt; PARENT","✔ OK")))</f>
        <v/>
      </c>
      <c r="N859" s="71" t="str">
        <f>IF(D859="","",IF(COUNTIF(D$3:D859,D859)&gt;1,"⚠ DUPLICATE",""))</f>
        <v/>
      </c>
      <c r="O859" s="72" t="str">
        <f>IF(B859="","",SUMIF(B:B,B859,G:G)&amp;" / "&amp;IFERROR(VLOOKUP(B859,'Coil Sheet at Plant'!$C:$I,7,FALSE),"?")&amp;" mm")</f>
        <v/>
      </c>
    </row>
    <row r="860" spans="1:15">
      <c r="A860" s="36"/>
      <c r="B860" s="32"/>
      <c r="C860" s="39"/>
      <c r="D860" s="44" t="str">
        <f>IF(OR(B860="",C860=""),"",CONCATENATE(B860,"-",C860))</f>
        <v/>
      </c>
      <c r="E860" s="49" t="str">
        <f>IF(B860="","",IFERROR(VLOOKUP(B860,'Coil Sheet at Plant'!$C:$G,5,FALSE),"ID Not Found"))</f>
        <v/>
      </c>
      <c r="F860" s="50" t="str">
        <f>IF(B860="","",IFERROR(VLOOKUP(B860,'Coil Sheet at Plant'!$C:$H,6,FALSE),"ID Not Found"))</f>
        <v/>
      </c>
      <c r="G860" s="81">
        <v>1007</v>
      </c>
      <c r="H860" s="89" t="str">
        <f>IF(OR(B860="",G860=""),"",IFERROR(VLOOKUP(B860,'Coil Sheet at Plant'!$C:$J,8,FALSE),0)*G860/SUMIF(B:B,B860,G:G))</f>
        <v/>
      </c>
      <c r="I860" s="56" t="str">
        <f>IF(B860="","",IFERROR(VLOOKUP(B860,'Coil Sheet at Plant'!$C:$L,9,FALSE),""))</f>
        <v/>
      </c>
      <c r="J860" s="85" t="str">
        <f>IF(B860="","",IFERROR(VLOOKUP(B860,'Coil Sheet at Plant'!$C:$M,10,FALSE),""))</f>
        <v/>
      </c>
      <c r="K860" s="69" t="str">
        <f>IF(B860="","",SUMIF(B:B,B860,G:G))</f>
        <v/>
      </c>
      <c r="L860" s="70" t="str">
        <f>IF(B860="","",IFERROR(VLOOKUP(B860,'Coil Sheet at Plant'!$C:$I,7,FALSE),""))</f>
        <v/>
      </c>
      <c r="M860" s="71" t="str">
        <f>IF(OR(K860="",L860=""),"",IF(L860=0,"⚠ NO PARENT WIDTH",IF(K860&gt;L860,"⚠ BABY &gt; PARENT","✔ OK")))</f>
        <v/>
      </c>
      <c r="N860" s="71" t="str">
        <f>IF(D860="","",IF(COUNTIF(D$3:D860,D860)&gt;1,"⚠ DUPLICATE",""))</f>
        <v/>
      </c>
      <c r="O860" s="72" t="str">
        <f>IF(B860="","",SUMIF(B:B,B860,G:G)&amp;" / "&amp;IFERROR(VLOOKUP(B860,'Coil Sheet at Plant'!$C:$I,7,FALSE),"?")&amp;" mm")</f>
        <v/>
      </c>
    </row>
    <row r="861" spans="1:15">
      <c r="A861" s="36"/>
      <c r="B861" s="32"/>
      <c r="C861" s="39"/>
      <c r="D861" s="44" t="str">
        <f>IF(OR(B861="",C861=""),"",CONCATENATE(B861,"-",C861))</f>
        <v/>
      </c>
      <c r="E861" s="49" t="str">
        <f>IF(B861="","",IFERROR(VLOOKUP(B861,'Coil Sheet at Plant'!$C:$G,5,FALSE),"ID Not Found"))</f>
        <v/>
      </c>
      <c r="F861" s="50" t="str">
        <f>IF(B861="","",IFERROR(VLOOKUP(B861,'Coil Sheet at Plant'!$C:$H,6,FALSE),"ID Not Found"))</f>
        <v/>
      </c>
      <c r="G861" s="81">
        <v>1008</v>
      </c>
      <c r="H861" s="89" t="str">
        <f>IF(OR(B861="",G861=""),"",IFERROR(VLOOKUP(B861,'Coil Sheet at Plant'!$C:$J,8,FALSE),0)*G861/SUMIF(B:B,B861,G:G))</f>
        <v/>
      </c>
      <c r="I861" s="56" t="str">
        <f>IF(B861="","",IFERROR(VLOOKUP(B861,'Coil Sheet at Plant'!$C:$L,9,FALSE),""))</f>
        <v/>
      </c>
      <c r="J861" s="85" t="str">
        <f>IF(B861="","",IFERROR(VLOOKUP(B861,'Coil Sheet at Plant'!$C:$M,10,FALSE),""))</f>
        <v/>
      </c>
      <c r="K861" s="69" t="str">
        <f>IF(B861="","",SUMIF(B:B,B861,G:G))</f>
        <v/>
      </c>
      <c r="L861" s="70" t="str">
        <f>IF(B861="","",IFERROR(VLOOKUP(B861,'Coil Sheet at Plant'!$C:$I,7,FALSE),""))</f>
        <v/>
      </c>
      <c r="M861" s="71" t="str">
        <f>IF(OR(K861="",L861=""),"",IF(L861=0,"⚠ NO PARENT WIDTH",IF(K861&gt;L861,"⚠ BABY &gt; PARENT","✔ OK")))</f>
        <v/>
      </c>
      <c r="N861" s="71" t="str">
        <f>IF(D861="","",IF(COUNTIF(D$3:D861,D861)&gt;1,"⚠ DUPLICATE",""))</f>
        <v/>
      </c>
      <c r="O861" s="72" t="str">
        <f>IF(B861="","",SUMIF(B:B,B861,G:G)&amp;" / "&amp;IFERROR(VLOOKUP(B861,'Coil Sheet at Plant'!$C:$I,7,FALSE),"?")&amp;" mm")</f>
        <v/>
      </c>
    </row>
    <row r="862" spans="1:15">
      <c r="A862" s="36"/>
      <c r="B862" s="32"/>
      <c r="C862" s="39"/>
      <c r="D862" s="44" t="str">
        <f>IF(OR(B862="",C862=""),"",CONCATENATE(B862,"-",C862))</f>
        <v/>
      </c>
      <c r="E862" s="49" t="str">
        <f>IF(B862="","",IFERROR(VLOOKUP(B862,'Coil Sheet at Plant'!$C:$G,5,FALSE),"ID Not Found"))</f>
        <v/>
      </c>
      <c r="F862" s="50" t="str">
        <f>IF(B862="","",IFERROR(VLOOKUP(B862,'Coil Sheet at Plant'!$C:$H,6,FALSE),"ID Not Found"))</f>
        <v/>
      </c>
      <c r="G862" s="81">
        <v>1009</v>
      </c>
      <c r="H862" s="89" t="str">
        <f>IF(OR(B862="",G862=""),"",IFERROR(VLOOKUP(B862,'Coil Sheet at Plant'!$C:$J,8,FALSE),0)*G862/SUMIF(B:B,B862,G:G))</f>
        <v/>
      </c>
      <c r="I862" s="56" t="str">
        <f>IF(B862="","",IFERROR(VLOOKUP(B862,'Coil Sheet at Plant'!$C:$L,9,FALSE),""))</f>
        <v/>
      </c>
      <c r="J862" s="85" t="str">
        <f>IF(B862="","",IFERROR(VLOOKUP(B862,'Coil Sheet at Plant'!$C:$M,10,FALSE),""))</f>
        <v/>
      </c>
      <c r="K862" s="69" t="str">
        <f>IF(B862="","",SUMIF(B:B,B862,G:G))</f>
        <v/>
      </c>
      <c r="L862" s="70" t="str">
        <f>IF(B862="","",IFERROR(VLOOKUP(B862,'Coil Sheet at Plant'!$C:$I,7,FALSE),""))</f>
        <v/>
      </c>
      <c r="M862" s="71" t="str">
        <f>IF(OR(K862="",L862=""),"",IF(L862=0,"⚠ NO PARENT WIDTH",IF(K862&gt;L862,"⚠ BABY &gt; PARENT","✔ OK")))</f>
        <v/>
      </c>
      <c r="N862" s="71" t="str">
        <f>IF(D862="","",IF(COUNTIF(D$3:D862,D862)&gt;1,"⚠ DUPLICATE",""))</f>
        <v/>
      </c>
      <c r="O862" s="72" t="str">
        <f>IF(B862="","",SUMIF(B:B,B862,G:G)&amp;" / "&amp;IFERROR(VLOOKUP(B862,'Coil Sheet at Plant'!$C:$I,7,FALSE),"?")&amp;" mm")</f>
        <v/>
      </c>
    </row>
    <row r="863" spans="1:15">
      <c r="A863" s="36"/>
      <c r="B863" s="32"/>
      <c r="C863" s="39"/>
      <c r="D863" s="44" t="str">
        <f>IF(OR(B863="",C863=""),"",CONCATENATE(B863,"-",C863))</f>
        <v/>
      </c>
      <c r="E863" s="49" t="str">
        <f>IF(B863="","",IFERROR(VLOOKUP(B863,'Coil Sheet at Plant'!$C:$G,5,FALSE),"ID Not Found"))</f>
        <v/>
      </c>
      <c r="F863" s="50" t="str">
        <f>IF(B863="","",IFERROR(VLOOKUP(B863,'Coil Sheet at Plant'!$C:$H,6,FALSE),"ID Not Found"))</f>
        <v/>
      </c>
      <c r="G863" s="81">
        <v>1010</v>
      </c>
      <c r="H863" s="89" t="str">
        <f>IF(OR(B863="",G863=""),"",IFERROR(VLOOKUP(B863,'Coil Sheet at Plant'!$C:$J,8,FALSE),0)*G863/SUMIF(B:B,B863,G:G))</f>
        <v/>
      </c>
      <c r="I863" s="56" t="str">
        <f>IF(B863="","",IFERROR(VLOOKUP(B863,'Coil Sheet at Plant'!$C:$L,9,FALSE),""))</f>
        <v/>
      </c>
      <c r="J863" s="85" t="str">
        <f>IF(B863="","",IFERROR(VLOOKUP(B863,'Coil Sheet at Plant'!$C:$M,10,FALSE),""))</f>
        <v/>
      </c>
      <c r="K863" s="69" t="str">
        <f>IF(B863="","",SUMIF(B:B,B863,G:G))</f>
        <v/>
      </c>
      <c r="L863" s="70" t="str">
        <f>IF(B863="","",IFERROR(VLOOKUP(B863,'Coil Sheet at Plant'!$C:$I,7,FALSE),""))</f>
        <v/>
      </c>
      <c r="M863" s="71" t="str">
        <f>IF(OR(K863="",L863=""),"",IF(L863=0,"⚠ NO PARENT WIDTH",IF(K863&gt;L863,"⚠ BABY &gt; PARENT","✔ OK")))</f>
        <v/>
      </c>
      <c r="N863" s="71" t="str">
        <f>IF(D863="","",IF(COUNTIF(D$3:D863,D863)&gt;1,"⚠ DUPLICATE",""))</f>
        <v/>
      </c>
      <c r="O863" s="72" t="str">
        <f>IF(B863="","",SUMIF(B:B,B863,G:G)&amp;" / "&amp;IFERROR(VLOOKUP(B863,'Coil Sheet at Plant'!$C:$I,7,FALSE),"?")&amp;" mm")</f>
        <v/>
      </c>
    </row>
    <row r="864" spans="1:15">
      <c r="A864" s="36"/>
      <c r="B864" s="32"/>
      <c r="C864" s="39"/>
      <c r="D864" s="44" t="str">
        <f>IF(OR(B864="",C864=""),"",CONCATENATE(B864,"-",C864))</f>
        <v/>
      </c>
      <c r="E864" s="49" t="str">
        <f>IF(B864="","",IFERROR(VLOOKUP(B864,'Coil Sheet at Plant'!$C:$G,5,FALSE),"ID Not Found"))</f>
        <v/>
      </c>
      <c r="F864" s="50" t="str">
        <f>IF(B864="","",IFERROR(VLOOKUP(B864,'Coil Sheet at Plant'!$C:$H,6,FALSE),"ID Not Found"))</f>
        <v/>
      </c>
      <c r="G864" s="81">
        <v>1011</v>
      </c>
      <c r="H864" s="89" t="str">
        <f>IF(OR(B864="",G864=""),"",IFERROR(VLOOKUP(B864,'Coil Sheet at Plant'!$C:$J,8,FALSE),0)*G864/SUMIF(B:B,B864,G:G))</f>
        <v/>
      </c>
      <c r="I864" s="56" t="str">
        <f>IF(B864="","",IFERROR(VLOOKUP(B864,'Coil Sheet at Plant'!$C:$L,9,FALSE),""))</f>
        <v/>
      </c>
      <c r="J864" s="85" t="str">
        <f>IF(B864="","",IFERROR(VLOOKUP(B864,'Coil Sheet at Plant'!$C:$M,10,FALSE),""))</f>
        <v/>
      </c>
      <c r="K864" s="69" t="str">
        <f>IF(B864="","",SUMIF(B:B,B864,G:G))</f>
        <v/>
      </c>
      <c r="L864" s="70" t="str">
        <f>IF(B864="","",IFERROR(VLOOKUP(B864,'Coil Sheet at Plant'!$C:$I,7,FALSE),""))</f>
        <v/>
      </c>
      <c r="M864" s="71" t="str">
        <f>IF(OR(K864="",L864=""),"",IF(L864=0,"⚠ NO PARENT WIDTH",IF(K864&gt;L864,"⚠ BABY &gt; PARENT","✔ OK")))</f>
        <v/>
      </c>
      <c r="N864" s="71" t="str">
        <f>IF(D864="","",IF(COUNTIF(D$3:D864,D864)&gt;1,"⚠ DUPLICATE",""))</f>
        <v/>
      </c>
      <c r="O864" s="72" t="str">
        <f>IF(B864="","",SUMIF(B:B,B864,G:G)&amp;" / "&amp;IFERROR(VLOOKUP(B864,'Coil Sheet at Plant'!$C:$I,7,FALSE),"?")&amp;" mm")</f>
        <v/>
      </c>
    </row>
    <row r="865" spans="1:15">
      <c r="A865" s="36"/>
      <c r="B865" s="32"/>
      <c r="C865" s="39"/>
      <c r="D865" s="44" t="str">
        <f>IF(OR(B865="",C865=""),"",CONCATENATE(B865,"-",C865))</f>
        <v/>
      </c>
      <c r="E865" s="49" t="str">
        <f>IF(B865="","",IFERROR(VLOOKUP(B865,'Coil Sheet at Plant'!$C:$G,5,FALSE),"ID Not Found"))</f>
        <v/>
      </c>
      <c r="F865" s="50" t="str">
        <f>IF(B865="","",IFERROR(VLOOKUP(B865,'Coil Sheet at Plant'!$C:$H,6,FALSE),"ID Not Found"))</f>
        <v/>
      </c>
      <c r="G865" s="81">
        <v>1012</v>
      </c>
      <c r="H865" s="89" t="str">
        <f>IF(OR(B865="",G865=""),"",IFERROR(VLOOKUP(B865,'Coil Sheet at Plant'!$C:$J,8,FALSE),0)*G865/SUMIF(B:B,B865,G:G))</f>
        <v/>
      </c>
      <c r="I865" s="56" t="str">
        <f>IF(B865="","",IFERROR(VLOOKUP(B865,'Coil Sheet at Plant'!$C:$L,9,FALSE),""))</f>
        <v/>
      </c>
      <c r="J865" s="85" t="str">
        <f>IF(B865="","",IFERROR(VLOOKUP(B865,'Coil Sheet at Plant'!$C:$M,10,FALSE),""))</f>
        <v/>
      </c>
      <c r="K865" s="69" t="str">
        <f>IF(B865="","",SUMIF(B:B,B865,G:G))</f>
        <v/>
      </c>
      <c r="L865" s="70" t="str">
        <f>IF(B865="","",IFERROR(VLOOKUP(B865,'Coil Sheet at Plant'!$C:$I,7,FALSE),""))</f>
        <v/>
      </c>
      <c r="M865" s="71" t="str">
        <f>IF(OR(K865="",L865=""),"",IF(L865=0,"⚠ NO PARENT WIDTH",IF(K865&gt;L865,"⚠ BABY &gt; PARENT","✔ OK")))</f>
        <v/>
      </c>
      <c r="N865" s="71" t="str">
        <f>IF(D865="","",IF(COUNTIF(D$3:D865,D865)&gt;1,"⚠ DUPLICATE",""))</f>
        <v/>
      </c>
      <c r="O865" s="72" t="str">
        <f>IF(B865="","",SUMIF(B:B,B865,G:G)&amp;" / "&amp;IFERROR(VLOOKUP(B865,'Coil Sheet at Plant'!$C:$I,7,FALSE),"?")&amp;" mm")</f>
        <v/>
      </c>
    </row>
    <row r="866" spans="1:15">
      <c r="A866" s="36"/>
      <c r="B866" s="32"/>
      <c r="C866" s="39"/>
      <c r="D866" s="44" t="str">
        <f>IF(OR(B866="",C866=""),"",CONCATENATE(B866,"-",C866))</f>
        <v/>
      </c>
      <c r="E866" s="49" t="str">
        <f>IF(B866="","",IFERROR(VLOOKUP(B866,'Coil Sheet at Plant'!$C:$G,5,FALSE),"ID Not Found"))</f>
        <v/>
      </c>
      <c r="F866" s="50" t="str">
        <f>IF(B866="","",IFERROR(VLOOKUP(B866,'Coil Sheet at Plant'!$C:$H,6,FALSE),"ID Not Found"))</f>
        <v/>
      </c>
      <c r="G866" s="81">
        <v>1013</v>
      </c>
      <c r="H866" s="89" t="str">
        <f>IF(OR(B866="",G866=""),"",IFERROR(VLOOKUP(B866,'Coil Sheet at Plant'!$C:$J,8,FALSE),0)*G866/SUMIF(B:B,B866,G:G))</f>
        <v/>
      </c>
      <c r="I866" s="56" t="str">
        <f>IF(B866="","",IFERROR(VLOOKUP(B866,'Coil Sheet at Plant'!$C:$L,9,FALSE),""))</f>
        <v/>
      </c>
      <c r="J866" s="85" t="str">
        <f>IF(B866="","",IFERROR(VLOOKUP(B866,'Coil Sheet at Plant'!$C:$M,10,FALSE),""))</f>
        <v/>
      </c>
      <c r="K866" s="69" t="str">
        <f>IF(B866="","",SUMIF(B:B,B866,G:G))</f>
        <v/>
      </c>
      <c r="L866" s="70" t="str">
        <f>IF(B866="","",IFERROR(VLOOKUP(B866,'Coil Sheet at Plant'!$C:$I,7,FALSE),""))</f>
        <v/>
      </c>
      <c r="M866" s="71" t="str">
        <f>IF(OR(K866="",L866=""),"",IF(L866=0,"⚠ NO PARENT WIDTH",IF(K866&gt;L866,"⚠ BABY &gt; PARENT","✔ OK")))</f>
        <v/>
      </c>
      <c r="N866" s="71" t="str">
        <f>IF(D866="","",IF(COUNTIF(D$3:D866,D866)&gt;1,"⚠ DUPLICATE",""))</f>
        <v/>
      </c>
      <c r="O866" s="72" t="str">
        <f>IF(B866="","",SUMIF(B:B,B866,G:G)&amp;" / "&amp;IFERROR(VLOOKUP(B866,'Coil Sheet at Plant'!$C:$I,7,FALSE),"?")&amp;" mm")</f>
        <v/>
      </c>
    </row>
    <row r="867" spans="1:15">
      <c r="A867" s="36"/>
      <c r="B867" s="32"/>
      <c r="C867" s="39"/>
      <c r="D867" s="44" t="str">
        <f>IF(OR(B867="",C867=""),"",CONCATENATE(B867,"-",C867))</f>
        <v/>
      </c>
      <c r="E867" s="49" t="str">
        <f>IF(B867="","",IFERROR(VLOOKUP(B867,'Coil Sheet at Plant'!$C:$G,5,FALSE),"ID Not Found"))</f>
        <v/>
      </c>
      <c r="F867" s="50" t="str">
        <f>IF(B867="","",IFERROR(VLOOKUP(B867,'Coil Sheet at Plant'!$C:$H,6,FALSE),"ID Not Found"))</f>
        <v/>
      </c>
      <c r="G867" s="81">
        <v>1014</v>
      </c>
      <c r="H867" s="89" t="str">
        <f>IF(OR(B867="",G867=""),"",IFERROR(VLOOKUP(B867,'Coil Sheet at Plant'!$C:$J,8,FALSE),0)*G867/SUMIF(B:B,B867,G:G))</f>
        <v/>
      </c>
      <c r="I867" s="56" t="str">
        <f>IF(B867="","",IFERROR(VLOOKUP(B867,'Coil Sheet at Plant'!$C:$L,9,FALSE),""))</f>
        <v/>
      </c>
      <c r="J867" s="85" t="str">
        <f>IF(B867="","",IFERROR(VLOOKUP(B867,'Coil Sheet at Plant'!$C:$M,10,FALSE),""))</f>
        <v/>
      </c>
      <c r="K867" s="69" t="str">
        <f>IF(B867="","",SUMIF(B:B,B867,G:G))</f>
        <v/>
      </c>
      <c r="L867" s="70" t="str">
        <f>IF(B867="","",IFERROR(VLOOKUP(B867,'Coil Sheet at Plant'!$C:$I,7,FALSE),""))</f>
        <v/>
      </c>
      <c r="M867" s="71" t="str">
        <f>IF(OR(K867="",L867=""),"",IF(L867=0,"⚠ NO PARENT WIDTH",IF(K867&gt;L867,"⚠ BABY &gt; PARENT","✔ OK")))</f>
        <v/>
      </c>
      <c r="N867" s="71" t="str">
        <f>IF(D867="","",IF(COUNTIF(D$3:D867,D867)&gt;1,"⚠ DUPLICATE",""))</f>
        <v/>
      </c>
      <c r="O867" s="72" t="str">
        <f>IF(B867="","",SUMIF(B:B,B867,G:G)&amp;" / "&amp;IFERROR(VLOOKUP(B867,'Coil Sheet at Plant'!$C:$I,7,FALSE),"?")&amp;" mm")</f>
        <v/>
      </c>
    </row>
    <row r="868" spans="1:15">
      <c r="A868" s="36"/>
      <c r="B868" s="32"/>
      <c r="C868" s="39"/>
      <c r="D868" s="44" t="str">
        <f>IF(OR(B868="",C868=""),"",CONCATENATE(B868,"-",C868))</f>
        <v/>
      </c>
      <c r="E868" s="49" t="str">
        <f>IF(B868="","",IFERROR(VLOOKUP(B868,'Coil Sheet at Plant'!$C:$G,5,FALSE),"ID Not Found"))</f>
        <v/>
      </c>
      <c r="F868" s="50" t="str">
        <f>IF(B868="","",IFERROR(VLOOKUP(B868,'Coil Sheet at Plant'!$C:$H,6,FALSE),"ID Not Found"))</f>
        <v/>
      </c>
      <c r="G868" s="81">
        <v>1015</v>
      </c>
      <c r="H868" s="89" t="str">
        <f>IF(OR(B868="",G868=""),"",IFERROR(VLOOKUP(B868,'Coil Sheet at Plant'!$C:$J,8,FALSE),0)*G868/SUMIF(B:B,B868,G:G))</f>
        <v/>
      </c>
      <c r="I868" s="56" t="str">
        <f>IF(B868="","",IFERROR(VLOOKUP(B868,'Coil Sheet at Plant'!$C:$L,9,FALSE),""))</f>
        <v/>
      </c>
      <c r="J868" s="85" t="str">
        <f>IF(B868="","",IFERROR(VLOOKUP(B868,'Coil Sheet at Plant'!$C:$M,10,FALSE),""))</f>
        <v/>
      </c>
      <c r="K868" s="69" t="str">
        <f>IF(B868="","",SUMIF(B:B,B868,G:G))</f>
        <v/>
      </c>
      <c r="L868" s="70" t="str">
        <f>IF(B868="","",IFERROR(VLOOKUP(B868,'Coil Sheet at Plant'!$C:$I,7,FALSE),""))</f>
        <v/>
      </c>
      <c r="M868" s="71" t="str">
        <f>IF(OR(K868="",L868=""),"",IF(L868=0,"⚠ NO PARENT WIDTH",IF(K868&gt;L868,"⚠ BABY &gt; PARENT","✔ OK")))</f>
        <v/>
      </c>
      <c r="N868" s="71" t="str">
        <f>IF(D868="","",IF(COUNTIF(D$3:D868,D868)&gt;1,"⚠ DUPLICATE",""))</f>
        <v/>
      </c>
      <c r="O868" s="72" t="str">
        <f>IF(B868="","",SUMIF(B:B,B868,G:G)&amp;" / "&amp;IFERROR(VLOOKUP(B868,'Coil Sheet at Plant'!$C:$I,7,FALSE),"?")&amp;" mm")</f>
        <v/>
      </c>
    </row>
    <row r="869" spans="1:15">
      <c r="A869" s="36"/>
      <c r="B869" s="32"/>
      <c r="C869" s="39"/>
      <c r="D869" s="44" t="str">
        <f>IF(OR(B869="",C869=""),"",CONCATENATE(B869,"-",C869))</f>
        <v/>
      </c>
      <c r="E869" s="49" t="str">
        <f>IF(B869="","",IFERROR(VLOOKUP(B869,'Coil Sheet at Plant'!$C:$G,5,FALSE),"ID Not Found"))</f>
        <v/>
      </c>
      <c r="F869" s="50" t="str">
        <f>IF(B869="","",IFERROR(VLOOKUP(B869,'Coil Sheet at Plant'!$C:$H,6,FALSE),"ID Not Found"))</f>
        <v/>
      </c>
      <c r="G869" s="81">
        <v>1016</v>
      </c>
      <c r="H869" s="89" t="str">
        <f>IF(OR(B869="",G869=""),"",IFERROR(VLOOKUP(B869,'Coil Sheet at Plant'!$C:$J,8,FALSE),0)*G869/SUMIF(B:B,B869,G:G))</f>
        <v/>
      </c>
      <c r="I869" s="56" t="str">
        <f>IF(B869="","",IFERROR(VLOOKUP(B869,'Coil Sheet at Plant'!$C:$L,9,FALSE),""))</f>
        <v/>
      </c>
      <c r="J869" s="85" t="str">
        <f>IF(B869="","",IFERROR(VLOOKUP(B869,'Coil Sheet at Plant'!$C:$M,10,FALSE),""))</f>
        <v/>
      </c>
      <c r="K869" s="69" t="str">
        <f>IF(B869="","",SUMIF(B:B,B869,G:G))</f>
        <v/>
      </c>
      <c r="L869" s="70" t="str">
        <f>IF(B869="","",IFERROR(VLOOKUP(B869,'Coil Sheet at Plant'!$C:$I,7,FALSE),""))</f>
        <v/>
      </c>
      <c r="M869" s="71" t="str">
        <f>IF(OR(K869="",L869=""),"",IF(L869=0,"⚠ NO PARENT WIDTH",IF(K869&gt;L869,"⚠ BABY &gt; PARENT","✔ OK")))</f>
        <v/>
      </c>
      <c r="N869" s="71" t="str">
        <f>IF(D869="","",IF(COUNTIF(D$3:D869,D869)&gt;1,"⚠ DUPLICATE",""))</f>
        <v/>
      </c>
      <c r="O869" s="72" t="str">
        <f>IF(B869="","",SUMIF(B:B,B869,G:G)&amp;" / "&amp;IFERROR(VLOOKUP(B869,'Coil Sheet at Plant'!$C:$I,7,FALSE),"?")&amp;" mm")</f>
        <v/>
      </c>
    </row>
    <row r="870" spans="1:15">
      <c r="A870" s="36"/>
      <c r="B870" s="32"/>
      <c r="C870" s="39"/>
      <c r="D870" s="44" t="str">
        <f>IF(OR(B870="",C870=""),"",CONCATENATE(B870,"-",C870))</f>
        <v/>
      </c>
      <c r="E870" s="49" t="str">
        <f>IF(B870="","",IFERROR(VLOOKUP(B870,'Coil Sheet at Plant'!$C:$G,5,FALSE),"ID Not Found"))</f>
        <v/>
      </c>
      <c r="F870" s="50" t="str">
        <f>IF(B870="","",IFERROR(VLOOKUP(B870,'Coil Sheet at Plant'!$C:$H,6,FALSE),"ID Not Found"))</f>
        <v/>
      </c>
      <c r="G870" s="81">
        <v>1017</v>
      </c>
      <c r="H870" s="89" t="str">
        <f>IF(OR(B870="",G870=""),"",IFERROR(VLOOKUP(B870,'Coil Sheet at Plant'!$C:$J,8,FALSE),0)*G870/SUMIF(B:B,B870,G:G))</f>
        <v/>
      </c>
      <c r="I870" s="56" t="str">
        <f>IF(B870="","",IFERROR(VLOOKUP(B870,'Coil Sheet at Plant'!$C:$L,9,FALSE),""))</f>
        <v/>
      </c>
      <c r="J870" s="85" t="str">
        <f>IF(B870="","",IFERROR(VLOOKUP(B870,'Coil Sheet at Plant'!$C:$M,10,FALSE),""))</f>
        <v/>
      </c>
      <c r="K870" s="69" t="str">
        <f>IF(B870="","",SUMIF(B:B,B870,G:G))</f>
        <v/>
      </c>
      <c r="L870" s="70" t="str">
        <f>IF(B870="","",IFERROR(VLOOKUP(B870,'Coil Sheet at Plant'!$C:$I,7,FALSE),""))</f>
        <v/>
      </c>
      <c r="M870" s="71" t="str">
        <f>IF(OR(K870="",L870=""),"",IF(L870=0,"⚠ NO PARENT WIDTH",IF(K870&gt;L870,"⚠ BABY &gt; PARENT","✔ OK")))</f>
        <v/>
      </c>
      <c r="N870" s="71" t="str">
        <f>IF(D870="","",IF(COUNTIF(D$3:D870,D870)&gt;1,"⚠ DUPLICATE",""))</f>
        <v/>
      </c>
      <c r="O870" s="72" t="str">
        <f>IF(B870="","",SUMIF(B:B,B870,G:G)&amp;" / "&amp;IFERROR(VLOOKUP(B870,'Coil Sheet at Plant'!$C:$I,7,FALSE),"?")&amp;" mm")</f>
        <v/>
      </c>
    </row>
    <row r="871" spans="1:15">
      <c r="A871" s="36"/>
      <c r="B871" s="32"/>
      <c r="C871" s="39"/>
      <c r="D871" s="44" t="str">
        <f>IF(OR(B871="",C871=""),"",CONCATENATE(B871,"-",C871))</f>
        <v/>
      </c>
      <c r="E871" s="49" t="str">
        <f>IF(B871="","",IFERROR(VLOOKUP(B871,'Coil Sheet at Plant'!$C:$G,5,FALSE),"ID Not Found"))</f>
        <v/>
      </c>
      <c r="F871" s="50" t="str">
        <f>IF(B871="","",IFERROR(VLOOKUP(B871,'Coil Sheet at Plant'!$C:$H,6,FALSE),"ID Not Found"))</f>
        <v/>
      </c>
      <c r="G871" s="81">
        <v>1018</v>
      </c>
      <c r="H871" s="89" t="str">
        <f>IF(OR(B871="",G871=""),"",IFERROR(VLOOKUP(B871,'Coil Sheet at Plant'!$C:$J,8,FALSE),0)*G871/SUMIF(B:B,B871,G:G))</f>
        <v/>
      </c>
      <c r="I871" s="56" t="str">
        <f>IF(B871="","",IFERROR(VLOOKUP(B871,'Coil Sheet at Plant'!$C:$L,9,FALSE),""))</f>
        <v/>
      </c>
      <c r="J871" s="85" t="str">
        <f>IF(B871="","",IFERROR(VLOOKUP(B871,'Coil Sheet at Plant'!$C:$M,10,FALSE),""))</f>
        <v/>
      </c>
      <c r="K871" s="69" t="str">
        <f>IF(B871="","",SUMIF(B:B,B871,G:G))</f>
        <v/>
      </c>
      <c r="L871" s="70" t="str">
        <f>IF(B871="","",IFERROR(VLOOKUP(B871,'Coil Sheet at Plant'!$C:$I,7,FALSE),""))</f>
        <v/>
      </c>
      <c r="M871" s="71" t="str">
        <f>IF(OR(K871="",L871=""),"",IF(L871=0,"⚠ NO PARENT WIDTH",IF(K871&gt;L871,"⚠ BABY &gt; PARENT","✔ OK")))</f>
        <v/>
      </c>
      <c r="N871" s="71" t="str">
        <f>IF(D871="","",IF(COUNTIF(D$3:D871,D871)&gt;1,"⚠ DUPLICATE",""))</f>
        <v/>
      </c>
      <c r="O871" s="72" t="str">
        <f>IF(B871="","",SUMIF(B:B,B871,G:G)&amp;" / "&amp;IFERROR(VLOOKUP(B871,'Coil Sheet at Plant'!$C:$I,7,FALSE),"?")&amp;" mm")</f>
        <v/>
      </c>
    </row>
    <row r="872" spans="1:15">
      <c r="A872" s="36"/>
      <c r="B872" s="32"/>
      <c r="C872" s="39"/>
      <c r="D872" s="44" t="str">
        <f>IF(OR(B872="",C872=""),"",CONCATENATE(B872,"-",C872))</f>
        <v/>
      </c>
      <c r="E872" s="49" t="str">
        <f>IF(B872="","",IFERROR(VLOOKUP(B872,'Coil Sheet at Plant'!$C:$G,5,FALSE),"ID Not Found"))</f>
        <v/>
      </c>
      <c r="F872" s="50" t="str">
        <f>IF(B872="","",IFERROR(VLOOKUP(B872,'Coil Sheet at Plant'!$C:$H,6,FALSE),"ID Not Found"))</f>
        <v/>
      </c>
      <c r="G872" s="81">
        <v>1019</v>
      </c>
      <c r="H872" s="89" t="str">
        <f>IF(OR(B872="",G872=""),"",IFERROR(VLOOKUP(B872,'Coil Sheet at Plant'!$C:$J,8,FALSE),0)*G872/SUMIF(B:B,B872,G:G))</f>
        <v/>
      </c>
      <c r="I872" s="56" t="str">
        <f>IF(B872="","",IFERROR(VLOOKUP(B872,'Coil Sheet at Plant'!$C:$L,9,FALSE),""))</f>
        <v/>
      </c>
      <c r="J872" s="85" t="str">
        <f>IF(B872="","",IFERROR(VLOOKUP(B872,'Coil Sheet at Plant'!$C:$M,10,FALSE),""))</f>
        <v/>
      </c>
      <c r="K872" s="69" t="str">
        <f>IF(B872="","",SUMIF(B:B,B872,G:G))</f>
        <v/>
      </c>
      <c r="L872" s="70" t="str">
        <f>IF(B872="","",IFERROR(VLOOKUP(B872,'Coil Sheet at Plant'!$C:$I,7,FALSE),""))</f>
        <v/>
      </c>
      <c r="M872" s="71" t="str">
        <f>IF(OR(K872="",L872=""),"",IF(L872=0,"⚠ NO PARENT WIDTH",IF(K872&gt;L872,"⚠ BABY &gt; PARENT","✔ OK")))</f>
        <v/>
      </c>
      <c r="N872" s="71" t="str">
        <f>IF(D872="","",IF(COUNTIF(D$3:D872,D872)&gt;1,"⚠ DUPLICATE",""))</f>
        <v/>
      </c>
      <c r="O872" s="72" t="str">
        <f>IF(B872="","",SUMIF(B:B,B872,G:G)&amp;" / "&amp;IFERROR(VLOOKUP(B872,'Coil Sheet at Plant'!$C:$I,7,FALSE),"?")&amp;" mm")</f>
        <v/>
      </c>
    </row>
    <row r="873" spans="1:15">
      <c r="A873" s="36"/>
      <c r="B873" s="32"/>
      <c r="C873" s="39"/>
      <c r="D873" s="44" t="str">
        <f>IF(OR(B873="",C873=""),"",CONCATENATE(B873,"-",C873))</f>
        <v/>
      </c>
      <c r="E873" s="49" t="str">
        <f>IF(B873="","",IFERROR(VLOOKUP(B873,'Coil Sheet at Plant'!$C:$G,5,FALSE),"ID Not Found"))</f>
        <v/>
      </c>
      <c r="F873" s="50" t="str">
        <f>IF(B873="","",IFERROR(VLOOKUP(B873,'Coil Sheet at Plant'!$C:$H,6,FALSE),"ID Not Found"))</f>
        <v/>
      </c>
      <c r="G873" s="81">
        <v>1020</v>
      </c>
      <c r="H873" s="89" t="str">
        <f>IF(OR(B873="",G873=""),"",IFERROR(VLOOKUP(B873,'Coil Sheet at Plant'!$C:$J,8,FALSE),0)*G873/SUMIF(B:B,B873,G:G))</f>
        <v/>
      </c>
      <c r="I873" s="56" t="str">
        <f>IF(B873="","",IFERROR(VLOOKUP(B873,'Coil Sheet at Plant'!$C:$L,9,FALSE),""))</f>
        <v/>
      </c>
      <c r="J873" s="85" t="str">
        <f>IF(B873="","",IFERROR(VLOOKUP(B873,'Coil Sheet at Plant'!$C:$M,10,FALSE),""))</f>
        <v/>
      </c>
      <c r="K873" s="69" t="str">
        <f>IF(B873="","",SUMIF(B:B,B873,G:G))</f>
        <v/>
      </c>
      <c r="L873" s="70" t="str">
        <f>IF(B873="","",IFERROR(VLOOKUP(B873,'Coil Sheet at Plant'!$C:$I,7,FALSE),""))</f>
        <v/>
      </c>
      <c r="M873" s="71" t="str">
        <f>IF(OR(K873="",L873=""),"",IF(L873=0,"⚠ NO PARENT WIDTH",IF(K873&gt;L873,"⚠ BABY &gt; PARENT","✔ OK")))</f>
        <v/>
      </c>
      <c r="N873" s="71" t="str">
        <f>IF(D873="","",IF(COUNTIF(D$3:D873,D873)&gt;1,"⚠ DUPLICATE",""))</f>
        <v/>
      </c>
      <c r="O873" s="72" t="str">
        <f>IF(B873="","",SUMIF(B:B,B873,G:G)&amp;" / "&amp;IFERROR(VLOOKUP(B873,'Coil Sheet at Plant'!$C:$I,7,FALSE),"?")&amp;" mm")</f>
        <v/>
      </c>
    </row>
    <row r="874" spans="1:15">
      <c r="A874" s="36"/>
      <c r="B874" s="32"/>
      <c r="C874" s="39"/>
      <c r="D874" s="44" t="str">
        <f>IF(OR(B874="",C874=""),"",CONCATENATE(B874,"-",C874))</f>
        <v/>
      </c>
      <c r="E874" s="49" t="str">
        <f>IF(B874="","",IFERROR(VLOOKUP(B874,'Coil Sheet at Plant'!$C:$G,5,FALSE),"ID Not Found"))</f>
        <v/>
      </c>
      <c r="F874" s="50" t="str">
        <f>IF(B874="","",IFERROR(VLOOKUP(B874,'Coil Sheet at Plant'!$C:$H,6,FALSE),"ID Not Found"))</f>
        <v/>
      </c>
      <c r="G874" s="81">
        <v>1021</v>
      </c>
      <c r="H874" s="89" t="str">
        <f>IF(OR(B874="",G874=""),"",IFERROR(VLOOKUP(B874,'Coil Sheet at Plant'!$C:$J,8,FALSE),0)*G874/SUMIF(B:B,B874,G:G))</f>
        <v/>
      </c>
      <c r="I874" s="56" t="str">
        <f>IF(B874="","",IFERROR(VLOOKUP(B874,'Coil Sheet at Plant'!$C:$L,9,FALSE),""))</f>
        <v/>
      </c>
      <c r="J874" s="85" t="str">
        <f>IF(B874="","",IFERROR(VLOOKUP(B874,'Coil Sheet at Plant'!$C:$M,10,FALSE),""))</f>
        <v/>
      </c>
      <c r="K874" s="69" t="str">
        <f>IF(B874="","",SUMIF(B:B,B874,G:G))</f>
        <v/>
      </c>
      <c r="L874" s="70" t="str">
        <f>IF(B874="","",IFERROR(VLOOKUP(B874,'Coil Sheet at Plant'!$C:$I,7,FALSE),""))</f>
        <v/>
      </c>
      <c r="M874" s="71" t="str">
        <f>IF(OR(K874="",L874=""),"",IF(L874=0,"⚠ NO PARENT WIDTH",IF(K874&gt;L874,"⚠ BABY &gt; PARENT","✔ OK")))</f>
        <v/>
      </c>
      <c r="N874" s="71" t="str">
        <f>IF(D874="","",IF(COUNTIF(D$3:D874,D874)&gt;1,"⚠ DUPLICATE",""))</f>
        <v/>
      </c>
      <c r="O874" s="72" t="str">
        <f>IF(B874="","",SUMIF(B:B,B874,G:G)&amp;" / "&amp;IFERROR(VLOOKUP(B874,'Coil Sheet at Plant'!$C:$I,7,FALSE),"?")&amp;" mm")</f>
        <v/>
      </c>
    </row>
    <row r="875" spans="1:15">
      <c r="A875" s="36"/>
      <c r="B875" s="32"/>
      <c r="C875" s="39"/>
      <c r="D875" s="44" t="str">
        <f>IF(OR(B875="",C875=""),"",CONCATENATE(B875,"-",C875))</f>
        <v/>
      </c>
      <c r="E875" s="49" t="str">
        <f>IF(B875="","",IFERROR(VLOOKUP(B875,'Coil Sheet at Plant'!$C:$G,5,FALSE),"ID Not Found"))</f>
        <v/>
      </c>
      <c r="F875" s="50" t="str">
        <f>IF(B875="","",IFERROR(VLOOKUP(B875,'Coil Sheet at Plant'!$C:$H,6,FALSE),"ID Not Found"))</f>
        <v/>
      </c>
      <c r="G875" s="81">
        <v>1022</v>
      </c>
      <c r="H875" s="89" t="str">
        <f>IF(OR(B875="",G875=""),"",IFERROR(VLOOKUP(B875,'Coil Sheet at Plant'!$C:$J,8,FALSE),0)*G875/SUMIF(B:B,B875,G:G))</f>
        <v/>
      </c>
      <c r="I875" s="56" t="str">
        <f>IF(B875="","",IFERROR(VLOOKUP(B875,'Coil Sheet at Plant'!$C:$L,9,FALSE),""))</f>
        <v/>
      </c>
      <c r="J875" s="85" t="str">
        <f>IF(B875="","",IFERROR(VLOOKUP(B875,'Coil Sheet at Plant'!$C:$M,10,FALSE),""))</f>
        <v/>
      </c>
      <c r="K875" s="69" t="str">
        <f>IF(B875="","",SUMIF(B:B,B875,G:G))</f>
        <v/>
      </c>
      <c r="L875" s="70" t="str">
        <f>IF(B875="","",IFERROR(VLOOKUP(B875,'Coil Sheet at Plant'!$C:$I,7,FALSE),""))</f>
        <v/>
      </c>
      <c r="M875" s="71" t="str">
        <f>IF(OR(K875="",L875=""),"",IF(L875=0,"⚠ NO PARENT WIDTH",IF(K875&gt;L875,"⚠ BABY &gt; PARENT","✔ OK")))</f>
        <v/>
      </c>
      <c r="N875" s="71" t="str">
        <f>IF(D875="","",IF(COUNTIF(D$3:D875,D875)&gt;1,"⚠ DUPLICATE",""))</f>
        <v/>
      </c>
      <c r="O875" s="72" t="str">
        <f>IF(B875="","",SUMIF(B:B,B875,G:G)&amp;" / "&amp;IFERROR(VLOOKUP(B875,'Coil Sheet at Plant'!$C:$I,7,FALSE),"?")&amp;" mm")</f>
        <v/>
      </c>
    </row>
    <row r="876" spans="1:15">
      <c r="A876" s="36"/>
      <c r="B876" s="32"/>
      <c r="C876" s="39"/>
      <c r="D876" s="44" t="str">
        <f>IF(OR(B876="",C876=""),"",CONCATENATE(B876,"-",C876))</f>
        <v/>
      </c>
      <c r="E876" s="49" t="str">
        <f>IF(B876="","",IFERROR(VLOOKUP(B876,'Coil Sheet at Plant'!$C:$G,5,FALSE),"ID Not Found"))</f>
        <v/>
      </c>
      <c r="F876" s="50" t="str">
        <f>IF(B876="","",IFERROR(VLOOKUP(B876,'Coil Sheet at Plant'!$C:$H,6,FALSE),"ID Not Found"))</f>
        <v/>
      </c>
      <c r="G876" s="81">
        <v>1023</v>
      </c>
      <c r="H876" s="89" t="str">
        <f>IF(OR(B876="",G876=""),"",IFERROR(VLOOKUP(B876,'Coil Sheet at Plant'!$C:$J,8,FALSE),0)*G876/SUMIF(B:B,B876,G:G))</f>
        <v/>
      </c>
      <c r="I876" s="56" t="str">
        <f>IF(B876="","",IFERROR(VLOOKUP(B876,'Coil Sheet at Plant'!$C:$L,9,FALSE),""))</f>
        <v/>
      </c>
      <c r="J876" s="85" t="str">
        <f>IF(B876="","",IFERROR(VLOOKUP(B876,'Coil Sheet at Plant'!$C:$M,10,FALSE),""))</f>
        <v/>
      </c>
      <c r="K876" s="69" t="str">
        <f>IF(B876="","",SUMIF(B:B,B876,G:G))</f>
        <v/>
      </c>
      <c r="L876" s="70" t="str">
        <f>IF(B876="","",IFERROR(VLOOKUP(B876,'Coil Sheet at Plant'!$C:$I,7,FALSE),""))</f>
        <v/>
      </c>
      <c r="M876" s="71" t="str">
        <f>IF(OR(K876="",L876=""),"",IF(L876=0,"⚠ NO PARENT WIDTH",IF(K876&gt;L876,"⚠ BABY &gt; PARENT","✔ OK")))</f>
        <v/>
      </c>
      <c r="N876" s="71" t="str">
        <f>IF(D876="","",IF(COUNTIF(D$3:D876,D876)&gt;1,"⚠ DUPLICATE",""))</f>
        <v/>
      </c>
      <c r="O876" s="72" t="str">
        <f>IF(B876="","",SUMIF(B:B,B876,G:G)&amp;" / "&amp;IFERROR(VLOOKUP(B876,'Coil Sheet at Plant'!$C:$I,7,FALSE),"?")&amp;" mm")</f>
        <v/>
      </c>
    </row>
    <row r="877" spans="1:15">
      <c r="A877" s="36"/>
      <c r="B877" s="32"/>
      <c r="C877" s="39"/>
      <c r="D877" s="44" t="str">
        <f>IF(OR(B877="",C877=""),"",CONCATENATE(B877,"-",C877))</f>
        <v/>
      </c>
      <c r="E877" s="49" t="str">
        <f>IF(B877="","",IFERROR(VLOOKUP(B877,'Coil Sheet at Plant'!$C:$G,5,FALSE),"ID Not Found"))</f>
        <v/>
      </c>
      <c r="F877" s="50" t="str">
        <f>IF(B877="","",IFERROR(VLOOKUP(B877,'Coil Sheet at Plant'!$C:$H,6,FALSE),"ID Not Found"))</f>
        <v/>
      </c>
      <c r="G877" s="81">
        <v>1024</v>
      </c>
      <c r="H877" s="89" t="str">
        <f>IF(OR(B877="",G877=""),"",IFERROR(VLOOKUP(B877,'Coil Sheet at Plant'!$C:$J,8,FALSE),0)*G877/SUMIF(B:B,B877,G:G))</f>
        <v/>
      </c>
      <c r="I877" s="56" t="str">
        <f>IF(B877="","",IFERROR(VLOOKUP(B877,'Coil Sheet at Plant'!$C:$L,9,FALSE),""))</f>
        <v/>
      </c>
      <c r="J877" s="85" t="str">
        <f>IF(B877="","",IFERROR(VLOOKUP(B877,'Coil Sheet at Plant'!$C:$M,10,FALSE),""))</f>
        <v/>
      </c>
      <c r="K877" s="69" t="str">
        <f>IF(B877="","",SUMIF(B:B,B877,G:G))</f>
        <v/>
      </c>
      <c r="L877" s="70" t="str">
        <f>IF(B877="","",IFERROR(VLOOKUP(B877,'Coil Sheet at Plant'!$C:$I,7,FALSE),""))</f>
        <v/>
      </c>
      <c r="M877" s="71" t="str">
        <f>IF(OR(K877="",L877=""),"",IF(L877=0,"⚠ NO PARENT WIDTH",IF(K877&gt;L877,"⚠ BABY &gt; PARENT","✔ OK")))</f>
        <v/>
      </c>
      <c r="N877" s="71" t="str">
        <f>IF(D877="","",IF(COUNTIF(D$3:D877,D877)&gt;1,"⚠ DUPLICATE",""))</f>
        <v/>
      </c>
      <c r="O877" s="72" t="str">
        <f>IF(B877="","",SUMIF(B:B,B877,G:G)&amp;" / "&amp;IFERROR(VLOOKUP(B877,'Coil Sheet at Plant'!$C:$I,7,FALSE),"?")&amp;" mm")</f>
        <v/>
      </c>
    </row>
    <row r="878" spans="1:15">
      <c r="A878" s="36"/>
      <c r="B878" s="32"/>
      <c r="C878" s="39"/>
      <c r="D878" s="44" t="str">
        <f>IF(OR(B878="",C878=""),"",CONCATENATE(B878,"-",C878))</f>
        <v/>
      </c>
      <c r="E878" s="49" t="str">
        <f>IF(B878="","",IFERROR(VLOOKUP(B878,'Coil Sheet at Plant'!$C:$G,5,FALSE),"ID Not Found"))</f>
        <v/>
      </c>
      <c r="F878" s="50" t="str">
        <f>IF(B878="","",IFERROR(VLOOKUP(B878,'Coil Sheet at Plant'!$C:$H,6,FALSE),"ID Not Found"))</f>
        <v/>
      </c>
      <c r="G878" s="81">
        <v>1025</v>
      </c>
      <c r="H878" s="89" t="str">
        <f>IF(OR(B878="",G878=""),"",IFERROR(VLOOKUP(B878,'Coil Sheet at Plant'!$C:$J,8,FALSE),0)*G878/SUMIF(B:B,B878,G:G))</f>
        <v/>
      </c>
      <c r="I878" s="56" t="str">
        <f>IF(B878="","",IFERROR(VLOOKUP(B878,'Coil Sheet at Plant'!$C:$L,9,FALSE),""))</f>
        <v/>
      </c>
      <c r="J878" s="85" t="str">
        <f>IF(B878="","",IFERROR(VLOOKUP(B878,'Coil Sheet at Plant'!$C:$M,10,FALSE),""))</f>
        <v/>
      </c>
      <c r="K878" s="69" t="str">
        <f>IF(B878="","",SUMIF(B:B,B878,G:G))</f>
        <v/>
      </c>
      <c r="L878" s="70" t="str">
        <f>IF(B878="","",IFERROR(VLOOKUP(B878,'Coil Sheet at Plant'!$C:$I,7,FALSE),""))</f>
        <v/>
      </c>
      <c r="M878" s="71" t="str">
        <f>IF(OR(K878="",L878=""),"",IF(L878=0,"⚠ NO PARENT WIDTH",IF(K878&gt;L878,"⚠ BABY &gt; PARENT","✔ OK")))</f>
        <v/>
      </c>
      <c r="N878" s="71" t="str">
        <f>IF(D878="","",IF(COUNTIF(D$3:D878,D878)&gt;1,"⚠ DUPLICATE",""))</f>
        <v/>
      </c>
      <c r="O878" s="72" t="str">
        <f>IF(B878="","",SUMIF(B:B,B878,G:G)&amp;" / "&amp;IFERROR(VLOOKUP(B878,'Coil Sheet at Plant'!$C:$I,7,FALSE),"?")&amp;" mm")</f>
        <v/>
      </c>
    </row>
    <row r="879" spans="1:15">
      <c r="A879" s="36"/>
      <c r="B879" s="32"/>
      <c r="C879" s="39"/>
      <c r="D879" s="44" t="str">
        <f>IF(OR(B879="",C879=""),"",CONCATENATE(B879,"-",C879))</f>
        <v/>
      </c>
      <c r="E879" s="49" t="str">
        <f>IF(B879="","",IFERROR(VLOOKUP(B879,'Coil Sheet at Plant'!$C:$G,5,FALSE),"ID Not Found"))</f>
        <v/>
      </c>
      <c r="F879" s="50" t="str">
        <f>IF(B879="","",IFERROR(VLOOKUP(B879,'Coil Sheet at Plant'!$C:$H,6,FALSE),"ID Not Found"))</f>
        <v/>
      </c>
      <c r="G879" s="81">
        <v>1026</v>
      </c>
      <c r="H879" s="89" t="str">
        <f>IF(OR(B879="",G879=""),"",IFERROR(VLOOKUP(B879,'Coil Sheet at Plant'!$C:$J,8,FALSE),0)*G879/SUMIF(B:B,B879,G:G))</f>
        <v/>
      </c>
      <c r="I879" s="56" t="str">
        <f>IF(B879="","",IFERROR(VLOOKUP(B879,'Coil Sheet at Plant'!$C:$L,9,FALSE),""))</f>
        <v/>
      </c>
      <c r="J879" s="85" t="str">
        <f>IF(B879="","",IFERROR(VLOOKUP(B879,'Coil Sheet at Plant'!$C:$M,10,FALSE),""))</f>
        <v/>
      </c>
      <c r="K879" s="69" t="str">
        <f>IF(B879="","",SUMIF(B:B,B879,G:G))</f>
        <v/>
      </c>
      <c r="L879" s="70" t="str">
        <f>IF(B879="","",IFERROR(VLOOKUP(B879,'Coil Sheet at Plant'!$C:$I,7,FALSE),""))</f>
        <v/>
      </c>
      <c r="M879" s="71" t="str">
        <f>IF(OR(K879="",L879=""),"",IF(L879=0,"⚠ NO PARENT WIDTH",IF(K879&gt;L879,"⚠ BABY &gt; PARENT","✔ OK")))</f>
        <v/>
      </c>
      <c r="N879" s="71" t="str">
        <f>IF(D879="","",IF(COUNTIF(D$3:D879,D879)&gt;1,"⚠ DUPLICATE",""))</f>
        <v/>
      </c>
      <c r="O879" s="72" t="str">
        <f>IF(B879="","",SUMIF(B:B,B879,G:G)&amp;" / "&amp;IFERROR(VLOOKUP(B879,'Coil Sheet at Plant'!$C:$I,7,FALSE),"?")&amp;" mm")</f>
        <v/>
      </c>
    </row>
    <row r="880" spans="1:15">
      <c r="A880" s="36"/>
      <c r="B880" s="32"/>
      <c r="C880" s="39"/>
      <c r="D880" s="44" t="str">
        <f>IF(OR(B880="",C880=""),"",CONCATENATE(B880,"-",C880))</f>
        <v/>
      </c>
      <c r="E880" s="49" t="str">
        <f>IF(B880="","",IFERROR(VLOOKUP(B880,'Coil Sheet at Plant'!$C:$G,5,FALSE),"ID Not Found"))</f>
        <v/>
      </c>
      <c r="F880" s="50" t="str">
        <f>IF(B880="","",IFERROR(VLOOKUP(B880,'Coil Sheet at Plant'!$C:$H,6,FALSE),"ID Not Found"))</f>
        <v/>
      </c>
      <c r="G880" s="81">
        <v>1027</v>
      </c>
      <c r="H880" s="89" t="str">
        <f>IF(OR(B880="",G880=""),"",IFERROR(VLOOKUP(B880,'Coil Sheet at Plant'!$C:$J,8,FALSE),0)*G880/SUMIF(B:B,B880,G:G))</f>
        <v/>
      </c>
      <c r="I880" s="56" t="str">
        <f>IF(B880="","",IFERROR(VLOOKUP(B880,'Coil Sheet at Plant'!$C:$L,9,FALSE),""))</f>
        <v/>
      </c>
      <c r="J880" s="85" t="str">
        <f>IF(B880="","",IFERROR(VLOOKUP(B880,'Coil Sheet at Plant'!$C:$M,10,FALSE),""))</f>
        <v/>
      </c>
      <c r="K880" s="69" t="str">
        <f>IF(B880="","",SUMIF(B:B,B880,G:G))</f>
        <v/>
      </c>
      <c r="L880" s="70" t="str">
        <f>IF(B880="","",IFERROR(VLOOKUP(B880,'Coil Sheet at Plant'!$C:$I,7,FALSE),""))</f>
        <v/>
      </c>
      <c r="M880" s="71" t="str">
        <f>IF(OR(K880="",L880=""),"",IF(L880=0,"⚠ NO PARENT WIDTH",IF(K880&gt;L880,"⚠ BABY &gt; PARENT","✔ OK")))</f>
        <v/>
      </c>
      <c r="N880" s="71" t="str">
        <f>IF(D880="","",IF(COUNTIF(D$3:D880,D880)&gt;1,"⚠ DUPLICATE",""))</f>
        <v/>
      </c>
      <c r="O880" s="72" t="str">
        <f>IF(B880="","",SUMIF(B:B,B880,G:G)&amp;" / "&amp;IFERROR(VLOOKUP(B880,'Coil Sheet at Plant'!$C:$I,7,FALSE),"?")&amp;" mm")</f>
        <v/>
      </c>
    </row>
    <row r="881" spans="1:15">
      <c r="A881" s="36"/>
      <c r="B881" s="32"/>
      <c r="C881" s="39"/>
      <c r="D881" s="44" t="str">
        <f>IF(OR(B881="",C881=""),"",CONCATENATE(B881,"-",C881))</f>
        <v/>
      </c>
      <c r="E881" s="49" t="str">
        <f>IF(B881="","",IFERROR(VLOOKUP(B881,'Coil Sheet at Plant'!$C:$G,5,FALSE),"ID Not Found"))</f>
        <v/>
      </c>
      <c r="F881" s="50" t="str">
        <f>IF(B881="","",IFERROR(VLOOKUP(B881,'Coil Sheet at Plant'!$C:$H,6,FALSE),"ID Not Found"))</f>
        <v/>
      </c>
      <c r="G881" s="81">
        <v>1028</v>
      </c>
      <c r="H881" s="89" t="str">
        <f>IF(OR(B881="",G881=""),"",IFERROR(VLOOKUP(B881,'Coil Sheet at Plant'!$C:$J,8,FALSE),0)*G881/SUMIF(B:B,B881,G:G))</f>
        <v/>
      </c>
      <c r="I881" s="56" t="str">
        <f>IF(B881="","",IFERROR(VLOOKUP(B881,'Coil Sheet at Plant'!$C:$L,9,FALSE),""))</f>
        <v/>
      </c>
      <c r="J881" s="85" t="str">
        <f>IF(B881="","",IFERROR(VLOOKUP(B881,'Coil Sheet at Plant'!$C:$M,10,FALSE),""))</f>
        <v/>
      </c>
      <c r="K881" s="69" t="str">
        <f>IF(B881="","",SUMIF(B:B,B881,G:G))</f>
        <v/>
      </c>
      <c r="L881" s="70" t="str">
        <f>IF(B881="","",IFERROR(VLOOKUP(B881,'Coil Sheet at Plant'!$C:$I,7,FALSE),""))</f>
        <v/>
      </c>
      <c r="M881" s="71" t="str">
        <f>IF(OR(K881="",L881=""),"",IF(L881=0,"⚠ NO PARENT WIDTH",IF(K881&gt;L881,"⚠ BABY &gt; PARENT","✔ OK")))</f>
        <v/>
      </c>
      <c r="N881" s="71" t="str">
        <f>IF(D881="","",IF(COUNTIF(D$3:D881,D881)&gt;1,"⚠ DUPLICATE",""))</f>
        <v/>
      </c>
      <c r="O881" s="72" t="str">
        <f>IF(B881="","",SUMIF(B:B,B881,G:G)&amp;" / "&amp;IFERROR(VLOOKUP(B881,'Coil Sheet at Plant'!$C:$I,7,FALSE),"?")&amp;" mm")</f>
        <v/>
      </c>
    </row>
    <row r="882" spans="1:15">
      <c r="A882" s="36"/>
      <c r="B882" s="32"/>
      <c r="C882" s="39"/>
      <c r="D882" s="44" t="str">
        <f>IF(OR(B882="",C882=""),"",CONCATENATE(B882,"-",C882))</f>
        <v/>
      </c>
      <c r="E882" s="49" t="str">
        <f>IF(B882="","",IFERROR(VLOOKUP(B882,'Coil Sheet at Plant'!$C:$G,5,FALSE),"ID Not Found"))</f>
        <v/>
      </c>
      <c r="F882" s="50" t="str">
        <f>IF(B882="","",IFERROR(VLOOKUP(B882,'Coil Sheet at Plant'!$C:$H,6,FALSE),"ID Not Found"))</f>
        <v/>
      </c>
      <c r="G882" s="81">
        <v>1029</v>
      </c>
      <c r="H882" s="89" t="str">
        <f>IF(OR(B882="",G882=""),"",IFERROR(VLOOKUP(B882,'Coil Sheet at Plant'!$C:$J,8,FALSE),0)*G882/SUMIF(B:B,B882,G:G))</f>
        <v/>
      </c>
      <c r="I882" s="56" t="str">
        <f>IF(B882="","",IFERROR(VLOOKUP(B882,'Coil Sheet at Plant'!$C:$L,9,FALSE),""))</f>
        <v/>
      </c>
      <c r="J882" s="85" t="str">
        <f>IF(B882="","",IFERROR(VLOOKUP(B882,'Coil Sheet at Plant'!$C:$M,10,FALSE),""))</f>
        <v/>
      </c>
      <c r="K882" s="69" t="str">
        <f>IF(B882="","",SUMIF(B:B,B882,G:G))</f>
        <v/>
      </c>
      <c r="L882" s="70" t="str">
        <f>IF(B882="","",IFERROR(VLOOKUP(B882,'Coil Sheet at Plant'!$C:$I,7,FALSE),""))</f>
        <v/>
      </c>
      <c r="M882" s="71" t="str">
        <f>IF(OR(K882="",L882=""),"",IF(L882=0,"⚠ NO PARENT WIDTH",IF(K882&gt;L882,"⚠ BABY &gt; PARENT","✔ OK")))</f>
        <v/>
      </c>
      <c r="N882" s="71" t="str">
        <f>IF(D882="","",IF(COUNTIF(D$3:D882,D882)&gt;1,"⚠ DUPLICATE",""))</f>
        <v/>
      </c>
      <c r="O882" s="72" t="str">
        <f>IF(B882="","",SUMIF(B:B,B882,G:G)&amp;" / "&amp;IFERROR(VLOOKUP(B882,'Coil Sheet at Plant'!$C:$I,7,FALSE),"?")&amp;" mm")</f>
        <v/>
      </c>
    </row>
    <row r="883" spans="1:15">
      <c r="A883" s="36"/>
      <c r="B883" s="32"/>
      <c r="C883" s="39"/>
      <c r="D883" s="44" t="str">
        <f>IF(OR(B883="",C883=""),"",CONCATENATE(B883,"-",C883))</f>
        <v/>
      </c>
      <c r="E883" s="49" t="str">
        <f>IF(B883="","",IFERROR(VLOOKUP(B883,'Coil Sheet at Plant'!$C:$G,5,FALSE),"ID Not Found"))</f>
        <v/>
      </c>
      <c r="F883" s="50" t="str">
        <f>IF(B883="","",IFERROR(VLOOKUP(B883,'Coil Sheet at Plant'!$C:$H,6,FALSE),"ID Not Found"))</f>
        <v/>
      </c>
      <c r="G883" s="81">
        <v>1030</v>
      </c>
      <c r="H883" s="89" t="str">
        <f>IF(OR(B883="",G883=""),"",IFERROR(VLOOKUP(B883,'Coil Sheet at Plant'!$C:$J,8,FALSE),0)*G883/SUMIF(B:B,B883,G:G))</f>
        <v/>
      </c>
      <c r="I883" s="56" t="str">
        <f>IF(B883="","",IFERROR(VLOOKUP(B883,'Coil Sheet at Plant'!$C:$L,9,FALSE),""))</f>
        <v/>
      </c>
      <c r="J883" s="85" t="str">
        <f>IF(B883="","",IFERROR(VLOOKUP(B883,'Coil Sheet at Plant'!$C:$M,10,FALSE),""))</f>
        <v/>
      </c>
      <c r="K883" s="69" t="str">
        <f>IF(B883="","",SUMIF(B:B,B883,G:G))</f>
        <v/>
      </c>
      <c r="L883" s="70" t="str">
        <f>IF(B883="","",IFERROR(VLOOKUP(B883,'Coil Sheet at Plant'!$C:$I,7,FALSE),""))</f>
        <v/>
      </c>
      <c r="M883" s="71" t="str">
        <f>IF(OR(K883="",L883=""),"",IF(L883=0,"⚠ NO PARENT WIDTH",IF(K883&gt;L883,"⚠ BABY &gt; PARENT","✔ OK")))</f>
        <v/>
      </c>
      <c r="N883" s="71" t="str">
        <f>IF(D883="","",IF(COUNTIF(D$3:D883,D883)&gt;1,"⚠ DUPLICATE",""))</f>
        <v/>
      </c>
      <c r="O883" s="72" t="str">
        <f>IF(B883="","",SUMIF(B:B,B883,G:G)&amp;" / "&amp;IFERROR(VLOOKUP(B883,'Coil Sheet at Plant'!$C:$I,7,FALSE),"?")&amp;" mm")</f>
        <v/>
      </c>
    </row>
    <row r="884" spans="1:15">
      <c r="A884" s="36"/>
      <c r="B884" s="32"/>
      <c r="C884" s="39"/>
      <c r="D884" s="44" t="str">
        <f>IF(OR(B884="",C884=""),"",CONCATENATE(B884,"-",C884))</f>
        <v/>
      </c>
      <c r="E884" s="49" t="str">
        <f>IF(B884="","",IFERROR(VLOOKUP(B884,'Coil Sheet at Plant'!$C:$G,5,FALSE),"ID Not Found"))</f>
        <v/>
      </c>
      <c r="F884" s="50" t="str">
        <f>IF(B884="","",IFERROR(VLOOKUP(B884,'Coil Sheet at Plant'!$C:$H,6,FALSE),"ID Not Found"))</f>
        <v/>
      </c>
      <c r="G884" s="81">
        <v>1031</v>
      </c>
      <c r="H884" s="89" t="str">
        <f>IF(OR(B884="",G884=""),"",IFERROR(VLOOKUP(B884,'Coil Sheet at Plant'!$C:$J,8,FALSE),0)*G884/SUMIF(B:B,B884,G:G))</f>
        <v/>
      </c>
      <c r="I884" s="56" t="str">
        <f>IF(B884="","",IFERROR(VLOOKUP(B884,'Coil Sheet at Plant'!$C:$L,9,FALSE),""))</f>
        <v/>
      </c>
      <c r="J884" s="85" t="str">
        <f>IF(B884="","",IFERROR(VLOOKUP(B884,'Coil Sheet at Plant'!$C:$M,10,FALSE),""))</f>
        <v/>
      </c>
      <c r="K884" s="69" t="str">
        <f>IF(B884="","",SUMIF(B:B,B884,G:G))</f>
        <v/>
      </c>
      <c r="L884" s="70" t="str">
        <f>IF(B884="","",IFERROR(VLOOKUP(B884,'Coil Sheet at Plant'!$C:$I,7,FALSE),""))</f>
        <v/>
      </c>
      <c r="M884" s="71" t="str">
        <f>IF(OR(K884="",L884=""),"",IF(L884=0,"⚠ NO PARENT WIDTH",IF(K884&gt;L884,"⚠ BABY &gt; PARENT","✔ OK")))</f>
        <v/>
      </c>
      <c r="N884" s="71" t="str">
        <f>IF(D884="","",IF(COUNTIF(D$3:D884,D884)&gt;1,"⚠ DUPLICATE",""))</f>
        <v/>
      </c>
      <c r="O884" s="72" t="str">
        <f>IF(B884="","",SUMIF(B:B,B884,G:G)&amp;" / "&amp;IFERROR(VLOOKUP(B884,'Coil Sheet at Plant'!$C:$I,7,FALSE),"?")&amp;" mm")</f>
        <v/>
      </c>
    </row>
    <row r="885" spans="1:15">
      <c r="A885" s="36"/>
      <c r="B885" s="32"/>
      <c r="C885" s="39"/>
      <c r="D885" s="44" t="str">
        <f>IF(OR(B885="",C885=""),"",CONCATENATE(B885,"-",C885))</f>
        <v/>
      </c>
      <c r="E885" s="49" t="str">
        <f>IF(B885="","",IFERROR(VLOOKUP(B885,'Coil Sheet at Plant'!$C:$G,5,FALSE),"ID Not Found"))</f>
        <v/>
      </c>
      <c r="F885" s="50" t="str">
        <f>IF(B885="","",IFERROR(VLOOKUP(B885,'Coil Sheet at Plant'!$C:$H,6,FALSE),"ID Not Found"))</f>
        <v/>
      </c>
      <c r="G885" s="81">
        <v>1032</v>
      </c>
      <c r="H885" s="89" t="str">
        <f>IF(OR(B885="",G885=""),"",IFERROR(VLOOKUP(B885,'Coil Sheet at Plant'!$C:$J,8,FALSE),0)*G885/SUMIF(B:B,B885,G:G))</f>
        <v/>
      </c>
      <c r="I885" s="56" t="str">
        <f>IF(B885="","",IFERROR(VLOOKUP(B885,'Coil Sheet at Plant'!$C:$L,9,FALSE),""))</f>
        <v/>
      </c>
      <c r="J885" s="85" t="str">
        <f>IF(B885="","",IFERROR(VLOOKUP(B885,'Coil Sheet at Plant'!$C:$M,10,FALSE),""))</f>
        <v/>
      </c>
      <c r="K885" s="69" t="str">
        <f>IF(B885="","",SUMIF(B:B,B885,G:G))</f>
        <v/>
      </c>
      <c r="L885" s="70" t="str">
        <f>IF(B885="","",IFERROR(VLOOKUP(B885,'Coil Sheet at Plant'!$C:$I,7,FALSE),""))</f>
        <v/>
      </c>
      <c r="M885" s="71" t="str">
        <f>IF(OR(K885="",L885=""),"",IF(L885=0,"⚠ NO PARENT WIDTH",IF(K885&gt;L885,"⚠ BABY &gt; PARENT","✔ OK")))</f>
        <v/>
      </c>
      <c r="N885" s="71" t="str">
        <f>IF(D885="","",IF(COUNTIF(D$3:D885,D885)&gt;1,"⚠ DUPLICATE",""))</f>
        <v/>
      </c>
      <c r="O885" s="72" t="str">
        <f>IF(B885="","",SUMIF(B:B,B885,G:G)&amp;" / "&amp;IFERROR(VLOOKUP(B885,'Coil Sheet at Plant'!$C:$I,7,FALSE),"?")&amp;" mm")</f>
        <v/>
      </c>
    </row>
    <row r="886" spans="1:15">
      <c r="A886" s="36"/>
      <c r="B886" s="32"/>
      <c r="C886" s="39"/>
      <c r="D886" s="44" t="str">
        <f>IF(OR(B886="",C886=""),"",CONCATENATE(B886,"-",C886))</f>
        <v/>
      </c>
      <c r="E886" s="49" t="str">
        <f>IF(B886="","",IFERROR(VLOOKUP(B886,'Coil Sheet at Plant'!$C:$G,5,FALSE),"ID Not Found"))</f>
        <v/>
      </c>
      <c r="F886" s="50" t="str">
        <f>IF(B886="","",IFERROR(VLOOKUP(B886,'Coil Sheet at Plant'!$C:$H,6,FALSE),"ID Not Found"))</f>
        <v/>
      </c>
      <c r="G886" s="81">
        <v>1033</v>
      </c>
      <c r="H886" s="89" t="str">
        <f>IF(OR(B886="",G886=""),"",IFERROR(VLOOKUP(B886,'Coil Sheet at Plant'!$C:$J,8,FALSE),0)*G886/SUMIF(B:B,B886,G:G))</f>
        <v/>
      </c>
      <c r="I886" s="56" t="str">
        <f>IF(B886="","",IFERROR(VLOOKUP(B886,'Coil Sheet at Plant'!$C:$L,9,FALSE),""))</f>
        <v/>
      </c>
      <c r="J886" s="85" t="str">
        <f>IF(B886="","",IFERROR(VLOOKUP(B886,'Coil Sheet at Plant'!$C:$M,10,FALSE),""))</f>
        <v/>
      </c>
      <c r="K886" s="69" t="str">
        <f>IF(B886="","",SUMIF(B:B,B886,G:G))</f>
        <v/>
      </c>
      <c r="L886" s="70" t="str">
        <f>IF(B886="","",IFERROR(VLOOKUP(B886,'Coil Sheet at Plant'!$C:$I,7,FALSE),""))</f>
        <v/>
      </c>
      <c r="M886" s="71" t="str">
        <f>IF(OR(K886="",L886=""),"",IF(L886=0,"⚠ NO PARENT WIDTH",IF(K886&gt;L886,"⚠ BABY &gt; PARENT","✔ OK")))</f>
        <v/>
      </c>
      <c r="N886" s="71" t="str">
        <f>IF(D886="","",IF(COUNTIF(D$3:D886,D886)&gt;1,"⚠ DUPLICATE",""))</f>
        <v/>
      </c>
      <c r="O886" s="72" t="str">
        <f>IF(B886="","",SUMIF(B:B,B886,G:G)&amp;" / "&amp;IFERROR(VLOOKUP(B886,'Coil Sheet at Plant'!$C:$I,7,FALSE),"?")&amp;" mm")</f>
        <v/>
      </c>
    </row>
    <row r="887" spans="1:15">
      <c r="A887" s="36"/>
      <c r="B887" s="32"/>
      <c r="C887" s="39"/>
      <c r="D887" s="44" t="str">
        <f>IF(OR(B887="",C887=""),"",CONCATENATE(B887,"-",C887))</f>
        <v/>
      </c>
      <c r="E887" s="49" t="str">
        <f>IF(B887="","",IFERROR(VLOOKUP(B887,'Coil Sheet at Plant'!$C:$G,5,FALSE),"ID Not Found"))</f>
        <v/>
      </c>
      <c r="F887" s="50" t="str">
        <f>IF(B887="","",IFERROR(VLOOKUP(B887,'Coil Sheet at Plant'!$C:$H,6,FALSE),"ID Not Found"))</f>
        <v/>
      </c>
      <c r="G887" s="81">
        <v>1034</v>
      </c>
      <c r="H887" s="89" t="str">
        <f>IF(OR(B887="",G887=""),"",IFERROR(VLOOKUP(B887,'Coil Sheet at Plant'!$C:$J,8,FALSE),0)*G887/SUMIF(B:B,B887,G:G))</f>
        <v/>
      </c>
      <c r="I887" s="56" t="str">
        <f>IF(B887="","",IFERROR(VLOOKUP(B887,'Coil Sheet at Plant'!$C:$L,9,FALSE),""))</f>
        <v/>
      </c>
      <c r="J887" s="85" t="str">
        <f>IF(B887="","",IFERROR(VLOOKUP(B887,'Coil Sheet at Plant'!$C:$M,10,FALSE),""))</f>
        <v/>
      </c>
      <c r="K887" s="69" t="str">
        <f>IF(B887="","",SUMIF(B:B,B887,G:G))</f>
        <v/>
      </c>
      <c r="L887" s="70" t="str">
        <f>IF(B887="","",IFERROR(VLOOKUP(B887,'Coil Sheet at Plant'!$C:$I,7,FALSE),""))</f>
        <v/>
      </c>
      <c r="M887" s="71" t="str">
        <f>IF(OR(K887="",L887=""),"",IF(L887=0,"⚠ NO PARENT WIDTH",IF(K887&gt;L887,"⚠ BABY &gt; PARENT","✔ OK")))</f>
        <v/>
      </c>
      <c r="N887" s="71" t="str">
        <f>IF(D887="","",IF(COUNTIF(D$3:D887,D887)&gt;1,"⚠ DUPLICATE",""))</f>
        <v/>
      </c>
      <c r="O887" s="72" t="str">
        <f>IF(B887="","",SUMIF(B:B,B887,G:G)&amp;" / "&amp;IFERROR(VLOOKUP(B887,'Coil Sheet at Plant'!$C:$I,7,FALSE),"?")&amp;" mm")</f>
        <v/>
      </c>
    </row>
    <row r="888" spans="1:15">
      <c r="A888" s="36"/>
      <c r="B888" s="32"/>
      <c r="C888" s="39"/>
      <c r="D888" s="44" t="str">
        <f>IF(OR(B888="",C888=""),"",CONCATENATE(B888,"-",C888))</f>
        <v/>
      </c>
      <c r="E888" s="49" t="str">
        <f>IF(B888="","",IFERROR(VLOOKUP(B888,'Coil Sheet at Plant'!$C:$G,5,FALSE),"ID Not Found"))</f>
        <v/>
      </c>
      <c r="F888" s="50" t="str">
        <f>IF(B888="","",IFERROR(VLOOKUP(B888,'Coil Sheet at Plant'!$C:$H,6,FALSE),"ID Not Found"))</f>
        <v/>
      </c>
      <c r="G888" s="81">
        <v>1035</v>
      </c>
      <c r="H888" s="89" t="str">
        <f>IF(OR(B888="",G888=""),"",IFERROR(VLOOKUP(B888,'Coil Sheet at Plant'!$C:$J,8,FALSE),0)*G888/SUMIF(B:B,B888,G:G))</f>
        <v/>
      </c>
      <c r="I888" s="56" t="str">
        <f>IF(B888="","",IFERROR(VLOOKUP(B888,'Coil Sheet at Plant'!$C:$L,9,FALSE),""))</f>
        <v/>
      </c>
      <c r="J888" s="85" t="str">
        <f>IF(B888="","",IFERROR(VLOOKUP(B888,'Coil Sheet at Plant'!$C:$M,10,FALSE),""))</f>
        <v/>
      </c>
      <c r="K888" s="69" t="str">
        <f>IF(B888="","",SUMIF(B:B,B888,G:G))</f>
        <v/>
      </c>
      <c r="L888" s="70" t="str">
        <f>IF(B888="","",IFERROR(VLOOKUP(B888,'Coil Sheet at Plant'!$C:$I,7,FALSE),""))</f>
        <v/>
      </c>
      <c r="M888" s="71" t="str">
        <f>IF(OR(K888="",L888=""),"",IF(L888=0,"⚠ NO PARENT WIDTH",IF(K888&gt;L888,"⚠ BABY &gt; PARENT","✔ OK")))</f>
        <v/>
      </c>
      <c r="N888" s="71" t="str">
        <f>IF(D888="","",IF(COUNTIF(D$3:D888,D888)&gt;1,"⚠ DUPLICATE",""))</f>
        <v/>
      </c>
      <c r="O888" s="72" t="str">
        <f>IF(B888="","",SUMIF(B:B,B888,G:G)&amp;" / "&amp;IFERROR(VLOOKUP(B888,'Coil Sheet at Plant'!$C:$I,7,FALSE),"?")&amp;" mm")</f>
        <v/>
      </c>
    </row>
    <row r="889" spans="1:15">
      <c r="A889" s="36"/>
      <c r="B889" s="32"/>
      <c r="C889" s="39"/>
      <c r="D889" s="44" t="str">
        <f>IF(OR(B889="",C889=""),"",CONCATENATE(B889,"-",C889))</f>
        <v/>
      </c>
      <c r="E889" s="49" t="str">
        <f>IF(B889="","",IFERROR(VLOOKUP(B889,'Coil Sheet at Plant'!$C:$G,5,FALSE),"ID Not Found"))</f>
        <v/>
      </c>
      <c r="F889" s="50" t="str">
        <f>IF(B889="","",IFERROR(VLOOKUP(B889,'Coil Sheet at Plant'!$C:$H,6,FALSE),"ID Not Found"))</f>
        <v/>
      </c>
      <c r="G889" s="81">
        <v>1036</v>
      </c>
      <c r="H889" s="89" t="str">
        <f>IF(OR(B889="",G889=""),"",IFERROR(VLOOKUP(B889,'Coil Sheet at Plant'!$C:$J,8,FALSE),0)*G889/SUMIF(B:B,B889,G:G))</f>
        <v/>
      </c>
      <c r="I889" s="56" t="str">
        <f>IF(B889="","",IFERROR(VLOOKUP(B889,'Coil Sheet at Plant'!$C:$L,9,FALSE),""))</f>
        <v/>
      </c>
      <c r="J889" s="85" t="str">
        <f>IF(B889="","",IFERROR(VLOOKUP(B889,'Coil Sheet at Plant'!$C:$M,10,FALSE),""))</f>
        <v/>
      </c>
      <c r="K889" s="69" t="str">
        <f>IF(B889="","",SUMIF(B:B,B889,G:G))</f>
        <v/>
      </c>
      <c r="L889" s="70" t="str">
        <f>IF(B889="","",IFERROR(VLOOKUP(B889,'Coil Sheet at Plant'!$C:$I,7,FALSE),""))</f>
        <v/>
      </c>
      <c r="M889" s="71" t="str">
        <f>IF(OR(K889="",L889=""),"",IF(L889=0,"⚠ NO PARENT WIDTH",IF(K889&gt;L889,"⚠ BABY &gt; PARENT","✔ OK")))</f>
        <v/>
      </c>
      <c r="N889" s="71" t="str">
        <f>IF(D889="","",IF(COUNTIF(D$3:D889,D889)&gt;1,"⚠ DUPLICATE",""))</f>
        <v/>
      </c>
      <c r="O889" s="72" t="str">
        <f>IF(B889="","",SUMIF(B:B,B889,G:G)&amp;" / "&amp;IFERROR(VLOOKUP(B889,'Coil Sheet at Plant'!$C:$I,7,FALSE),"?")&amp;" mm")</f>
        <v/>
      </c>
    </row>
    <row r="890" spans="1:15">
      <c r="A890" s="36"/>
      <c r="B890" s="32"/>
      <c r="C890" s="39"/>
      <c r="D890" s="44" t="str">
        <f>IF(OR(B890="",C890=""),"",CONCATENATE(B890,"-",C890))</f>
        <v/>
      </c>
      <c r="E890" s="49" t="str">
        <f>IF(B890="","",IFERROR(VLOOKUP(B890,'Coil Sheet at Plant'!$C:$G,5,FALSE),"ID Not Found"))</f>
        <v/>
      </c>
      <c r="F890" s="50" t="str">
        <f>IF(B890="","",IFERROR(VLOOKUP(B890,'Coil Sheet at Plant'!$C:$H,6,FALSE),"ID Not Found"))</f>
        <v/>
      </c>
      <c r="G890" s="81">
        <v>1037</v>
      </c>
      <c r="H890" s="89" t="str">
        <f>IF(OR(B890="",G890=""),"",IFERROR(VLOOKUP(B890,'Coil Sheet at Plant'!$C:$J,8,FALSE),0)*G890/SUMIF(B:B,B890,G:G))</f>
        <v/>
      </c>
      <c r="I890" s="56" t="str">
        <f>IF(B890="","",IFERROR(VLOOKUP(B890,'Coil Sheet at Plant'!$C:$L,9,FALSE),""))</f>
        <v/>
      </c>
      <c r="J890" s="85" t="str">
        <f>IF(B890="","",IFERROR(VLOOKUP(B890,'Coil Sheet at Plant'!$C:$M,10,FALSE),""))</f>
        <v/>
      </c>
      <c r="K890" s="69" t="str">
        <f>IF(B890="","",SUMIF(B:B,B890,G:G))</f>
        <v/>
      </c>
      <c r="L890" s="70" t="str">
        <f>IF(B890="","",IFERROR(VLOOKUP(B890,'Coil Sheet at Plant'!$C:$I,7,FALSE),""))</f>
        <v/>
      </c>
      <c r="M890" s="71" t="str">
        <f>IF(OR(K890="",L890=""),"",IF(L890=0,"⚠ NO PARENT WIDTH",IF(K890&gt;L890,"⚠ BABY &gt; PARENT","✔ OK")))</f>
        <v/>
      </c>
      <c r="N890" s="71" t="str">
        <f>IF(D890="","",IF(COUNTIF(D$3:D890,D890)&gt;1,"⚠ DUPLICATE",""))</f>
        <v/>
      </c>
      <c r="O890" s="72" t="str">
        <f>IF(B890="","",SUMIF(B:B,B890,G:G)&amp;" / "&amp;IFERROR(VLOOKUP(B890,'Coil Sheet at Plant'!$C:$I,7,FALSE),"?")&amp;" mm")</f>
        <v/>
      </c>
    </row>
    <row r="891" spans="1:15">
      <c r="A891" s="36"/>
      <c r="B891" s="32"/>
      <c r="C891" s="39"/>
      <c r="D891" s="44" t="str">
        <f>IF(OR(B891="",C891=""),"",CONCATENATE(B891,"-",C891))</f>
        <v/>
      </c>
      <c r="E891" s="49" t="str">
        <f>IF(B891="","",IFERROR(VLOOKUP(B891,'Coil Sheet at Plant'!$C:$G,5,FALSE),"ID Not Found"))</f>
        <v/>
      </c>
      <c r="F891" s="50" t="str">
        <f>IF(B891="","",IFERROR(VLOOKUP(B891,'Coil Sheet at Plant'!$C:$H,6,FALSE),"ID Not Found"))</f>
        <v/>
      </c>
      <c r="G891" s="81">
        <v>1038</v>
      </c>
      <c r="H891" s="89" t="str">
        <f>IF(OR(B891="",G891=""),"",IFERROR(VLOOKUP(B891,'Coil Sheet at Plant'!$C:$J,8,FALSE),0)*G891/SUMIF(B:B,B891,G:G))</f>
        <v/>
      </c>
      <c r="I891" s="56" t="str">
        <f>IF(B891="","",IFERROR(VLOOKUP(B891,'Coil Sheet at Plant'!$C:$L,9,FALSE),""))</f>
        <v/>
      </c>
      <c r="J891" s="85" t="str">
        <f>IF(B891="","",IFERROR(VLOOKUP(B891,'Coil Sheet at Plant'!$C:$M,10,FALSE),""))</f>
        <v/>
      </c>
      <c r="K891" s="69" t="str">
        <f>IF(B891="","",SUMIF(B:B,B891,G:G))</f>
        <v/>
      </c>
      <c r="L891" s="70" t="str">
        <f>IF(B891="","",IFERROR(VLOOKUP(B891,'Coil Sheet at Plant'!$C:$I,7,FALSE),""))</f>
        <v/>
      </c>
      <c r="M891" s="71" t="str">
        <f>IF(OR(K891="",L891=""),"",IF(L891=0,"⚠ NO PARENT WIDTH",IF(K891&gt;L891,"⚠ BABY &gt; PARENT","✔ OK")))</f>
        <v/>
      </c>
      <c r="N891" s="71" t="str">
        <f>IF(D891="","",IF(COUNTIF(D$3:D891,D891)&gt;1,"⚠ DUPLICATE",""))</f>
        <v/>
      </c>
      <c r="O891" s="72" t="str">
        <f>IF(B891="","",SUMIF(B:B,B891,G:G)&amp;" / "&amp;IFERROR(VLOOKUP(B891,'Coil Sheet at Plant'!$C:$I,7,FALSE),"?")&amp;" mm")</f>
        <v/>
      </c>
    </row>
    <row r="892" spans="1:15">
      <c r="A892" s="36"/>
      <c r="B892" s="32"/>
      <c r="C892" s="39"/>
      <c r="D892" s="44" t="str">
        <f>IF(OR(B892="",C892=""),"",CONCATENATE(B892,"-",C892))</f>
        <v/>
      </c>
      <c r="E892" s="49" t="str">
        <f>IF(B892="","",IFERROR(VLOOKUP(B892,'Coil Sheet at Plant'!$C:$G,5,FALSE),"ID Not Found"))</f>
        <v/>
      </c>
      <c r="F892" s="50" t="str">
        <f>IF(B892="","",IFERROR(VLOOKUP(B892,'Coil Sheet at Plant'!$C:$H,6,FALSE),"ID Not Found"))</f>
        <v/>
      </c>
      <c r="G892" s="81">
        <v>1039</v>
      </c>
      <c r="H892" s="89" t="str">
        <f>IF(OR(B892="",G892=""),"",IFERROR(VLOOKUP(B892,'Coil Sheet at Plant'!$C:$J,8,FALSE),0)*G892/SUMIF(B:B,B892,G:G))</f>
        <v/>
      </c>
      <c r="I892" s="56" t="str">
        <f>IF(B892="","",IFERROR(VLOOKUP(B892,'Coil Sheet at Plant'!$C:$L,9,FALSE),""))</f>
        <v/>
      </c>
      <c r="J892" s="85" t="str">
        <f>IF(B892="","",IFERROR(VLOOKUP(B892,'Coil Sheet at Plant'!$C:$M,10,FALSE),""))</f>
        <v/>
      </c>
      <c r="K892" s="69" t="str">
        <f>IF(B892="","",SUMIF(B:B,B892,G:G))</f>
        <v/>
      </c>
      <c r="L892" s="70" t="str">
        <f>IF(B892="","",IFERROR(VLOOKUP(B892,'Coil Sheet at Plant'!$C:$I,7,FALSE),""))</f>
        <v/>
      </c>
      <c r="M892" s="71" t="str">
        <f>IF(OR(K892="",L892=""),"",IF(L892=0,"⚠ NO PARENT WIDTH",IF(K892&gt;L892,"⚠ BABY &gt; PARENT","✔ OK")))</f>
        <v/>
      </c>
      <c r="N892" s="71" t="str">
        <f>IF(D892="","",IF(COUNTIF(D$3:D892,D892)&gt;1,"⚠ DUPLICATE",""))</f>
        <v/>
      </c>
      <c r="O892" s="72" t="str">
        <f>IF(B892="","",SUMIF(B:B,B892,G:G)&amp;" / "&amp;IFERROR(VLOOKUP(B892,'Coil Sheet at Plant'!$C:$I,7,FALSE),"?")&amp;" mm")</f>
        <v/>
      </c>
    </row>
    <row r="893" spans="1:15">
      <c r="A893" s="36"/>
      <c r="B893" s="32"/>
      <c r="C893" s="39"/>
      <c r="D893" s="44" t="str">
        <f>IF(OR(B893="",C893=""),"",CONCATENATE(B893,"-",C893))</f>
        <v/>
      </c>
      <c r="E893" s="49" t="str">
        <f>IF(B893="","",IFERROR(VLOOKUP(B893,'Coil Sheet at Plant'!$C:$G,5,FALSE),"ID Not Found"))</f>
        <v/>
      </c>
      <c r="F893" s="50" t="str">
        <f>IF(B893="","",IFERROR(VLOOKUP(B893,'Coil Sheet at Plant'!$C:$H,6,FALSE),"ID Not Found"))</f>
        <v/>
      </c>
      <c r="G893" s="81">
        <v>1040</v>
      </c>
      <c r="H893" s="89" t="str">
        <f>IF(OR(B893="",G893=""),"",IFERROR(VLOOKUP(B893,'Coil Sheet at Plant'!$C:$J,8,FALSE),0)*G893/SUMIF(B:B,B893,G:G))</f>
        <v/>
      </c>
      <c r="I893" s="56" t="str">
        <f>IF(B893="","",IFERROR(VLOOKUP(B893,'Coil Sheet at Plant'!$C:$L,9,FALSE),""))</f>
        <v/>
      </c>
      <c r="J893" s="85" t="str">
        <f>IF(B893="","",IFERROR(VLOOKUP(B893,'Coil Sheet at Plant'!$C:$M,10,FALSE),""))</f>
        <v/>
      </c>
      <c r="K893" s="69" t="str">
        <f>IF(B893="","",SUMIF(B:B,B893,G:G))</f>
        <v/>
      </c>
      <c r="L893" s="70" t="str">
        <f>IF(B893="","",IFERROR(VLOOKUP(B893,'Coil Sheet at Plant'!$C:$I,7,FALSE),""))</f>
        <v/>
      </c>
      <c r="M893" s="71" t="str">
        <f>IF(OR(K893="",L893=""),"",IF(L893=0,"⚠ NO PARENT WIDTH",IF(K893&gt;L893,"⚠ BABY &gt; PARENT","✔ OK")))</f>
        <v/>
      </c>
      <c r="N893" s="71" t="str">
        <f>IF(D893="","",IF(COUNTIF(D$3:D893,D893)&gt;1,"⚠ DUPLICATE",""))</f>
        <v/>
      </c>
      <c r="O893" s="72" t="str">
        <f>IF(B893="","",SUMIF(B:B,B893,G:G)&amp;" / "&amp;IFERROR(VLOOKUP(B893,'Coil Sheet at Plant'!$C:$I,7,FALSE),"?")&amp;" mm")</f>
        <v/>
      </c>
    </row>
    <row r="894" spans="1:15">
      <c r="A894" s="36"/>
      <c r="B894" s="32"/>
      <c r="C894" s="39"/>
      <c r="D894" s="44" t="str">
        <f>IF(OR(B894="",C894=""),"",CONCATENATE(B894,"-",C894))</f>
        <v/>
      </c>
      <c r="E894" s="49" t="str">
        <f>IF(B894="","",IFERROR(VLOOKUP(B894,'Coil Sheet at Plant'!$C:$G,5,FALSE),"ID Not Found"))</f>
        <v/>
      </c>
      <c r="F894" s="50" t="str">
        <f>IF(B894="","",IFERROR(VLOOKUP(B894,'Coil Sheet at Plant'!$C:$H,6,FALSE),"ID Not Found"))</f>
        <v/>
      </c>
      <c r="G894" s="81">
        <v>1041</v>
      </c>
      <c r="H894" s="89" t="str">
        <f>IF(OR(B894="",G894=""),"",IFERROR(VLOOKUP(B894,'Coil Sheet at Plant'!$C:$J,8,FALSE),0)*G894/SUMIF(B:B,B894,G:G))</f>
        <v/>
      </c>
      <c r="I894" s="56" t="str">
        <f>IF(B894="","",IFERROR(VLOOKUP(B894,'Coil Sheet at Plant'!$C:$L,9,FALSE),""))</f>
        <v/>
      </c>
      <c r="J894" s="85" t="str">
        <f>IF(B894="","",IFERROR(VLOOKUP(B894,'Coil Sheet at Plant'!$C:$M,10,FALSE),""))</f>
        <v/>
      </c>
      <c r="K894" s="69" t="str">
        <f>IF(B894="","",SUMIF(B:B,B894,G:G))</f>
        <v/>
      </c>
      <c r="L894" s="70" t="str">
        <f>IF(B894="","",IFERROR(VLOOKUP(B894,'Coil Sheet at Plant'!$C:$I,7,FALSE),""))</f>
        <v/>
      </c>
      <c r="M894" s="71" t="str">
        <f>IF(OR(K894="",L894=""),"",IF(L894=0,"⚠ NO PARENT WIDTH",IF(K894&gt;L894,"⚠ BABY &gt; PARENT","✔ OK")))</f>
        <v/>
      </c>
      <c r="N894" s="71" t="str">
        <f>IF(D894="","",IF(COUNTIF(D$3:D894,D894)&gt;1,"⚠ DUPLICATE",""))</f>
        <v/>
      </c>
      <c r="O894" s="72" t="str">
        <f>IF(B894="","",SUMIF(B:B,B894,G:G)&amp;" / "&amp;IFERROR(VLOOKUP(B894,'Coil Sheet at Plant'!$C:$I,7,FALSE),"?")&amp;" mm")</f>
        <v/>
      </c>
    </row>
    <row r="895" spans="1:15">
      <c r="A895" s="36"/>
      <c r="B895" s="32"/>
      <c r="C895" s="39"/>
      <c r="D895" s="44" t="str">
        <f>IF(OR(B895="",C895=""),"",CONCATENATE(B895,"-",C895))</f>
        <v/>
      </c>
      <c r="E895" s="49" t="str">
        <f>IF(B895="","",IFERROR(VLOOKUP(B895,'Coil Sheet at Plant'!$C:$G,5,FALSE),"ID Not Found"))</f>
        <v/>
      </c>
      <c r="F895" s="50" t="str">
        <f>IF(B895="","",IFERROR(VLOOKUP(B895,'Coil Sheet at Plant'!$C:$H,6,FALSE),"ID Not Found"))</f>
        <v/>
      </c>
      <c r="G895" s="81">
        <v>1042</v>
      </c>
      <c r="H895" s="89" t="str">
        <f>IF(OR(B895="",G895=""),"",IFERROR(VLOOKUP(B895,'Coil Sheet at Plant'!$C:$J,8,FALSE),0)*G895/SUMIF(B:B,B895,G:G))</f>
        <v/>
      </c>
      <c r="I895" s="56" t="str">
        <f>IF(B895="","",IFERROR(VLOOKUP(B895,'Coil Sheet at Plant'!$C:$L,9,FALSE),""))</f>
        <v/>
      </c>
      <c r="J895" s="85" t="str">
        <f>IF(B895="","",IFERROR(VLOOKUP(B895,'Coil Sheet at Plant'!$C:$M,10,FALSE),""))</f>
        <v/>
      </c>
      <c r="K895" s="69" t="str">
        <f>IF(B895="","",SUMIF(B:B,B895,G:G))</f>
        <v/>
      </c>
      <c r="L895" s="70" t="str">
        <f>IF(B895="","",IFERROR(VLOOKUP(B895,'Coil Sheet at Plant'!$C:$I,7,FALSE),""))</f>
        <v/>
      </c>
      <c r="M895" s="71" t="str">
        <f>IF(OR(K895="",L895=""),"",IF(L895=0,"⚠ NO PARENT WIDTH",IF(K895&gt;L895,"⚠ BABY &gt; PARENT","✔ OK")))</f>
        <v/>
      </c>
      <c r="N895" s="71" t="str">
        <f>IF(D895="","",IF(COUNTIF(D$3:D895,D895)&gt;1,"⚠ DUPLICATE",""))</f>
        <v/>
      </c>
      <c r="O895" s="72" t="str">
        <f>IF(B895="","",SUMIF(B:B,B895,G:G)&amp;" / "&amp;IFERROR(VLOOKUP(B895,'Coil Sheet at Plant'!$C:$I,7,FALSE),"?")&amp;" mm")</f>
        <v/>
      </c>
    </row>
    <row r="896" spans="1:15">
      <c r="A896" s="36"/>
      <c r="B896" s="32"/>
      <c r="C896" s="39"/>
      <c r="D896" s="44" t="str">
        <f>IF(OR(B896="",C896=""),"",CONCATENATE(B896,"-",C896))</f>
        <v/>
      </c>
      <c r="E896" s="49" t="str">
        <f>IF(B896="","",IFERROR(VLOOKUP(B896,'Coil Sheet at Plant'!$C:$G,5,FALSE),"ID Not Found"))</f>
        <v/>
      </c>
      <c r="F896" s="50" t="str">
        <f>IF(B896="","",IFERROR(VLOOKUP(B896,'Coil Sheet at Plant'!$C:$H,6,FALSE),"ID Not Found"))</f>
        <v/>
      </c>
      <c r="G896" s="81">
        <v>1043</v>
      </c>
      <c r="H896" s="89" t="str">
        <f>IF(OR(B896="",G896=""),"",IFERROR(VLOOKUP(B896,'Coil Sheet at Plant'!$C:$J,8,FALSE),0)*G896/SUMIF(B:B,B896,G:G))</f>
        <v/>
      </c>
      <c r="I896" s="56" t="str">
        <f>IF(B896="","",IFERROR(VLOOKUP(B896,'Coil Sheet at Plant'!$C:$L,9,FALSE),""))</f>
        <v/>
      </c>
      <c r="J896" s="85" t="str">
        <f>IF(B896="","",IFERROR(VLOOKUP(B896,'Coil Sheet at Plant'!$C:$M,10,FALSE),""))</f>
        <v/>
      </c>
      <c r="K896" s="69" t="str">
        <f>IF(B896="","",SUMIF(B:B,B896,G:G))</f>
        <v/>
      </c>
      <c r="L896" s="70" t="str">
        <f>IF(B896="","",IFERROR(VLOOKUP(B896,'Coil Sheet at Plant'!$C:$I,7,FALSE),""))</f>
        <v/>
      </c>
      <c r="M896" s="71" t="str">
        <f>IF(OR(K896="",L896=""),"",IF(L896=0,"⚠ NO PARENT WIDTH",IF(K896&gt;L896,"⚠ BABY &gt; PARENT","✔ OK")))</f>
        <v/>
      </c>
      <c r="N896" s="71" t="str">
        <f>IF(D896="","",IF(COUNTIF(D$3:D896,D896)&gt;1,"⚠ DUPLICATE",""))</f>
        <v/>
      </c>
      <c r="O896" s="72" t="str">
        <f>IF(B896="","",SUMIF(B:B,B896,G:G)&amp;" / "&amp;IFERROR(VLOOKUP(B896,'Coil Sheet at Plant'!$C:$I,7,FALSE),"?")&amp;" mm")</f>
        <v/>
      </c>
    </row>
    <row r="897" spans="1:15">
      <c r="A897" s="36"/>
      <c r="B897" s="32"/>
      <c r="C897" s="39"/>
      <c r="D897" s="44" t="str">
        <f>IF(OR(B897="",C897=""),"",CONCATENATE(B897,"-",C897))</f>
        <v/>
      </c>
      <c r="E897" s="49" t="str">
        <f>IF(B897="","",IFERROR(VLOOKUP(B897,'Coil Sheet at Plant'!$C:$G,5,FALSE),"ID Not Found"))</f>
        <v/>
      </c>
      <c r="F897" s="50" t="str">
        <f>IF(B897="","",IFERROR(VLOOKUP(B897,'Coil Sheet at Plant'!$C:$H,6,FALSE),"ID Not Found"))</f>
        <v/>
      </c>
      <c r="G897" s="81">
        <v>1044</v>
      </c>
      <c r="H897" s="89" t="str">
        <f>IF(OR(B897="",G897=""),"",IFERROR(VLOOKUP(B897,'Coil Sheet at Plant'!$C:$J,8,FALSE),0)*G897/SUMIF(B:B,B897,G:G))</f>
        <v/>
      </c>
      <c r="I897" s="56" t="str">
        <f>IF(B897="","",IFERROR(VLOOKUP(B897,'Coil Sheet at Plant'!$C:$L,9,FALSE),""))</f>
        <v/>
      </c>
      <c r="J897" s="85" t="str">
        <f>IF(B897="","",IFERROR(VLOOKUP(B897,'Coil Sheet at Plant'!$C:$M,10,FALSE),""))</f>
        <v/>
      </c>
      <c r="K897" s="69" t="str">
        <f>IF(B897="","",SUMIF(B:B,B897,G:G))</f>
        <v/>
      </c>
      <c r="L897" s="70" t="str">
        <f>IF(B897="","",IFERROR(VLOOKUP(B897,'Coil Sheet at Plant'!$C:$I,7,FALSE),""))</f>
        <v/>
      </c>
      <c r="M897" s="71" t="str">
        <f>IF(OR(K897="",L897=""),"",IF(L897=0,"⚠ NO PARENT WIDTH",IF(K897&gt;L897,"⚠ BABY &gt; PARENT","✔ OK")))</f>
        <v/>
      </c>
      <c r="N897" s="71" t="str">
        <f>IF(D897="","",IF(COUNTIF(D$3:D897,D897)&gt;1,"⚠ DUPLICATE",""))</f>
        <v/>
      </c>
      <c r="O897" s="72" t="str">
        <f>IF(B897="","",SUMIF(B:B,B897,G:G)&amp;" / "&amp;IFERROR(VLOOKUP(B897,'Coil Sheet at Plant'!$C:$I,7,FALSE),"?")&amp;" mm")</f>
        <v/>
      </c>
    </row>
    <row r="898" spans="1:15">
      <c r="A898" s="36"/>
      <c r="B898" s="32"/>
      <c r="C898" s="39"/>
      <c r="D898" s="44" t="str">
        <f>IF(OR(B898="",C898=""),"",CONCATENATE(B898,"-",C898))</f>
        <v/>
      </c>
      <c r="E898" s="49" t="str">
        <f>IF(B898="","",IFERROR(VLOOKUP(B898,'Coil Sheet at Plant'!$C:$G,5,FALSE),"ID Not Found"))</f>
        <v/>
      </c>
      <c r="F898" s="50" t="str">
        <f>IF(B898="","",IFERROR(VLOOKUP(B898,'Coil Sheet at Plant'!$C:$H,6,FALSE),"ID Not Found"))</f>
        <v/>
      </c>
      <c r="G898" s="81">
        <v>1045</v>
      </c>
      <c r="H898" s="89" t="str">
        <f>IF(OR(B898="",G898=""),"",IFERROR(VLOOKUP(B898,'Coil Sheet at Plant'!$C:$J,8,FALSE),0)*G898/SUMIF(B:B,B898,G:G))</f>
        <v/>
      </c>
      <c r="I898" s="56" t="str">
        <f>IF(B898="","",IFERROR(VLOOKUP(B898,'Coil Sheet at Plant'!$C:$L,9,FALSE),""))</f>
        <v/>
      </c>
      <c r="J898" s="85" t="str">
        <f>IF(B898="","",IFERROR(VLOOKUP(B898,'Coil Sheet at Plant'!$C:$M,10,FALSE),""))</f>
        <v/>
      </c>
      <c r="K898" s="69" t="str">
        <f>IF(B898="","",SUMIF(B:B,B898,G:G))</f>
        <v/>
      </c>
      <c r="L898" s="70" t="str">
        <f>IF(B898="","",IFERROR(VLOOKUP(B898,'Coil Sheet at Plant'!$C:$I,7,FALSE),""))</f>
        <v/>
      </c>
      <c r="M898" s="71" t="str">
        <f>IF(OR(K898="",L898=""),"",IF(L898=0,"⚠ NO PARENT WIDTH",IF(K898&gt;L898,"⚠ BABY &gt; PARENT","✔ OK")))</f>
        <v/>
      </c>
      <c r="N898" s="71" t="str">
        <f>IF(D898="","",IF(COUNTIF(D$3:D898,D898)&gt;1,"⚠ DUPLICATE",""))</f>
        <v/>
      </c>
      <c r="O898" s="72" t="str">
        <f>IF(B898="","",SUMIF(B:B,B898,G:G)&amp;" / "&amp;IFERROR(VLOOKUP(B898,'Coil Sheet at Plant'!$C:$I,7,FALSE),"?")&amp;" mm")</f>
        <v/>
      </c>
    </row>
    <row r="899" spans="1:15">
      <c r="A899" s="36"/>
      <c r="B899" s="32"/>
      <c r="C899" s="39"/>
      <c r="D899" s="44" t="str">
        <f>IF(OR(B899="",C899=""),"",CONCATENATE(B899,"-",C899))</f>
        <v/>
      </c>
      <c r="E899" s="49" t="str">
        <f>IF(B899="","",IFERROR(VLOOKUP(B899,'Coil Sheet at Plant'!$C:$G,5,FALSE),"ID Not Found"))</f>
        <v/>
      </c>
      <c r="F899" s="50" t="str">
        <f>IF(B899="","",IFERROR(VLOOKUP(B899,'Coil Sheet at Plant'!$C:$H,6,FALSE),"ID Not Found"))</f>
        <v/>
      </c>
      <c r="G899" s="81">
        <v>1046</v>
      </c>
      <c r="H899" s="89" t="str">
        <f>IF(OR(B899="",G899=""),"",IFERROR(VLOOKUP(B899,'Coil Sheet at Plant'!$C:$J,8,FALSE),0)*G899/SUMIF(B:B,B899,G:G))</f>
        <v/>
      </c>
      <c r="I899" s="56" t="str">
        <f>IF(B899="","",IFERROR(VLOOKUP(B899,'Coil Sheet at Plant'!$C:$L,9,FALSE),""))</f>
        <v/>
      </c>
      <c r="J899" s="85" t="str">
        <f>IF(B899="","",IFERROR(VLOOKUP(B899,'Coil Sheet at Plant'!$C:$M,10,FALSE),""))</f>
        <v/>
      </c>
      <c r="K899" s="69" t="str">
        <f>IF(B899="","",SUMIF(B:B,B899,G:G))</f>
        <v/>
      </c>
      <c r="L899" s="70" t="str">
        <f>IF(B899="","",IFERROR(VLOOKUP(B899,'Coil Sheet at Plant'!$C:$I,7,FALSE),""))</f>
        <v/>
      </c>
      <c r="M899" s="71" t="str">
        <f>IF(OR(K899="",L899=""),"",IF(L899=0,"⚠ NO PARENT WIDTH",IF(K899&gt;L899,"⚠ BABY &gt; PARENT","✔ OK")))</f>
        <v/>
      </c>
      <c r="N899" s="71" t="str">
        <f>IF(D899="","",IF(COUNTIF(D$3:D899,D899)&gt;1,"⚠ DUPLICATE",""))</f>
        <v/>
      </c>
      <c r="O899" s="72" t="str">
        <f>IF(B899="","",SUMIF(B:B,B899,G:G)&amp;" / "&amp;IFERROR(VLOOKUP(B899,'Coil Sheet at Plant'!$C:$I,7,FALSE),"?")&amp;" mm")</f>
        <v/>
      </c>
    </row>
    <row r="900" spans="1:15">
      <c r="A900" s="36"/>
      <c r="B900" s="32"/>
      <c r="C900" s="39"/>
      <c r="D900" s="44" t="str">
        <f>IF(OR(B900="",C900=""),"",CONCATENATE(B900,"-",C900))</f>
        <v/>
      </c>
      <c r="E900" s="49" t="str">
        <f>IF(B900="","",IFERROR(VLOOKUP(B900,'Coil Sheet at Plant'!$C:$G,5,FALSE),"ID Not Found"))</f>
        <v/>
      </c>
      <c r="F900" s="50" t="str">
        <f>IF(B900="","",IFERROR(VLOOKUP(B900,'Coil Sheet at Plant'!$C:$H,6,FALSE),"ID Not Found"))</f>
        <v/>
      </c>
      <c r="G900" s="81">
        <v>1047</v>
      </c>
      <c r="H900" s="89" t="str">
        <f>IF(OR(B900="",G900=""),"",IFERROR(VLOOKUP(B900,'Coil Sheet at Plant'!$C:$J,8,FALSE),0)*G900/SUMIF(B:B,B900,G:G))</f>
        <v/>
      </c>
      <c r="I900" s="56" t="str">
        <f>IF(B900="","",IFERROR(VLOOKUP(B900,'Coil Sheet at Plant'!$C:$L,9,FALSE),""))</f>
        <v/>
      </c>
      <c r="J900" s="85" t="str">
        <f>IF(B900="","",IFERROR(VLOOKUP(B900,'Coil Sheet at Plant'!$C:$M,10,FALSE),""))</f>
        <v/>
      </c>
      <c r="K900" s="69" t="str">
        <f>IF(B900="","",SUMIF(B:B,B900,G:G))</f>
        <v/>
      </c>
      <c r="L900" s="70" t="str">
        <f>IF(B900="","",IFERROR(VLOOKUP(B900,'Coil Sheet at Plant'!$C:$I,7,FALSE),""))</f>
        <v/>
      </c>
      <c r="M900" s="71" t="str">
        <f>IF(OR(K900="",L900=""),"",IF(L900=0,"⚠ NO PARENT WIDTH",IF(K900&gt;L900,"⚠ BABY &gt; PARENT","✔ OK")))</f>
        <v/>
      </c>
      <c r="N900" s="71" t="str">
        <f>IF(D900="","",IF(COUNTIF(D$3:D900,D900)&gt;1,"⚠ DUPLICATE",""))</f>
        <v/>
      </c>
      <c r="O900" s="72" t="str">
        <f>IF(B900="","",SUMIF(B:B,B900,G:G)&amp;" / "&amp;IFERROR(VLOOKUP(B900,'Coil Sheet at Plant'!$C:$I,7,FALSE),"?")&amp;" mm")</f>
        <v/>
      </c>
    </row>
    <row r="901" spans="1:15">
      <c r="A901" s="36"/>
      <c r="B901" s="32"/>
      <c r="C901" s="39"/>
      <c r="D901" s="44" t="str">
        <f>IF(OR(B901="",C901=""),"",CONCATENATE(B901,"-",C901))</f>
        <v/>
      </c>
      <c r="E901" s="49" t="str">
        <f>IF(B901="","",IFERROR(VLOOKUP(B901,'Coil Sheet at Plant'!$C:$G,5,FALSE),"ID Not Found"))</f>
        <v/>
      </c>
      <c r="F901" s="50" t="str">
        <f>IF(B901="","",IFERROR(VLOOKUP(B901,'Coil Sheet at Plant'!$C:$H,6,FALSE),"ID Not Found"))</f>
        <v/>
      </c>
      <c r="G901" s="81">
        <v>1048</v>
      </c>
      <c r="H901" s="89" t="str">
        <f>IF(OR(B901="",G901=""),"",IFERROR(VLOOKUP(B901,'Coil Sheet at Plant'!$C:$J,8,FALSE),0)*G901/SUMIF(B:B,B901,G:G))</f>
        <v/>
      </c>
      <c r="I901" s="56" t="str">
        <f>IF(B901="","",IFERROR(VLOOKUP(B901,'Coil Sheet at Plant'!$C:$L,9,FALSE),""))</f>
        <v/>
      </c>
      <c r="J901" s="85" t="str">
        <f>IF(B901="","",IFERROR(VLOOKUP(B901,'Coil Sheet at Plant'!$C:$M,10,FALSE),""))</f>
        <v/>
      </c>
      <c r="K901" s="69" t="str">
        <f>IF(B901="","",SUMIF(B:B,B901,G:G))</f>
        <v/>
      </c>
      <c r="L901" s="70" t="str">
        <f>IF(B901="","",IFERROR(VLOOKUP(B901,'Coil Sheet at Plant'!$C:$I,7,FALSE),""))</f>
        <v/>
      </c>
      <c r="M901" s="71" t="str">
        <f>IF(OR(K901="",L901=""),"",IF(L901=0,"⚠ NO PARENT WIDTH",IF(K901&gt;L901,"⚠ BABY &gt; PARENT","✔ OK")))</f>
        <v/>
      </c>
      <c r="N901" s="71" t="str">
        <f>IF(D901="","",IF(COUNTIF(D$3:D901,D901)&gt;1,"⚠ DUPLICATE",""))</f>
        <v/>
      </c>
      <c r="O901" s="72" t="str">
        <f>IF(B901="","",SUMIF(B:B,B901,G:G)&amp;" / "&amp;IFERROR(VLOOKUP(B901,'Coil Sheet at Plant'!$C:$I,7,FALSE),"?")&amp;" mm")</f>
        <v/>
      </c>
    </row>
    <row r="902" spans="1:15">
      <c r="A902" s="36"/>
      <c r="B902" s="32"/>
      <c r="C902" s="39"/>
      <c r="D902" s="44" t="str">
        <f>IF(OR(B902="",C902=""),"",CONCATENATE(B902,"-",C902))</f>
        <v/>
      </c>
      <c r="E902" s="49" t="str">
        <f>IF(B902="","",IFERROR(VLOOKUP(B902,'Coil Sheet at Plant'!$C:$G,5,FALSE),"ID Not Found"))</f>
        <v/>
      </c>
      <c r="F902" s="50" t="str">
        <f>IF(B902="","",IFERROR(VLOOKUP(B902,'Coil Sheet at Plant'!$C:$H,6,FALSE),"ID Not Found"))</f>
        <v/>
      </c>
      <c r="G902" s="81">
        <v>1049</v>
      </c>
      <c r="H902" s="89" t="str">
        <f>IF(OR(B902="",G902=""),"",IFERROR(VLOOKUP(B902,'Coil Sheet at Plant'!$C:$J,8,FALSE),0)*G902/SUMIF(B:B,B902,G:G))</f>
        <v/>
      </c>
      <c r="I902" s="56" t="str">
        <f>IF(B902="","",IFERROR(VLOOKUP(B902,'Coil Sheet at Plant'!$C:$L,9,FALSE),""))</f>
        <v/>
      </c>
      <c r="J902" s="85" t="str">
        <f>IF(B902="","",IFERROR(VLOOKUP(B902,'Coil Sheet at Plant'!$C:$M,10,FALSE),""))</f>
        <v/>
      </c>
      <c r="K902" s="69" t="str">
        <f>IF(B902="","",SUMIF(B:B,B902,G:G))</f>
        <v/>
      </c>
      <c r="L902" s="70" t="str">
        <f>IF(B902="","",IFERROR(VLOOKUP(B902,'Coil Sheet at Plant'!$C:$I,7,FALSE),""))</f>
        <v/>
      </c>
      <c r="M902" s="71" t="str">
        <f>IF(OR(K902="",L902=""),"",IF(L902=0,"⚠ NO PARENT WIDTH",IF(K902&gt;L902,"⚠ BABY &gt; PARENT","✔ OK")))</f>
        <v/>
      </c>
      <c r="N902" s="71" t="str">
        <f>IF(D902="","",IF(COUNTIF(D$3:D902,D902)&gt;1,"⚠ DUPLICATE",""))</f>
        <v/>
      </c>
      <c r="O902" s="72" t="str">
        <f>IF(B902="","",SUMIF(B:B,B902,G:G)&amp;" / "&amp;IFERROR(VLOOKUP(B902,'Coil Sheet at Plant'!$C:$I,7,FALSE),"?")&amp;" mm")</f>
        <v/>
      </c>
    </row>
    <row r="903" spans="1:15">
      <c r="A903" s="36"/>
      <c r="B903" s="32"/>
      <c r="C903" s="39"/>
      <c r="D903" s="44" t="str">
        <f>IF(OR(B903="",C903=""),"",CONCATENATE(B903,"-",C903))</f>
        <v/>
      </c>
      <c r="E903" s="49" t="str">
        <f>IF(B903="","",IFERROR(VLOOKUP(B903,'Coil Sheet at Plant'!$C:$G,5,FALSE),"ID Not Found"))</f>
        <v/>
      </c>
      <c r="F903" s="50" t="str">
        <f>IF(B903="","",IFERROR(VLOOKUP(B903,'Coil Sheet at Plant'!$C:$H,6,FALSE),"ID Not Found"))</f>
        <v/>
      </c>
      <c r="G903" s="81">
        <v>1050</v>
      </c>
      <c r="H903" s="89" t="str">
        <f>IF(OR(B903="",G903=""),"",IFERROR(VLOOKUP(B903,'Coil Sheet at Plant'!$C:$J,8,FALSE),0)*G903/SUMIF(B:B,B903,G:G))</f>
        <v/>
      </c>
      <c r="I903" s="56" t="str">
        <f>IF(B903="","",IFERROR(VLOOKUP(B903,'Coil Sheet at Plant'!$C:$L,9,FALSE),""))</f>
        <v/>
      </c>
      <c r="J903" s="85" t="str">
        <f>IF(B903="","",IFERROR(VLOOKUP(B903,'Coil Sheet at Plant'!$C:$M,10,FALSE),""))</f>
        <v/>
      </c>
      <c r="K903" s="69" t="str">
        <f>IF(B903="","",SUMIF(B:B,B903,G:G))</f>
        <v/>
      </c>
      <c r="L903" s="70" t="str">
        <f>IF(B903="","",IFERROR(VLOOKUP(B903,'Coil Sheet at Plant'!$C:$I,7,FALSE),""))</f>
        <v/>
      </c>
      <c r="M903" s="71" t="str">
        <f>IF(OR(K903="",L903=""),"",IF(L903=0,"⚠ NO PARENT WIDTH",IF(K903&gt;L903,"⚠ BABY &gt; PARENT","✔ OK")))</f>
        <v/>
      </c>
      <c r="N903" s="71" t="str">
        <f>IF(D903="","",IF(COUNTIF(D$3:D903,D903)&gt;1,"⚠ DUPLICATE",""))</f>
        <v/>
      </c>
      <c r="O903" s="72" t="str">
        <f>IF(B903="","",SUMIF(B:B,B903,G:G)&amp;" / "&amp;IFERROR(VLOOKUP(B903,'Coil Sheet at Plant'!$C:$I,7,FALSE),"?")&amp;" mm")</f>
        <v/>
      </c>
    </row>
    <row r="904" spans="1:15">
      <c r="A904" s="36"/>
      <c r="B904" s="32"/>
      <c r="C904" s="39"/>
      <c r="D904" s="44" t="str">
        <f>IF(OR(B904="",C904=""),"",CONCATENATE(B904,"-",C904))</f>
        <v/>
      </c>
      <c r="E904" s="49" t="str">
        <f>IF(B904="","",IFERROR(VLOOKUP(B904,'Coil Sheet at Plant'!$C:$G,5,FALSE),"ID Not Found"))</f>
        <v/>
      </c>
      <c r="F904" s="50" t="str">
        <f>IF(B904="","",IFERROR(VLOOKUP(B904,'Coil Sheet at Plant'!$C:$H,6,FALSE),"ID Not Found"))</f>
        <v/>
      </c>
      <c r="G904" s="81">
        <v>1051</v>
      </c>
      <c r="H904" s="89" t="str">
        <f>IF(OR(B904="",G904=""),"",IFERROR(VLOOKUP(B904,'Coil Sheet at Plant'!$C:$J,8,FALSE),0)*G904/SUMIF(B:B,B904,G:G))</f>
        <v/>
      </c>
      <c r="I904" s="56" t="str">
        <f>IF(B904="","",IFERROR(VLOOKUP(B904,'Coil Sheet at Plant'!$C:$L,9,FALSE),""))</f>
        <v/>
      </c>
      <c r="J904" s="85" t="str">
        <f>IF(B904="","",IFERROR(VLOOKUP(B904,'Coil Sheet at Plant'!$C:$M,10,FALSE),""))</f>
        <v/>
      </c>
      <c r="K904" s="69" t="str">
        <f>IF(B904="","",SUMIF(B:B,B904,G:G))</f>
        <v/>
      </c>
      <c r="L904" s="70" t="str">
        <f>IF(B904="","",IFERROR(VLOOKUP(B904,'Coil Sheet at Plant'!$C:$I,7,FALSE),""))</f>
        <v/>
      </c>
      <c r="M904" s="71" t="str">
        <f>IF(OR(K904="",L904=""),"",IF(L904=0,"⚠ NO PARENT WIDTH",IF(K904&gt;L904,"⚠ BABY &gt; PARENT","✔ OK")))</f>
        <v/>
      </c>
      <c r="N904" s="71" t="str">
        <f>IF(D904="","",IF(COUNTIF(D$3:D904,D904)&gt;1,"⚠ DUPLICATE",""))</f>
        <v/>
      </c>
      <c r="O904" s="72" t="str">
        <f>IF(B904="","",SUMIF(B:B,B904,G:G)&amp;" / "&amp;IFERROR(VLOOKUP(B904,'Coil Sheet at Plant'!$C:$I,7,FALSE),"?")&amp;" mm")</f>
        <v/>
      </c>
    </row>
    <row r="905" spans="1:15">
      <c r="A905" s="36"/>
      <c r="B905" s="32"/>
      <c r="C905" s="39"/>
      <c r="D905" s="44" t="str">
        <f>IF(OR(B905="",C905=""),"",CONCATENATE(B905,"-",C905))</f>
        <v/>
      </c>
      <c r="E905" s="49" t="str">
        <f>IF(B905="","",IFERROR(VLOOKUP(B905,'Coil Sheet at Plant'!$C:$G,5,FALSE),"ID Not Found"))</f>
        <v/>
      </c>
      <c r="F905" s="50" t="str">
        <f>IF(B905="","",IFERROR(VLOOKUP(B905,'Coil Sheet at Plant'!$C:$H,6,FALSE),"ID Not Found"))</f>
        <v/>
      </c>
      <c r="G905" s="81">
        <v>1052</v>
      </c>
      <c r="H905" s="89" t="str">
        <f>IF(OR(B905="",G905=""),"",IFERROR(VLOOKUP(B905,'Coil Sheet at Plant'!$C:$J,8,FALSE),0)*G905/SUMIF(B:B,B905,G:G))</f>
        <v/>
      </c>
      <c r="I905" s="56" t="str">
        <f>IF(B905="","",IFERROR(VLOOKUP(B905,'Coil Sheet at Plant'!$C:$L,9,FALSE),""))</f>
        <v/>
      </c>
      <c r="J905" s="85" t="str">
        <f>IF(B905="","",IFERROR(VLOOKUP(B905,'Coil Sheet at Plant'!$C:$M,10,FALSE),""))</f>
        <v/>
      </c>
      <c r="K905" s="69" t="str">
        <f>IF(B905="","",SUMIF(B:B,B905,G:G))</f>
        <v/>
      </c>
      <c r="L905" s="70" t="str">
        <f>IF(B905="","",IFERROR(VLOOKUP(B905,'Coil Sheet at Plant'!$C:$I,7,FALSE),""))</f>
        <v/>
      </c>
      <c r="M905" s="71" t="str">
        <f>IF(OR(K905="",L905=""),"",IF(L905=0,"⚠ NO PARENT WIDTH",IF(K905&gt;L905,"⚠ BABY &gt; PARENT","✔ OK")))</f>
        <v/>
      </c>
      <c r="N905" s="71" t="str">
        <f>IF(D905="","",IF(COUNTIF(D$3:D905,D905)&gt;1,"⚠ DUPLICATE",""))</f>
        <v/>
      </c>
      <c r="O905" s="72" t="str">
        <f>IF(B905="","",SUMIF(B:B,B905,G:G)&amp;" / "&amp;IFERROR(VLOOKUP(B905,'Coil Sheet at Plant'!$C:$I,7,FALSE),"?")&amp;" mm")</f>
        <v/>
      </c>
    </row>
    <row r="906" spans="1:15">
      <c r="A906" s="36"/>
      <c r="B906" s="32"/>
      <c r="C906" s="39"/>
      <c r="D906" s="44" t="str">
        <f>IF(OR(B906="",C906=""),"",CONCATENATE(B906,"-",C906))</f>
        <v/>
      </c>
      <c r="E906" s="49" t="str">
        <f>IF(B906="","",IFERROR(VLOOKUP(B906,'Coil Sheet at Plant'!$C:$G,5,FALSE),"ID Not Found"))</f>
        <v/>
      </c>
      <c r="F906" s="50" t="str">
        <f>IF(B906="","",IFERROR(VLOOKUP(B906,'Coil Sheet at Plant'!$C:$H,6,FALSE),"ID Not Found"))</f>
        <v/>
      </c>
      <c r="G906" s="81">
        <v>1053</v>
      </c>
      <c r="H906" s="89" t="str">
        <f>IF(OR(B906="",G906=""),"",IFERROR(VLOOKUP(B906,'Coil Sheet at Plant'!$C:$J,8,FALSE),0)*G906/SUMIF(B:B,B906,G:G))</f>
        <v/>
      </c>
      <c r="I906" s="56" t="str">
        <f>IF(B906="","",IFERROR(VLOOKUP(B906,'Coil Sheet at Plant'!$C:$L,9,FALSE),""))</f>
        <v/>
      </c>
      <c r="J906" s="85" t="str">
        <f>IF(B906="","",IFERROR(VLOOKUP(B906,'Coil Sheet at Plant'!$C:$M,10,FALSE),""))</f>
        <v/>
      </c>
      <c r="K906" s="69" t="str">
        <f>IF(B906="","",SUMIF(B:B,B906,G:G))</f>
        <v/>
      </c>
      <c r="L906" s="70" t="str">
        <f>IF(B906="","",IFERROR(VLOOKUP(B906,'Coil Sheet at Plant'!$C:$I,7,FALSE),""))</f>
        <v/>
      </c>
      <c r="M906" s="71" t="str">
        <f>IF(OR(K906="",L906=""),"",IF(L906=0,"⚠ NO PARENT WIDTH",IF(K906&gt;L906,"⚠ BABY &gt; PARENT","✔ OK")))</f>
        <v/>
      </c>
      <c r="N906" s="71" t="str">
        <f>IF(D906="","",IF(COUNTIF(D$3:D906,D906)&gt;1,"⚠ DUPLICATE",""))</f>
        <v/>
      </c>
      <c r="O906" s="72" t="str">
        <f>IF(B906="","",SUMIF(B:B,B906,G:G)&amp;" / "&amp;IFERROR(VLOOKUP(B906,'Coil Sheet at Plant'!$C:$I,7,FALSE),"?")&amp;" mm")</f>
        <v/>
      </c>
    </row>
    <row r="907" spans="1:15">
      <c r="A907" s="36"/>
      <c r="B907" s="32"/>
      <c r="C907" s="39"/>
      <c r="D907" s="44" t="str">
        <f>IF(OR(B907="",C907=""),"",CONCATENATE(B907,"-",C907))</f>
        <v/>
      </c>
      <c r="E907" s="49" t="str">
        <f>IF(B907="","",IFERROR(VLOOKUP(B907,'Coil Sheet at Plant'!$C:$G,5,FALSE),"ID Not Found"))</f>
        <v/>
      </c>
      <c r="F907" s="50" t="str">
        <f>IF(B907="","",IFERROR(VLOOKUP(B907,'Coil Sheet at Plant'!$C:$H,6,FALSE),"ID Not Found"))</f>
        <v/>
      </c>
      <c r="G907" s="81">
        <v>1054</v>
      </c>
      <c r="H907" s="89" t="str">
        <f>IF(OR(B907="",G907=""),"",IFERROR(VLOOKUP(B907,'Coil Sheet at Plant'!$C:$J,8,FALSE),0)*G907/SUMIF(B:B,B907,G:G))</f>
        <v/>
      </c>
      <c r="I907" s="56" t="str">
        <f>IF(B907="","",IFERROR(VLOOKUP(B907,'Coil Sheet at Plant'!$C:$L,9,FALSE),""))</f>
        <v/>
      </c>
      <c r="J907" s="85" t="str">
        <f>IF(B907="","",IFERROR(VLOOKUP(B907,'Coil Sheet at Plant'!$C:$M,10,FALSE),""))</f>
        <v/>
      </c>
      <c r="K907" s="69" t="str">
        <f>IF(B907="","",SUMIF(B:B,B907,G:G))</f>
        <v/>
      </c>
      <c r="L907" s="70" t="str">
        <f>IF(B907="","",IFERROR(VLOOKUP(B907,'Coil Sheet at Plant'!$C:$I,7,FALSE),""))</f>
        <v/>
      </c>
      <c r="M907" s="71" t="str">
        <f>IF(OR(K907="",L907=""),"",IF(L907=0,"⚠ NO PARENT WIDTH",IF(K907&gt;L907,"⚠ BABY &gt; PARENT","✔ OK")))</f>
        <v/>
      </c>
      <c r="N907" s="71" t="str">
        <f>IF(D907="","",IF(COUNTIF(D$3:D907,D907)&gt;1,"⚠ DUPLICATE",""))</f>
        <v/>
      </c>
      <c r="O907" s="72" t="str">
        <f>IF(B907="","",SUMIF(B:B,B907,G:G)&amp;" / "&amp;IFERROR(VLOOKUP(B907,'Coil Sheet at Plant'!$C:$I,7,FALSE),"?")&amp;" mm")</f>
        <v/>
      </c>
    </row>
    <row r="908" spans="1:15">
      <c r="A908" s="36"/>
      <c r="B908" s="32"/>
      <c r="C908" s="39"/>
      <c r="D908" s="44" t="str">
        <f>IF(OR(B908="",C908=""),"",CONCATENATE(B908,"-",C908))</f>
        <v/>
      </c>
      <c r="E908" s="49" t="str">
        <f>IF(B908="","",IFERROR(VLOOKUP(B908,'Coil Sheet at Plant'!$C:$G,5,FALSE),"ID Not Found"))</f>
        <v/>
      </c>
      <c r="F908" s="50" t="str">
        <f>IF(B908="","",IFERROR(VLOOKUP(B908,'Coil Sheet at Plant'!$C:$H,6,FALSE),"ID Not Found"))</f>
        <v/>
      </c>
      <c r="G908" s="81">
        <v>1055</v>
      </c>
      <c r="H908" s="89" t="str">
        <f>IF(OR(B908="",G908=""),"",IFERROR(VLOOKUP(B908,'Coil Sheet at Plant'!$C:$J,8,FALSE),0)*G908/SUMIF(B:B,B908,G:G))</f>
        <v/>
      </c>
      <c r="I908" s="56" t="str">
        <f>IF(B908="","",IFERROR(VLOOKUP(B908,'Coil Sheet at Plant'!$C:$L,9,FALSE),""))</f>
        <v/>
      </c>
      <c r="J908" s="85" t="str">
        <f>IF(B908="","",IFERROR(VLOOKUP(B908,'Coil Sheet at Plant'!$C:$M,10,FALSE),""))</f>
        <v/>
      </c>
      <c r="K908" s="69" t="str">
        <f>IF(B908="","",SUMIF(B:B,B908,G:G))</f>
        <v/>
      </c>
      <c r="L908" s="70" t="str">
        <f>IF(B908="","",IFERROR(VLOOKUP(B908,'Coil Sheet at Plant'!$C:$I,7,FALSE),""))</f>
        <v/>
      </c>
      <c r="M908" s="71" t="str">
        <f>IF(OR(K908="",L908=""),"",IF(L908=0,"⚠ NO PARENT WIDTH",IF(K908&gt;L908,"⚠ BABY &gt; PARENT","✔ OK")))</f>
        <v/>
      </c>
      <c r="N908" s="71" t="str">
        <f>IF(D908="","",IF(COUNTIF(D$3:D908,D908)&gt;1,"⚠ DUPLICATE",""))</f>
        <v/>
      </c>
      <c r="O908" s="72" t="str">
        <f>IF(B908="","",SUMIF(B:B,B908,G:G)&amp;" / "&amp;IFERROR(VLOOKUP(B908,'Coil Sheet at Plant'!$C:$I,7,FALSE),"?")&amp;" mm")</f>
        <v/>
      </c>
    </row>
    <row r="909" spans="1:15">
      <c r="A909" s="36"/>
      <c r="B909" s="32"/>
      <c r="C909" s="39"/>
      <c r="D909" s="44" t="str">
        <f>IF(OR(B909="",C909=""),"",CONCATENATE(B909,"-",C909))</f>
        <v/>
      </c>
      <c r="E909" s="49" t="str">
        <f>IF(B909="","",IFERROR(VLOOKUP(B909,'Coil Sheet at Plant'!$C:$G,5,FALSE),"ID Not Found"))</f>
        <v/>
      </c>
      <c r="F909" s="50" t="str">
        <f>IF(B909="","",IFERROR(VLOOKUP(B909,'Coil Sheet at Plant'!$C:$H,6,FALSE),"ID Not Found"))</f>
        <v/>
      </c>
      <c r="G909" s="81">
        <v>1056</v>
      </c>
      <c r="H909" s="89" t="str">
        <f>IF(OR(B909="",G909=""),"",IFERROR(VLOOKUP(B909,'Coil Sheet at Plant'!$C:$J,8,FALSE),0)*G909/SUMIF(B:B,B909,G:G))</f>
        <v/>
      </c>
      <c r="I909" s="56" t="str">
        <f>IF(B909="","",IFERROR(VLOOKUP(B909,'Coil Sheet at Plant'!$C:$L,9,FALSE),""))</f>
        <v/>
      </c>
      <c r="J909" s="85" t="str">
        <f>IF(B909="","",IFERROR(VLOOKUP(B909,'Coil Sheet at Plant'!$C:$M,10,FALSE),""))</f>
        <v/>
      </c>
      <c r="K909" s="69" t="str">
        <f>IF(B909="","",SUMIF(B:B,B909,G:G))</f>
        <v/>
      </c>
      <c r="L909" s="70" t="str">
        <f>IF(B909="","",IFERROR(VLOOKUP(B909,'Coil Sheet at Plant'!$C:$I,7,FALSE),""))</f>
        <v/>
      </c>
      <c r="M909" s="71" t="str">
        <f>IF(OR(K909="",L909=""),"",IF(L909=0,"⚠ NO PARENT WIDTH",IF(K909&gt;L909,"⚠ BABY &gt; PARENT","✔ OK")))</f>
        <v/>
      </c>
      <c r="N909" s="71" t="str">
        <f>IF(D909="","",IF(COUNTIF(D$3:D909,D909)&gt;1,"⚠ DUPLICATE",""))</f>
        <v/>
      </c>
      <c r="O909" s="72" t="str">
        <f>IF(B909="","",SUMIF(B:B,B909,G:G)&amp;" / "&amp;IFERROR(VLOOKUP(B909,'Coil Sheet at Plant'!$C:$I,7,FALSE),"?")&amp;" mm")</f>
        <v/>
      </c>
    </row>
    <row r="910" spans="1:15">
      <c r="A910" s="36"/>
      <c r="B910" s="32"/>
      <c r="C910" s="39"/>
      <c r="D910" s="44" t="str">
        <f>IF(OR(B910="",C910=""),"",CONCATENATE(B910,"-",C910))</f>
        <v/>
      </c>
      <c r="E910" s="49" t="str">
        <f>IF(B910="","",IFERROR(VLOOKUP(B910,'Coil Sheet at Plant'!$C:$G,5,FALSE),"ID Not Found"))</f>
        <v/>
      </c>
      <c r="F910" s="50" t="str">
        <f>IF(B910="","",IFERROR(VLOOKUP(B910,'Coil Sheet at Plant'!$C:$H,6,FALSE),"ID Not Found"))</f>
        <v/>
      </c>
      <c r="G910" s="81">
        <v>1057</v>
      </c>
      <c r="H910" s="89" t="str">
        <f>IF(OR(B910="",G910=""),"",IFERROR(VLOOKUP(B910,'Coil Sheet at Plant'!$C:$J,8,FALSE),0)*G910/SUMIF(B:B,B910,G:G))</f>
        <v/>
      </c>
      <c r="I910" s="56" t="str">
        <f>IF(B910="","",IFERROR(VLOOKUP(B910,'Coil Sheet at Plant'!$C:$L,9,FALSE),""))</f>
        <v/>
      </c>
      <c r="J910" s="85" t="str">
        <f>IF(B910="","",IFERROR(VLOOKUP(B910,'Coil Sheet at Plant'!$C:$M,10,FALSE),""))</f>
        <v/>
      </c>
      <c r="K910" s="69" t="str">
        <f>IF(B910="","",SUMIF(B:B,B910,G:G))</f>
        <v/>
      </c>
      <c r="L910" s="70" t="str">
        <f>IF(B910="","",IFERROR(VLOOKUP(B910,'Coil Sheet at Plant'!$C:$I,7,FALSE),""))</f>
        <v/>
      </c>
      <c r="M910" s="71" t="str">
        <f>IF(OR(K910="",L910=""),"",IF(L910=0,"⚠ NO PARENT WIDTH",IF(K910&gt;L910,"⚠ BABY &gt; PARENT","✔ OK")))</f>
        <v/>
      </c>
      <c r="N910" s="71" t="str">
        <f>IF(D910="","",IF(COUNTIF(D$3:D910,D910)&gt;1,"⚠ DUPLICATE",""))</f>
        <v/>
      </c>
      <c r="O910" s="72" t="str">
        <f>IF(B910="","",SUMIF(B:B,B910,G:G)&amp;" / "&amp;IFERROR(VLOOKUP(B910,'Coil Sheet at Plant'!$C:$I,7,FALSE),"?")&amp;" mm")</f>
        <v/>
      </c>
    </row>
    <row r="911" spans="1:15">
      <c r="A911" s="36"/>
      <c r="B911" s="32"/>
      <c r="C911" s="39"/>
      <c r="D911" s="44" t="str">
        <f>IF(OR(B911="",C911=""),"",CONCATENATE(B911,"-",C911))</f>
        <v/>
      </c>
      <c r="E911" s="49" t="str">
        <f>IF(B911="","",IFERROR(VLOOKUP(B911,'Coil Sheet at Plant'!$C:$G,5,FALSE),"ID Not Found"))</f>
        <v/>
      </c>
      <c r="F911" s="50" t="str">
        <f>IF(B911="","",IFERROR(VLOOKUP(B911,'Coil Sheet at Plant'!$C:$H,6,FALSE),"ID Not Found"))</f>
        <v/>
      </c>
      <c r="G911" s="81">
        <v>1058</v>
      </c>
      <c r="H911" s="89" t="str">
        <f>IF(OR(B911="",G911=""),"",IFERROR(VLOOKUP(B911,'Coil Sheet at Plant'!$C:$J,8,FALSE),0)*G911/SUMIF(B:B,B911,G:G))</f>
        <v/>
      </c>
      <c r="I911" s="56" t="str">
        <f>IF(B911="","",IFERROR(VLOOKUP(B911,'Coil Sheet at Plant'!$C:$L,9,FALSE),""))</f>
        <v/>
      </c>
      <c r="J911" s="85" t="str">
        <f>IF(B911="","",IFERROR(VLOOKUP(B911,'Coil Sheet at Plant'!$C:$M,10,FALSE),""))</f>
        <v/>
      </c>
      <c r="K911" s="69" t="str">
        <f>IF(B911="","",SUMIF(B:B,B911,G:G))</f>
        <v/>
      </c>
      <c r="L911" s="70" t="str">
        <f>IF(B911="","",IFERROR(VLOOKUP(B911,'Coil Sheet at Plant'!$C:$I,7,FALSE),""))</f>
        <v/>
      </c>
      <c r="M911" s="71" t="str">
        <f>IF(OR(K911="",L911=""),"",IF(L911=0,"⚠ NO PARENT WIDTH",IF(K911&gt;L911,"⚠ BABY &gt; PARENT","✔ OK")))</f>
        <v/>
      </c>
      <c r="N911" s="71" t="str">
        <f>IF(D911="","",IF(COUNTIF(D$3:D911,D911)&gt;1,"⚠ DUPLICATE",""))</f>
        <v/>
      </c>
      <c r="O911" s="72" t="str">
        <f>IF(B911="","",SUMIF(B:B,B911,G:G)&amp;" / "&amp;IFERROR(VLOOKUP(B911,'Coil Sheet at Plant'!$C:$I,7,FALSE),"?")&amp;" mm")</f>
        <v/>
      </c>
    </row>
    <row r="912" spans="1:15">
      <c r="A912" s="36"/>
      <c r="B912" s="32"/>
      <c r="C912" s="39"/>
      <c r="D912" s="44" t="str">
        <f>IF(OR(B912="",C912=""),"",CONCATENATE(B912,"-",C912))</f>
        <v/>
      </c>
      <c r="E912" s="49" t="str">
        <f>IF(B912="","",IFERROR(VLOOKUP(B912,'Coil Sheet at Plant'!$C:$G,5,FALSE),"ID Not Found"))</f>
        <v/>
      </c>
      <c r="F912" s="50" t="str">
        <f>IF(B912="","",IFERROR(VLOOKUP(B912,'Coil Sheet at Plant'!$C:$H,6,FALSE),"ID Not Found"))</f>
        <v/>
      </c>
      <c r="G912" s="81">
        <v>1059</v>
      </c>
      <c r="H912" s="89" t="str">
        <f>IF(OR(B912="",G912=""),"",IFERROR(VLOOKUP(B912,'Coil Sheet at Plant'!$C:$J,8,FALSE),0)*G912/SUMIF(B:B,B912,G:G))</f>
        <v/>
      </c>
      <c r="I912" s="56" t="str">
        <f>IF(B912="","",IFERROR(VLOOKUP(B912,'Coil Sheet at Plant'!$C:$L,9,FALSE),""))</f>
        <v/>
      </c>
      <c r="J912" s="85" t="str">
        <f>IF(B912="","",IFERROR(VLOOKUP(B912,'Coil Sheet at Plant'!$C:$M,10,FALSE),""))</f>
        <v/>
      </c>
      <c r="K912" s="69" t="str">
        <f>IF(B912="","",SUMIF(B:B,B912,G:G))</f>
        <v/>
      </c>
      <c r="L912" s="70" t="str">
        <f>IF(B912="","",IFERROR(VLOOKUP(B912,'Coil Sheet at Plant'!$C:$I,7,FALSE),""))</f>
        <v/>
      </c>
      <c r="M912" s="71" t="str">
        <f>IF(OR(K912="",L912=""),"",IF(L912=0,"⚠ NO PARENT WIDTH",IF(K912&gt;L912,"⚠ BABY &gt; PARENT","✔ OK")))</f>
        <v/>
      </c>
      <c r="N912" s="71" t="str">
        <f>IF(D912="","",IF(COUNTIF(D$3:D912,D912)&gt;1,"⚠ DUPLICATE",""))</f>
        <v/>
      </c>
      <c r="O912" s="72" t="str">
        <f>IF(B912="","",SUMIF(B:B,B912,G:G)&amp;" / "&amp;IFERROR(VLOOKUP(B912,'Coil Sheet at Plant'!$C:$I,7,FALSE),"?")&amp;" mm")</f>
        <v/>
      </c>
    </row>
    <row r="913" spans="1:15">
      <c r="A913" s="36"/>
      <c r="B913" s="32"/>
      <c r="C913" s="39"/>
      <c r="D913" s="44" t="str">
        <f>IF(OR(B913="",C913=""),"",CONCATENATE(B913,"-",C913))</f>
        <v/>
      </c>
      <c r="E913" s="49" t="str">
        <f>IF(B913="","",IFERROR(VLOOKUP(B913,'Coil Sheet at Plant'!$C:$G,5,FALSE),"ID Not Found"))</f>
        <v/>
      </c>
      <c r="F913" s="50" t="str">
        <f>IF(B913="","",IFERROR(VLOOKUP(B913,'Coil Sheet at Plant'!$C:$H,6,FALSE),"ID Not Found"))</f>
        <v/>
      </c>
      <c r="G913" s="81">
        <v>1060</v>
      </c>
      <c r="H913" s="89" t="str">
        <f>IF(OR(B913="",G913=""),"",IFERROR(VLOOKUP(B913,'Coil Sheet at Plant'!$C:$J,8,FALSE),0)*G913/SUMIF(B:B,B913,G:G))</f>
        <v/>
      </c>
      <c r="I913" s="56" t="str">
        <f>IF(B913="","",IFERROR(VLOOKUP(B913,'Coil Sheet at Plant'!$C:$L,9,FALSE),""))</f>
        <v/>
      </c>
      <c r="J913" s="85" t="str">
        <f>IF(B913="","",IFERROR(VLOOKUP(B913,'Coil Sheet at Plant'!$C:$M,10,FALSE),""))</f>
        <v/>
      </c>
      <c r="K913" s="69" t="str">
        <f>IF(B913="","",SUMIF(B:B,B913,G:G))</f>
        <v/>
      </c>
      <c r="L913" s="70" t="str">
        <f>IF(B913="","",IFERROR(VLOOKUP(B913,'Coil Sheet at Plant'!$C:$I,7,FALSE),""))</f>
        <v/>
      </c>
      <c r="M913" s="71" t="str">
        <f>IF(OR(K913="",L913=""),"",IF(L913=0,"⚠ NO PARENT WIDTH",IF(K913&gt;L913,"⚠ BABY &gt; PARENT","✔ OK")))</f>
        <v/>
      </c>
      <c r="N913" s="71" t="str">
        <f>IF(D913="","",IF(COUNTIF(D$3:D913,D913)&gt;1,"⚠ DUPLICATE",""))</f>
        <v/>
      </c>
      <c r="O913" s="72" t="str">
        <f>IF(B913="","",SUMIF(B:B,B913,G:G)&amp;" / "&amp;IFERROR(VLOOKUP(B913,'Coil Sheet at Plant'!$C:$I,7,FALSE),"?")&amp;" mm")</f>
        <v/>
      </c>
    </row>
    <row r="914" spans="1:15">
      <c r="A914" s="36"/>
      <c r="B914" s="32"/>
      <c r="C914" s="39"/>
      <c r="D914" s="44" t="str">
        <f>IF(OR(B914="",C914=""),"",CONCATENATE(B914,"-",C914))</f>
        <v/>
      </c>
      <c r="E914" s="49" t="str">
        <f>IF(B914="","",IFERROR(VLOOKUP(B914,'Coil Sheet at Plant'!$C:$G,5,FALSE),"ID Not Found"))</f>
        <v/>
      </c>
      <c r="F914" s="50" t="str">
        <f>IF(B914="","",IFERROR(VLOOKUP(B914,'Coil Sheet at Plant'!$C:$H,6,FALSE),"ID Not Found"))</f>
        <v/>
      </c>
      <c r="G914" s="81">
        <v>1061</v>
      </c>
      <c r="H914" s="89" t="str">
        <f>IF(OR(B914="",G914=""),"",IFERROR(VLOOKUP(B914,'Coil Sheet at Plant'!$C:$J,8,FALSE),0)*G914/SUMIF(B:B,B914,G:G))</f>
        <v/>
      </c>
      <c r="I914" s="56" t="str">
        <f>IF(B914="","",IFERROR(VLOOKUP(B914,'Coil Sheet at Plant'!$C:$L,9,FALSE),""))</f>
        <v/>
      </c>
      <c r="J914" s="85" t="str">
        <f>IF(B914="","",IFERROR(VLOOKUP(B914,'Coil Sheet at Plant'!$C:$M,10,FALSE),""))</f>
        <v/>
      </c>
      <c r="K914" s="69" t="str">
        <f>IF(B914="","",SUMIF(B:B,B914,G:G))</f>
        <v/>
      </c>
      <c r="L914" s="70" t="str">
        <f>IF(B914="","",IFERROR(VLOOKUP(B914,'Coil Sheet at Plant'!$C:$I,7,FALSE),""))</f>
        <v/>
      </c>
      <c r="M914" s="71" t="str">
        <f>IF(OR(K914="",L914=""),"",IF(L914=0,"⚠ NO PARENT WIDTH",IF(K914&gt;L914,"⚠ BABY &gt; PARENT","✔ OK")))</f>
        <v/>
      </c>
      <c r="N914" s="71" t="str">
        <f>IF(D914="","",IF(COUNTIF(D$3:D914,D914)&gt;1,"⚠ DUPLICATE",""))</f>
        <v/>
      </c>
      <c r="O914" s="72" t="str">
        <f>IF(B914="","",SUMIF(B:B,B914,G:G)&amp;" / "&amp;IFERROR(VLOOKUP(B914,'Coil Sheet at Plant'!$C:$I,7,FALSE),"?")&amp;" mm")</f>
        <v/>
      </c>
    </row>
    <row r="915" spans="1:15">
      <c r="A915" s="36"/>
      <c r="B915" s="32"/>
      <c r="C915" s="39"/>
      <c r="D915" s="44" t="str">
        <f>IF(OR(B915="",C915=""),"",CONCATENATE(B915,"-",C915))</f>
        <v/>
      </c>
      <c r="E915" s="49" t="str">
        <f>IF(B915="","",IFERROR(VLOOKUP(B915,'Coil Sheet at Plant'!$C:$G,5,FALSE),"ID Not Found"))</f>
        <v/>
      </c>
      <c r="F915" s="50" t="str">
        <f>IF(B915="","",IFERROR(VLOOKUP(B915,'Coil Sheet at Plant'!$C:$H,6,FALSE),"ID Not Found"))</f>
        <v/>
      </c>
      <c r="G915" s="81">
        <v>1062</v>
      </c>
      <c r="H915" s="89" t="str">
        <f>IF(OR(B915="",G915=""),"",IFERROR(VLOOKUP(B915,'Coil Sheet at Plant'!$C:$J,8,FALSE),0)*G915/SUMIF(B:B,B915,G:G))</f>
        <v/>
      </c>
      <c r="I915" s="56" t="str">
        <f>IF(B915="","",IFERROR(VLOOKUP(B915,'Coil Sheet at Plant'!$C:$L,9,FALSE),""))</f>
        <v/>
      </c>
      <c r="J915" s="85" t="str">
        <f>IF(B915="","",IFERROR(VLOOKUP(B915,'Coil Sheet at Plant'!$C:$M,10,FALSE),""))</f>
        <v/>
      </c>
      <c r="K915" s="69" t="str">
        <f>IF(B915="","",SUMIF(B:B,B915,G:G))</f>
        <v/>
      </c>
      <c r="L915" s="70" t="str">
        <f>IF(B915="","",IFERROR(VLOOKUP(B915,'Coil Sheet at Plant'!$C:$I,7,FALSE),""))</f>
        <v/>
      </c>
      <c r="M915" s="71" t="str">
        <f>IF(OR(K915="",L915=""),"",IF(L915=0,"⚠ NO PARENT WIDTH",IF(K915&gt;L915,"⚠ BABY &gt; PARENT","✔ OK")))</f>
        <v/>
      </c>
      <c r="N915" s="71" t="str">
        <f>IF(D915="","",IF(COUNTIF(D$3:D915,D915)&gt;1,"⚠ DUPLICATE",""))</f>
        <v/>
      </c>
      <c r="O915" s="72" t="str">
        <f>IF(B915="","",SUMIF(B:B,B915,G:G)&amp;" / "&amp;IFERROR(VLOOKUP(B915,'Coil Sheet at Plant'!$C:$I,7,FALSE),"?")&amp;" mm")</f>
        <v/>
      </c>
    </row>
    <row r="916" spans="1:15">
      <c r="A916" s="36"/>
      <c r="B916" s="32"/>
      <c r="C916" s="39"/>
      <c r="D916" s="44" t="str">
        <f>IF(OR(B916="",C916=""),"",CONCATENATE(B916,"-",C916))</f>
        <v/>
      </c>
      <c r="E916" s="49" t="str">
        <f>IF(B916="","",IFERROR(VLOOKUP(B916,'Coil Sheet at Plant'!$C:$G,5,FALSE),"ID Not Found"))</f>
        <v/>
      </c>
      <c r="F916" s="50" t="str">
        <f>IF(B916="","",IFERROR(VLOOKUP(B916,'Coil Sheet at Plant'!$C:$H,6,FALSE),"ID Not Found"))</f>
        <v/>
      </c>
      <c r="G916" s="81">
        <v>1063</v>
      </c>
      <c r="H916" s="89" t="str">
        <f>IF(OR(B916="",G916=""),"",IFERROR(VLOOKUP(B916,'Coil Sheet at Plant'!$C:$J,8,FALSE),0)*G916/SUMIF(B:B,B916,G:G))</f>
        <v/>
      </c>
      <c r="I916" s="56" t="str">
        <f>IF(B916="","",IFERROR(VLOOKUP(B916,'Coil Sheet at Plant'!$C:$L,9,FALSE),""))</f>
        <v/>
      </c>
      <c r="J916" s="85" t="str">
        <f>IF(B916="","",IFERROR(VLOOKUP(B916,'Coil Sheet at Plant'!$C:$M,10,FALSE),""))</f>
        <v/>
      </c>
      <c r="K916" s="69" t="str">
        <f>IF(B916="","",SUMIF(B:B,B916,G:G))</f>
        <v/>
      </c>
      <c r="L916" s="70" t="str">
        <f>IF(B916="","",IFERROR(VLOOKUP(B916,'Coil Sheet at Plant'!$C:$I,7,FALSE),""))</f>
        <v/>
      </c>
      <c r="M916" s="71" t="str">
        <f>IF(OR(K916="",L916=""),"",IF(L916=0,"⚠ NO PARENT WIDTH",IF(K916&gt;L916,"⚠ BABY &gt; PARENT","✔ OK")))</f>
        <v/>
      </c>
      <c r="N916" s="71" t="str">
        <f>IF(D916="","",IF(COUNTIF(D$3:D916,D916)&gt;1,"⚠ DUPLICATE",""))</f>
        <v/>
      </c>
      <c r="O916" s="72" t="str">
        <f>IF(B916="","",SUMIF(B:B,B916,G:G)&amp;" / "&amp;IFERROR(VLOOKUP(B916,'Coil Sheet at Plant'!$C:$I,7,FALSE),"?")&amp;" mm")</f>
        <v/>
      </c>
    </row>
    <row r="917" spans="1:15">
      <c r="A917" s="36"/>
      <c r="B917" s="32"/>
      <c r="C917" s="39"/>
      <c r="D917" s="44" t="str">
        <f>IF(OR(B917="",C917=""),"",CONCATENATE(B917,"-",C917))</f>
        <v/>
      </c>
      <c r="E917" s="49" t="str">
        <f>IF(B917="","",IFERROR(VLOOKUP(B917,'Coil Sheet at Plant'!$C:$G,5,FALSE),"ID Not Found"))</f>
        <v/>
      </c>
      <c r="F917" s="50" t="str">
        <f>IF(B917="","",IFERROR(VLOOKUP(B917,'Coil Sheet at Plant'!$C:$H,6,FALSE),"ID Not Found"))</f>
        <v/>
      </c>
      <c r="G917" s="81">
        <v>1064</v>
      </c>
      <c r="H917" s="89" t="str">
        <f>IF(OR(B917="",G917=""),"",IFERROR(VLOOKUP(B917,'Coil Sheet at Plant'!$C:$J,8,FALSE),0)*G917/SUMIF(B:B,B917,G:G))</f>
        <v/>
      </c>
      <c r="I917" s="56" t="str">
        <f>IF(B917="","",IFERROR(VLOOKUP(B917,'Coil Sheet at Plant'!$C:$L,9,FALSE),""))</f>
        <v/>
      </c>
      <c r="J917" s="85" t="str">
        <f>IF(B917="","",IFERROR(VLOOKUP(B917,'Coil Sheet at Plant'!$C:$M,10,FALSE),""))</f>
        <v/>
      </c>
      <c r="K917" s="69" t="str">
        <f>IF(B917="","",SUMIF(B:B,B917,G:G))</f>
        <v/>
      </c>
      <c r="L917" s="70" t="str">
        <f>IF(B917="","",IFERROR(VLOOKUP(B917,'Coil Sheet at Plant'!$C:$I,7,FALSE),""))</f>
        <v/>
      </c>
      <c r="M917" s="71" t="str">
        <f>IF(OR(K917="",L917=""),"",IF(L917=0,"⚠ NO PARENT WIDTH",IF(K917&gt;L917,"⚠ BABY &gt; PARENT","✔ OK")))</f>
        <v/>
      </c>
      <c r="N917" s="71" t="str">
        <f>IF(D917="","",IF(COUNTIF(D$3:D917,D917)&gt;1,"⚠ DUPLICATE",""))</f>
        <v/>
      </c>
      <c r="O917" s="72" t="str">
        <f>IF(B917="","",SUMIF(B:B,B917,G:G)&amp;" / "&amp;IFERROR(VLOOKUP(B917,'Coil Sheet at Plant'!$C:$I,7,FALSE),"?")&amp;" mm")</f>
        <v/>
      </c>
    </row>
    <row r="918" spans="1:15">
      <c r="A918" s="36"/>
      <c r="B918" s="32"/>
      <c r="C918" s="39"/>
      <c r="D918" s="44" t="str">
        <f>IF(OR(B918="",C918=""),"",CONCATENATE(B918,"-",C918))</f>
        <v/>
      </c>
      <c r="E918" s="49" t="str">
        <f>IF(B918="","",IFERROR(VLOOKUP(B918,'Coil Sheet at Plant'!$C:$G,5,FALSE),"ID Not Found"))</f>
        <v/>
      </c>
      <c r="F918" s="50" t="str">
        <f>IF(B918="","",IFERROR(VLOOKUP(B918,'Coil Sheet at Plant'!$C:$H,6,FALSE),"ID Not Found"))</f>
        <v/>
      </c>
      <c r="G918" s="81">
        <v>1065</v>
      </c>
      <c r="H918" s="89" t="str">
        <f>IF(OR(B918="",G918=""),"",IFERROR(VLOOKUP(B918,'Coil Sheet at Plant'!$C:$J,8,FALSE),0)*G918/SUMIF(B:B,B918,G:G))</f>
        <v/>
      </c>
      <c r="I918" s="56" t="str">
        <f>IF(B918="","",IFERROR(VLOOKUP(B918,'Coil Sheet at Plant'!$C:$L,9,FALSE),""))</f>
        <v/>
      </c>
      <c r="J918" s="85" t="str">
        <f>IF(B918="","",IFERROR(VLOOKUP(B918,'Coil Sheet at Plant'!$C:$M,10,FALSE),""))</f>
        <v/>
      </c>
      <c r="K918" s="69" t="str">
        <f>IF(B918="","",SUMIF(B:B,B918,G:G))</f>
        <v/>
      </c>
      <c r="L918" s="70" t="str">
        <f>IF(B918="","",IFERROR(VLOOKUP(B918,'Coil Sheet at Plant'!$C:$I,7,FALSE),""))</f>
        <v/>
      </c>
      <c r="M918" s="71" t="str">
        <f>IF(OR(K918="",L918=""),"",IF(L918=0,"⚠ NO PARENT WIDTH",IF(K918&gt;L918,"⚠ BABY &gt; PARENT","✔ OK")))</f>
        <v/>
      </c>
      <c r="N918" s="71" t="str">
        <f>IF(D918="","",IF(COUNTIF(D$3:D918,D918)&gt;1,"⚠ DUPLICATE",""))</f>
        <v/>
      </c>
      <c r="O918" s="72" t="str">
        <f>IF(B918="","",SUMIF(B:B,B918,G:G)&amp;" / "&amp;IFERROR(VLOOKUP(B918,'Coil Sheet at Plant'!$C:$I,7,FALSE),"?")&amp;" mm")</f>
        <v/>
      </c>
    </row>
    <row r="919" spans="1:15">
      <c r="A919" s="36"/>
      <c r="B919" s="32"/>
      <c r="C919" s="39"/>
      <c r="D919" s="44" t="str">
        <f>IF(OR(B919="",C919=""),"",CONCATENATE(B919,"-",C919))</f>
        <v/>
      </c>
      <c r="E919" s="49" t="str">
        <f>IF(B919="","",IFERROR(VLOOKUP(B919,'Coil Sheet at Plant'!$C:$G,5,FALSE),"ID Not Found"))</f>
        <v/>
      </c>
      <c r="F919" s="50" t="str">
        <f>IF(B919="","",IFERROR(VLOOKUP(B919,'Coil Sheet at Plant'!$C:$H,6,FALSE),"ID Not Found"))</f>
        <v/>
      </c>
      <c r="G919" s="81">
        <v>1066</v>
      </c>
      <c r="H919" s="89" t="str">
        <f>IF(OR(B919="",G919=""),"",IFERROR(VLOOKUP(B919,'Coil Sheet at Plant'!$C:$J,8,FALSE),0)*G919/SUMIF(B:B,B919,G:G))</f>
        <v/>
      </c>
      <c r="I919" s="56" t="str">
        <f>IF(B919="","",IFERROR(VLOOKUP(B919,'Coil Sheet at Plant'!$C:$L,9,FALSE),""))</f>
        <v/>
      </c>
      <c r="J919" s="85" t="str">
        <f>IF(B919="","",IFERROR(VLOOKUP(B919,'Coil Sheet at Plant'!$C:$M,10,FALSE),""))</f>
        <v/>
      </c>
      <c r="K919" s="69" t="str">
        <f>IF(B919="","",SUMIF(B:B,B919,G:G))</f>
        <v/>
      </c>
      <c r="L919" s="70" t="str">
        <f>IF(B919="","",IFERROR(VLOOKUP(B919,'Coil Sheet at Plant'!$C:$I,7,FALSE),""))</f>
        <v/>
      </c>
      <c r="M919" s="71" t="str">
        <f>IF(OR(K919="",L919=""),"",IF(L919=0,"⚠ NO PARENT WIDTH",IF(K919&gt;L919,"⚠ BABY &gt; PARENT","✔ OK")))</f>
        <v/>
      </c>
      <c r="N919" s="71" t="str">
        <f>IF(D919="","",IF(COUNTIF(D$3:D919,D919)&gt;1,"⚠ DUPLICATE",""))</f>
        <v/>
      </c>
      <c r="O919" s="72" t="str">
        <f>IF(B919="","",SUMIF(B:B,B919,G:G)&amp;" / "&amp;IFERROR(VLOOKUP(B919,'Coil Sheet at Plant'!$C:$I,7,FALSE),"?")&amp;" mm")</f>
        <v/>
      </c>
    </row>
    <row r="920" spans="1:15">
      <c r="A920" s="36"/>
      <c r="B920" s="32"/>
      <c r="C920" s="39"/>
      <c r="D920" s="44" t="str">
        <f>IF(OR(B920="",C920=""),"",CONCATENATE(B920,"-",C920))</f>
        <v/>
      </c>
      <c r="E920" s="49" t="str">
        <f>IF(B920="","",IFERROR(VLOOKUP(B920,'Coil Sheet at Plant'!$C:$G,5,FALSE),"ID Not Found"))</f>
        <v/>
      </c>
      <c r="F920" s="50" t="str">
        <f>IF(B920="","",IFERROR(VLOOKUP(B920,'Coil Sheet at Plant'!$C:$H,6,FALSE),"ID Not Found"))</f>
        <v/>
      </c>
      <c r="G920" s="81">
        <v>1067</v>
      </c>
      <c r="H920" s="89" t="str">
        <f>IF(OR(B920="",G920=""),"",IFERROR(VLOOKUP(B920,'Coil Sheet at Plant'!$C:$J,8,FALSE),0)*G920/SUMIF(B:B,B920,G:G))</f>
        <v/>
      </c>
      <c r="I920" s="56" t="str">
        <f>IF(B920="","",IFERROR(VLOOKUP(B920,'Coil Sheet at Plant'!$C:$L,9,FALSE),""))</f>
        <v/>
      </c>
      <c r="J920" s="85" t="str">
        <f>IF(B920="","",IFERROR(VLOOKUP(B920,'Coil Sheet at Plant'!$C:$M,10,FALSE),""))</f>
        <v/>
      </c>
      <c r="K920" s="69" t="str">
        <f>IF(B920="","",SUMIF(B:B,B920,G:G))</f>
        <v/>
      </c>
      <c r="L920" s="70" t="str">
        <f>IF(B920="","",IFERROR(VLOOKUP(B920,'Coil Sheet at Plant'!$C:$I,7,FALSE),""))</f>
        <v/>
      </c>
      <c r="M920" s="71" t="str">
        <f>IF(OR(K920="",L920=""),"",IF(L920=0,"⚠ NO PARENT WIDTH",IF(K920&gt;L920,"⚠ BABY &gt; PARENT","✔ OK")))</f>
        <v/>
      </c>
      <c r="N920" s="71" t="str">
        <f>IF(D920="","",IF(COUNTIF(D$3:D920,D920)&gt;1,"⚠ DUPLICATE",""))</f>
        <v/>
      </c>
      <c r="O920" s="72" t="str">
        <f>IF(B920="","",SUMIF(B:B,B920,G:G)&amp;" / "&amp;IFERROR(VLOOKUP(B920,'Coil Sheet at Plant'!$C:$I,7,FALSE),"?")&amp;" mm")</f>
        <v/>
      </c>
    </row>
    <row r="921" spans="1:15">
      <c r="A921" s="36"/>
      <c r="B921" s="32"/>
      <c r="C921" s="39"/>
      <c r="D921" s="44" t="str">
        <f>IF(OR(B921="",C921=""),"",CONCATENATE(B921,"-",C921))</f>
        <v/>
      </c>
      <c r="E921" s="49" t="str">
        <f>IF(B921="","",IFERROR(VLOOKUP(B921,'Coil Sheet at Plant'!$C:$G,5,FALSE),"ID Not Found"))</f>
        <v/>
      </c>
      <c r="F921" s="50" t="str">
        <f>IF(B921="","",IFERROR(VLOOKUP(B921,'Coil Sheet at Plant'!$C:$H,6,FALSE),"ID Not Found"))</f>
        <v/>
      </c>
      <c r="G921" s="81">
        <v>1068</v>
      </c>
      <c r="H921" s="89" t="str">
        <f>IF(OR(B921="",G921=""),"",IFERROR(VLOOKUP(B921,'Coil Sheet at Plant'!$C:$J,8,FALSE),0)*G921/SUMIF(B:B,B921,G:G))</f>
        <v/>
      </c>
      <c r="I921" s="56" t="str">
        <f>IF(B921="","",IFERROR(VLOOKUP(B921,'Coil Sheet at Plant'!$C:$L,9,FALSE),""))</f>
        <v/>
      </c>
      <c r="J921" s="85" t="str">
        <f>IF(B921="","",IFERROR(VLOOKUP(B921,'Coil Sheet at Plant'!$C:$M,10,FALSE),""))</f>
        <v/>
      </c>
      <c r="K921" s="69" t="str">
        <f>IF(B921="","",SUMIF(B:B,B921,G:G))</f>
        <v/>
      </c>
      <c r="L921" s="70" t="str">
        <f>IF(B921="","",IFERROR(VLOOKUP(B921,'Coil Sheet at Plant'!$C:$I,7,FALSE),""))</f>
        <v/>
      </c>
      <c r="M921" s="71" t="str">
        <f>IF(OR(K921="",L921=""),"",IF(L921=0,"⚠ NO PARENT WIDTH",IF(K921&gt;L921,"⚠ BABY &gt; PARENT","✔ OK")))</f>
        <v/>
      </c>
      <c r="N921" s="71" t="str">
        <f>IF(D921="","",IF(COUNTIF(D$3:D921,D921)&gt;1,"⚠ DUPLICATE",""))</f>
        <v/>
      </c>
      <c r="O921" s="72" t="str">
        <f>IF(B921="","",SUMIF(B:B,B921,G:G)&amp;" / "&amp;IFERROR(VLOOKUP(B921,'Coil Sheet at Plant'!$C:$I,7,FALSE),"?")&amp;" mm")</f>
        <v/>
      </c>
    </row>
    <row r="922" spans="1:15">
      <c r="A922" s="36"/>
      <c r="B922" s="32"/>
      <c r="C922" s="39"/>
      <c r="D922" s="44" t="str">
        <f>IF(OR(B922="",C922=""),"",CONCATENATE(B922,"-",C922))</f>
        <v/>
      </c>
      <c r="E922" s="49" t="str">
        <f>IF(B922="","",IFERROR(VLOOKUP(B922,'Coil Sheet at Plant'!$C:$G,5,FALSE),"ID Not Found"))</f>
        <v/>
      </c>
      <c r="F922" s="50" t="str">
        <f>IF(B922="","",IFERROR(VLOOKUP(B922,'Coil Sheet at Plant'!$C:$H,6,FALSE),"ID Not Found"))</f>
        <v/>
      </c>
      <c r="G922" s="81">
        <v>1069</v>
      </c>
      <c r="H922" s="89" t="str">
        <f>IF(OR(B922="",G922=""),"",IFERROR(VLOOKUP(B922,'Coil Sheet at Plant'!$C:$J,8,FALSE),0)*G922/SUMIF(B:B,B922,G:G))</f>
        <v/>
      </c>
      <c r="I922" s="56" t="str">
        <f>IF(B922="","",IFERROR(VLOOKUP(B922,'Coil Sheet at Plant'!$C:$L,9,FALSE),""))</f>
        <v/>
      </c>
      <c r="J922" s="85" t="str">
        <f>IF(B922="","",IFERROR(VLOOKUP(B922,'Coil Sheet at Plant'!$C:$M,10,FALSE),""))</f>
        <v/>
      </c>
      <c r="K922" s="69" t="str">
        <f>IF(B922="","",SUMIF(B:B,B922,G:G))</f>
        <v/>
      </c>
      <c r="L922" s="70" t="str">
        <f>IF(B922="","",IFERROR(VLOOKUP(B922,'Coil Sheet at Plant'!$C:$I,7,FALSE),""))</f>
        <v/>
      </c>
      <c r="M922" s="71" t="str">
        <f>IF(OR(K922="",L922=""),"",IF(L922=0,"⚠ NO PARENT WIDTH",IF(K922&gt;L922,"⚠ BABY &gt; PARENT","✔ OK")))</f>
        <v/>
      </c>
      <c r="N922" s="71" t="str">
        <f>IF(D922="","",IF(COUNTIF(D$3:D922,D922)&gt;1,"⚠ DUPLICATE",""))</f>
        <v/>
      </c>
      <c r="O922" s="72" t="str">
        <f>IF(B922="","",SUMIF(B:B,B922,G:G)&amp;" / "&amp;IFERROR(VLOOKUP(B922,'Coil Sheet at Plant'!$C:$I,7,FALSE),"?")&amp;" mm")</f>
        <v/>
      </c>
    </row>
    <row r="923" spans="1:15">
      <c r="A923" s="36"/>
      <c r="B923" s="32"/>
      <c r="C923" s="39"/>
      <c r="D923" s="44" t="str">
        <f>IF(OR(B923="",C923=""),"",CONCATENATE(B923,"-",C923))</f>
        <v/>
      </c>
      <c r="E923" s="49" t="str">
        <f>IF(B923="","",IFERROR(VLOOKUP(B923,'Coil Sheet at Plant'!$C:$G,5,FALSE),"ID Not Found"))</f>
        <v/>
      </c>
      <c r="F923" s="50" t="str">
        <f>IF(B923="","",IFERROR(VLOOKUP(B923,'Coil Sheet at Plant'!$C:$H,6,FALSE),"ID Not Found"))</f>
        <v/>
      </c>
      <c r="G923" s="81">
        <v>1070</v>
      </c>
      <c r="H923" s="89" t="str">
        <f>IF(OR(B923="",G923=""),"",IFERROR(VLOOKUP(B923,'Coil Sheet at Plant'!$C:$J,8,FALSE),0)*G923/SUMIF(B:B,B923,G:G))</f>
        <v/>
      </c>
      <c r="I923" s="56" t="str">
        <f>IF(B923="","",IFERROR(VLOOKUP(B923,'Coil Sheet at Plant'!$C:$L,9,FALSE),""))</f>
        <v/>
      </c>
      <c r="J923" s="85" t="str">
        <f>IF(B923="","",IFERROR(VLOOKUP(B923,'Coil Sheet at Plant'!$C:$M,10,FALSE),""))</f>
        <v/>
      </c>
      <c r="K923" s="69" t="str">
        <f>IF(B923="","",SUMIF(B:B,B923,G:G))</f>
        <v/>
      </c>
      <c r="L923" s="70" t="str">
        <f>IF(B923="","",IFERROR(VLOOKUP(B923,'Coil Sheet at Plant'!$C:$I,7,FALSE),""))</f>
        <v/>
      </c>
      <c r="M923" s="71" t="str">
        <f>IF(OR(K923="",L923=""),"",IF(L923=0,"⚠ NO PARENT WIDTH",IF(K923&gt;L923,"⚠ BABY &gt; PARENT","✔ OK")))</f>
        <v/>
      </c>
      <c r="N923" s="71" t="str">
        <f>IF(D923="","",IF(COUNTIF(D$3:D923,D923)&gt;1,"⚠ DUPLICATE",""))</f>
        <v/>
      </c>
      <c r="O923" s="72" t="str">
        <f>IF(B923="","",SUMIF(B:B,B923,G:G)&amp;" / "&amp;IFERROR(VLOOKUP(B923,'Coil Sheet at Plant'!$C:$I,7,FALSE),"?")&amp;" mm")</f>
        <v/>
      </c>
    </row>
    <row r="924" spans="1:15">
      <c r="A924" s="36"/>
      <c r="B924" s="32"/>
      <c r="C924" s="39"/>
      <c r="D924" s="44" t="str">
        <f>IF(OR(B924="",C924=""),"",CONCATENATE(B924,"-",C924))</f>
        <v/>
      </c>
      <c r="E924" s="49" t="str">
        <f>IF(B924="","",IFERROR(VLOOKUP(B924,'Coil Sheet at Plant'!$C:$G,5,FALSE),"ID Not Found"))</f>
        <v/>
      </c>
      <c r="F924" s="50" t="str">
        <f>IF(B924="","",IFERROR(VLOOKUP(B924,'Coil Sheet at Plant'!$C:$H,6,FALSE),"ID Not Found"))</f>
        <v/>
      </c>
      <c r="G924" s="81">
        <v>1071</v>
      </c>
      <c r="H924" s="89" t="str">
        <f>IF(OR(B924="",G924=""),"",IFERROR(VLOOKUP(B924,'Coil Sheet at Plant'!$C:$J,8,FALSE),0)*G924/SUMIF(B:B,B924,G:G))</f>
        <v/>
      </c>
      <c r="I924" s="56" t="str">
        <f>IF(B924="","",IFERROR(VLOOKUP(B924,'Coil Sheet at Plant'!$C:$L,9,FALSE),""))</f>
        <v/>
      </c>
      <c r="J924" s="85" t="str">
        <f>IF(B924="","",IFERROR(VLOOKUP(B924,'Coil Sheet at Plant'!$C:$M,10,FALSE),""))</f>
        <v/>
      </c>
      <c r="K924" s="69" t="str">
        <f>IF(B924="","",SUMIF(B:B,B924,G:G))</f>
        <v/>
      </c>
      <c r="L924" s="70" t="str">
        <f>IF(B924="","",IFERROR(VLOOKUP(B924,'Coil Sheet at Plant'!$C:$I,7,FALSE),""))</f>
        <v/>
      </c>
      <c r="M924" s="71" t="str">
        <f>IF(OR(K924="",L924=""),"",IF(L924=0,"⚠ NO PARENT WIDTH",IF(K924&gt;L924,"⚠ BABY &gt; PARENT","✔ OK")))</f>
        <v/>
      </c>
      <c r="N924" s="71" t="str">
        <f>IF(D924="","",IF(COUNTIF(D$3:D924,D924)&gt;1,"⚠ DUPLICATE",""))</f>
        <v/>
      </c>
      <c r="O924" s="72" t="str">
        <f>IF(B924="","",SUMIF(B:B,B924,G:G)&amp;" / "&amp;IFERROR(VLOOKUP(B924,'Coil Sheet at Plant'!$C:$I,7,FALSE),"?")&amp;" mm")</f>
        <v/>
      </c>
    </row>
    <row r="925" spans="1:15">
      <c r="A925" s="36"/>
      <c r="B925" s="32"/>
      <c r="C925" s="39"/>
      <c r="D925" s="44" t="str">
        <f>IF(OR(B925="",C925=""),"",CONCATENATE(B925,"-",C925))</f>
        <v/>
      </c>
      <c r="E925" s="49" t="str">
        <f>IF(B925="","",IFERROR(VLOOKUP(B925,'Coil Sheet at Plant'!$C:$G,5,FALSE),"ID Not Found"))</f>
        <v/>
      </c>
      <c r="F925" s="50" t="str">
        <f>IF(B925="","",IFERROR(VLOOKUP(B925,'Coil Sheet at Plant'!$C:$H,6,FALSE),"ID Not Found"))</f>
        <v/>
      </c>
      <c r="G925" s="81">
        <v>1072</v>
      </c>
      <c r="H925" s="89" t="str">
        <f>IF(OR(B925="",G925=""),"",IFERROR(VLOOKUP(B925,'Coil Sheet at Plant'!$C:$J,8,FALSE),0)*G925/SUMIF(B:B,B925,G:G))</f>
        <v/>
      </c>
      <c r="I925" s="56" t="str">
        <f>IF(B925="","",IFERROR(VLOOKUP(B925,'Coil Sheet at Plant'!$C:$L,9,FALSE),""))</f>
        <v/>
      </c>
      <c r="J925" s="85" t="str">
        <f>IF(B925="","",IFERROR(VLOOKUP(B925,'Coil Sheet at Plant'!$C:$M,10,FALSE),""))</f>
        <v/>
      </c>
      <c r="K925" s="69" t="str">
        <f>IF(B925="","",SUMIF(B:B,B925,G:G))</f>
        <v/>
      </c>
      <c r="L925" s="70" t="str">
        <f>IF(B925="","",IFERROR(VLOOKUP(B925,'Coil Sheet at Plant'!$C:$I,7,FALSE),""))</f>
        <v/>
      </c>
      <c r="M925" s="71" t="str">
        <f>IF(OR(K925="",L925=""),"",IF(L925=0,"⚠ NO PARENT WIDTH",IF(K925&gt;L925,"⚠ BABY &gt; PARENT","✔ OK")))</f>
        <v/>
      </c>
      <c r="N925" s="71" t="str">
        <f>IF(D925="","",IF(COUNTIF(D$3:D925,D925)&gt;1,"⚠ DUPLICATE",""))</f>
        <v/>
      </c>
      <c r="O925" s="72" t="str">
        <f>IF(B925="","",SUMIF(B:B,B925,G:G)&amp;" / "&amp;IFERROR(VLOOKUP(B925,'Coil Sheet at Plant'!$C:$I,7,FALSE),"?")&amp;" mm")</f>
        <v/>
      </c>
    </row>
    <row r="926" spans="1:15">
      <c r="A926" s="36"/>
      <c r="B926" s="32"/>
      <c r="C926" s="39"/>
      <c r="D926" s="44" t="str">
        <f>IF(OR(B926="",C926=""),"",CONCATENATE(B926,"-",C926))</f>
        <v/>
      </c>
      <c r="E926" s="49" t="str">
        <f>IF(B926="","",IFERROR(VLOOKUP(B926,'Coil Sheet at Plant'!$C:$G,5,FALSE),"ID Not Found"))</f>
        <v/>
      </c>
      <c r="F926" s="50" t="str">
        <f>IF(B926="","",IFERROR(VLOOKUP(B926,'Coil Sheet at Plant'!$C:$H,6,FALSE),"ID Not Found"))</f>
        <v/>
      </c>
      <c r="G926" s="81">
        <v>1073</v>
      </c>
      <c r="H926" s="89" t="str">
        <f>IF(OR(B926="",G926=""),"",IFERROR(VLOOKUP(B926,'Coil Sheet at Plant'!$C:$J,8,FALSE),0)*G926/SUMIF(B:B,B926,G:G))</f>
        <v/>
      </c>
      <c r="I926" s="56" t="str">
        <f>IF(B926="","",IFERROR(VLOOKUP(B926,'Coil Sheet at Plant'!$C:$L,9,FALSE),""))</f>
        <v/>
      </c>
      <c r="J926" s="85" t="str">
        <f>IF(B926="","",IFERROR(VLOOKUP(B926,'Coil Sheet at Plant'!$C:$M,10,FALSE),""))</f>
        <v/>
      </c>
      <c r="K926" s="69" t="str">
        <f>IF(B926="","",SUMIF(B:B,B926,G:G))</f>
        <v/>
      </c>
      <c r="L926" s="70" t="str">
        <f>IF(B926="","",IFERROR(VLOOKUP(B926,'Coil Sheet at Plant'!$C:$I,7,FALSE),""))</f>
        <v/>
      </c>
      <c r="M926" s="71" t="str">
        <f>IF(OR(K926="",L926=""),"",IF(L926=0,"⚠ NO PARENT WIDTH",IF(K926&gt;L926,"⚠ BABY &gt; PARENT","✔ OK")))</f>
        <v/>
      </c>
      <c r="N926" s="71" t="str">
        <f>IF(D926="","",IF(COUNTIF(D$3:D926,D926)&gt;1,"⚠ DUPLICATE",""))</f>
        <v/>
      </c>
      <c r="O926" s="72" t="str">
        <f>IF(B926="","",SUMIF(B:B,B926,G:G)&amp;" / "&amp;IFERROR(VLOOKUP(B926,'Coil Sheet at Plant'!$C:$I,7,FALSE),"?")&amp;" mm")</f>
        <v/>
      </c>
    </row>
    <row r="927" spans="1:15">
      <c r="A927" s="36"/>
      <c r="B927" s="32"/>
      <c r="C927" s="39"/>
      <c r="D927" s="44" t="str">
        <f>IF(OR(B927="",C927=""),"",CONCATENATE(B927,"-",C927))</f>
        <v/>
      </c>
      <c r="E927" s="49" t="str">
        <f>IF(B927="","",IFERROR(VLOOKUP(B927,'Coil Sheet at Plant'!$C:$G,5,FALSE),"ID Not Found"))</f>
        <v/>
      </c>
      <c r="F927" s="50" t="str">
        <f>IF(B927="","",IFERROR(VLOOKUP(B927,'Coil Sheet at Plant'!$C:$H,6,FALSE),"ID Not Found"))</f>
        <v/>
      </c>
      <c r="G927" s="81">
        <v>1074</v>
      </c>
      <c r="H927" s="89" t="str">
        <f>IF(OR(B927="",G927=""),"",IFERROR(VLOOKUP(B927,'Coil Sheet at Plant'!$C:$J,8,FALSE),0)*G927/SUMIF(B:B,B927,G:G))</f>
        <v/>
      </c>
      <c r="I927" s="56" t="str">
        <f>IF(B927="","",IFERROR(VLOOKUP(B927,'Coil Sheet at Plant'!$C:$L,9,FALSE),""))</f>
        <v/>
      </c>
      <c r="J927" s="85" t="str">
        <f>IF(B927="","",IFERROR(VLOOKUP(B927,'Coil Sheet at Plant'!$C:$M,10,FALSE),""))</f>
        <v/>
      </c>
      <c r="K927" s="69" t="str">
        <f>IF(B927="","",SUMIF(B:B,B927,G:G))</f>
        <v/>
      </c>
      <c r="L927" s="70" t="str">
        <f>IF(B927="","",IFERROR(VLOOKUP(B927,'Coil Sheet at Plant'!$C:$I,7,FALSE),""))</f>
        <v/>
      </c>
      <c r="M927" s="71" t="str">
        <f>IF(OR(K927="",L927=""),"",IF(L927=0,"⚠ NO PARENT WIDTH",IF(K927&gt;L927,"⚠ BABY &gt; PARENT","✔ OK")))</f>
        <v/>
      </c>
      <c r="N927" s="71" t="str">
        <f>IF(D927="","",IF(COUNTIF(D$3:D927,D927)&gt;1,"⚠ DUPLICATE",""))</f>
        <v/>
      </c>
      <c r="O927" s="72" t="str">
        <f>IF(B927="","",SUMIF(B:B,B927,G:G)&amp;" / "&amp;IFERROR(VLOOKUP(B927,'Coil Sheet at Plant'!$C:$I,7,FALSE),"?")&amp;" mm")</f>
        <v/>
      </c>
    </row>
    <row r="928" spans="1:15">
      <c r="A928" s="36"/>
      <c r="B928" s="32"/>
      <c r="C928" s="39"/>
      <c r="D928" s="44" t="str">
        <f>IF(OR(B928="",C928=""),"",CONCATENATE(B928,"-",C928))</f>
        <v/>
      </c>
      <c r="E928" s="49" t="str">
        <f>IF(B928="","",IFERROR(VLOOKUP(B928,'Coil Sheet at Plant'!$C:$G,5,FALSE),"ID Not Found"))</f>
        <v/>
      </c>
      <c r="F928" s="50" t="str">
        <f>IF(B928="","",IFERROR(VLOOKUP(B928,'Coil Sheet at Plant'!$C:$H,6,FALSE),"ID Not Found"))</f>
        <v/>
      </c>
      <c r="G928" s="81">
        <v>1075</v>
      </c>
      <c r="H928" s="89" t="str">
        <f>IF(OR(B928="",G928=""),"",IFERROR(VLOOKUP(B928,'Coil Sheet at Plant'!$C:$J,8,FALSE),0)*G928/SUMIF(B:B,B928,G:G))</f>
        <v/>
      </c>
      <c r="I928" s="56" t="str">
        <f>IF(B928="","",IFERROR(VLOOKUP(B928,'Coil Sheet at Plant'!$C:$L,9,FALSE),""))</f>
        <v/>
      </c>
      <c r="J928" s="85" t="str">
        <f>IF(B928="","",IFERROR(VLOOKUP(B928,'Coil Sheet at Plant'!$C:$M,10,FALSE),""))</f>
        <v/>
      </c>
      <c r="K928" s="69" t="str">
        <f>IF(B928="","",SUMIF(B:B,B928,G:G))</f>
        <v/>
      </c>
      <c r="L928" s="70" t="str">
        <f>IF(B928="","",IFERROR(VLOOKUP(B928,'Coil Sheet at Plant'!$C:$I,7,FALSE),""))</f>
        <v/>
      </c>
      <c r="M928" s="71" t="str">
        <f>IF(OR(K928="",L928=""),"",IF(L928=0,"⚠ NO PARENT WIDTH",IF(K928&gt;L928,"⚠ BABY &gt; PARENT","✔ OK")))</f>
        <v/>
      </c>
      <c r="N928" s="71" t="str">
        <f>IF(D928="","",IF(COUNTIF(D$3:D928,D928)&gt;1,"⚠ DUPLICATE",""))</f>
        <v/>
      </c>
      <c r="O928" s="72" t="str">
        <f>IF(B928="","",SUMIF(B:B,B928,G:G)&amp;" / "&amp;IFERROR(VLOOKUP(B928,'Coil Sheet at Plant'!$C:$I,7,FALSE),"?")&amp;" mm")</f>
        <v/>
      </c>
    </row>
    <row r="929" spans="1:15">
      <c r="A929" s="36"/>
      <c r="B929" s="32"/>
      <c r="C929" s="39"/>
      <c r="D929" s="44" t="str">
        <f>IF(OR(B929="",C929=""),"",CONCATENATE(B929,"-",C929))</f>
        <v/>
      </c>
      <c r="E929" s="49" t="str">
        <f>IF(B929="","",IFERROR(VLOOKUP(B929,'Coil Sheet at Plant'!$C:$G,5,FALSE),"ID Not Found"))</f>
        <v/>
      </c>
      <c r="F929" s="50" t="str">
        <f>IF(B929="","",IFERROR(VLOOKUP(B929,'Coil Sheet at Plant'!$C:$H,6,FALSE),"ID Not Found"))</f>
        <v/>
      </c>
      <c r="G929" s="81">
        <v>1076</v>
      </c>
      <c r="H929" s="89" t="str">
        <f>IF(OR(B929="",G929=""),"",IFERROR(VLOOKUP(B929,'Coil Sheet at Plant'!$C:$J,8,FALSE),0)*G929/SUMIF(B:B,B929,G:G))</f>
        <v/>
      </c>
      <c r="I929" s="56" t="str">
        <f>IF(B929="","",IFERROR(VLOOKUP(B929,'Coil Sheet at Plant'!$C:$L,9,FALSE),""))</f>
        <v/>
      </c>
      <c r="J929" s="85" t="str">
        <f>IF(B929="","",IFERROR(VLOOKUP(B929,'Coil Sheet at Plant'!$C:$M,10,FALSE),""))</f>
        <v/>
      </c>
      <c r="K929" s="69" t="str">
        <f>IF(B929="","",SUMIF(B:B,B929,G:G))</f>
        <v/>
      </c>
      <c r="L929" s="70" t="str">
        <f>IF(B929="","",IFERROR(VLOOKUP(B929,'Coil Sheet at Plant'!$C:$I,7,FALSE),""))</f>
        <v/>
      </c>
      <c r="M929" s="71" t="str">
        <f>IF(OR(K929="",L929=""),"",IF(L929=0,"⚠ NO PARENT WIDTH",IF(K929&gt;L929,"⚠ BABY &gt; PARENT","✔ OK")))</f>
        <v/>
      </c>
      <c r="N929" s="71" t="str">
        <f>IF(D929="","",IF(COUNTIF(D$3:D929,D929)&gt;1,"⚠ DUPLICATE",""))</f>
        <v/>
      </c>
      <c r="O929" s="72" t="str">
        <f>IF(B929="","",SUMIF(B:B,B929,G:G)&amp;" / "&amp;IFERROR(VLOOKUP(B929,'Coil Sheet at Plant'!$C:$I,7,FALSE),"?")&amp;" mm")</f>
        <v/>
      </c>
    </row>
    <row r="930" spans="1:15">
      <c r="A930" s="36"/>
      <c r="B930" s="32"/>
      <c r="C930" s="39"/>
      <c r="D930" s="44" t="str">
        <f>IF(OR(B930="",C930=""),"",CONCATENATE(B930,"-",C930))</f>
        <v/>
      </c>
      <c r="E930" s="49" t="str">
        <f>IF(B930="","",IFERROR(VLOOKUP(B930,'Coil Sheet at Plant'!$C:$G,5,FALSE),"ID Not Found"))</f>
        <v/>
      </c>
      <c r="F930" s="50" t="str">
        <f>IF(B930="","",IFERROR(VLOOKUP(B930,'Coil Sheet at Plant'!$C:$H,6,FALSE),"ID Not Found"))</f>
        <v/>
      </c>
      <c r="G930" s="81">
        <v>1077</v>
      </c>
      <c r="H930" s="89" t="str">
        <f>IF(OR(B930="",G930=""),"",IFERROR(VLOOKUP(B930,'Coil Sheet at Plant'!$C:$J,8,FALSE),0)*G930/SUMIF(B:B,B930,G:G))</f>
        <v/>
      </c>
      <c r="I930" s="56" t="str">
        <f>IF(B930="","",IFERROR(VLOOKUP(B930,'Coil Sheet at Plant'!$C:$L,9,FALSE),""))</f>
        <v/>
      </c>
      <c r="J930" s="85" t="str">
        <f>IF(B930="","",IFERROR(VLOOKUP(B930,'Coil Sheet at Plant'!$C:$M,10,FALSE),""))</f>
        <v/>
      </c>
      <c r="K930" s="69" t="str">
        <f>IF(B930="","",SUMIF(B:B,B930,G:G))</f>
        <v/>
      </c>
      <c r="L930" s="70" t="str">
        <f>IF(B930="","",IFERROR(VLOOKUP(B930,'Coil Sheet at Plant'!$C:$I,7,FALSE),""))</f>
        <v/>
      </c>
      <c r="M930" s="71" t="str">
        <f>IF(OR(K930="",L930=""),"",IF(L930=0,"⚠ NO PARENT WIDTH",IF(K930&gt;L930,"⚠ BABY &gt; PARENT","✔ OK")))</f>
        <v/>
      </c>
      <c r="N930" s="71" t="str">
        <f>IF(D930="","",IF(COUNTIF(D$3:D930,D930)&gt;1,"⚠ DUPLICATE",""))</f>
        <v/>
      </c>
      <c r="O930" s="72" t="str">
        <f>IF(B930="","",SUMIF(B:B,B930,G:G)&amp;" / "&amp;IFERROR(VLOOKUP(B930,'Coil Sheet at Plant'!$C:$I,7,FALSE),"?")&amp;" mm")</f>
        <v/>
      </c>
    </row>
    <row r="931" spans="1:15">
      <c r="A931" s="36"/>
      <c r="B931" s="32"/>
      <c r="C931" s="39"/>
      <c r="D931" s="44" t="str">
        <f>IF(OR(B931="",C931=""),"",CONCATENATE(B931,"-",C931))</f>
        <v/>
      </c>
      <c r="E931" s="49" t="str">
        <f>IF(B931="","",IFERROR(VLOOKUP(B931,'Coil Sheet at Plant'!$C:$G,5,FALSE),"ID Not Found"))</f>
        <v/>
      </c>
      <c r="F931" s="50" t="str">
        <f>IF(B931="","",IFERROR(VLOOKUP(B931,'Coil Sheet at Plant'!$C:$H,6,FALSE),"ID Not Found"))</f>
        <v/>
      </c>
      <c r="G931" s="81">
        <v>1078</v>
      </c>
      <c r="H931" s="89" t="str">
        <f>IF(OR(B931="",G931=""),"",IFERROR(VLOOKUP(B931,'Coil Sheet at Plant'!$C:$J,8,FALSE),0)*G931/SUMIF(B:B,B931,G:G))</f>
        <v/>
      </c>
      <c r="I931" s="56" t="str">
        <f>IF(B931="","",IFERROR(VLOOKUP(B931,'Coil Sheet at Plant'!$C:$L,9,FALSE),""))</f>
        <v/>
      </c>
      <c r="J931" s="85" t="str">
        <f>IF(B931="","",IFERROR(VLOOKUP(B931,'Coil Sheet at Plant'!$C:$M,10,FALSE),""))</f>
        <v/>
      </c>
      <c r="K931" s="69" t="str">
        <f>IF(B931="","",SUMIF(B:B,B931,G:G))</f>
        <v/>
      </c>
      <c r="L931" s="70" t="str">
        <f>IF(B931="","",IFERROR(VLOOKUP(B931,'Coil Sheet at Plant'!$C:$I,7,FALSE),""))</f>
        <v/>
      </c>
      <c r="M931" s="71" t="str">
        <f>IF(OR(K931="",L931=""),"",IF(L931=0,"⚠ NO PARENT WIDTH",IF(K931&gt;L931,"⚠ BABY &gt; PARENT","✔ OK")))</f>
        <v/>
      </c>
      <c r="N931" s="71" t="str">
        <f>IF(D931="","",IF(COUNTIF(D$3:D931,D931)&gt;1,"⚠ DUPLICATE",""))</f>
        <v/>
      </c>
      <c r="O931" s="72" t="str">
        <f>IF(B931="","",SUMIF(B:B,B931,G:G)&amp;" / "&amp;IFERROR(VLOOKUP(B931,'Coil Sheet at Plant'!$C:$I,7,FALSE),"?")&amp;" mm")</f>
        <v/>
      </c>
    </row>
    <row r="932" spans="1:15">
      <c r="A932" s="36"/>
      <c r="B932" s="32"/>
      <c r="C932" s="39"/>
      <c r="D932" s="44" t="str">
        <f>IF(OR(B932="",C932=""),"",CONCATENATE(B932,"-",C932))</f>
        <v/>
      </c>
      <c r="E932" s="49" t="str">
        <f>IF(B932="","",IFERROR(VLOOKUP(B932,'Coil Sheet at Plant'!$C:$G,5,FALSE),"ID Not Found"))</f>
        <v/>
      </c>
      <c r="F932" s="50" t="str">
        <f>IF(B932="","",IFERROR(VLOOKUP(B932,'Coil Sheet at Plant'!$C:$H,6,FALSE),"ID Not Found"))</f>
        <v/>
      </c>
      <c r="G932" s="81">
        <v>1079</v>
      </c>
      <c r="H932" s="89" t="str">
        <f>IF(OR(B932="",G932=""),"",IFERROR(VLOOKUP(B932,'Coil Sheet at Plant'!$C:$J,8,FALSE),0)*G932/SUMIF(B:B,B932,G:G))</f>
        <v/>
      </c>
      <c r="I932" s="56" t="str">
        <f>IF(B932="","",IFERROR(VLOOKUP(B932,'Coil Sheet at Plant'!$C:$L,9,FALSE),""))</f>
        <v/>
      </c>
      <c r="J932" s="85" t="str">
        <f>IF(B932="","",IFERROR(VLOOKUP(B932,'Coil Sheet at Plant'!$C:$M,10,FALSE),""))</f>
        <v/>
      </c>
      <c r="K932" s="69" t="str">
        <f>IF(B932="","",SUMIF(B:B,B932,G:G))</f>
        <v/>
      </c>
      <c r="L932" s="70" t="str">
        <f>IF(B932="","",IFERROR(VLOOKUP(B932,'Coil Sheet at Plant'!$C:$I,7,FALSE),""))</f>
        <v/>
      </c>
      <c r="M932" s="71" t="str">
        <f>IF(OR(K932="",L932=""),"",IF(L932=0,"⚠ NO PARENT WIDTH",IF(K932&gt;L932,"⚠ BABY &gt; PARENT","✔ OK")))</f>
        <v/>
      </c>
      <c r="N932" s="71" t="str">
        <f>IF(D932="","",IF(COUNTIF(D$3:D932,D932)&gt;1,"⚠ DUPLICATE",""))</f>
        <v/>
      </c>
      <c r="O932" s="72" t="str">
        <f>IF(B932="","",SUMIF(B:B,B932,G:G)&amp;" / "&amp;IFERROR(VLOOKUP(B932,'Coil Sheet at Plant'!$C:$I,7,FALSE),"?")&amp;" mm")</f>
        <v/>
      </c>
    </row>
    <row r="933" spans="1:15">
      <c r="A933" s="36"/>
      <c r="B933" s="32"/>
      <c r="C933" s="39"/>
      <c r="D933" s="44" t="str">
        <f>IF(OR(B933="",C933=""),"",CONCATENATE(B933,"-",C933))</f>
        <v/>
      </c>
      <c r="E933" s="49" t="str">
        <f>IF(B933="","",IFERROR(VLOOKUP(B933,'Coil Sheet at Plant'!$C:$G,5,FALSE),"ID Not Found"))</f>
        <v/>
      </c>
      <c r="F933" s="50" t="str">
        <f>IF(B933="","",IFERROR(VLOOKUP(B933,'Coil Sheet at Plant'!$C:$H,6,FALSE),"ID Not Found"))</f>
        <v/>
      </c>
      <c r="G933" s="81">
        <v>1080</v>
      </c>
      <c r="H933" s="89" t="str">
        <f>IF(OR(B933="",G933=""),"",IFERROR(VLOOKUP(B933,'Coil Sheet at Plant'!$C:$J,8,FALSE),0)*G933/SUMIF(B:B,B933,G:G))</f>
        <v/>
      </c>
      <c r="I933" s="56" t="str">
        <f>IF(B933="","",IFERROR(VLOOKUP(B933,'Coil Sheet at Plant'!$C:$L,9,FALSE),""))</f>
        <v/>
      </c>
      <c r="J933" s="85" t="str">
        <f>IF(B933="","",IFERROR(VLOOKUP(B933,'Coil Sheet at Plant'!$C:$M,10,FALSE),""))</f>
        <v/>
      </c>
      <c r="K933" s="69" t="str">
        <f>IF(B933="","",SUMIF(B:B,B933,G:G))</f>
        <v/>
      </c>
      <c r="L933" s="70" t="str">
        <f>IF(B933="","",IFERROR(VLOOKUP(B933,'Coil Sheet at Plant'!$C:$I,7,FALSE),""))</f>
        <v/>
      </c>
      <c r="M933" s="71" t="str">
        <f>IF(OR(K933="",L933=""),"",IF(L933=0,"⚠ NO PARENT WIDTH",IF(K933&gt;L933,"⚠ BABY &gt; PARENT","✔ OK")))</f>
        <v/>
      </c>
      <c r="N933" s="71" t="str">
        <f>IF(D933="","",IF(COUNTIF(D$3:D933,D933)&gt;1,"⚠ DUPLICATE",""))</f>
        <v/>
      </c>
      <c r="O933" s="72" t="str">
        <f>IF(B933="","",SUMIF(B:B,B933,G:G)&amp;" / "&amp;IFERROR(VLOOKUP(B933,'Coil Sheet at Plant'!$C:$I,7,FALSE),"?")&amp;" mm")</f>
        <v/>
      </c>
    </row>
    <row r="934" spans="1:15">
      <c r="A934" s="36"/>
      <c r="B934" s="32"/>
      <c r="C934" s="39"/>
      <c r="D934" s="44" t="str">
        <f>IF(OR(B934="",C934=""),"",CONCATENATE(B934,"-",C934))</f>
        <v/>
      </c>
      <c r="E934" s="49" t="str">
        <f>IF(B934="","",IFERROR(VLOOKUP(B934,'Coil Sheet at Plant'!$C:$G,5,FALSE),"ID Not Found"))</f>
        <v/>
      </c>
      <c r="F934" s="50" t="str">
        <f>IF(B934="","",IFERROR(VLOOKUP(B934,'Coil Sheet at Plant'!$C:$H,6,FALSE),"ID Not Found"))</f>
        <v/>
      </c>
      <c r="G934" s="81">
        <v>1081</v>
      </c>
      <c r="H934" s="89" t="str">
        <f>IF(OR(B934="",G934=""),"",IFERROR(VLOOKUP(B934,'Coil Sheet at Plant'!$C:$J,8,FALSE),0)*G934/SUMIF(B:B,B934,G:G))</f>
        <v/>
      </c>
      <c r="I934" s="56" t="str">
        <f>IF(B934="","",IFERROR(VLOOKUP(B934,'Coil Sheet at Plant'!$C:$L,9,FALSE),""))</f>
        <v/>
      </c>
      <c r="J934" s="85" t="str">
        <f>IF(B934="","",IFERROR(VLOOKUP(B934,'Coil Sheet at Plant'!$C:$M,10,FALSE),""))</f>
        <v/>
      </c>
      <c r="K934" s="69" t="str">
        <f>IF(B934="","",SUMIF(B:B,B934,G:G))</f>
        <v/>
      </c>
      <c r="L934" s="70" t="str">
        <f>IF(B934="","",IFERROR(VLOOKUP(B934,'Coil Sheet at Plant'!$C:$I,7,FALSE),""))</f>
        <v/>
      </c>
      <c r="M934" s="71" t="str">
        <f>IF(OR(K934="",L934=""),"",IF(L934=0,"⚠ NO PARENT WIDTH",IF(K934&gt;L934,"⚠ BABY &gt; PARENT","✔ OK")))</f>
        <v/>
      </c>
      <c r="N934" s="71" t="str">
        <f>IF(D934="","",IF(COUNTIF(D$3:D934,D934)&gt;1,"⚠ DUPLICATE",""))</f>
        <v/>
      </c>
      <c r="O934" s="72" t="str">
        <f>IF(B934="","",SUMIF(B:B,B934,G:G)&amp;" / "&amp;IFERROR(VLOOKUP(B934,'Coil Sheet at Plant'!$C:$I,7,FALSE),"?")&amp;" mm")</f>
        <v/>
      </c>
    </row>
    <row r="935" spans="1:15">
      <c r="A935" s="36"/>
      <c r="B935" s="32"/>
      <c r="C935" s="39"/>
      <c r="D935" s="44" t="str">
        <f>IF(OR(B935="",C935=""),"",CONCATENATE(B935,"-",C935))</f>
        <v/>
      </c>
      <c r="E935" s="49" t="str">
        <f>IF(B935="","",IFERROR(VLOOKUP(B935,'Coil Sheet at Plant'!$C:$G,5,FALSE),"ID Not Found"))</f>
        <v/>
      </c>
      <c r="F935" s="50" t="str">
        <f>IF(B935="","",IFERROR(VLOOKUP(B935,'Coil Sheet at Plant'!$C:$H,6,FALSE),"ID Not Found"))</f>
        <v/>
      </c>
      <c r="G935" s="81">
        <v>1082</v>
      </c>
      <c r="H935" s="89" t="str">
        <f>IF(OR(B935="",G935=""),"",IFERROR(VLOOKUP(B935,'Coil Sheet at Plant'!$C:$J,8,FALSE),0)*G935/SUMIF(B:B,B935,G:G))</f>
        <v/>
      </c>
      <c r="I935" s="56" t="str">
        <f>IF(B935="","",IFERROR(VLOOKUP(B935,'Coil Sheet at Plant'!$C:$L,9,FALSE),""))</f>
        <v/>
      </c>
      <c r="J935" s="85" t="str">
        <f>IF(B935="","",IFERROR(VLOOKUP(B935,'Coil Sheet at Plant'!$C:$M,10,FALSE),""))</f>
        <v/>
      </c>
      <c r="K935" s="69" t="str">
        <f>IF(B935="","",SUMIF(B:B,B935,G:G))</f>
        <v/>
      </c>
      <c r="L935" s="70" t="str">
        <f>IF(B935="","",IFERROR(VLOOKUP(B935,'Coil Sheet at Plant'!$C:$I,7,FALSE),""))</f>
        <v/>
      </c>
      <c r="M935" s="71" t="str">
        <f>IF(OR(K935="",L935=""),"",IF(L935=0,"⚠ NO PARENT WIDTH",IF(K935&gt;L935,"⚠ BABY &gt; PARENT","✔ OK")))</f>
        <v/>
      </c>
      <c r="N935" s="71" t="str">
        <f>IF(D935="","",IF(COUNTIF(D$3:D935,D935)&gt;1,"⚠ DUPLICATE",""))</f>
        <v/>
      </c>
      <c r="O935" s="72" t="str">
        <f>IF(B935="","",SUMIF(B:B,B935,G:G)&amp;" / "&amp;IFERROR(VLOOKUP(B935,'Coil Sheet at Plant'!$C:$I,7,FALSE),"?")&amp;" mm")</f>
        <v/>
      </c>
    </row>
    <row r="936" spans="1:15">
      <c r="A936" s="36"/>
      <c r="B936" s="32"/>
      <c r="C936" s="39"/>
      <c r="D936" s="44" t="str">
        <f>IF(OR(B936="",C936=""),"",CONCATENATE(B936,"-",C936))</f>
        <v/>
      </c>
      <c r="E936" s="49" t="str">
        <f>IF(B936="","",IFERROR(VLOOKUP(B936,'Coil Sheet at Plant'!$C:$G,5,FALSE),"ID Not Found"))</f>
        <v/>
      </c>
      <c r="F936" s="50" t="str">
        <f>IF(B936="","",IFERROR(VLOOKUP(B936,'Coil Sheet at Plant'!$C:$H,6,FALSE),"ID Not Found"))</f>
        <v/>
      </c>
      <c r="G936" s="81">
        <v>1083</v>
      </c>
      <c r="H936" s="89" t="str">
        <f>IF(OR(B936="",G936=""),"",IFERROR(VLOOKUP(B936,'Coil Sheet at Plant'!$C:$J,8,FALSE),0)*G936/SUMIF(B:B,B936,G:G))</f>
        <v/>
      </c>
      <c r="I936" s="56" t="str">
        <f>IF(B936="","",IFERROR(VLOOKUP(B936,'Coil Sheet at Plant'!$C:$L,9,FALSE),""))</f>
        <v/>
      </c>
      <c r="J936" s="85" t="str">
        <f>IF(B936="","",IFERROR(VLOOKUP(B936,'Coil Sheet at Plant'!$C:$M,10,FALSE),""))</f>
        <v/>
      </c>
      <c r="K936" s="69" t="str">
        <f>IF(B936="","",SUMIF(B:B,B936,G:G))</f>
        <v/>
      </c>
      <c r="L936" s="70" t="str">
        <f>IF(B936="","",IFERROR(VLOOKUP(B936,'Coil Sheet at Plant'!$C:$I,7,FALSE),""))</f>
        <v/>
      </c>
      <c r="M936" s="71" t="str">
        <f>IF(OR(K936="",L936=""),"",IF(L936=0,"⚠ NO PARENT WIDTH",IF(K936&gt;L936,"⚠ BABY &gt; PARENT","✔ OK")))</f>
        <v/>
      </c>
      <c r="N936" s="71" t="str">
        <f>IF(D936="","",IF(COUNTIF(D$3:D936,D936)&gt;1,"⚠ DUPLICATE",""))</f>
        <v/>
      </c>
      <c r="O936" s="72" t="str">
        <f>IF(B936="","",SUMIF(B:B,B936,G:G)&amp;" / "&amp;IFERROR(VLOOKUP(B936,'Coil Sheet at Plant'!$C:$I,7,FALSE),"?")&amp;" mm")</f>
        <v/>
      </c>
    </row>
    <row r="937" spans="1:15">
      <c r="A937" s="36"/>
      <c r="B937" s="32"/>
      <c r="C937" s="39"/>
      <c r="D937" s="44" t="str">
        <f>IF(OR(B937="",C937=""),"",CONCATENATE(B937,"-",C937))</f>
        <v/>
      </c>
      <c r="E937" s="49" t="str">
        <f>IF(B937="","",IFERROR(VLOOKUP(B937,'Coil Sheet at Plant'!$C:$G,5,FALSE),"ID Not Found"))</f>
        <v/>
      </c>
      <c r="F937" s="50" t="str">
        <f>IF(B937="","",IFERROR(VLOOKUP(B937,'Coil Sheet at Plant'!$C:$H,6,FALSE),"ID Not Found"))</f>
        <v/>
      </c>
      <c r="G937" s="81">
        <v>1084</v>
      </c>
      <c r="H937" s="89" t="str">
        <f>IF(OR(B937="",G937=""),"",IFERROR(VLOOKUP(B937,'Coil Sheet at Plant'!$C:$J,8,FALSE),0)*G937/SUMIF(B:B,B937,G:G))</f>
        <v/>
      </c>
      <c r="I937" s="56" t="str">
        <f>IF(B937="","",IFERROR(VLOOKUP(B937,'Coil Sheet at Plant'!$C:$L,9,FALSE),""))</f>
        <v/>
      </c>
      <c r="J937" s="85" t="str">
        <f>IF(B937="","",IFERROR(VLOOKUP(B937,'Coil Sheet at Plant'!$C:$M,10,FALSE),""))</f>
        <v/>
      </c>
      <c r="K937" s="69" t="str">
        <f>IF(B937="","",SUMIF(B:B,B937,G:G))</f>
        <v/>
      </c>
      <c r="L937" s="70" t="str">
        <f>IF(B937="","",IFERROR(VLOOKUP(B937,'Coil Sheet at Plant'!$C:$I,7,FALSE),""))</f>
        <v/>
      </c>
      <c r="M937" s="71" t="str">
        <f>IF(OR(K937="",L937=""),"",IF(L937=0,"⚠ NO PARENT WIDTH",IF(K937&gt;L937,"⚠ BABY &gt; PARENT","✔ OK")))</f>
        <v/>
      </c>
      <c r="N937" s="71" t="str">
        <f>IF(D937="","",IF(COUNTIF(D$3:D937,D937)&gt;1,"⚠ DUPLICATE",""))</f>
        <v/>
      </c>
      <c r="O937" s="72" t="str">
        <f>IF(B937="","",SUMIF(B:B,B937,G:G)&amp;" / "&amp;IFERROR(VLOOKUP(B937,'Coil Sheet at Plant'!$C:$I,7,FALSE),"?")&amp;" mm")</f>
        <v/>
      </c>
    </row>
    <row r="938" spans="1:15">
      <c r="A938" s="36"/>
      <c r="B938" s="32"/>
      <c r="C938" s="39"/>
      <c r="D938" s="44" t="str">
        <f>IF(OR(B938="",C938=""),"",CONCATENATE(B938,"-",C938))</f>
        <v/>
      </c>
      <c r="E938" s="49" t="str">
        <f>IF(B938="","",IFERROR(VLOOKUP(B938,'Coil Sheet at Plant'!$C:$G,5,FALSE),"ID Not Found"))</f>
        <v/>
      </c>
      <c r="F938" s="50" t="str">
        <f>IF(B938="","",IFERROR(VLOOKUP(B938,'Coil Sheet at Plant'!$C:$H,6,FALSE),"ID Not Found"))</f>
        <v/>
      </c>
      <c r="G938" s="81">
        <v>1085</v>
      </c>
      <c r="H938" s="89" t="str">
        <f>IF(OR(B938="",G938=""),"",IFERROR(VLOOKUP(B938,'Coil Sheet at Plant'!$C:$J,8,FALSE),0)*G938/SUMIF(B:B,B938,G:G))</f>
        <v/>
      </c>
      <c r="I938" s="56" t="str">
        <f>IF(B938="","",IFERROR(VLOOKUP(B938,'Coil Sheet at Plant'!$C:$L,9,FALSE),""))</f>
        <v/>
      </c>
      <c r="J938" s="85" t="str">
        <f>IF(B938="","",IFERROR(VLOOKUP(B938,'Coil Sheet at Plant'!$C:$M,10,FALSE),""))</f>
        <v/>
      </c>
      <c r="K938" s="69" t="str">
        <f>IF(B938="","",SUMIF(B:B,B938,G:G))</f>
        <v/>
      </c>
      <c r="L938" s="70" t="str">
        <f>IF(B938="","",IFERROR(VLOOKUP(B938,'Coil Sheet at Plant'!$C:$I,7,FALSE),""))</f>
        <v/>
      </c>
      <c r="M938" s="71" t="str">
        <f>IF(OR(K938="",L938=""),"",IF(L938=0,"⚠ NO PARENT WIDTH",IF(K938&gt;L938,"⚠ BABY &gt; PARENT","✔ OK")))</f>
        <v/>
      </c>
      <c r="N938" s="71" t="str">
        <f>IF(D938="","",IF(COUNTIF(D$3:D938,D938)&gt;1,"⚠ DUPLICATE",""))</f>
        <v/>
      </c>
      <c r="O938" s="72" t="str">
        <f>IF(B938="","",SUMIF(B:B,B938,G:G)&amp;" / "&amp;IFERROR(VLOOKUP(B938,'Coil Sheet at Plant'!$C:$I,7,FALSE),"?")&amp;" mm")</f>
        <v/>
      </c>
    </row>
    <row r="939" spans="1:15">
      <c r="A939" s="36"/>
      <c r="B939" s="32"/>
      <c r="C939" s="39"/>
      <c r="D939" s="44" t="str">
        <f>IF(OR(B939="",C939=""),"",CONCATENATE(B939,"-",C939))</f>
        <v/>
      </c>
      <c r="E939" s="49" t="str">
        <f>IF(B939="","",IFERROR(VLOOKUP(B939,'Coil Sheet at Plant'!$C:$G,5,FALSE),"ID Not Found"))</f>
        <v/>
      </c>
      <c r="F939" s="50" t="str">
        <f>IF(B939="","",IFERROR(VLOOKUP(B939,'Coil Sheet at Plant'!$C:$H,6,FALSE),"ID Not Found"))</f>
        <v/>
      </c>
      <c r="G939" s="81">
        <v>1086</v>
      </c>
      <c r="H939" s="89" t="str">
        <f>IF(OR(B939="",G939=""),"",IFERROR(VLOOKUP(B939,'Coil Sheet at Plant'!$C:$J,8,FALSE),0)*G939/SUMIF(B:B,B939,G:G))</f>
        <v/>
      </c>
      <c r="I939" s="56" t="str">
        <f>IF(B939="","",IFERROR(VLOOKUP(B939,'Coil Sheet at Plant'!$C:$L,9,FALSE),""))</f>
        <v/>
      </c>
      <c r="J939" s="85" t="str">
        <f>IF(B939="","",IFERROR(VLOOKUP(B939,'Coil Sheet at Plant'!$C:$M,10,FALSE),""))</f>
        <v/>
      </c>
      <c r="K939" s="69" t="str">
        <f>IF(B939="","",SUMIF(B:B,B939,G:G))</f>
        <v/>
      </c>
      <c r="L939" s="70" t="str">
        <f>IF(B939="","",IFERROR(VLOOKUP(B939,'Coil Sheet at Plant'!$C:$I,7,FALSE),""))</f>
        <v/>
      </c>
      <c r="M939" s="71" t="str">
        <f>IF(OR(K939="",L939=""),"",IF(L939=0,"⚠ NO PARENT WIDTH",IF(K939&gt;L939,"⚠ BABY &gt; PARENT","✔ OK")))</f>
        <v/>
      </c>
      <c r="N939" s="71" t="str">
        <f>IF(D939="","",IF(COUNTIF(D$3:D939,D939)&gt;1,"⚠ DUPLICATE",""))</f>
        <v/>
      </c>
      <c r="O939" s="72" t="str">
        <f>IF(B939="","",SUMIF(B:B,B939,G:G)&amp;" / "&amp;IFERROR(VLOOKUP(B939,'Coil Sheet at Plant'!$C:$I,7,FALSE),"?")&amp;" mm")</f>
        <v/>
      </c>
    </row>
    <row r="940" spans="1:15">
      <c r="A940" s="36"/>
      <c r="B940" s="32"/>
      <c r="C940" s="39"/>
      <c r="D940" s="44" t="str">
        <f>IF(OR(B940="",C940=""),"",CONCATENATE(B940,"-",C940))</f>
        <v/>
      </c>
      <c r="E940" s="49" t="str">
        <f>IF(B940="","",IFERROR(VLOOKUP(B940,'Coil Sheet at Plant'!$C:$G,5,FALSE),"ID Not Found"))</f>
        <v/>
      </c>
      <c r="F940" s="50" t="str">
        <f>IF(B940="","",IFERROR(VLOOKUP(B940,'Coil Sheet at Plant'!$C:$H,6,FALSE),"ID Not Found"))</f>
        <v/>
      </c>
      <c r="G940" s="81">
        <v>1087</v>
      </c>
      <c r="H940" s="89" t="str">
        <f>IF(OR(B940="",G940=""),"",IFERROR(VLOOKUP(B940,'Coil Sheet at Plant'!$C:$J,8,FALSE),0)*G940/SUMIF(B:B,B940,G:G))</f>
        <v/>
      </c>
      <c r="I940" s="56" t="str">
        <f>IF(B940="","",IFERROR(VLOOKUP(B940,'Coil Sheet at Plant'!$C:$L,9,FALSE),""))</f>
        <v/>
      </c>
      <c r="J940" s="85" t="str">
        <f>IF(B940="","",IFERROR(VLOOKUP(B940,'Coil Sheet at Plant'!$C:$M,10,FALSE),""))</f>
        <v/>
      </c>
      <c r="K940" s="69" t="str">
        <f>IF(B940="","",SUMIF(B:B,B940,G:G))</f>
        <v/>
      </c>
      <c r="L940" s="70" t="str">
        <f>IF(B940="","",IFERROR(VLOOKUP(B940,'Coil Sheet at Plant'!$C:$I,7,FALSE),""))</f>
        <v/>
      </c>
      <c r="M940" s="71" t="str">
        <f>IF(OR(K940="",L940=""),"",IF(L940=0,"⚠ NO PARENT WIDTH",IF(K940&gt;L940,"⚠ BABY &gt; PARENT","✔ OK")))</f>
        <v/>
      </c>
      <c r="N940" s="71" t="str">
        <f>IF(D940="","",IF(COUNTIF(D$3:D940,D940)&gt;1,"⚠ DUPLICATE",""))</f>
        <v/>
      </c>
      <c r="O940" s="72" t="str">
        <f>IF(B940="","",SUMIF(B:B,B940,G:G)&amp;" / "&amp;IFERROR(VLOOKUP(B940,'Coil Sheet at Plant'!$C:$I,7,FALSE),"?")&amp;" mm")</f>
        <v/>
      </c>
    </row>
    <row r="941" spans="1:15">
      <c r="A941" s="36"/>
      <c r="B941" s="32"/>
      <c r="C941" s="39"/>
      <c r="D941" s="44" t="str">
        <f>IF(OR(B941="",C941=""),"",CONCATENATE(B941,"-",C941))</f>
        <v/>
      </c>
      <c r="E941" s="49" t="str">
        <f>IF(B941="","",IFERROR(VLOOKUP(B941,'Coil Sheet at Plant'!$C:$G,5,FALSE),"ID Not Found"))</f>
        <v/>
      </c>
      <c r="F941" s="50" t="str">
        <f>IF(B941="","",IFERROR(VLOOKUP(B941,'Coil Sheet at Plant'!$C:$H,6,FALSE),"ID Not Found"))</f>
        <v/>
      </c>
      <c r="G941" s="81">
        <v>1088</v>
      </c>
      <c r="H941" s="89" t="str">
        <f>IF(OR(B941="",G941=""),"",IFERROR(VLOOKUP(B941,'Coil Sheet at Plant'!$C:$J,8,FALSE),0)*G941/SUMIF(B:B,B941,G:G))</f>
        <v/>
      </c>
      <c r="I941" s="56" t="str">
        <f>IF(B941="","",IFERROR(VLOOKUP(B941,'Coil Sheet at Plant'!$C:$L,9,FALSE),""))</f>
        <v/>
      </c>
      <c r="J941" s="85" t="str">
        <f>IF(B941="","",IFERROR(VLOOKUP(B941,'Coil Sheet at Plant'!$C:$M,10,FALSE),""))</f>
        <v/>
      </c>
      <c r="K941" s="69" t="str">
        <f>IF(B941="","",SUMIF(B:B,B941,G:G))</f>
        <v/>
      </c>
      <c r="L941" s="70" t="str">
        <f>IF(B941="","",IFERROR(VLOOKUP(B941,'Coil Sheet at Plant'!$C:$I,7,FALSE),""))</f>
        <v/>
      </c>
      <c r="M941" s="71" t="str">
        <f>IF(OR(K941="",L941=""),"",IF(L941=0,"⚠ NO PARENT WIDTH",IF(K941&gt;L941,"⚠ BABY &gt; PARENT","✔ OK")))</f>
        <v/>
      </c>
      <c r="N941" s="71" t="str">
        <f>IF(D941="","",IF(COUNTIF(D$3:D941,D941)&gt;1,"⚠ DUPLICATE",""))</f>
        <v/>
      </c>
      <c r="O941" s="72" t="str">
        <f>IF(B941="","",SUMIF(B:B,B941,G:G)&amp;" / "&amp;IFERROR(VLOOKUP(B941,'Coil Sheet at Plant'!$C:$I,7,FALSE),"?")&amp;" mm")</f>
        <v/>
      </c>
    </row>
    <row r="942" spans="1:15">
      <c r="A942" s="36"/>
      <c r="B942" s="32"/>
      <c r="C942" s="39"/>
      <c r="D942" s="44" t="str">
        <f>IF(OR(B942="",C942=""),"",CONCATENATE(B942,"-",C942))</f>
        <v/>
      </c>
      <c r="E942" s="49" t="str">
        <f>IF(B942="","",IFERROR(VLOOKUP(B942,'Coil Sheet at Plant'!$C:$G,5,FALSE),"ID Not Found"))</f>
        <v/>
      </c>
      <c r="F942" s="50" t="str">
        <f>IF(B942="","",IFERROR(VLOOKUP(B942,'Coil Sheet at Plant'!$C:$H,6,FALSE),"ID Not Found"))</f>
        <v/>
      </c>
      <c r="G942" s="81">
        <v>1089</v>
      </c>
      <c r="H942" s="89" t="str">
        <f>IF(OR(B942="",G942=""),"",IFERROR(VLOOKUP(B942,'Coil Sheet at Plant'!$C:$J,8,FALSE),0)*G942/SUMIF(B:B,B942,G:G))</f>
        <v/>
      </c>
      <c r="I942" s="56" t="str">
        <f>IF(B942="","",IFERROR(VLOOKUP(B942,'Coil Sheet at Plant'!$C:$L,9,FALSE),""))</f>
        <v/>
      </c>
      <c r="J942" s="85" t="str">
        <f>IF(B942="","",IFERROR(VLOOKUP(B942,'Coil Sheet at Plant'!$C:$M,10,FALSE),""))</f>
        <v/>
      </c>
      <c r="K942" s="69" t="str">
        <f>IF(B942="","",SUMIF(B:B,B942,G:G))</f>
        <v/>
      </c>
      <c r="L942" s="70" t="str">
        <f>IF(B942="","",IFERROR(VLOOKUP(B942,'Coil Sheet at Plant'!$C:$I,7,FALSE),""))</f>
        <v/>
      </c>
      <c r="M942" s="71" t="str">
        <f>IF(OR(K942="",L942=""),"",IF(L942=0,"⚠ NO PARENT WIDTH",IF(K942&gt;L942,"⚠ BABY &gt; PARENT","✔ OK")))</f>
        <v/>
      </c>
      <c r="N942" s="71" t="str">
        <f>IF(D942="","",IF(COUNTIF(D$3:D942,D942)&gt;1,"⚠ DUPLICATE",""))</f>
        <v/>
      </c>
      <c r="O942" s="72" t="str">
        <f>IF(B942="","",SUMIF(B:B,B942,G:G)&amp;" / "&amp;IFERROR(VLOOKUP(B942,'Coil Sheet at Plant'!$C:$I,7,FALSE),"?")&amp;" mm")</f>
        <v/>
      </c>
    </row>
    <row r="943" spans="1:15">
      <c r="A943" s="36"/>
      <c r="B943" s="32"/>
      <c r="C943" s="39"/>
      <c r="D943" s="44" t="str">
        <f>IF(OR(B943="",C943=""),"",CONCATENATE(B943,"-",C943))</f>
        <v/>
      </c>
      <c r="E943" s="49" t="str">
        <f>IF(B943="","",IFERROR(VLOOKUP(B943,'Coil Sheet at Plant'!$C:$G,5,FALSE),"ID Not Found"))</f>
        <v/>
      </c>
      <c r="F943" s="50" t="str">
        <f>IF(B943="","",IFERROR(VLOOKUP(B943,'Coil Sheet at Plant'!$C:$H,6,FALSE),"ID Not Found"))</f>
        <v/>
      </c>
      <c r="G943" s="81">
        <v>1090</v>
      </c>
      <c r="H943" s="89" t="str">
        <f>IF(OR(B943="",G943=""),"",IFERROR(VLOOKUP(B943,'Coil Sheet at Plant'!$C:$J,8,FALSE),0)*G943/SUMIF(B:B,B943,G:G))</f>
        <v/>
      </c>
      <c r="I943" s="56" t="str">
        <f>IF(B943="","",IFERROR(VLOOKUP(B943,'Coil Sheet at Plant'!$C:$L,9,FALSE),""))</f>
        <v/>
      </c>
      <c r="J943" s="85" t="str">
        <f>IF(B943="","",IFERROR(VLOOKUP(B943,'Coil Sheet at Plant'!$C:$M,10,FALSE),""))</f>
        <v/>
      </c>
      <c r="K943" s="69" t="str">
        <f>IF(B943="","",SUMIF(B:B,B943,G:G))</f>
        <v/>
      </c>
      <c r="L943" s="70" t="str">
        <f>IF(B943="","",IFERROR(VLOOKUP(B943,'Coil Sheet at Plant'!$C:$I,7,FALSE),""))</f>
        <v/>
      </c>
      <c r="M943" s="71" t="str">
        <f>IF(OR(K943="",L943=""),"",IF(L943=0,"⚠ NO PARENT WIDTH",IF(K943&gt;L943,"⚠ BABY &gt; PARENT","✔ OK")))</f>
        <v/>
      </c>
      <c r="N943" s="71" t="str">
        <f>IF(D943="","",IF(COUNTIF(D$3:D943,D943)&gt;1,"⚠ DUPLICATE",""))</f>
        <v/>
      </c>
      <c r="O943" s="72" t="str">
        <f>IF(B943="","",SUMIF(B:B,B943,G:G)&amp;" / "&amp;IFERROR(VLOOKUP(B943,'Coil Sheet at Plant'!$C:$I,7,FALSE),"?")&amp;" mm")</f>
        <v/>
      </c>
    </row>
    <row r="944" spans="1:15">
      <c r="A944" s="36"/>
      <c r="B944" s="32"/>
      <c r="C944" s="39"/>
      <c r="D944" s="44" t="str">
        <f>IF(OR(B944="",C944=""),"",CONCATENATE(B944,"-",C944))</f>
        <v/>
      </c>
      <c r="E944" s="49" t="str">
        <f>IF(B944="","",IFERROR(VLOOKUP(B944,'Coil Sheet at Plant'!$C:$G,5,FALSE),"ID Not Found"))</f>
        <v/>
      </c>
      <c r="F944" s="50" t="str">
        <f>IF(B944="","",IFERROR(VLOOKUP(B944,'Coil Sheet at Plant'!$C:$H,6,FALSE),"ID Not Found"))</f>
        <v/>
      </c>
      <c r="G944" s="81">
        <v>1091</v>
      </c>
      <c r="H944" s="89" t="str">
        <f>IF(OR(B944="",G944=""),"",IFERROR(VLOOKUP(B944,'Coil Sheet at Plant'!$C:$J,8,FALSE),0)*G944/SUMIF(B:B,B944,G:G))</f>
        <v/>
      </c>
      <c r="I944" s="56" t="str">
        <f>IF(B944="","",IFERROR(VLOOKUP(B944,'Coil Sheet at Plant'!$C:$L,9,FALSE),""))</f>
        <v/>
      </c>
      <c r="J944" s="85" t="str">
        <f>IF(B944="","",IFERROR(VLOOKUP(B944,'Coil Sheet at Plant'!$C:$M,10,FALSE),""))</f>
        <v/>
      </c>
      <c r="K944" s="69" t="str">
        <f>IF(B944="","",SUMIF(B:B,B944,G:G))</f>
        <v/>
      </c>
      <c r="L944" s="70" t="str">
        <f>IF(B944="","",IFERROR(VLOOKUP(B944,'Coil Sheet at Plant'!$C:$I,7,FALSE),""))</f>
        <v/>
      </c>
      <c r="M944" s="71" t="str">
        <f>IF(OR(K944="",L944=""),"",IF(L944=0,"⚠ NO PARENT WIDTH",IF(K944&gt;L944,"⚠ BABY &gt; PARENT","✔ OK")))</f>
        <v/>
      </c>
      <c r="N944" s="71" t="str">
        <f>IF(D944="","",IF(COUNTIF(D$3:D944,D944)&gt;1,"⚠ DUPLICATE",""))</f>
        <v/>
      </c>
      <c r="O944" s="72" t="str">
        <f>IF(B944="","",SUMIF(B:B,B944,G:G)&amp;" / "&amp;IFERROR(VLOOKUP(B944,'Coil Sheet at Plant'!$C:$I,7,FALSE),"?")&amp;" mm")</f>
        <v/>
      </c>
    </row>
    <row r="945" spans="1:15">
      <c r="A945" s="36"/>
      <c r="B945" s="32"/>
      <c r="C945" s="39"/>
      <c r="D945" s="44" t="str">
        <f>IF(OR(B945="",C945=""),"",CONCATENATE(B945,"-",C945))</f>
        <v/>
      </c>
      <c r="E945" s="49" t="str">
        <f>IF(B945="","",IFERROR(VLOOKUP(B945,'Coil Sheet at Plant'!$C:$G,5,FALSE),"ID Not Found"))</f>
        <v/>
      </c>
      <c r="F945" s="50" t="str">
        <f>IF(B945="","",IFERROR(VLOOKUP(B945,'Coil Sheet at Plant'!$C:$H,6,FALSE),"ID Not Found"))</f>
        <v/>
      </c>
      <c r="G945" s="81">
        <v>1092</v>
      </c>
      <c r="H945" s="89" t="str">
        <f>IF(OR(B945="",G945=""),"",IFERROR(VLOOKUP(B945,'Coil Sheet at Plant'!$C:$J,8,FALSE),0)*G945/SUMIF(B:B,B945,G:G))</f>
        <v/>
      </c>
      <c r="I945" s="56" t="str">
        <f>IF(B945="","",IFERROR(VLOOKUP(B945,'Coil Sheet at Plant'!$C:$L,9,FALSE),""))</f>
        <v/>
      </c>
      <c r="J945" s="85" t="str">
        <f>IF(B945="","",IFERROR(VLOOKUP(B945,'Coil Sheet at Plant'!$C:$M,10,FALSE),""))</f>
        <v/>
      </c>
      <c r="K945" s="69" t="str">
        <f>IF(B945="","",SUMIF(B:B,B945,G:G))</f>
        <v/>
      </c>
      <c r="L945" s="70" t="str">
        <f>IF(B945="","",IFERROR(VLOOKUP(B945,'Coil Sheet at Plant'!$C:$I,7,FALSE),""))</f>
        <v/>
      </c>
      <c r="M945" s="71" t="str">
        <f>IF(OR(K945="",L945=""),"",IF(L945=0,"⚠ NO PARENT WIDTH",IF(K945&gt;L945,"⚠ BABY &gt; PARENT","✔ OK")))</f>
        <v/>
      </c>
      <c r="N945" s="71" t="str">
        <f>IF(D945="","",IF(COUNTIF(D$3:D945,D945)&gt;1,"⚠ DUPLICATE",""))</f>
        <v/>
      </c>
      <c r="O945" s="72" t="str">
        <f>IF(B945="","",SUMIF(B:B,B945,G:G)&amp;" / "&amp;IFERROR(VLOOKUP(B945,'Coil Sheet at Plant'!$C:$I,7,FALSE),"?")&amp;" mm")</f>
        <v/>
      </c>
    </row>
    <row r="946" spans="1:15">
      <c r="A946" s="36"/>
      <c r="B946" s="32"/>
      <c r="C946" s="39"/>
      <c r="D946" s="44" t="str">
        <f>IF(OR(B946="",C946=""),"",CONCATENATE(B946,"-",C946))</f>
        <v/>
      </c>
      <c r="E946" s="49" t="str">
        <f>IF(B946="","",IFERROR(VLOOKUP(B946,'Coil Sheet at Plant'!$C:$G,5,FALSE),"ID Not Found"))</f>
        <v/>
      </c>
      <c r="F946" s="50" t="str">
        <f>IF(B946="","",IFERROR(VLOOKUP(B946,'Coil Sheet at Plant'!$C:$H,6,FALSE),"ID Not Found"))</f>
        <v/>
      </c>
      <c r="G946" s="81">
        <v>1093</v>
      </c>
      <c r="H946" s="89" t="str">
        <f>IF(OR(B946="",G946=""),"",IFERROR(VLOOKUP(B946,'Coil Sheet at Plant'!$C:$J,8,FALSE),0)*G946/SUMIF(B:B,B946,G:G))</f>
        <v/>
      </c>
      <c r="I946" s="56" t="str">
        <f>IF(B946="","",IFERROR(VLOOKUP(B946,'Coil Sheet at Plant'!$C:$L,9,FALSE),""))</f>
        <v/>
      </c>
      <c r="J946" s="85" t="str">
        <f>IF(B946="","",IFERROR(VLOOKUP(B946,'Coil Sheet at Plant'!$C:$M,10,FALSE),""))</f>
        <v/>
      </c>
      <c r="K946" s="69" t="str">
        <f>IF(B946="","",SUMIF(B:B,B946,G:G))</f>
        <v/>
      </c>
      <c r="L946" s="70" t="str">
        <f>IF(B946="","",IFERROR(VLOOKUP(B946,'Coil Sheet at Plant'!$C:$I,7,FALSE),""))</f>
        <v/>
      </c>
      <c r="M946" s="71" t="str">
        <f>IF(OR(K946="",L946=""),"",IF(L946=0,"⚠ NO PARENT WIDTH",IF(K946&gt;L946,"⚠ BABY &gt; PARENT","✔ OK")))</f>
        <v/>
      </c>
      <c r="N946" s="71" t="str">
        <f>IF(D946="","",IF(COUNTIF(D$3:D946,D946)&gt;1,"⚠ DUPLICATE",""))</f>
        <v/>
      </c>
      <c r="O946" s="72" t="str">
        <f>IF(B946="","",SUMIF(B:B,B946,G:G)&amp;" / "&amp;IFERROR(VLOOKUP(B946,'Coil Sheet at Plant'!$C:$I,7,FALSE),"?")&amp;" mm")</f>
        <v/>
      </c>
    </row>
    <row r="947" spans="1:15">
      <c r="A947" s="36"/>
      <c r="B947" s="32"/>
      <c r="C947" s="39"/>
      <c r="D947" s="44" t="str">
        <f>IF(OR(B947="",C947=""),"",CONCATENATE(B947,"-",C947))</f>
        <v/>
      </c>
      <c r="E947" s="49" t="str">
        <f>IF(B947="","",IFERROR(VLOOKUP(B947,'Coil Sheet at Plant'!$C:$G,5,FALSE),"ID Not Found"))</f>
        <v/>
      </c>
      <c r="F947" s="50" t="str">
        <f>IF(B947="","",IFERROR(VLOOKUP(B947,'Coil Sheet at Plant'!$C:$H,6,FALSE),"ID Not Found"))</f>
        <v/>
      </c>
      <c r="G947" s="81">
        <v>1094</v>
      </c>
      <c r="H947" s="89" t="str">
        <f>IF(OR(B947="",G947=""),"",IFERROR(VLOOKUP(B947,'Coil Sheet at Plant'!$C:$J,8,FALSE),0)*G947/SUMIF(B:B,B947,G:G))</f>
        <v/>
      </c>
      <c r="I947" s="56" t="str">
        <f>IF(B947="","",IFERROR(VLOOKUP(B947,'Coil Sheet at Plant'!$C:$L,9,FALSE),""))</f>
        <v/>
      </c>
      <c r="J947" s="85" t="str">
        <f>IF(B947="","",IFERROR(VLOOKUP(B947,'Coil Sheet at Plant'!$C:$M,10,FALSE),""))</f>
        <v/>
      </c>
      <c r="K947" s="69" t="str">
        <f>IF(B947="","",SUMIF(B:B,B947,G:G))</f>
        <v/>
      </c>
      <c r="L947" s="70" t="str">
        <f>IF(B947="","",IFERROR(VLOOKUP(B947,'Coil Sheet at Plant'!$C:$I,7,FALSE),""))</f>
        <v/>
      </c>
      <c r="M947" s="71" t="str">
        <f>IF(OR(K947="",L947=""),"",IF(L947=0,"⚠ NO PARENT WIDTH",IF(K947&gt;L947,"⚠ BABY &gt; PARENT","✔ OK")))</f>
        <v/>
      </c>
      <c r="N947" s="71" t="str">
        <f>IF(D947="","",IF(COUNTIF(D$3:D947,D947)&gt;1,"⚠ DUPLICATE",""))</f>
        <v/>
      </c>
      <c r="O947" s="72" t="str">
        <f>IF(B947="","",SUMIF(B:B,B947,G:G)&amp;" / "&amp;IFERROR(VLOOKUP(B947,'Coil Sheet at Plant'!$C:$I,7,FALSE),"?")&amp;" mm")</f>
        <v/>
      </c>
    </row>
    <row r="948" spans="1:15">
      <c r="A948" s="36"/>
      <c r="B948" s="32"/>
      <c r="C948" s="39"/>
      <c r="D948" s="44" t="str">
        <f>IF(OR(B948="",C948=""),"",CONCATENATE(B948,"-",C948))</f>
        <v/>
      </c>
      <c r="E948" s="49" t="str">
        <f>IF(B948="","",IFERROR(VLOOKUP(B948,'Coil Sheet at Plant'!$C:$G,5,FALSE),"ID Not Found"))</f>
        <v/>
      </c>
      <c r="F948" s="50" t="str">
        <f>IF(B948="","",IFERROR(VLOOKUP(B948,'Coil Sheet at Plant'!$C:$H,6,FALSE),"ID Not Found"))</f>
        <v/>
      </c>
      <c r="G948" s="81">
        <v>1095</v>
      </c>
      <c r="H948" s="89" t="str">
        <f>IF(OR(B948="",G948=""),"",IFERROR(VLOOKUP(B948,'Coil Sheet at Plant'!$C:$J,8,FALSE),0)*G948/SUMIF(B:B,B948,G:G))</f>
        <v/>
      </c>
      <c r="I948" s="56" t="str">
        <f>IF(B948="","",IFERROR(VLOOKUP(B948,'Coil Sheet at Plant'!$C:$L,9,FALSE),""))</f>
        <v/>
      </c>
      <c r="J948" s="85" t="str">
        <f>IF(B948="","",IFERROR(VLOOKUP(B948,'Coil Sheet at Plant'!$C:$M,10,FALSE),""))</f>
        <v/>
      </c>
      <c r="K948" s="69" t="str">
        <f>IF(B948="","",SUMIF(B:B,B948,G:G))</f>
        <v/>
      </c>
      <c r="L948" s="70" t="str">
        <f>IF(B948="","",IFERROR(VLOOKUP(B948,'Coil Sheet at Plant'!$C:$I,7,FALSE),""))</f>
        <v/>
      </c>
      <c r="M948" s="71" t="str">
        <f>IF(OR(K948="",L948=""),"",IF(L948=0,"⚠ NO PARENT WIDTH",IF(K948&gt;L948,"⚠ BABY &gt; PARENT","✔ OK")))</f>
        <v/>
      </c>
      <c r="N948" s="71" t="str">
        <f>IF(D948="","",IF(COUNTIF(D$3:D948,D948)&gt;1,"⚠ DUPLICATE",""))</f>
        <v/>
      </c>
      <c r="O948" s="72" t="str">
        <f>IF(B948="","",SUMIF(B:B,B948,G:G)&amp;" / "&amp;IFERROR(VLOOKUP(B948,'Coil Sheet at Plant'!$C:$I,7,FALSE),"?")&amp;" mm")</f>
        <v/>
      </c>
    </row>
    <row r="949" spans="1:15">
      <c r="A949" s="36"/>
      <c r="B949" s="32"/>
      <c r="C949" s="39"/>
      <c r="D949" s="44" t="str">
        <f>IF(OR(B949="",C949=""),"",CONCATENATE(B949,"-",C949))</f>
        <v/>
      </c>
      <c r="E949" s="49" t="str">
        <f>IF(B949="","",IFERROR(VLOOKUP(B949,'Coil Sheet at Plant'!$C:$G,5,FALSE),"ID Not Found"))</f>
        <v/>
      </c>
      <c r="F949" s="50" t="str">
        <f>IF(B949="","",IFERROR(VLOOKUP(B949,'Coil Sheet at Plant'!$C:$H,6,FALSE),"ID Not Found"))</f>
        <v/>
      </c>
      <c r="G949" s="81">
        <v>1096</v>
      </c>
      <c r="H949" s="89" t="str">
        <f>IF(OR(B949="",G949=""),"",IFERROR(VLOOKUP(B949,'Coil Sheet at Plant'!$C:$J,8,FALSE),0)*G949/SUMIF(B:B,B949,G:G))</f>
        <v/>
      </c>
      <c r="I949" s="56" t="str">
        <f>IF(B949="","",IFERROR(VLOOKUP(B949,'Coil Sheet at Plant'!$C:$L,9,FALSE),""))</f>
        <v/>
      </c>
      <c r="J949" s="85" t="str">
        <f>IF(B949="","",IFERROR(VLOOKUP(B949,'Coil Sheet at Plant'!$C:$M,10,FALSE),""))</f>
        <v/>
      </c>
      <c r="K949" s="69" t="str">
        <f>IF(B949="","",SUMIF(B:B,B949,G:G))</f>
        <v/>
      </c>
      <c r="L949" s="70" t="str">
        <f>IF(B949="","",IFERROR(VLOOKUP(B949,'Coil Sheet at Plant'!$C:$I,7,FALSE),""))</f>
        <v/>
      </c>
      <c r="M949" s="71" t="str">
        <f>IF(OR(K949="",L949=""),"",IF(L949=0,"⚠ NO PARENT WIDTH",IF(K949&gt;L949,"⚠ BABY &gt; PARENT","✔ OK")))</f>
        <v/>
      </c>
      <c r="N949" s="71" t="str">
        <f>IF(D949="","",IF(COUNTIF(D$3:D949,D949)&gt;1,"⚠ DUPLICATE",""))</f>
        <v/>
      </c>
      <c r="O949" s="72" t="str">
        <f>IF(B949="","",SUMIF(B:B,B949,G:G)&amp;" / "&amp;IFERROR(VLOOKUP(B949,'Coil Sheet at Plant'!$C:$I,7,FALSE),"?")&amp;" mm")</f>
        <v/>
      </c>
    </row>
    <row r="950" spans="1:15">
      <c r="A950" s="36"/>
      <c r="B950" s="32"/>
      <c r="C950" s="39"/>
      <c r="D950" s="44" t="str">
        <f>IF(OR(B950="",C950=""),"",CONCATENATE(B950,"-",C950))</f>
        <v/>
      </c>
      <c r="E950" s="49" t="str">
        <f>IF(B950="","",IFERROR(VLOOKUP(B950,'Coil Sheet at Plant'!$C:$G,5,FALSE),"ID Not Found"))</f>
        <v/>
      </c>
      <c r="F950" s="50" t="str">
        <f>IF(B950="","",IFERROR(VLOOKUP(B950,'Coil Sheet at Plant'!$C:$H,6,FALSE),"ID Not Found"))</f>
        <v/>
      </c>
      <c r="G950" s="81">
        <v>1097</v>
      </c>
      <c r="H950" s="89" t="str">
        <f>IF(OR(B950="",G950=""),"",IFERROR(VLOOKUP(B950,'Coil Sheet at Plant'!$C:$J,8,FALSE),0)*G950/SUMIF(B:B,B950,G:G))</f>
        <v/>
      </c>
      <c r="I950" s="56" t="str">
        <f>IF(B950="","",IFERROR(VLOOKUP(B950,'Coil Sheet at Plant'!$C:$L,9,FALSE),""))</f>
        <v/>
      </c>
      <c r="J950" s="85" t="str">
        <f>IF(B950="","",IFERROR(VLOOKUP(B950,'Coil Sheet at Plant'!$C:$M,10,FALSE),""))</f>
        <v/>
      </c>
      <c r="K950" s="69" t="str">
        <f>IF(B950="","",SUMIF(B:B,B950,G:G))</f>
        <v/>
      </c>
      <c r="L950" s="70" t="str">
        <f>IF(B950="","",IFERROR(VLOOKUP(B950,'Coil Sheet at Plant'!$C:$I,7,FALSE),""))</f>
        <v/>
      </c>
      <c r="M950" s="71" t="str">
        <f>IF(OR(K950="",L950=""),"",IF(L950=0,"⚠ NO PARENT WIDTH",IF(K950&gt;L950,"⚠ BABY &gt; PARENT","✔ OK")))</f>
        <v/>
      </c>
      <c r="N950" s="71" t="str">
        <f>IF(D950="","",IF(COUNTIF(D$3:D950,D950)&gt;1,"⚠ DUPLICATE",""))</f>
        <v/>
      </c>
      <c r="O950" s="72" t="str">
        <f>IF(B950="","",SUMIF(B:B,B950,G:G)&amp;" / "&amp;IFERROR(VLOOKUP(B950,'Coil Sheet at Plant'!$C:$I,7,FALSE),"?")&amp;" mm")</f>
        <v/>
      </c>
    </row>
    <row r="951" spans="1:15">
      <c r="A951" s="36"/>
      <c r="B951" s="32"/>
      <c r="C951" s="39"/>
      <c r="D951" s="44" t="str">
        <f>IF(OR(B951="",C951=""),"",CONCATENATE(B951,"-",C951))</f>
        <v/>
      </c>
      <c r="E951" s="49" t="str">
        <f>IF(B951="","",IFERROR(VLOOKUP(B951,'Coil Sheet at Plant'!$C:$G,5,FALSE),"ID Not Found"))</f>
        <v/>
      </c>
      <c r="F951" s="50" t="str">
        <f>IF(B951="","",IFERROR(VLOOKUP(B951,'Coil Sheet at Plant'!$C:$H,6,FALSE),"ID Not Found"))</f>
        <v/>
      </c>
      <c r="G951" s="81">
        <v>1098</v>
      </c>
      <c r="H951" s="89" t="str">
        <f>IF(OR(B951="",G951=""),"",IFERROR(VLOOKUP(B951,'Coil Sheet at Plant'!$C:$J,8,FALSE),0)*G951/SUMIF(B:B,B951,G:G))</f>
        <v/>
      </c>
      <c r="I951" s="56" t="str">
        <f>IF(B951="","",IFERROR(VLOOKUP(B951,'Coil Sheet at Plant'!$C:$L,9,FALSE),""))</f>
        <v/>
      </c>
      <c r="J951" s="85" t="str">
        <f>IF(B951="","",IFERROR(VLOOKUP(B951,'Coil Sheet at Plant'!$C:$M,10,FALSE),""))</f>
        <v/>
      </c>
      <c r="K951" s="69" t="str">
        <f>IF(B951="","",SUMIF(B:B,B951,G:G))</f>
        <v/>
      </c>
      <c r="L951" s="70" t="str">
        <f>IF(B951="","",IFERROR(VLOOKUP(B951,'Coil Sheet at Plant'!$C:$I,7,FALSE),""))</f>
        <v/>
      </c>
      <c r="M951" s="71" t="str">
        <f>IF(OR(K951="",L951=""),"",IF(L951=0,"⚠ NO PARENT WIDTH",IF(K951&gt;L951,"⚠ BABY &gt; PARENT","✔ OK")))</f>
        <v/>
      </c>
      <c r="N951" s="71" t="str">
        <f>IF(D951="","",IF(COUNTIF(D$3:D951,D951)&gt;1,"⚠ DUPLICATE",""))</f>
        <v/>
      </c>
      <c r="O951" s="72" t="str">
        <f>IF(B951="","",SUMIF(B:B,B951,G:G)&amp;" / "&amp;IFERROR(VLOOKUP(B951,'Coil Sheet at Plant'!$C:$I,7,FALSE),"?")&amp;" mm")</f>
        <v/>
      </c>
    </row>
    <row r="952" spans="1:15">
      <c r="A952" s="36"/>
      <c r="B952" s="32"/>
      <c r="C952" s="39"/>
      <c r="D952" s="44" t="str">
        <f>IF(OR(B952="",C952=""),"",CONCATENATE(B952,"-",C952))</f>
        <v/>
      </c>
      <c r="E952" s="49" t="str">
        <f>IF(B952="","",IFERROR(VLOOKUP(B952,'Coil Sheet at Plant'!$C:$G,5,FALSE),"ID Not Found"))</f>
        <v/>
      </c>
      <c r="F952" s="50" t="str">
        <f>IF(B952="","",IFERROR(VLOOKUP(B952,'Coil Sheet at Plant'!$C:$H,6,FALSE),"ID Not Found"))</f>
        <v/>
      </c>
      <c r="G952" s="81">
        <v>1099</v>
      </c>
      <c r="H952" s="89" t="str">
        <f>IF(OR(B952="",G952=""),"",IFERROR(VLOOKUP(B952,'Coil Sheet at Plant'!$C:$J,8,FALSE),0)*G952/SUMIF(B:B,B952,G:G))</f>
        <v/>
      </c>
      <c r="I952" s="56" t="str">
        <f>IF(B952="","",IFERROR(VLOOKUP(B952,'Coil Sheet at Plant'!$C:$L,9,FALSE),""))</f>
        <v/>
      </c>
      <c r="J952" s="85" t="str">
        <f>IF(B952="","",IFERROR(VLOOKUP(B952,'Coil Sheet at Plant'!$C:$M,10,FALSE),""))</f>
        <v/>
      </c>
      <c r="K952" s="69" t="str">
        <f>IF(B952="","",SUMIF(B:B,B952,G:G))</f>
        <v/>
      </c>
      <c r="L952" s="70" t="str">
        <f>IF(B952="","",IFERROR(VLOOKUP(B952,'Coil Sheet at Plant'!$C:$I,7,FALSE),""))</f>
        <v/>
      </c>
      <c r="M952" s="71" t="str">
        <f>IF(OR(K952="",L952=""),"",IF(L952=0,"⚠ NO PARENT WIDTH",IF(K952&gt;L952,"⚠ BABY &gt; PARENT","✔ OK")))</f>
        <v/>
      </c>
      <c r="N952" s="71" t="str">
        <f>IF(D952="","",IF(COUNTIF(D$3:D952,D952)&gt;1,"⚠ DUPLICATE",""))</f>
        <v/>
      </c>
      <c r="O952" s="72" t="str">
        <f>IF(B952="","",SUMIF(B:B,B952,G:G)&amp;" / "&amp;IFERROR(VLOOKUP(B952,'Coil Sheet at Plant'!$C:$I,7,FALSE),"?")&amp;" mm")</f>
        <v/>
      </c>
    </row>
    <row r="953" spans="1:15">
      <c r="A953" s="36"/>
      <c r="B953" s="32"/>
      <c r="C953" s="39"/>
      <c r="D953" s="44" t="str">
        <f>IF(OR(B953="",C953=""),"",CONCATENATE(B953,"-",C953))</f>
        <v/>
      </c>
      <c r="E953" s="49" t="str">
        <f>IF(B953="","",IFERROR(VLOOKUP(B953,'Coil Sheet at Plant'!$C:$G,5,FALSE),"ID Not Found"))</f>
        <v/>
      </c>
      <c r="F953" s="50" t="str">
        <f>IF(B953="","",IFERROR(VLOOKUP(B953,'Coil Sheet at Plant'!$C:$H,6,FALSE),"ID Not Found"))</f>
        <v/>
      </c>
      <c r="G953" s="81">
        <v>1100</v>
      </c>
      <c r="H953" s="89" t="str">
        <f>IF(OR(B953="",G953=""),"",IFERROR(VLOOKUP(B953,'Coil Sheet at Plant'!$C:$J,8,FALSE),0)*G953/SUMIF(B:B,B953,G:G))</f>
        <v/>
      </c>
      <c r="I953" s="56" t="str">
        <f>IF(B953="","",IFERROR(VLOOKUP(B953,'Coil Sheet at Plant'!$C:$L,9,FALSE),""))</f>
        <v/>
      </c>
      <c r="J953" s="85" t="str">
        <f>IF(B953="","",IFERROR(VLOOKUP(B953,'Coil Sheet at Plant'!$C:$M,10,FALSE),""))</f>
        <v/>
      </c>
      <c r="K953" s="69" t="str">
        <f>IF(B953="","",SUMIF(B:B,B953,G:G))</f>
        <v/>
      </c>
      <c r="L953" s="70" t="str">
        <f>IF(B953="","",IFERROR(VLOOKUP(B953,'Coil Sheet at Plant'!$C:$I,7,FALSE),""))</f>
        <v/>
      </c>
      <c r="M953" s="71" t="str">
        <f>IF(OR(K953="",L953=""),"",IF(L953=0,"⚠ NO PARENT WIDTH",IF(K953&gt;L953,"⚠ BABY &gt; PARENT","✔ OK")))</f>
        <v/>
      </c>
      <c r="N953" s="71" t="str">
        <f>IF(D953="","",IF(COUNTIF(D$3:D953,D953)&gt;1,"⚠ DUPLICATE",""))</f>
        <v/>
      </c>
      <c r="O953" s="72" t="str">
        <f>IF(B953="","",SUMIF(B:B,B953,G:G)&amp;" / "&amp;IFERROR(VLOOKUP(B953,'Coil Sheet at Plant'!$C:$I,7,FALSE),"?")&amp;" mm")</f>
        <v/>
      </c>
    </row>
    <row r="954" spans="1:15">
      <c r="A954" s="36"/>
      <c r="B954" s="32"/>
      <c r="C954" s="39"/>
      <c r="D954" s="44" t="str">
        <f>IF(OR(B954="",C954=""),"",CONCATENATE(B954,"-",C954))</f>
        <v/>
      </c>
      <c r="E954" s="49" t="str">
        <f>IF(B954="","",IFERROR(VLOOKUP(B954,'Coil Sheet at Plant'!$C:$G,5,FALSE),"ID Not Found"))</f>
        <v/>
      </c>
      <c r="F954" s="50" t="str">
        <f>IF(B954="","",IFERROR(VLOOKUP(B954,'Coil Sheet at Plant'!$C:$H,6,FALSE),"ID Not Found"))</f>
        <v/>
      </c>
      <c r="G954" s="81">
        <v>1101</v>
      </c>
      <c r="H954" s="89" t="str">
        <f>IF(OR(B954="",G954=""),"",IFERROR(VLOOKUP(B954,'Coil Sheet at Plant'!$C:$J,8,FALSE),0)*G954/SUMIF(B:B,B954,G:G))</f>
        <v/>
      </c>
      <c r="I954" s="56" t="str">
        <f>IF(B954="","",IFERROR(VLOOKUP(B954,'Coil Sheet at Plant'!$C:$L,9,FALSE),""))</f>
        <v/>
      </c>
      <c r="J954" s="85" t="str">
        <f>IF(B954="","",IFERROR(VLOOKUP(B954,'Coil Sheet at Plant'!$C:$M,10,FALSE),""))</f>
        <v/>
      </c>
      <c r="K954" s="69" t="str">
        <f>IF(B954="","",SUMIF(B:B,B954,G:G))</f>
        <v/>
      </c>
      <c r="L954" s="70" t="str">
        <f>IF(B954="","",IFERROR(VLOOKUP(B954,'Coil Sheet at Plant'!$C:$I,7,FALSE),""))</f>
        <v/>
      </c>
      <c r="M954" s="71" t="str">
        <f>IF(OR(K954="",L954=""),"",IF(L954=0,"⚠ NO PARENT WIDTH",IF(K954&gt;L954,"⚠ BABY &gt; PARENT","✔ OK")))</f>
        <v/>
      </c>
      <c r="N954" s="71" t="str">
        <f>IF(D954="","",IF(COUNTIF(D$3:D954,D954)&gt;1,"⚠ DUPLICATE",""))</f>
        <v/>
      </c>
      <c r="O954" s="72" t="str">
        <f>IF(B954="","",SUMIF(B:B,B954,G:G)&amp;" / "&amp;IFERROR(VLOOKUP(B954,'Coil Sheet at Plant'!$C:$I,7,FALSE),"?")&amp;" mm")</f>
        <v/>
      </c>
    </row>
    <row r="955" spans="1:15">
      <c r="A955" s="36"/>
      <c r="B955" s="32"/>
      <c r="C955" s="39"/>
      <c r="D955" s="44" t="str">
        <f>IF(OR(B955="",C955=""),"",CONCATENATE(B955,"-",C955))</f>
        <v/>
      </c>
      <c r="E955" s="49" t="str">
        <f>IF(B955="","",IFERROR(VLOOKUP(B955,'Coil Sheet at Plant'!$C:$G,5,FALSE),"ID Not Found"))</f>
        <v/>
      </c>
      <c r="F955" s="50" t="str">
        <f>IF(B955="","",IFERROR(VLOOKUP(B955,'Coil Sheet at Plant'!$C:$H,6,FALSE),"ID Not Found"))</f>
        <v/>
      </c>
      <c r="G955" s="81">
        <v>1102</v>
      </c>
      <c r="H955" s="89" t="str">
        <f>IF(OR(B955="",G955=""),"",IFERROR(VLOOKUP(B955,'Coil Sheet at Plant'!$C:$J,8,FALSE),0)*G955/SUMIF(B:B,B955,G:G))</f>
        <v/>
      </c>
      <c r="I955" s="56" t="str">
        <f>IF(B955="","",IFERROR(VLOOKUP(B955,'Coil Sheet at Plant'!$C:$L,9,FALSE),""))</f>
        <v/>
      </c>
      <c r="J955" s="85" t="str">
        <f>IF(B955="","",IFERROR(VLOOKUP(B955,'Coil Sheet at Plant'!$C:$M,10,FALSE),""))</f>
        <v/>
      </c>
      <c r="K955" s="69" t="str">
        <f>IF(B955="","",SUMIF(B:B,B955,G:G))</f>
        <v/>
      </c>
      <c r="L955" s="70" t="str">
        <f>IF(B955="","",IFERROR(VLOOKUP(B955,'Coil Sheet at Plant'!$C:$I,7,FALSE),""))</f>
        <v/>
      </c>
      <c r="M955" s="71" t="str">
        <f>IF(OR(K955="",L955=""),"",IF(L955=0,"⚠ NO PARENT WIDTH",IF(K955&gt;L955,"⚠ BABY &gt; PARENT","✔ OK")))</f>
        <v/>
      </c>
      <c r="N955" s="71" t="str">
        <f>IF(D955="","",IF(COUNTIF(D$3:D955,D955)&gt;1,"⚠ DUPLICATE",""))</f>
        <v/>
      </c>
      <c r="O955" s="72" t="str">
        <f>IF(B955="","",SUMIF(B:B,B955,G:G)&amp;" / "&amp;IFERROR(VLOOKUP(B955,'Coil Sheet at Plant'!$C:$I,7,FALSE),"?")&amp;" mm")</f>
        <v/>
      </c>
    </row>
    <row r="956" spans="1:15">
      <c r="A956" s="36"/>
      <c r="B956" s="32"/>
      <c r="C956" s="39"/>
      <c r="D956" s="44" t="str">
        <f>IF(OR(B956="",C956=""),"",CONCATENATE(B956,"-",C956))</f>
        <v/>
      </c>
      <c r="E956" s="49" t="str">
        <f>IF(B956="","",IFERROR(VLOOKUP(B956,'Coil Sheet at Plant'!$C:$G,5,FALSE),"ID Not Found"))</f>
        <v/>
      </c>
      <c r="F956" s="50" t="str">
        <f>IF(B956="","",IFERROR(VLOOKUP(B956,'Coil Sheet at Plant'!$C:$H,6,FALSE),"ID Not Found"))</f>
        <v/>
      </c>
      <c r="G956" s="81">
        <v>1103</v>
      </c>
      <c r="H956" s="89" t="str">
        <f>IF(OR(B956="",G956=""),"",IFERROR(VLOOKUP(B956,'Coil Sheet at Plant'!$C:$J,8,FALSE),0)*G956/SUMIF(B:B,B956,G:G))</f>
        <v/>
      </c>
      <c r="I956" s="56" t="str">
        <f>IF(B956="","",IFERROR(VLOOKUP(B956,'Coil Sheet at Plant'!$C:$L,9,FALSE),""))</f>
        <v/>
      </c>
      <c r="J956" s="85" t="str">
        <f>IF(B956="","",IFERROR(VLOOKUP(B956,'Coil Sheet at Plant'!$C:$M,10,FALSE),""))</f>
        <v/>
      </c>
      <c r="K956" s="69" t="str">
        <f>IF(B956="","",SUMIF(B:B,B956,G:G))</f>
        <v/>
      </c>
      <c r="L956" s="70" t="str">
        <f>IF(B956="","",IFERROR(VLOOKUP(B956,'Coil Sheet at Plant'!$C:$I,7,FALSE),""))</f>
        <v/>
      </c>
      <c r="M956" s="71" t="str">
        <f>IF(OR(K956="",L956=""),"",IF(L956=0,"⚠ NO PARENT WIDTH",IF(K956&gt;L956,"⚠ BABY &gt; PARENT","✔ OK")))</f>
        <v/>
      </c>
      <c r="N956" s="71" t="str">
        <f>IF(D956="","",IF(COUNTIF(D$3:D956,D956)&gt;1,"⚠ DUPLICATE",""))</f>
        <v/>
      </c>
      <c r="O956" s="72" t="str">
        <f>IF(B956="","",SUMIF(B:B,B956,G:G)&amp;" / "&amp;IFERROR(VLOOKUP(B956,'Coil Sheet at Plant'!$C:$I,7,FALSE),"?")&amp;" mm")</f>
        <v/>
      </c>
    </row>
    <row r="957" spans="1:15">
      <c r="A957" s="36"/>
      <c r="B957" s="32"/>
      <c r="C957" s="39"/>
      <c r="D957" s="44" t="str">
        <f>IF(OR(B957="",C957=""),"",CONCATENATE(B957,"-",C957))</f>
        <v/>
      </c>
      <c r="E957" s="49" t="str">
        <f>IF(B957="","",IFERROR(VLOOKUP(B957,'Coil Sheet at Plant'!$C:$G,5,FALSE),"ID Not Found"))</f>
        <v/>
      </c>
      <c r="F957" s="50" t="str">
        <f>IF(B957="","",IFERROR(VLOOKUP(B957,'Coil Sheet at Plant'!$C:$H,6,FALSE),"ID Not Found"))</f>
        <v/>
      </c>
      <c r="G957" s="81">
        <v>1104</v>
      </c>
      <c r="H957" s="89" t="str">
        <f>IF(OR(B957="",G957=""),"",IFERROR(VLOOKUP(B957,'Coil Sheet at Plant'!$C:$J,8,FALSE),0)*G957/SUMIF(B:B,B957,G:G))</f>
        <v/>
      </c>
      <c r="I957" s="56" t="str">
        <f>IF(B957="","",IFERROR(VLOOKUP(B957,'Coil Sheet at Plant'!$C:$L,9,FALSE),""))</f>
        <v/>
      </c>
      <c r="J957" s="85" t="str">
        <f>IF(B957="","",IFERROR(VLOOKUP(B957,'Coil Sheet at Plant'!$C:$M,10,FALSE),""))</f>
        <v/>
      </c>
      <c r="K957" s="69" t="str">
        <f>IF(B957="","",SUMIF(B:B,B957,G:G))</f>
        <v/>
      </c>
      <c r="L957" s="70" t="str">
        <f>IF(B957="","",IFERROR(VLOOKUP(B957,'Coil Sheet at Plant'!$C:$I,7,FALSE),""))</f>
        <v/>
      </c>
      <c r="M957" s="71" t="str">
        <f>IF(OR(K957="",L957=""),"",IF(L957=0,"⚠ NO PARENT WIDTH",IF(K957&gt;L957,"⚠ BABY &gt; PARENT","✔ OK")))</f>
        <v/>
      </c>
      <c r="N957" s="71" t="str">
        <f>IF(D957="","",IF(COUNTIF(D$3:D957,D957)&gt;1,"⚠ DUPLICATE",""))</f>
        <v/>
      </c>
      <c r="O957" s="72" t="str">
        <f>IF(B957="","",SUMIF(B:B,B957,G:G)&amp;" / "&amp;IFERROR(VLOOKUP(B957,'Coil Sheet at Plant'!$C:$I,7,FALSE),"?")&amp;" mm")</f>
        <v/>
      </c>
    </row>
    <row r="958" spans="1:15">
      <c r="A958" s="36"/>
      <c r="B958" s="32"/>
      <c r="C958" s="39"/>
      <c r="D958" s="44" t="str">
        <f>IF(OR(B958="",C958=""),"",CONCATENATE(B958,"-",C958))</f>
        <v/>
      </c>
      <c r="E958" s="49" t="str">
        <f>IF(B958="","",IFERROR(VLOOKUP(B958,'Coil Sheet at Plant'!$C:$G,5,FALSE),"ID Not Found"))</f>
        <v/>
      </c>
      <c r="F958" s="50" t="str">
        <f>IF(B958="","",IFERROR(VLOOKUP(B958,'Coil Sheet at Plant'!$C:$H,6,FALSE),"ID Not Found"))</f>
        <v/>
      </c>
      <c r="G958" s="81">
        <v>1105</v>
      </c>
      <c r="H958" s="89" t="str">
        <f>IF(OR(B958="",G958=""),"",IFERROR(VLOOKUP(B958,'Coil Sheet at Plant'!$C:$J,8,FALSE),0)*G958/SUMIF(B:B,B958,G:G))</f>
        <v/>
      </c>
      <c r="I958" s="56" t="str">
        <f>IF(B958="","",IFERROR(VLOOKUP(B958,'Coil Sheet at Plant'!$C:$L,9,FALSE),""))</f>
        <v/>
      </c>
      <c r="J958" s="85" t="str">
        <f>IF(B958="","",IFERROR(VLOOKUP(B958,'Coil Sheet at Plant'!$C:$M,10,FALSE),""))</f>
        <v/>
      </c>
      <c r="K958" s="69" t="str">
        <f>IF(B958="","",SUMIF(B:B,B958,G:G))</f>
        <v/>
      </c>
      <c r="L958" s="70" t="str">
        <f>IF(B958="","",IFERROR(VLOOKUP(B958,'Coil Sheet at Plant'!$C:$I,7,FALSE),""))</f>
        <v/>
      </c>
      <c r="M958" s="71" t="str">
        <f>IF(OR(K958="",L958=""),"",IF(L958=0,"⚠ NO PARENT WIDTH",IF(K958&gt;L958,"⚠ BABY &gt; PARENT","✔ OK")))</f>
        <v/>
      </c>
      <c r="N958" s="71" t="str">
        <f>IF(D958="","",IF(COUNTIF(D$3:D958,D958)&gt;1,"⚠ DUPLICATE",""))</f>
        <v/>
      </c>
      <c r="O958" s="72" t="str">
        <f>IF(B958="","",SUMIF(B:B,B958,G:G)&amp;" / "&amp;IFERROR(VLOOKUP(B958,'Coil Sheet at Plant'!$C:$I,7,FALSE),"?")&amp;" mm")</f>
        <v/>
      </c>
    </row>
    <row r="959" spans="1:15">
      <c r="A959" s="36"/>
      <c r="B959" s="32"/>
      <c r="C959" s="39"/>
      <c r="D959" s="44" t="str">
        <f>IF(OR(B959="",C959=""),"",CONCATENATE(B959,"-",C959))</f>
        <v/>
      </c>
      <c r="E959" s="49" t="str">
        <f>IF(B959="","",IFERROR(VLOOKUP(B959,'Coil Sheet at Plant'!$C:$G,5,FALSE),"ID Not Found"))</f>
        <v/>
      </c>
      <c r="F959" s="50" t="str">
        <f>IF(B959="","",IFERROR(VLOOKUP(B959,'Coil Sheet at Plant'!$C:$H,6,FALSE),"ID Not Found"))</f>
        <v/>
      </c>
      <c r="G959" s="81">
        <v>1106</v>
      </c>
      <c r="H959" s="89" t="str">
        <f>IF(OR(B959="",G959=""),"",IFERROR(VLOOKUP(B959,'Coil Sheet at Plant'!$C:$J,8,FALSE),0)*G959/SUMIF(B:B,B959,G:G))</f>
        <v/>
      </c>
      <c r="I959" s="56" t="str">
        <f>IF(B959="","",IFERROR(VLOOKUP(B959,'Coil Sheet at Plant'!$C:$L,9,FALSE),""))</f>
        <v/>
      </c>
      <c r="J959" s="85" t="str">
        <f>IF(B959="","",IFERROR(VLOOKUP(B959,'Coil Sheet at Plant'!$C:$M,10,FALSE),""))</f>
        <v/>
      </c>
      <c r="K959" s="69" t="str">
        <f>IF(B959="","",SUMIF(B:B,B959,G:G))</f>
        <v/>
      </c>
      <c r="L959" s="70" t="str">
        <f>IF(B959="","",IFERROR(VLOOKUP(B959,'Coil Sheet at Plant'!$C:$I,7,FALSE),""))</f>
        <v/>
      </c>
      <c r="M959" s="71" t="str">
        <f>IF(OR(K959="",L959=""),"",IF(L959=0,"⚠ NO PARENT WIDTH",IF(K959&gt;L959,"⚠ BABY &gt; PARENT","✔ OK")))</f>
        <v/>
      </c>
      <c r="N959" s="71" t="str">
        <f>IF(D959="","",IF(COUNTIF(D$3:D959,D959)&gt;1,"⚠ DUPLICATE",""))</f>
        <v/>
      </c>
      <c r="O959" s="72" t="str">
        <f>IF(B959="","",SUMIF(B:B,B959,G:G)&amp;" / "&amp;IFERROR(VLOOKUP(B959,'Coil Sheet at Plant'!$C:$I,7,FALSE),"?")&amp;" mm")</f>
        <v/>
      </c>
    </row>
    <row r="960" spans="1:15">
      <c r="A960" s="36"/>
      <c r="B960" s="32"/>
      <c r="C960" s="39"/>
      <c r="D960" s="44" t="str">
        <f>IF(OR(B960="",C960=""),"",CONCATENATE(B960,"-",C960))</f>
        <v/>
      </c>
      <c r="E960" s="49" t="str">
        <f>IF(B960="","",IFERROR(VLOOKUP(B960,'Coil Sheet at Plant'!$C:$G,5,FALSE),"ID Not Found"))</f>
        <v/>
      </c>
      <c r="F960" s="50" t="str">
        <f>IF(B960="","",IFERROR(VLOOKUP(B960,'Coil Sheet at Plant'!$C:$H,6,FALSE),"ID Not Found"))</f>
        <v/>
      </c>
      <c r="G960" s="81">
        <v>1107</v>
      </c>
      <c r="H960" s="89" t="str">
        <f>IF(OR(B960="",G960=""),"",IFERROR(VLOOKUP(B960,'Coil Sheet at Plant'!$C:$J,8,FALSE),0)*G960/SUMIF(B:B,B960,G:G))</f>
        <v/>
      </c>
      <c r="I960" s="56" t="str">
        <f>IF(B960="","",IFERROR(VLOOKUP(B960,'Coil Sheet at Plant'!$C:$L,9,FALSE),""))</f>
        <v/>
      </c>
      <c r="J960" s="85" t="str">
        <f>IF(B960="","",IFERROR(VLOOKUP(B960,'Coil Sheet at Plant'!$C:$M,10,FALSE),""))</f>
        <v/>
      </c>
      <c r="K960" s="69" t="str">
        <f>IF(B960="","",SUMIF(B:B,B960,G:G))</f>
        <v/>
      </c>
      <c r="L960" s="70" t="str">
        <f>IF(B960="","",IFERROR(VLOOKUP(B960,'Coil Sheet at Plant'!$C:$I,7,FALSE),""))</f>
        <v/>
      </c>
      <c r="M960" s="71" t="str">
        <f>IF(OR(K960="",L960=""),"",IF(L960=0,"⚠ NO PARENT WIDTH",IF(K960&gt;L960,"⚠ BABY &gt; PARENT","✔ OK")))</f>
        <v/>
      </c>
      <c r="N960" s="71" t="str">
        <f>IF(D960="","",IF(COUNTIF(D$3:D960,D960)&gt;1,"⚠ DUPLICATE",""))</f>
        <v/>
      </c>
      <c r="O960" s="72" t="str">
        <f>IF(B960="","",SUMIF(B:B,B960,G:G)&amp;" / "&amp;IFERROR(VLOOKUP(B960,'Coil Sheet at Plant'!$C:$I,7,FALSE),"?")&amp;" mm")</f>
        <v/>
      </c>
    </row>
    <row r="961" spans="1:15">
      <c r="A961" s="36"/>
      <c r="B961" s="32"/>
      <c r="C961" s="39"/>
      <c r="D961" s="44" t="str">
        <f>IF(OR(B961="",C961=""),"",CONCATENATE(B961,"-",C961))</f>
        <v/>
      </c>
      <c r="E961" s="49" t="str">
        <f>IF(B961="","",IFERROR(VLOOKUP(B961,'Coil Sheet at Plant'!$C:$G,5,FALSE),"ID Not Found"))</f>
        <v/>
      </c>
      <c r="F961" s="50" t="str">
        <f>IF(B961="","",IFERROR(VLOOKUP(B961,'Coil Sheet at Plant'!$C:$H,6,FALSE),"ID Not Found"))</f>
        <v/>
      </c>
      <c r="G961" s="81">
        <v>1108</v>
      </c>
      <c r="H961" s="89" t="str">
        <f>IF(OR(B961="",G961=""),"",IFERROR(VLOOKUP(B961,'Coil Sheet at Plant'!$C:$J,8,FALSE),0)*G961/SUMIF(B:B,B961,G:G))</f>
        <v/>
      </c>
      <c r="I961" s="56" t="str">
        <f>IF(B961="","",IFERROR(VLOOKUP(B961,'Coil Sheet at Plant'!$C:$L,9,FALSE),""))</f>
        <v/>
      </c>
      <c r="J961" s="85" t="str">
        <f>IF(B961="","",IFERROR(VLOOKUP(B961,'Coil Sheet at Plant'!$C:$M,10,FALSE),""))</f>
        <v/>
      </c>
      <c r="K961" s="69" t="str">
        <f>IF(B961="","",SUMIF(B:B,B961,G:G))</f>
        <v/>
      </c>
      <c r="L961" s="70" t="str">
        <f>IF(B961="","",IFERROR(VLOOKUP(B961,'Coil Sheet at Plant'!$C:$I,7,FALSE),""))</f>
        <v/>
      </c>
      <c r="M961" s="71" t="str">
        <f>IF(OR(K961="",L961=""),"",IF(L961=0,"⚠ NO PARENT WIDTH",IF(K961&gt;L961,"⚠ BABY &gt; PARENT","✔ OK")))</f>
        <v/>
      </c>
      <c r="N961" s="71" t="str">
        <f>IF(D961="","",IF(COUNTIF(D$3:D961,D961)&gt;1,"⚠ DUPLICATE",""))</f>
        <v/>
      </c>
      <c r="O961" s="72" t="str">
        <f>IF(B961="","",SUMIF(B:B,B961,G:G)&amp;" / "&amp;IFERROR(VLOOKUP(B961,'Coil Sheet at Plant'!$C:$I,7,FALSE),"?")&amp;" mm")</f>
        <v/>
      </c>
    </row>
    <row r="962" spans="1:15">
      <c r="A962" s="36"/>
      <c r="B962" s="32"/>
      <c r="C962" s="39"/>
      <c r="D962" s="44" t="str">
        <f>IF(OR(B962="",C962=""),"",CONCATENATE(B962,"-",C962))</f>
        <v/>
      </c>
      <c r="E962" s="49" t="str">
        <f>IF(B962="","",IFERROR(VLOOKUP(B962,'Coil Sheet at Plant'!$C:$G,5,FALSE),"ID Not Found"))</f>
        <v/>
      </c>
      <c r="F962" s="50" t="str">
        <f>IF(B962="","",IFERROR(VLOOKUP(B962,'Coil Sheet at Plant'!$C:$H,6,FALSE),"ID Not Found"))</f>
        <v/>
      </c>
      <c r="G962" s="81">
        <v>1109</v>
      </c>
      <c r="H962" s="89" t="str">
        <f>IF(OR(B962="",G962=""),"",IFERROR(VLOOKUP(B962,'Coil Sheet at Plant'!$C:$J,8,FALSE),0)*G962/SUMIF(B:B,B962,G:G))</f>
        <v/>
      </c>
      <c r="I962" s="56" t="str">
        <f>IF(B962="","",IFERROR(VLOOKUP(B962,'Coil Sheet at Plant'!$C:$L,9,FALSE),""))</f>
        <v/>
      </c>
      <c r="J962" s="85" t="str">
        <f>IF(B962="","",IFERROR(VLOOKUP(B962,'Coil Sheet at Plant'!$C:$M,10,FALSE),""))</f>
        <v/>
      </c>
      <c r="K962" s="69" t="str">
        <f>IF(B962="","",SUMIF(B:B,B962,G:G))</f>
        <v/>
      </c>
      <c r="L962" s="70" t="str">
        <f>IF(B962="","",IFERROR(VLOOKUP(B962,'Coil Sheet at Plant'!$C:$I,7,FALSE),""))</f>
        <v/>
      </c>
      <c r="M962" s="71" t="str">
        <f>IF(OR(K962="",L962=""),"",IF(L962=0,"⚠ NO PARENT WIDTH",IF(K962&gt;L962,"⚠ BABY &gt; PARENT","✔ OK")))</f>
        <v/>
      </c>
      <c r="N962" s="71" t="str">
        <f>IF(D962="","",IF(COUNTIF(D$3:D962,D962)&gt;1,"⚠ DUPLICATE",""))</f>
        <v/>
      </c>
      <c r="O962" s="72" t="str">
        <f>IF(B962="","",SUMIF(B:B,B962,G:G)&amp;" / "&amp;IFERROR(VLOOKUP(B962,'Coil Sheet at Plant'!$C:$I,7,FALSE),"?")&amp;" mm")</f>
        <v/>
      </c>
    </row>
    <row r="963" spans="1:15">
      <c r="A963" s="36"/>
      <c r="B963" s="32"/>
      <c r="C963" s="39"/>
      <c r="D963" s="44" t="str">
        <f>IF(OR(B963="",C963=""),"",CONCATENATE(B963,"-",C963))</f>
        <v/>
      </c>
      <c r="E963" s="49" t="str">
        <f>IF(B963="","",IFERROR(VLOOKUP(B963,'Coil Sheet at Plant'!$C:$G,5,FALSE),"ID Not Found"))</f>
        <v/>
      </c>
      <c r="F963" s="50" t="str">
        <f>IF(B963="","",IFERROR(VLOOKUP(B963,'Coil Sheet at Plant'!$C:$H,6,FALSE),"ID Not Found"))</f>
        <v/>
      </c>
      <c r="G963" s="81">
        <v>1110</v>
      </c>
      <c r="H963" s="89" t="str">
        <f>IF(OR(B963="",G963=""),"",IFERROR(VLOOKUP(B963,'Coil Sheet at Plant'!$C:$J,8,FALSE),0)*G963/SUMIF(B:B,B963,G:G))</f>
        <v/>
      </c>
      <c r="I963" s="56" t="str">
        <f>IF(B963="","",IFERROR(VLOOKUP(B963,'Coil Sheet at Plant'!$C:$L,9,FALSE),""))</f>
        <v/>
      </c>
      <c r="J963" s="85" t="str">
        <f>IF(B963="","",IFERROR(VLOOKUP(B963,'Coil Sheet at Plant'!$C:$M,10,FALSE),""))</f>
        <v/>
      </c>
      <c r="K963" s="69" t="str">
        <f>IF(B963="","",SUMIF(B:B,B963,G:G))</f>
        <v/>
      </c>
      <c r="L963" s="70" t="str">
        <f>IF(B963="","",IFERROR(VLOOKUP(B963,'Coil Sheet at Plant'!$C:$I,7,FALSE),""))</f>
        <v/>
      </c>
      <c r="M963" s="71" t="str">
        <f>IF(OR(K963="",L963=""),"",IF(L963=0,"⚠ NO PARENT WIDTH",IF(K963&gt;L963,"⚠ BABY &gt; PARENT","✔ OK")))</f>
        <v/>
      </c>
      <c r="N963" s="71" t="str">
        <f>IF(D963="","",IF(COUNTIF(D$3:D963,D963)&gt;1,"⚠ DUPLICATE",""))</f>
        <v/>
      </c>
      <c r="O963" s="72" t="str">
        <f>IF(B963="","",SUMIF(B:B,B963,G:G)&amp;" / "&amp;IFERROR(VLOOKUP(B963,'Coil Sheet at Plant'!$C:$I,7,FALSE),"?")&amp;" mm")</f>
        <v/>
      </c>
    </row>
    <row r="964" spans="1:15">
      <c r="A964" s="36"/>
      <c r="B964" s="32"/>
      <c r="C964" s="39"/>
      <c r="D964" s="44" t="str">
        <f>IF(OR(B964="",C964=""),"",CONCATENATE(B964,"-",C964))</f>
        <v/>
      </c>
      <c r="E964" s="49" t="str">
        <f>IF(B964="","",IFERROR(VLOOKUP(B964,'Coil Sheet at Plant'!$C:$G,5,FALSE),"ID Not Found"))</f>
        <v/>
      </c>
      <c r="F964" s="50" t="str">
        <f>IF(B964="","",IFERROR(VLOOKUP(B964,'Coil Sheet at Plant'!$C:$H,6,FALSE),"ID Not Found"))</f>
        <v/>
      </c>
      <c r="G964" s="81">
        <v>1111</v>
      </c>
      <c r="H964" s="89" t="str">
        <f>IF(OR(B964="",G964=""),"",IFERROR(VLOOKUP(B964,'Coil Sheet at Plant'!$C:$J,8,FALSE),0)*G964/SUMIF(B:B,B964,G:G))</f>
        <v/>
      </c>
      <c r="I964" s="56" t="str">
        <f>IF(B964="","",IFERROR(VLOOKUP(B964,'Coil Sheet at Plant'!$C:$L,9,FALSE),""))</f>
        <v/>
      </c>
      <c r="J964" s="85" t="str">
        <f>IF(B964="","",IFERROR(VLOOKUP(B964,'Coil Sheet at Plant'!$C:$M,10,FALSE),""))</f>
        <v/>
      </c>
      <c r="K964" s="69" t="str">
        <f>IF(B964="","",SUMIF(B:B,B964,G:G))</f>
        <v/>
      </c>
      <c r="L964" s="70" t="str">
        <f>IF(B964="","",IFERROR(VLOOKUP(B964,'Coil Sheet at Plant'!$C:$I,7,FALSE),""))</f>
        <v/>
      </c>
      <c r="M964" s="71" t="str">
        <f>IF(OR(K964="",L964=""),"",IF(L964=0,"⚠ NO PARENT WIDTH",IF(K964&gt;L964,"⚠ BABY &gt; PARENT","✔ OK")))</f>
        <v/>
      </c>
      <c r="N964" s="71" t="str">
        <f>IF(D964="","",IF(COUNTIF(D$3:D964,D964)&gt;1,"⚠ DUPLICATE",""))</f>
        <v/>
      </c>
      <c r="O964" s="72" t="str">
        <f>IF(B964="","",SUMIF(B:B,B964,G:G)&amp;" / "&amp;IFERROR(VLOOKUP(B964,'Coil Sheet at Plant'!$C:$I,7,FALSE),"?")&amp;" mm")</f>
        <v/>
      </c>
    </row>
    <row r="965" spans="1:15">
      <c r="A965" s="36"/>
      <c r="B965" s="32"/>
      <c r="C965" s="39"/>
      <c r="D965" s="44" t="str">
        <f>IF(OR(B965="",C965=""),"",CONCATENATE(B965,"-",C965))</f>
        <v/>
      </c>
      <c r="E965" s="49" t="str">
        <f>IF(B965="","",IFERROR(VLOOKUP(B965,'Coil Sheet at Plant'!$C:$G,5,FALSE),"ID Not Found"))</f>
        <v/>
      </c>
      <c r="F965" s="50" t="str">
        <f>IF(B965="","",IFERROR(VLOOKUP(B965,'Coil Sheet at Plant'!$C:$H,6,FALSE),"ID Not Found"))</f>
        <v/>
      </c>
      <c r="G965" s="81">
        <v>1112</v>
      </c>
      <c r="H965" s="89" t="str">
        <f>IF(OR(B965="",G965=""),"",IFERROR(VLOOKUP(B965,'Coil Sheet at Plant'!$C:$J,8,FALSE),0)*G965/SUMIF(B:B,B965,G:G))</f>
        <v/>
      </c>
      <c r="I965" s="56" t="str">
        <f>IF(B965="","",IFERROR(VLOOKUP(B965,'Coil Sheet at Plant'!$C:$L,9,FALSE),""))</f>
        <v/>
      </c>
      <c r="J965" s="85" t="str">
        <f>IF(B965="","",IFERROR(VLOOKUP(B965,'Coil Sheet at Plant'!$C:$M,10,FALSE),""))</f>
        <v/>
      </c>
      <c r="K965" s="69" t="str">
        <f>IF(B965="","",SUMIF(B:B,B965,G:G))</f>
        <v/>
      </c>
      <c r="L965" s="70" t="str">
        <f>IF(B965="","",IFERROR(VLOOKUP(B965,'Coil Sheet at Plant'!$C:$I,7,FALSE),""))</f>
        <v/>
      </c>
      <c r="M965" s="71" t="str">
        <f>IF(OR(K965="",L965=""),"",IF(L965=0,"⚠ NO PARENT WIDTH",IF(K965&gt;L965,"⚠ BABY &gt; PARENT","✔ OK")))</f>
        <v/>
      </c>
      <c r="N965" s="71" t="str">
        <f>IF(D965="","",IF(COUNTIF(D$3:D965,D965)&gt;1,"⚠ DUPLICATE",""))</f>
        <v/>
      </c>
      <c r="O965" s="72" t="str">
        <f>IF(B965="","",SUMIF(B:B,B965,G:G)&amp;" / "&amp;IFERROR(VLOOKUP(B965,'Coil Sheet at Plant'!$C:$I,7,FALSE),"?")&amp;" mm")</f>
        <v/>
      </c>
    </row>
    <row r="966" spans="1:15">
      <c r="A966" s="36"/>
      <c r="B966" s="32"/>
      <c r="C966" s="39"/>
      <c r="D966" s="44" t="str">
        <f>IF(OR(B966="",C966=""),"",CONCATENATE(B966,"-",C966))</f>
        <v/>
      </c>
      <c r="E966" s="49" t="str">
        <f>IF(B966="","",IFERROR(VLOOKUP(B966,'Coil Sheet at Plant'!$C:$G,5,FALSE),"ID Not Found"))</f>
        <v/>
      </c>
      <c r="F966" s="50" t="str">
        <f>IF(B966="","",IFERROR(VLOOKUP(B966,'Coil Sheet at Plant'!$C:$H,6,FALSE),"ID Not Found"))</f>
        <v/>
      </c>
      <c r="G966" s="81">
        <v>1113</v>
      </c>
      <c r="H966" s="89" t="str">
        <f>IF(OR(B966="",G966=""),"",IFERROR(VLOOKUP(B966,'Coil Sheet at Plant'!$C:$J,8,FALSE),0)*G966/SUMIF(B:B,B966,G:G))</f>
        <v/>
      </c>
      <c r="I966" s="56" t="str">
        <f>IF(B966="","",IFERROR(VLOOKUP(B966,'Coil Sheet at Plant'!$C:$L,9,FALSE),""))</f>
        <v/>
      </c>
      <c r="J966" s="85" t="str">
        <f>IF(B966="","",IFERROR(VLOOKUP(B966,'Coil Sheet at Plant'!$C:$M,10,FALSE),""))</f>
        <v/>
      </c>
      <c r="K966" s="69" t="str">
        <f>IF(B966="","",SUMIF(B:B,B966,G:G))</f>
        <v/>
      </c>
      <c r="L966" s="70" t="str">
        <f>IF(B966="","",IFERROR(VLOOKUP(B966,'Coil Sheet at Plant'!$C:$I,7,FALSE),""))</f>
        <v/>
      </c>
      <c r="M966" s="71" t="str">
        <f>IF(OR(K966="",L966=""),"",IF(L966=0,"⚠ NO PARENT WIDTH",IF(K966&gt;L966,"⚠ BABY &gt; PARENT","✔ OK")))</f>
        <v/>
      </c>
      <c r="N966" s="71" t="str">
        <f>IF(D966="","",IF(COUNTIF(D$3:D966,D966)&gt;1,"⚠ DUPLICATE",""))</f>
        <v/>
      </c>
      <c r="O966" s="72" t="str">
        <f>IF(B966="","",SUMIF(B:B,B966,G:G)&amp;" / "&amp;IFERROR(VLOOKUP(B966,'Coil Sheet at Plant'!$C:$I,7,FALSE),"?")&amp;" mm")</f>
        <v/>
      </c>
    </row>
    <row r="967" spans="1:15">
      <c r="A967" s="36"/>
      <c r="B967" s="32"/>
      <c r="C967" s="39"/>
      <c r="D967" s="44" t="str">
        <f>IF(OR(B967="",C967=""),"",CONCATENATE(B967,"-",C967))</f>
        <v/>
      </c>
      <c r="E967" s="49" t="str">
        <f>IF(B967="","",IFERROR(VLOOKUP(B967,'Coil Sheet at Plant'!$C:$G,5,FALSE),"ID Not Found"))</f>
        <v/>
      </c>
      <c r="F967" s="50" t="str">
        <f>IF(B967="","",IFERROR(VLOOKUP(B967,'Coil Sheet at Plant'!$C:$H,6,FALSE),"ID Not Found"))</f>
        <v/>
      </c>
      <c r="G967" s="81">
        <v>1114</v>
      </c>
      <c r="H967" s="89" t="str">
        <f>IF(OR(B967="",G967=""),"",IFERROR(VLOOKUP(B967,'Coil Sheet at Plant'!$C:$J,8,FALSE),0)*G967/SUMIF(B:B,B967,G:G))</f>
        <v/>
      </c>
      <c r="I967" s="56" t="str">
        <f>IF(B967="","",IFERROR(VLOOKUP(B967,'Coil Sheet at Plant'!$C:$L,9,FALSE),""))</f>
        <v/>
      </c>
      <c r="J967" s="85" t="str">
        <f>IF(B967="","",IFERROR(VLOOKUP(B967,'Coil Sheet at Plant'!$C:$M,10,FALSE),""))</f>
        <v/>
      </c>
      <c r="K967" s="69" t="str">
        <f>IF(B967="","",SUMIF(B:B,B967,G:G))</f>
        <v/>
      </c>
      <c r="L967" s="70" t="str">
        <f>IF(B967="","",IFERROR(VLOOKUP(B967,'Coil Sheet at Plant'!$C:$I,7,FALSE),""))</f>
        <v/>
      </c>
      <c r="M967" s="71" t="str">
        <f>IF(OR(K967="",L967=""),"",IF(L967=0,"⚠ NO PARENT WIDTH",IF(K967&gt;L967,"⚠ BABY &gt; PARENT","✔ OK")))</f>
        <v/>
      </c>
      <c r="N967" s="71" t="str">
        <f>IF(D967="","",IF(COUNTIF(D$3:D967,D967)&gt;1,"⚠ DUPLICATE",""))</f>
        <v/>
      </c>
      <c r="O967" s="72" t="str">
        <f>IF(B967="","",SUMIF(B:B,B967,G:G)&amp;" / "&amp;IFERROR(VLOOKUP(B967,'Coil Sheet at Plant'!$C:$I,7,FALSE),"?")&amp;" mm")</f>
        <v/>
      </c>
    </row>
    <row r="968" spans="1:15">
      <c r="A968" s="36"/>
      <c r="B968" s="32"/>
      <c r="C968" s="39"/>
      <c r="D968" s="44" t="str">
        <f>IF(OR(B968="",C968=""),"",CONCATENATE(B968,"-",C968))</f>
        <v/>
      </c>
      <c r="E968" s="49" t="str">
        <f>IF(B968="","",IFERROR(VLOOKUP(B968,'Coil Sheet at Plant'!$C:$G,5,FALSE),"ID Not Found"))</f>
        <v/>
      </c>
      <c r="F968" s="50" t="str">
        <f>IF(B968="","",IFERROR(VLOOKUP(B968,'Coil Sheet at Plant'!$C:$H,6,FALSE),"ID Not Found"))</f>
        <v/>
      </c>
      <c r="G968" s="81">
        <v>1115</v>
      </c>
      <c r="H968" s="89" t="str">
        <f>IF(OR(B968="",G968=""),"",IFERROR(VLOOKUP(B968,'Coil Sheet at Plant'!$C:$J,8,FALSE),0)*G968/SUMIF(B:B,B968,G:G))</f>
        <v/>
      </c>
      <c r="I968" s="56" t="str">
        <f>IF(B968="","",IFERROR(VLOOKUP(B968,'Coil Sheet at Plant'!$C:$L,9,FALSE),""))</f>
        <v/>
      </c>
      <c r="J968" s="85" t="str">
        <f>IF(B968="","",IFERROR(VLOOKUP(B968,'Coil Sheet at Plant'!$C:$M,10,FALSE),""))</f>
        <v/>
      </c>
      <c r="K968" s="69" t="str">
        <f>IF(B968="","",SUMIF(B:B,B968,G:G))</f>
        <v/>
      </c>
      <c r="L968" s="70" t="str">
        <f>IF(B968="","",IFERROR(VLOOKUP(B968,'Coil Sheet at Plant'!$C:$I,7,FALSE),""))</f>
        <v/>
      </c>
      <c r="M968" s="71" t="str">
        <f>IF(OR(K968="",L968=""),"",IF(L968=0,"⚠ NO PARENT WIDTH",IF(K968&gt;L968,"⚠ BABY &gt; PARENT","✔ OK")))</f>
        <v/>
      </c>
      <c r="N968" s="71" t="str">
        <f>IF(D968="","",IF(COUNTIF(D$3:D968,D968)&gt;1,"⚠ DUPLICATE",""))</f>
        <v/>
      </c>
      <c r="O968" s="72" t="str">
        <f>IF(B968="","",SUMIF(B:B,B968,G:G)&amp;" / "&amp;IFERROR(VLOOKUP(B968,'Coil Sheet at Plant'!$C:$I,7,FALSE),"?")&amp;" mm")</f>
        <v/>
      </c>
    </row>
    <row r="969" spans="1:15">
      <c r="A969" s="36"/>
      <c r="B969" s="32"/>
      <c r="C969" s="39"/>
      <c r="D969" s="44" t="str">
        <f>IF(OR(B969="",C969=""),"",CONCATENATE(B969,"-",C969))</f>
        <v/>
      </c>
      <c r="E969" s="49" t="str">
        <f>IF(B969="","",IFERROR(VLOOKUP(B969,'Coil Sheet at Plant'!$C:$G,5,FALSE),"ID Not Found"))</f>
        <v/>
      </c>
      <c r="F969" s="50" t="str">
        <f>IF(B969="","",IFERROR(VLOOKUP(B969,'Coil Sheet at Plant'!$C:$H,6,FALSE),"ID Not Found"))</f>
        <v/>
      </c>
      <c r="G969" s="81">
        <v>1116</v>
      </c>
      <c r="H969" s="89" t="str">
        <f>IF(OR(B969="",G969=""),"",IFERROR(VLOOKUP(B969,'Coil Sheet at Plant'!$C:$J,8,FALSE),0)*G969/SUMIF(B:B,B969,G:G))</f>
        <v/>
      </c>
      <c r="I969" s="56" t="str">
        <f>IF(B969="","",IFERROR(VLOOKUP(B969,'Coil Sheet at Plant'!$C:$L,9,FALSE),""))</f>
        <v/>
      </c>
      <c r="J969" s="85" t="str">
        <f>IF(B969="","",IFERROR(VLOOKUP(B969,'Coil Sheet at Plant'!$C:$M,10,FALSE),""))</f>
        <v/>
      </c>
      <c r="K969" s="69" t="str">
        <f>IF(B969="","",SUMIF(B:B,B969,G:G))</f>
        <v/>
      </c>
      <c r="L969" s="70" t="str">
        <f>IF(B969="","",IFERROR(VLOOKUP(B969,'Coil Sheet at Plant'!$C:$I,7,FALSE),""))</f>
        <v/>
      </c>
      <c r="M969" s="71" t="str">
        <f>IF(OR(K969="",L969=""),"",IF(L969=0,"⚠ NO PARENT WIDTH",IF(K969&gt;L969,"⚠ BABY &gt; PARENT","✔ OK")))</f>
        <v/>
      </c>
      <c r="N969" s="71" t="str">
        <f>IF(D969="","",IF(COUNTIF(D$3:D969,D969)&gt;1,"⚠ DUPLICATE",""))</f>
        <v/>
      </c>
      <c r="O969" s="72" t="str">
        <f>IF(B969="","",SUMIF(B:B,B969,G:G)&amp;" / "&amp;IFERROR(VLOOKUP(B969,'Coil Sheet at Plant'!$C:$I,7,FALSE),"?")&amp;" mm")</f>
        <v/>
      </c>
    </row>
    <row r="970" spans="1:15">
      <c r="A970" s="36"/>
      <c r="B970" s="32"/>
      <c r="C970" s="39"/>
      <c r="D970" s="44" t="str">
        <f>IF(OR(B970="",C970=""),"",CONCATENATE(B970,"-",C970))</f>
        <v/>
      </c>
      <c r="E970" s="49" t="str">
        <f>IF(B970="","",IFERROR(VLOOKUP(B970,'Coil Sheet at Plant'!$C:$G,5,FALSE),"ID Not Found"))</f>
        <v/>
      </c>
      <c r="F970" s="50" t="str">
        <f>IF(B970="","",IFERROR(VLOOKUP(B970,'Coil Sheet at Plant'!$C:$H,6,FALSE),"ID Not Found"))</f>
        <v/>
      </c>
      <c r="G970" s="81">
        <v>1117</v>
      </c>
      <c r="H970" s="89" t="str">
        <f>IF(OR(B970="",G970=""),"",IFERROR(VLOOKUP(B970,'Coil Sheet at Plant'!$C:$J,8,FALSE),0)*G970/SUMIF(B:B,B970,G:G))</f>
        <v/>
      </c>
      <c r="I970" s="56" t="str">
        <f>IF(B970="","",IFERROR(VLOOKUP(B970,'Coil Sheet at Plant'!$C:$L,9,FALSE),""))</f>
        <v/>
      </c>
      <c r="J970" s="85" t="str">
        <f>IF(B970="","",IFERROR(VLOOKUP(B970,'Coil Sheet at Plant'!$C:$M,10,FALSE),""))</f>
        <v/>
      </c>
      <c r="K970" s="69" t="str">
        <f>IF(B970="","",SUMIF(B:B,B970,G:G))</f>
        <v/>
      </c>
      <c r="L970" s="70" t="str">
        <f>IF(B970="","",IFERROR(VLOOKUP(B970,'Coil Sheet at Plant'!$C:$I,7,FALSE),""))</f>
        <v/>
      </c>
      <c r="M970" s="71" t="str">
        <f>IF(OR(K970="",L970=""),"",IF(L970=0,"⚠ NO PARENT WIDTH",IF(K970&gt;L970,"⚠ BABY &gt; PARENT","✔ OK")))</f>
        <v/>
      </c>
      <c r="N970" s="71" t="str">
        <f>IF(D970="","",IF(COUNTIF(D$3:D970,D970)&gt;1,"⚠ DUPLICATE",""))</f>
        <v/>
      </c>
      <c r="O970" s="72" t="str">
        <f>IF(B970="","",SUMIF(B:B,B970,G:G)&amp;" / "&amp;IFERROR(VLOOKUP(B970,'Coil Sheet at Plant'!$C:$I,7,FALSE),"?")&amp;" mm")</f>
        <v/>
      </c>
    </row>
    <row r="971" spans="1:15">
      <c r="A971" s="36"/>
      <c r="B971" s="32"/>
      <c r="C971" s="39"/>
      <c r="D971" s="44" t="str">
        <f>IF(OR(B971="",C971=""),"",CONCATENATE(B971,"-",C971))</f>
        <v/>
      </c>
      <c r="E971" s="49" t="str">
        <f>IF(B971="","",IFERROR(VLOOKUP(B971,'Coil Sheet at Plant'!$C:$G,5,FALSE),"ID Not Found"))</f>
        <v/>
      </c>
      <c r="F971" s="50" t="str">
        <f>IF(B971="","",IFERROR(VLOOKUP(B971,'Coil Sheet at Plant'!$C:$H,6,FALSE),"ID Not Found"))</f>
        <v/>
      </c>
      <c r="G971" s="81">
        <v>1118</v>
      </c>
      <c r="H971" s="89" t="str">
        <f>IF(OR(B971="",G971=""),"",IFERROR(VLOOKUP(B971,'Coil Sheet at Plant'!$C:$J,8,FALSE),0)*G971/SUMIF(B:B,B971,G:G))</f>
        <v/>
      </c>
      <c r="I971" s="56" t="str">
        <f>IF(B971="","",IFERROR(VLOOKUP(B971,'Coil Sheet at Plant'!$C:$L,9,FALSE),""))</f>
        <v/>
      </c>
      <c r="J971" s="85" t="str">
        <f>IF(B971="","",IFERROR(VLOOKUP(B971,'Coil Sheet at Plant'!$C:$M,10,FALSE),""))</f>
        <v/>
      </c>
      <c r="K971" s="69" t="str">
        <f>IF(B971="","",SUMIF(B:B,B971,G:G))</f>
        <v/>
      </c>
      <c r="L971" s="70" t="str">
        <f>IF(B971="","",IFERROR(VLOOKUP(B971,'Coil Sheet at Plant'!$C:$I,7,FALSE),""))</f>
        <v/>
      </c>
      <c r="M971" s="71" t="str">
        <f>IF(OR(K971="",L971=""),"",IF(L971=0,"⚠ NO PARENT WIDTH",IF(K971&gt;L971,"⚠ BABY &gt; PARENT","✔ OK")))</f>
        <v/>
      </c>
      <c r="N971" s="71" t="str">
        <f>IF(D971="","",IF(COUNTIF(D$3:D971,D971)&gt;1,"⚠ DUPLICATE",""))</f>
        <v/>
      </c>
      <c r="O971" s="72" t="str">
        <f>IF(B971="","",SUMIF(B:B,B971,G:G)&amp;" / "&amp;IFERROR(VLOOKUP(B971,'Coil Sheet at Plant'!$C:$I,7,FALSE),"?")&amp;" mm")</f>
        <v/>
      </c>
    </row>
    <row r="972" spans="1:15">
      <c r="A972" s="36"/>
      <c r="B972" s="32"/>
      <c r="C972" s="39"/>
      <c r="D972" s="44" t="str">
        <f>IF(OR(B972="",C972=""),"",CONCATENATE(B972,"-",C972))</f>
        <v/>
      </c>
      <c r="E972" s="49" t="str">
        <f>IF(B972="","",IFERROR(VLOOKUP(B972,'Coil Sheet at Plant'!$C:$G,5,FALSE),"ID Not Found"))</f>
        <v/>
      </c>
      <c r="F972" s="50" t="str">
        <f>IF(B972="","",IFERROR(VLOOKUP(B972,'Coil Sheet at Plant'!$C:$H,6,FALSE),"ID Not Found"))</f>
        <v/>
      </c>
      <c r="G972" s="81">
        <v>1119</v>
      </c>
      <c r="H972" s="89" t="str">
        <f>IF(OR(B972="",G972=""),"",IFERROR(VLOOKUP(B972,'Coil Sheet at Plant'!$C:$J,8,FALSE),0)*G972/SUMIF(B:B,B972,G:G))</f>
        <v/>
      </c>
      <c r="I972" s="56" t="str">
        <f>IF(B972="","",IFERROR(VLOOKUP(B972,'Coil Sheet at Plant'!$C:$L,9,FALSE),""))</f>
        <v/>
      </c>
      <c r="J972" s="85" t="str">
        <f>IF(B972="","",IFERROR(VLOOKUP(B972,'Coil Sheet at Plant'!$C:$M,10,FALSE),""))</f>
        <v/>
      </c>
      <c r="K972" s="69" t="str">
        <f>IF(B972="","",SUMIF(B:B,B972,G:G))</f>
        <v/>
      </c>
      <c r="L972" s="70" t="str">
        <f>IF(B972="","",IFERROR(VLOOKUP(B972,'Coil Sheet at Plant'!$C:$I,7,FALSE),""))</f>
        <v/>
      </c>
      <c r="M972" s="71" t="str">
        <f>IF(OR(K972="",L972=""),"",IF(L972=0,"⚠ NO PARENT WIDTH",IF(K972&gt;L972,"⚠ BABY &gt; PARENT","✔ OK")))</f>
        <v/>
      </c>
      <c r="N972" s="71" t="str">
        <f>IF(D972="","",IF(COUNTIF(D$3:D972,D972)&gt;1,"⚠ DUPLICATE",""))</f>
        <v/>
      </c>
      <c r="O972" s="72" t="str">
        <f>IF(B972="","",SUMIF(B:B,B972,G:G)&amp;" / "&amp;IFERROR(VLOOKUP(B972,'Coil Sheet at Plant'!$C:$I,7,FALSE),"?")&amp;" mm")</f>
        <v/>
      </c>
    </row>
    <row r="973" spans="1:15">
      <c r="A973" s="36"/>
      <c r="B973" s="32"/>
      <c r="C973" s="39"/>
      <c r="D973" s="44" t="str">
        <f>IF(OR(B973="",C973=""),"",CONCATENATE(B973,"-",C973))</f>
        <v/>
      </c>
      <c r="E973" s="49" t="str">
        <f>IF(B973="","",IFERROR(VLOOKUP(B973,'Coil Sheet at Plant'!$C:$G,5,FALSE),"ID Not Found"))</f>
        <v/>
      </c>
      <c r="F973" s="50" t="str">
        <f>IF(B973="","",IFERROR(VLOOKUP(B973,'Coil Sheet at Plant'!$C:$H,6,FALSE),"ID Not Found"))</f>
        <v/>
      </c>
      <c r="G973" s="81">
        <v>1120</v>
      </c>
      <c r="H973" s="89" t="str">
        <f>IF(OR(B973="",G973=""),"",IFERROR(VLOOKUP(B973,'Coil Sheet at Plant'!$C:$J,8,FALSE),0)*G973/SUMIF(B:B,B973,G:G))</f>
        <v/>
      </c>
      <c r="I973" s="56" t="str">
        <f>IF(B973="","",IFERROR(VLOOKUP(B973,'Coil Sheet at Plant'!$C:$L,9,FALSE),""))</f>
        <v/>
      </c>
      <c r="J973" s="85" t="str">
        <f>IF(B973="","",IFERROR(VLOOKUP(B973,'Coil Sheet at Plant'!$C:$M,10,FALSE),""))</f>
        <v/>
      </c>
      <c r="K973" s="69" t="str">
        <f>IF(B973="","",SUMIF(B:B,B973,G:G))</f>
        <v/>
      </c>
      <c r="L973" s="70" t="str">
        <f>IF(B973="","",IFERROR(VLOOKUP(B973,'Coil Sheet at Plant'!$C:$I,7,FALSE),""))</f>
        <v/>
      </c>
      <c r="M973" s="71" t="str">
        <f>IF(OR(K973="",L973=""),"",IF(L973=0,"⚠ NO PARENT WIDTH",IF(K973&gt;L973,"⚠ BABY &gt; PARENT","✔ OK")))</f>
        <v/>
      </c>
      <c r="N973" s="71" t="str">
        <f>IF(D973="","",IF(COUNTIF(D$3:D973,D973)&gt;1,"⚠ DUPLICATE",""))</f>
        <v/>
      </c>
      <c r="O973" s="72" t="str">
        <f>IF(B973="","",SUMIF(B:B,B973,G:G)&amp;" / "&amp;IFERROR(VLOOKUP(B973,'Coil Sheet at Plant'!$C:$I,7,FALSE),"?")&amp;" mm")</f>
        <v/>
      </c>
    </row>
    <row r="974" spans="1:15">
      <c r="A974" s="36"/>
      <c r="B974" s="32"/>
      <c r="C974" s="39"/>
      <c r="D974" s="44" t="str">
        <f>IF(OR(B974="",C974=""),"",CONCATENATE(B974,"-",C974))</f>
        <v/>
      </c>
      <c r="E974" s="49" t="str">
        <f>IF(B974="","",IFERROR(VLOOKUP(B974,'Coil Sheet at Plant'!$C:$G,5,FALSE),"ID Not Found"))</f>
        <v/>
      </c>
      <c r="F974" s="50" t="str">
        <f>IF(B974="","",IFERROR(VLOOKUP(B974,'Coil Sheet at Plant'!$C:$H,6,FALSE),"ID Not Found"))</f>
        <v/>
      </c>
      <c r="G974" s="81">
        <v>1121</v>
      </c>
      <c r="H974" s="89" t="str">
        <f>IF(OR(B974="",G974=""),"",IFERROR(VLOOKUP(B974,'Coil Sheet at Plant'!$C:$J,8,FALSE),0)*G974/SUMIF(B:B,B974,G:G))</f>
        <v/>
      </c>
      <c r="I974" s="56" t="str">
        <f>IF(B974="","",IFERROR(VLOOKUP(B974,'Coil Sheet at Plant'!$C:$L,9,FALSE),""))</f>
        <v/>
      </c>
      <c r="J974" s="85" t="str">
        <f>IF(B974="","",IFERROR(VLOOKUP(B974,'Coil Sheet at Plant'!$C:$M,10,FALSE),""))</f>
        <v/>
      </c>
      <c r="K974" s="69" t="str">
        <f>IF(B974="","",SUMIF(B:B,B974,G:G))</f>
        <v/>
      </c>
      <c r="L974" s="70" t="str">
        <f>IF(B974="","",IFERROR(VLOOKUP(B974,'Coil Sheet at Plant'!$C:$I,7,FALSE),""))</f>
        <v/>
      </c>
      <c r="M974" s="71" t="str">
        <f>IF(OR(K974="",L974=""),"",IF(L974=0,"⚠ NO PARENT WIDTH",IF(K974&gt;L974,"⚠ BABY &gt; PARENT","✔ OK")))</f>
        <v/>
      </c>
      <c r="N974" s="71" t="str">
        <f>IF(D974="","",IF(COUNTIF(D$3:D974,D974)&gt;1,"⚠ DUPLICATE",""))</f>
        <v/>
      </c>
      <c r="O974" s="72" t="str">
        <f>IF(B974="","",SUMIF(B:B,B974,G:G)&amp;" / "&amp;IFERROR(VLOOKUP(B974,'Coil Sheet at Plant'!$C:$I,7,FALSE),"?")&amp;" mm")</f>
        <v/>
      </c>
    </row>
    <row r="975" spans="1:15">
      <c r="A975" s="36"/>
      <c r="B975" s="32"/>
      <c r="C975" s="39"/>
      <c r="D975" s="44" t="str">
        <f>IF(OR(B975="",C975=""),"",CONCATENATE(B975,"-",C975))</f>
        <v/>
      </c>
      <c r="E975" s="49" t="str">
        <f>IF(B975="","",IFERROR(VLOOKUP(B975,'Coil Sheet at Plant'!$C:$G,5,FALSE),"ID Not Found"))</f>
        <v/>
      </c>
      <c r="F975" s="50" t="str">
        <f>IF(B975="","",IFERROR(VLOOKUP(B975,'Coil Sheet at Plant'!$C:$H,6,FALSE),"ID Not Found"))</f>
        <v/>
      </c>
      <c r="G975" s="81">
        <v>1122</v>
      </c>
      <c r="H975" s="89" t="str">
        <f>IF(OR(B975="",G975=""),"",IFERROR(VLOOKUP(B975,'Coil Sheet at Plant'!$C:$J,8,FALSE),0)*G975/SUMIF(B:B,B975,G:G))</f>
        <v/>
      </c>
      <c r="I975" s="56" t="str">
        <f>IF(B975="","",IFERROR(VLOOKUP(B975,'Coil Sheet at Plant'!$C:$L,9,FALSE),""))</f>
        <v/>
      </c>
      <c r="J975" s="85" t="str">
        <f>IF(B975="","",IFERROR(VLOOKUP(B975,'Coil Sheet at Plant'!$C:$M,10,FALSE),""))</f>
        <v/>
      </c>
      <c r="K975" s="69" t="str">
        <f>IF(B975="","",SUMIF(B:B,B975,G:G))</f>
        <v/>
      </c>
      <c r="L975" s="70" t="str">
        <f>IF(B975="","",IFERROR(VLOOKUP(B975,'Coil Sheet at Plant'!$C:$I,7,FALSE),""))</f>
        <v/>
      </c>
      <c r="M975" s="71" t="str">
        <f>IF(OR(K975="",L975=""),"",IF(L975=0,"⚠ NO PARENT WIDTH",IF(K975&gt;L975,"⚠ BABY &gt; PARENT","✔ OK")))</f>
        <v/>
      </c>
      <c r="N975" s="71" t="str">
        <f>IF(D975="","",IF(COUNTIF(D$3:D975,D975)&gt;1,"⚠ DUPLICATE",""))</f>
        <v/>
      </c>
      <c r="O975" s="72" t="str">
        <f>IF(B975="","",SUMIF(B:B,B975,G:G)&amp;" / "&amp;IFERROR(VLOOKUP(B975,'Coil Sheet at Plant'!$C:$I,7,FALSE),"?")&amp;" mm")</f>
        <v/>
      </c>
    </row>
    <row r="976" spans="1:15">
      <c r="A976" s="36"/>
      <c r="B976" s="32"/>
      <c r="C976" s="39"/>
      <c r="D976" s="44" t="str">
        <f>IF(OR(B976="",C976=""),"",CONCATENATE(B976,"-",C976))</f>
        <v/>
      </c>
      <c r="E976" s="49" t="str">
        <f>IF(B976="","",IFERROR(VLOOKUP(B976,'Coil Sheet at Plant'!$C:$G,5,FALSE),"ID Not Found"))</f>
        <v/>
      </c>
      <c r="F976" s="50" t="str">
        <f>IF(B976="","",IFERROR(VLOOKUP(B976,'Coil Sheet at Plant'!$C:$H,6,FALSE),"ID Not Found"))</f>
        <v/>
      </c>
      <c r="G976" s="81">
        <v>1123</v>
      </c>
      <c r="H976" s="89" t="str">
        <f>IF(OR(B976="",G976=""),"",IFERROR(VLOOKUP(B976,'Coil Sheet at Plant'!$C:$J,8,FALSE),0)*G976/SUMIF(B:B,B976,G:G))</f>
        <v/>
      </c>
      <c r="I976" s="56" t="str">
        <f>IF(B976="","",IFERROR(VLOOKUP(B976,'Coil Sheet at Plant'!$C:$L,9,FALSE),""))</f>
        <v/>
      </c>
      <c r="J976" s="85" t="str">
        <f>IF(B976="","",IFERROR(VLOOKUP(B976,'Coil Sheet at Plant'!$C:$M,10,FALSE),""))</f>
        <v/>
      </c>
      <c r="K976" s="69" t="str">
        <f>IF(B976="","",SUMIF(B:B,B976,G:G))</f>
        <v/>
      </c>
      <c r="L976" s="70" t="str">
        <f>IF(B976="","",IFERROR(VLOOKUP(B976,'Coil Sheet at Plant'!$C:$I,7,FALSE),""))</f>
        <v/>
      </c>
      <c r="M976" s="71" t="str">
        <f>IF(OR(K976="",L976=""),"",IF(L976=0,"⚠ NO PARENT WIDTH",IF(K976&gt;L976,"⚠ BABY &gt; PARENT","✔ OK")))</f>
        <v/>
      </c>
      <c r="N976" s="71" t="str">
        <f>IF(D976="","",IF(COUNTIF(D$3:D976,D976)&gt;1,"⚠ DUPLICATE",""))</f>
        <v/>
      </c>
      <c r="O976" s="72" t="str">
        <f>IF(B976="","",SUMIF(B:B,B976,G:G)&amp;" / "&amp;IFERROR(VLOOKUP(B976,'Coil Sheet at Plant'!$C:$I,7,FALSE),"?")&amp;" mm")</f>
        <v/>
      </c>
    </row>
    <row r="977" spans="1:15">
      <c r="A977" s="36"/>
      <c r="B977" s="32"/>
      <c r="C977" s="39"/>
      <c r="D977" s="44" t="str">
        <f>IF(OR(B977="",C977=""),"",CONCATENATE(B977,"-",C977))</f>
        <v/>
      </c>
      <c r="E977" s="49" t="str">
        <f>IF(B977="","",IFERROR(VLOOKUP(B977,'Coil Sheet at Plant'!$C:$G,5,FALSE),"ID Not Found"))</f>
        <v/>
      </c>
      <c r="F977" s="50" t="str">
        <f>IF(B977="","",IFERROR(VLOOKUP(B977,'Coil Sheet at Plant'!$C:$H,6,FALSE),"ID Not Found"))</f>
        <v/>
      </c>
      <c r="G977" s="81">
        <v>1124</v>
      </c>
      <c r="H977" s="89" t="str">
        <f>IF(OR(B977="",G977=""),"",IFERROR(VLOOKUP(B977,'Coil Sheet at Plant'!$C:$J,8,FALSE),0)*G977/SUMIF(B:B,B977,G:G))</f>
        <v/>
      </c>
      <c r="I977" s="56" t="str">
        <f>IF(B977="","",IFERROR(VLOOKUP(B977,'Coil Sheet at Plant'!$C:$L,9,FALSE),""))</f>
        <v/>
      </c>
      <c r="J977" s="85" t="str">
        <f>IF(B977="","",IFERROR(VLOOKUP(B977,'Coil Sheet at Plant'!$C:$M,10,FALSE),""))</f>
        <v/>
      </c>
      <c r="K977" s="69" t="str">
        <f>IF(B977="","",SUMIF(B:B,B977,G:G))</f>
        <v/>
      </c>
      <c r="L977" s="70" t="str">
        <f>IF(B977="","",IFERROR(VLOOKUP(B977,'Coil Sheet at Plant'!$C:$I,7,FALSE),""))</f>
        <v/>
      </c>
      <c r="M977" s="71" t="str">
        <f>IF(OR(K977="",L977=""),"",IF(L977=0,"⚠ NO PARENT WIDTH",IF(K977&gt;L977,"⚠ BABY &gt; PARENT","✔ OK")))</f>
        <v/>
      </c>
      <c r="N977" s="71" t="str">
        <f>IF(D977="","",IF(COUNTIF(D$3:D977,D977)&gt;1,"⚠ DUPLICATE",""))</f>
        <v/>
      </c>
      <c r="O977" s="72" t="str">
        <f>IF(B977="","",SUMIF(B:B,B977,G:G)&amp;" / "&amp;IFERROR(VLOOKUP(B977,'Coil Sheet at Plant'!$C:$I,7,FALSE),"?")&amp;" mm")</f>
        <v/>
      </c>
    </row>
    <row r="978" spans="1:15">
      <c r="A978" s="36"/>
      <c r="B978" s="32"/>
      <c r="C978" s="39"/>
      <c r="D978" s="44" t="str">
        <f>IF(OR(B978="",C978=""),"",CONCATENATE(B978,"-",C978))</f>
        <v/>
      </c>
      <c r="E978" s="49" t="str">
        <f>IF(B978="","",IFERROR(VLOOKUP(B978,'Coil Sheet at Plant'!$C:$G,5,FALSE),"ID Not Found"))</f>
        <v/>
      </c>
      <c r="F978" s="50" t="str">
        <f>IF(B978="","",IFERROR(VLOOKUP(B978,'Coil Sheet at Plant'!$C:$H,6,FALSE),"ID Not Found"))</f>
        <v/>
      </c>
      <c r="G978" s="81">
        <v>1125</v>
      </c>
      <c r="H978" s="89" t="str">
        <f>IF(OR(B978="",G978=""),"",IFERROR(VLOOKUP(B978,'Coil Sheet at Plant'!$C:$J,8,FALSE),0)*G978/SUMIF(B:B,B978,G:G))</f>
        <v/>
      </c>
      <c r="I978" s="56" t="str">
        <f>IF(B978="","",IFERROR(VLOOKUP(B978,'Coil Sheet at Plant'!$C:$L,9,FALSE),""))</f>
        <v/>
      </c>
      <c r="J978" s="85" t="str">
        <f>IF(B978="","",IFERROR(VLOOKUP(B978,'Coil Sheet at Plant'!$C:$M,10,FALSE),""))</f>
        <v/>
      </c>
      <c r="K978" s="69" t="str">
        <f>IF(B978="","",SUMIF(B:B,B978,G:G))</f>
        <v/>
      </c>
      <c r="L978" s="70" t="str">
        <f>IF(B978="","",IFERROR(VLOOKUP(B978,'Coil Sheet at Plant'!$C:$I,7,FALSE),""))</f>
        <v/>
      </c>
      <c r="M978" s="71" t="str">
        <f>IF(OR(K978="",L978=""),"",IF(L978=0,"⚠ NO PARENT WIDTH",IF(K978&gt;L978,"⚠ BABY &gt; PARENT","✔ OK")))</f>
        <v/>
      </c>
      <c r="N978" s="71" t="str">
        <f>IF(D978="","",IF(COUNTIF(D$3:D978,D978)&gt;1,"⚠ DUPLICATE",""))</f>
        <v/>
      </c>
      <c r="O978" s="72" t="str">
        <f>IF(B978="","",SUMIF(B:B,B978,G:G)&amp;" / "&amp;IFERROR(VLOOKUP(B978,'Coil Sheet at Plant'!$C:$I,7,FALSE),"?")&amp;" mm")</f>
        <v/>
      </c>
    </row>
    <row r="979" spans="1:15">
      <c r="A979" s="36"/>
      <c r="B979" s="32"/>
      <c r="C979" s="39"/>
      <c r="D979" s="44" t="str">
        <f>IF(OR(B979="",C979=""),"",CONCATENATE(B979,"-",C979))</f>
        <v/>
      </c>
      <c r="E979" s="49" t="str">
        <f>IF(B979="","",IFERROR(VLOOKUP(B979,'Coil Sheet at Plant'!$C:$G,5,FALSE),"ID Not Found"))</f>
        <v/>
      </c>
      <c r="F979" s="50" t="str">
        <f>IF(B979="","",IFERROR(VLOOKUP(B979,'Coil Sheet at Plant'!$C:$H,6,FALSE),"ID Not Found"))</f>
        <v/>
      </c>
      <c r="G979" s="81">
        <v>1126</v>
      </c>
      <c r="H979" s="89" t="str">
        <f>IF(OR(B979="",G979=""),"",IFERROR(VLOOKUP(B979,'Coil Sheet at Plant'!$C:$J,8,FALSE),0)*G979/SUMIF(B:B,B979,G:G))</f>
        <v/>
      </c>
      <c r="I979" s="56" t="str">
        <f>IF(B979="","",IFERROR(VLOOKUP(B979,'Coil Sheet at Plant'!$C:$L,9,FALSE),""))</f>
        <v/>
      </c>
      <c r="J979" s="85" t="str">
        <f>IF(B979="","",IFERROR(VLOOKUP(B979,'Coil Sheet at Plant'!$C:$M,10,FALSE),""))</f>
        <v/>
      </c>
      <c r="K979" s="69" t="str">
        <f>IF(B979="","",SUMIF(B:B,B979,G:G))</f>
        <v/>
      </c>
      <c r="L979" s="70" t="str">
        <f>IF(B979="","",IFERROR(VLOOKUP(B979,'Coil Sheet at Plant'!$C:$I,7,FALSE),""))</f>
        <v/>
      </c>
      <c r="M979" s="71" t="str">
        <f>IF(OR(K979="",L979=""),"",IF(L979=0,"⚠ NO PARENT WIDTH",IF(K979&gt;L979,"⚠ BABY &gt; PARENT","✔ OK")))</f>
        <v/>
      </c>
      <c r="N979" s="71" t="str">
        <f>IF(D979="","",IF(COUNTIF(D$3:D979,D979)&gt;1,"⚠ DUPLICATE",""))</f>
        <v/>
      </c>
      <c r="O979" s="72" t="str">
        <f>IF(B979="","",SUMIF(B:B,B979,G:G)&amp;" / "&amp;IFERROR(VLOOKUP(B979,'Coil Sheet at Plant'!$C:$I,7,FALSE),"?")&amp;" mm")</f>
        <v/>
      </c>
    </row>
    <row r="980" spans="1:15">
      <c r="A980" s="36"/>
      <c r="B980" s="32"/>
      <c r="C980" s="39"/>
      <c r="D980" s="44" t="str">
        <f>IF(OR(B980="",C980=""),"",CONCATENATE(B980,"-",C980))</f>
        <v/>
      </c>
      <c r="E980" s="49" t="str">
        <f>IF(B980="","",IFERROR(VLOOKUP(B980,'Coil Sheet at Plant'!$C:$G,5,FALSE),"ID Not Found"))</f>
        <v/>
      </c>
      <c r="F980" s="50" t="str">
        <f>IF(B980="","",IFERROR(VLOOKUP(B980,'Coil Sheet at Plant'!$C:$H,6,FALSE),"ID Not Found"))</f>
        <v/>
      </c>
      <c r="G980" s="81">
        <v>1127</v>
      </c>
      <c r="H980" s="89" t="str">
        <f>IF(OR(B980="",G980=""),"",IFERROR(VLOOKUP(B980,'Coil Sheet at Plant'!$C:$J,8,FALSE),0)*G980/SUMIF(B:B,B980,G:G))</f>
        <v/>
      </c>
      <c r="I980" s="56" t="str">
        <f>IF(B980="","",IFERROR(VLOOKUP(B980,'Coil Sheet at Plant'!$C:$L,9,FALSE),""))</f>
        <v/>
      </c>
      <c r="J980" s="85" t="str">
        <f>IF(B980="","",IFERROR(VLOOKUP(B980,'Coil Sheet at Plant'!$C:$M,10,FALSE),""))</f>
        <v/>
      </c>
      <c r="K980" s="69" t="str">
        <f>IF(B980="","",SUMIF(B:B,B980,G:G))</f>
        <v/>
      </c>
      <c r="L980" s="70" t="str">
        <f>IF(B980="","",IFERROR(VLOOKUP(B980,'Coil Sheet at Plant'!$C:$I,7,FALSE),""))</f>
        <v/>
      </c>
      <c r="M980" s="71" t="str">
        <f>IF(OR(K980="",L980=""),"",IF(L980=0,"⚠ NO PARENT WIDTH",IF(K980&gt;L980,"⚠ BABY &gt; PARENT","✔ OK")))</f>
        <v/>
      </c>
      <c r="N980" s="71" t="str">
        <f>IF(D980="","",IF(COUNTIF(D$3:D980,D980)&gt;1,"⚠ DUPLICATE",""))</f>
        <v/>
      </c>
      <c r="O980" s="72" t="str">
        <f>IF(B980="","",SUMIF(B:B,B980,G:G)&amp;" / "&amp;IFERROR(VLOOKUP(B980,'Coil Sheet at Plant'!$C:$I,7,FALSE),"?")&amp;" mm")</f>
        <v/>
      </c>
    </row>
    <row r="981" spans="1:15">
      <c r="A981" s="36"/>
      <c r="B981" s="32"/>
      <c r="C981" s="39"/>
      <c r="D981" s="44" t="str">
        <f>IF(OR(B981="",C981=""),"",CONCATENATE(B981,"-",C981))</f>
        <v/>
      </c>
      <c r="E981" s="49" t="str">
        <f>IF(B981="","",IFERROR(VLOOKUP(B981,'Coil Sheet at Plant'!$C:$G,5,FALSE),"ID Not Found"))</f>
        <v/>
      </c>
      <c r="F981" s="50" t="str">
        <f>IF(B981="","",IFERROR(VLOOKUP(B981,'Coil Sheet at Plant'!$C:$H,6,FALSE),"ID Not Found"))</f>
        <v/>
      </c>
      <c r="G981" s="81">
        <v>1128</v>
      </c>
      <c r="H981" s="89" t="str">
        <f>IF(OR(B981="",G981=""),"",IFERROR(VLOOKUP(B981,'Coil Sheet at Plant'!$C:$J,8,FALSE),0)*G981/SUMIF(B:B,B981,G:G))</f>
        <v/>
      </c>
      <c r="I981" s="56" t="str">
        <f>IF(B981="","",IFERROR(VLOOKUP(B981,'Coil Sheet at Plant'!$C:$L,9,FALSE),""))</f>
        <v/>
      </c>
      <c r="J981" s="85" t="str">
        <f>IF(B981="","",IFERROR(VLOOKUP(B981,'Coil Sheet at Plant'!$C:$M,10,FALSE),""))</f>
        <v/>
      </c>
      <c r="K981" s="69" t="str">
        <f>IF(B981="","",SUMIF(B:B,B981,G:G))</f>
        <v/>
      </c>
      <c r="L981" s="70" t="str">
        <f>IF(B981="","",IFERROR(VLOOKUP(B981,'Coil Sheet at Plant'!$C:$I,7,FALSE),""))</f>
        <v/>
      </c>
      <c r="M981" s="71" t="str">
        <f>IF(OR(K981="",L981=""),"",IF(L981=0,"⚠ NO PARENT WIDTH",IF(K981&gt;L981,"⚠ BABY &gt; PARENT","✔ OK")))</f>
        <v/>
      </c>
      <c r="N981" s="71" t="str">
        <f>IF(D981="","",IF(COUNTIF(D$3:D981,D981)&gt;1,"⚠ DUPLICATE",""))</f>
        <v/>
      </c>
      <c r="O981" s="72" t="str">
        <f>IF(B981="","",SUMIF(B:B,B981,G:G)&amp;" / "&amp;IFERROR(VLOOKUP(B981,'Coil Sheet at Plant'!$C:$I,7,FALSE),"?")&amp;" mm")</f>
        <v/>
      </c>
    </row>
    <row r="982" spans="1:15">
      <c r="A982" s="36"/>
      <c r="B982" s="32"/>
      <c r="C982" s="39"/>
      <c r="D982" s="44" t="str">
        <f>IF(OR(B982="",C982=""),"",CONCATENATE(B982,"-",C982))</f>
        <v/>
      </c>
      <c r="E982" s="49" t="str">
        <f>IF(B982="","",IFERROR(VLOOKUP(B982,'Coil Sheet at Plant'!$C:$G,5,FALSE),"ID Not Found"))</f>
        <v/>
      </c>
      <c r="F982" s="50" t="str">
        <f>IF(B982="","",IFERROR(VLOOKUP(B982,'Coil Sheet at Plant'!$C:$H,6,FALSE),"ID Not Found"))</f>
        <v/>
      </c>
      <c r="G982" s="81">
        <v>1129</v>
      </c>
      <c r="H982" s="89" t="str">
        <f>IF(OR(B982="",G982=""),"",IFERROR(VLOOKUP(B982,'Coil Sheet at Plant'!$C:$J,8,FALSE),0)*G982/SUMIF(B:B,B982,G:G))</f>
        <v/>
      </c>
      <c r="I982" s="56" t="str">
        <f>IF(B982="","",IFERROR(VLOOKUP(B982,'Coil Sheet at Plant'!$C:$L,9,FALSE),""))</f>
        <v/>
      </c>
      <c r="J982" s="85" t="str">
        <f>IF(B982="","",IFERROR(VLOOKUP(B982,'Coil Sheet at Plant'!$C:$M,10,FALSE),""))</f>
        <v/>
      </c>
      <c r="K982" s="69" t="str">
        <f>IF(B982="","",SUMIF(B:B,B982,G:G))</f>
        <v/>
      </c>
      <c r="L982" s="70" t="str">
        <f>IF(B982="","",IFERROR(VLOOKUP(B982,'Coil Sheet at Plant'!$C:$I,7,FALSE),""))</f>
        <v/>
      </c>
      <c r="M982" s="71" t="str">
        <f>IF(OR(K982="",L982=""),"",IF(L982=0,"⚠ NO PARENT WIDTH",IF(K982&gt;L982,"⚠ BABY &gt; PARENT","✔ OK")))</f>
        <v/>
      </c>
      <c r="N982" s="71" t="str">
        <f>IF(D982="","",IF(COUNTIF(D$3:D982,D982)&gt;1,"⚠ DUPLICATE",""))</f>
        <v/>
      </c>
      <c r="O982" s="72" t="str">
        <f>IF(B982="","",SUMIF(B:B,B982,G:G)&amp;" / "&amp;IFERROR(VLOOKUP(B982,'Coil Sheet at Plant'!$C:$I,7,FALSE),"?")&amp;" mm")</f>
        <v/>
      </c>
    </row>
    <row r="983" spans="1:15">
      <c r="A983" s="36"/>
      <c r="B983" s="32"/>
      <c r="C983" s="39"/>
      <c r="D983" s="44" t="str">
        <f>IF(OR(B983="",C983=""),"",CONCATENATE(B983,"-",C983))</f>
        <v/>
      </c>
      <c r="E983" s="49" t="str">
        <f>IF(B983="","",IFERROR(VLOOKUP(B983,'Coil Sheet at Plant'!$C:$G,5,FALSE),"ID Not Found"))</f>
        <v/>
      </c>
      <c r="F983" s="50" t="str">
        <f>IF(B983="","",IFERROR(VLOOKUP(B983,'Coil Sheet at Plant'!$C:$H,6,FALSE),"ID Not Found"))</f>
        <v/>
      </c>
      <c r="G983" s="81">
        <v>1130</v>
      </c>
      <c r="H983" s="89" t="str">
        <f>IF(OR(B983="",G983=""),"",IFERROR(VLOOKUP(B983,'Coil Sheet at Plant'!$C:$J,8,FALSE),0)*G983/SUMIF(B:B,B983,G:G))</f>
        <v/>
      </c>
      <c r="I983" s="56" t="str">
        <f>IF(B983="","",IFERROR(VLOOKUP(B983,'Coil Sheet at Plant'!$C:$L,9,FALSE),""))</f>
        <v/>
      </c>
      <c r="J983" s="85" t="str">
        <f>IF(B983="","",IFERROR(VLOOKUP(B983,'Coil Sheet at Plant'!$C:$M,10,FALSE),""))</f>
        <v/>
      </c>
      <c r="K983" s="69" t="str">
        <f>IF(B983="","",SUMIF(B:B,B983,G:G))</f>
        <v/>
      </c>
      <c r="L983" s="70" t="str">
        <f>IF(B983="","",IFERROR(VLOOKUP(B983,'Coil Sheet at Plant'!$C:$I,7,FALSE),""))</f>
        <v/>
      </c>
      <c r="M983" s="71" t="str">
        <f>IF(OR(K983="",L983=""),"",IF(L983=0,"⚠ NO PARENT WIDTH",IF(K983&gt;L983,"⚠ BABY &gt; PARENT","✔ OK")))</f>
        <v/>
      </c>
      <c r="N983" s="71" t="str">
        <f>IF(D983="","",IF(COUNTIF(D$3:D983,D983)&gt;1,"⚠ DUPLICATE",""))</f>
        <v/>
      </c>
      <c r="O983" s="72" t="str">
        <f>IF(B983="","",SUMIF(B:B,B983,G:G)&amp;" / "&amp;IFERROR(VLOOKUP(B983,'Coil Sheet at Plant'!$C:$I,7,FALSE),"?")&amp;" mm")</f>
        <v/>
      </c>
    </row>
    <row r="984" spans="1:15">
      <c r="A984" s="36"/>
      <c r="B984" s="32"/>
      <c r="C984" s="39"/>
      <c r="D984" s="44" t="str">
        <f>IF(OR(B984="",C984=""),"",CONCATENATE(B984,"-",C984))</f>
        <v/>
      </c>
      <c r="E984" s="49" t="str">
        <f>IF(B984="","",IFERROR(VLOOKUP(B984,'Coil Sheet at Plant'!$C:$G,5,FALSE),"ID Not Found"))</f>
        <v/>
      </c>
      <c r="F984" s="50" t="str">
        <f>IF(B984="","",IFERROR(VLOOKUP(B984,'Coil Sheet at Plant'!$C:$H,6,FALSE),"ID Not Found"))</f>
        <v/>
      </c>
      <c r="G984" s="81">
        <v>1131</v>
      </c>
      <c r="H984" s="89" t="str">
        <f>IF(OR(B984="",G984=""),"",IFERROR(VLOOKUP(B984,'Coil Sheet at Plant'!$C:$J,8,FALSE),0)*G984/SUMIF(B:B,B984,G:G))</f>
        <v/>
      </c>
      <c r="I984" s="56" t="str">
        <f>IF(B984="","",IFERROR(VLOOKUP(B984,'Coil Sheet at Plant'!$C:$L,9,FALSE),""))</f>
        <v/>
      </c>
      <c r="J984" s="85" t="str">
        <f>IF(B984="","",IFERROR(VLOOKUP(B984,'Coil Sheet at Plant'!$C:$M,10,FALSE),""))</f>
        <v/>
      </c>
      <c r="K984" s="69" t="str">
        <f>IF(B984="","",SUMIF(B:B,B984,G:G))</f>
        <v/>
      </c>
      <c r="L984" s="70" t="str">
        <f>IF(B984="","",IFERROR(VLOOKUP(B984,'Coil Sheet at Plant'!$C:$I,7,FALSE),""))</f>
        <v/>
      </c>
      <c r="M984" s="71" t="str">
        <f>IF(OR(K984="",L984=""),"",IF(L984=0,"⚠ NO PARENT WIDTH",IF(K984&gt;L984,"⚠ BABY &gt; PARENT","✔ OK")))</f>
        <v/>
      </c>
      <c r="N984" s="71" t="str">
        <f>IF(D984="","",IF(COUNTIF(D$3:D984,D984)&gt;1,"⚠ DUPLICATE",""))</f>
        <v/>
      </c>
      <c r="O984" s="72" t="str">
        <f>IF(B984="","",SUMIF(B:B,B984,G:G)&amp;" / "&amp;IFERROR(VLOOKUP(B984,'Coil Sheet at Plant'!$C:$I,7,FALSE),"?")&amp;" mm")</f>
        <v/>
      </c>
    </row>
    <row r="985" spans="1:15">
      <c r="A985" s="36"/>
      <c r="B985" s="32"/>
      <c r="C985" s="39"/>
      <c r="D985" s="44" t="str">
        <f>IF(OR(B985="",C985=""),"",CONCATENATE(B985,"-",C985))</f>
        <v/>
      </c>
      <c r="E985" s="49" t="str">
        <f>IF(B985="","",IFERROR(VLOOKUP(B985,'Coil Sheet at Plant'!$C:$G,5,FALSE),"ID Not Found"))</f>
        <v/>
      </c>
      <c r="F985" s="50" t="str">
        <f>IF(B985="","",IFERROR(VLOOKUP(B985,'Coil Sheet at Plant'!$C:$H,6,FALSE),"ID Not Found"))</f>
        <v/>
      </c>
      <c r="G985" s="81">
        <v>1132</v>
      </c>
      <c r="H985" s="89" t="str">
        <f>IF(OR(B985="",G985=""),"",IFERROR(VLOOKUP(B985,'Coil Sheet at Plant'!$C:$J,8,FALSE),0)*G985/SUMIF(B:B,B985,G:G))</f>
        <v/>
      </c>
      <c r="I985" s="56" t="str">
        <f>IF(B985="","",IFERROR(VLOOKUP(B985,'Coil Sheet at Plant'!$C:$L,9,FALSE),""))</f>
        <v/>
      </c>
      <c r="J985" s="85" t="str">
        <f>IF(B985="","",IFERROR(VLOOKUP(B985,'Coil Sheet at Plant'!$C:$M,10,FALSE),""))</f>
        <v/>
      </c>
      <c r="K985" s="69" t="str">
        <f>IF(B985="","",SUMIF(B:B,B985,G:G))</f>
        <v/>
      </c>
      <c r="L985" s="70" t="str">
        <f>IF(B985="","",IFERROR(VLOOKUP(B985,'Coil Sheet at Plant'!$C:$I,7,FALSE),""))</f>
        <v/>
      </c>
      <c r="M985" s="71" t="str">
        <f>IF(OR(K985="",L985=""),"",IF(L985=0,"⚠ NO PARENT WIDTH",IF(K985&gt;L985,"⚠ BABY &gt; PARENT","✔ OK")))</f>
        <v/>
      </c>
      <c r="N985" s="71" t="str">
        <f>IF(D985="","",IF(COUNTIF(D$3:D985,D985)&gt;1,"⚠ DUPLICATE",""))</f>
        <v/>
      </c>
      <c r="O985" s="72" t="str">
        <f>IF(B985="","",SUMIF(B:B,B985,G:G)&amp;" / "&amp;IFERROR(VLOOKUP(B985,'Coil Sheet at Plant'!$C:$I,7,FALSE),"?")&amp;" mm")</f>
        <v/>
      </c>
    </row>
    <row r="986" spans="1:15">
      <c r="A986" s="36"/>
      <c r="B986" s="32"/>
      <c r="C986" s="39"/>
      <c r="D986" s="44" t="str">
        <f>IF(OR(B986="",C986=""),"",CONCATENATE(B986,"-",C986))</f>
        <v/>
      </c>
      <c r="E986" s="49" t="str">
        <f>IF(B986="","",IFERROR(VLOOKUP(B986,'Coil Sheet at Plant'!$C:$G,5,FALSE),"ID Not Found"))</f>
        <v/>
      </c>
      <c r="F986" s="50" t="str">
        <f>IF(B986="","",IFERROR(VLOOKUP(B986,'Coil Sheet at Plant'!$C:$H,6,FALSE),"ID Not Found"))</f>
        <v/>
      </c>
      <c r="G986" s="81">
        <v>1133</v>
      </c>
      <c r="H986" s="89" t="str">
        <f>IF(OR(B986="",G986=""),"",IFERROR(VLOOKUP(B986,'Coil Sheet at Plant'!$C:$J,8,FALSE),0)*G986/SUMIF(B:B,B986,G:G))</f>
        <v/>
      </c>
      <c r="I986" s="56" t="str">
        <f>IF(B986="","",IFERROR(VLOOKUP(B986,'Coil Sheet at Plant'!$C:$L,9,FALSE),""))</f>
        <v/>
      </c>
      <c r="J986" s="85" t="str">
        <f>IF(B986="","",IFERROR(VLOOKUP(B986,'Coil Sheet at Plant'!$C:$M,10,FALSE),""))</f>
        <v/>
      </c>
      <c r="K986" s="69" t="str">
        <f>IF(B986="","",SUMIF(B:B,B986,G:G))</f>
        <v/>
      </c>
      <c r="L986" s="70" t="str">
        <f>IF(B986="","",IFERROR(VLOOKUP(B986,'Coil Sheet at Plant'!$C:$I,7,FALSE),""))</f>
        <v/>
      </c>
      <c r="M986" s="71" t="str">
        <f>IF(OR(K986="",L986=""),"",IF(L986=0,"⚠ NO PARENT WIDTH",IF(K986&gt;L986,"⚠ BABY &gt; PARENT","✔ OK")))</f>
        <v/>
      </c>
      <c r="N986" s="71" t="str">
        <f>IF(D986="","",IF(COUNTIF(D$3:D986,D986)&gt;1,"⚠ DUPLICATE",""))</f>
        <v/>
      </c>
      <c r="O986" s="72" t="str">
        <f>IF(B986="","",SUMIF(B:B,B986,G:G)&amp;" / "&amp;IFERROR(VLOOKUP(B986,'Coil Sheet at Plant'!$C:$I,7,FALSE),"?")&amp;" mm")</f>
        <v/>
      </c>
    </row>
    <row r="987" spans="1:15">
      <c r="A987" s="36"/>
      <c r="B987" s="32"/>
      <c r="C987" s="39"/>
      <c r="D987" s="44" t="str">
        <f>IF(OR(B987="",C987=""),"",CONCATENATE(B987,"-",C987))</f>
        <v/>
      </c>
      <c r="E987" s="49" t="str">
        <f>IF(B987="","",IFERROR(VLOOKUP(B987,'Coil Sheet at Plant'!$C:$G,5,FALSE),"ID Not Found"))</f>
        <v/>
      </c>
      <c r="F987" s="50" t="str">
        <f>IF(B987="","",IFERROR(VLOOKUP(B987,'Coil Sheet at Plant'!$C:$H,6,FALSE),"ID Not Found"))</f>
        <v/>
      </c>
      <c r="G987" s="81">
        <v>1134</v>
      </c>
      <c r="H987" s="89" t="str">
        <f>IF(OR(B987="",G987=""),"",IFERROR(VLOOKUP(B987,'Coil Sheet at Plant'!$C:$J,8,FALSE),0)*G987/SUMIF(B:B,B987,G:G))</f>
        <v/>
      </c>
      <c r="I987" s="56" t="str">
        <f>IF(B987="","",IFERROR(VLOOKUP(B987,'Coil Sheet at Plant'!$C:$L,9,FALSE),""))</f>
        <v/>
      </c>
      <c r="J987" s="85" t="str">
        <f>IF(B987="","",IFERROR(VLOOKUP(B987,'Coil Sheet at Plant'!$C:$M,10,FALSE),""))</f>
        <v/>
      </c>
      <c r="K987" s="69" t="str">
        <f>IF(B987="","",SUMIF(B:B,B987,G:G))</f>
        <v/>
      </c>
      <c r="L987" s="70" t="str">
        <f>IF(B987="","",IFERROR(VLOOKUP(B987,'Coil Sheet at Plant'!$C:$I,7,FALSE),""))</f>
        <v/>
      </c>
      <c r="M987" s="71" t="str">
        <f>IF(OR(K987="",L987=""),"",IF(L987=0,"⚠ NO PARENT WIDTH",IF(K987&gt;L987,"⚠ BABY &gt; PARENT","✔ OK")))</f>
        <v/>
      </c>
      <c r="N987" s="71" t="str">
        <f>IF(D987="","",IF(COUNTIF(D$3:D987,D987)&gt;1,"⚠ DUPLICATE",""))</f>
        <v/>
      </c>
      <c r="O987" s="72" t="str">
        <f>IF(B987="","",SUMIF(B:B,B987,G:G)&amp;" / "&amp;IFERROR(VLOOKUP(B987,'Coil Sheet at Plant'!$C:$I,7,FALSE),"?")&amp;" mm")</f>
        <v/>
      </c>
    </row>
    <row r="988" spans="1:15">
      <c r="A988" s="36"/>
      <c r="B988" s="32"/>
      <c r="C988" s="39"/>
      <c r="D988" s="44" t="str">
        <f>IF(OR(B988="",C988=""),"",CONCATENATE(B988,"-",C988))</f>
        <v/>
      </c>
      <c r="E988" s="49" t="str">
        <f>IF(B988="","",IFERROR(VLOOKUP(B988,'Coil Sheet at Plant'!$C:$G,5,FALSE),"ID Not Found"))</f>
        <v/>
      </c>
      <c r="F988" s="50" t="str">
        <f>IF(B988="","",IFERROR(VLOOKUP(B988,'Coil Sheet at Plant'!$C:$H,6,FALSE),"ID Not Found"))</f>
        <v/>
      </c>
      <c r="G988" s="81">
        <v>1135</v>
      </c>
      <c r="H988" s="89" t="str">
        <f>IF(OR(B988="",G988=""),"",IFERROR(VLOOKUP(B988,'Coil Sheet at Plant'!$C:$J,8,FALSE),0)*G988/SUMIF(B:B,B988,G:G))</f>
        <v/>
      </c>
      <c r="I988" s="56" t="str">
        <f>IF(B988="","",IFERROR(VLOOKUP(B988,'Coil Sheet at Plant'!$C:$L,9,FALSE),""))</f>
        <v/>
      </c>
      <c r="J988" s="85" t="str">
        <f>IF(B988="","",IFERROR(VLOOKUP(B988,'Coil Sheet at Plant'!$C:$M,10,FALSE),""))</f>
        <v/>
      </c>
      <c r="K988" s="69" t="str">
        <f>IF(B988="","",SUMIF(B:B,B988,G:G))</f>
        <v/>
      </c>
      <c r="L988" s="70" t="str">
        <f>IF(B988="","",IFERROR(VLOOKUP(B988,'Coil Sheet at Plant'!$C:$I,7,FALSE),""))</f>
        <v/>
      </c>
      <c r="M988" s="71" t="str">
        <f>IF(OR(K988="",L988=""),"",IF(L988=0,"⚠ NO PARENT WIDTH",IF(K988&gt;L988,"⚠ BABY &gt; PARENT","✔ OK")))</f>
        <v/>
      </c>
      <c r="N988" s="71" t="str">
        <f>IF(D988="","",IF(COUNTIF(D$3:D988,D988)&gt;1,"⚠ DUPLICATE",""))</f>
        <v/>
      </c>
      <c r="O988" s="72" t="str">
        <f>IF(B988="","",SUMIF(B:B,B988,G:G)&amp;" / "&amp;IFERROR(VLOOKUP(B988,'Coil Sheet at Plant'!$C:$I,7,FALSE),"?")&amp;" mm")</f>
        <v/>
      </c>
    </row>
    <row r="989" spans="1:15">
      <c r="A989" s="36"/>
      <c r="B989" s="32"/>
      <c r="C989" s="39"/>
      <c r="D989" s="44" t="str">
        <f>IF(OR(B989="",C989=""),"",CONCATENATE(B989,"-",C989))</f>
        <v/>
      </c>
      <c r="E989" s="49" t="str">
        <f>IF(B989="","",IFERROR(VLOOKUP(B989,'Coil Sheet at Plant'!$C:$G,5,FALSE),"ID Not Found"))</f>
        <v/>
      </c>
      <c r="F989" s="50" t="str">
        <f>IF(B989="","",IFERROR(VLOOKUP(B989,'Coil Sheet at Plant'!$C:$H,6,FALSE),"ID Not Found"))</f>
        <v/>
      </c>
      <c r="G989" s="81">
        <v>1136</v>
      </c>
      <c r="H989" s="89" t="str">
        <f>IF(OR(B989="",G989=""),"",IFERROR(VLOOKUP(B989,'Coil Sheet at Plant'!$C:$J,8,FALSE),0)*G989/SUMIF(B:B,B989,G:G))</f>
        <v/>
      </c>
      <c r="I989" s="56" t="str">
        <f>IF(B989="","",IFERROR(VLOOKUP(B989,'Coil Sheet at Plant'!$C:$L,9,FALSE),""))</f>
        <v/>
      </c>
      <c r="J989" s="85" t="str">
        <f>IF(B989="","",IFERROR(VLOOKUP(B989,'Coil Sheet at Plant'!$C:$M,10,FALSE),""))</f>
        <v/>
      </c>
      <c r="K989" s="69" t="str">
        <f>IF(B989="","",SUMIF(B:B,B989,G:G))</f>
        <v/>
      </c>
      <c r="L989" s="70" t="str">
        <f>IF(B989="","",IFERROR(VLOOKUP(B989,'Coil Sheet at Plant'!$C:$I,7,FALSE),""))</f>
        <v/>
      </c>
      <c r="M989" s="71" t="str">
        <f>IF(OR(K989="",L989=""),"",IF(L989=0,"⚠ NO PARENT WIDTH",IF(K989&gt;L989,"⚠ BABY &gt; PARENT","✔ OK")))</f>
        <v/>
      </c>
      <c r="N989" s="71" t="str">
        <f>IF(D989="","",IF(COUNTIF(D$3:D989,D989)&gt;1,"⚠ DUPLICATE",""))</f>
        <v/>
      </c>
      <c r="O989" s="72" t="str">
        <f>IF(B989="","",SUMIF(B:B,B989,G:G)&amp;" / "&amp;IFERROR(VLOOKUP(B989,'Coil Sheet at Plant'!$C:$I,7,FALSE),"?")&amp;" mm")</f>
        <v/>
      </c>
    </row>
    <row r="990" spans="1:15">
      <c r="A990" s="36"/>
      <c r="B990" s="32"/>
      <c r="C990" s="39"/>
      <c r="D990" s="44" t="str">
        <f>IF(OR(B990="",C990=""),"",CONCATENATE(B990,"-",C990))</f>
        <v/>
      </c>
      <c r="E990" s="49" t="str">
        <f>IF(B990="","",IFERROR(VLOOKUP(B990,'Coil Sheet at Plant'!$C:$G,5,FALSE),"ID Not Found"))</f>
        <v/>
      </c>
      <c r="F990" s="50" t="str">
        <f>IF(B990="","",IFERROR(VLOOKUP(B990,'Coil Sheet at Plant'!$C:$H,6,FALSE),"ID Not Found"))</f>
        <v/>
      </c>
      <c r="G990" s="81">
        <v>1137</v>
      </c>
      <c r="H990" s="89" t="str">
        <f>IF(OR(B990="",G990=""),"",IFERROR(VLOOKUP(B990,'Coil Sheet at Plant'!$C:$J,8,FALSE),0)*G990/SUMIF(B:B,B990,G:G))</f>
        <v/>
      </c>
      <c r="I990" s="56" t="str">
        <f>IF(B990="","",IFERROR(VLOOKUP(B990,'Coil Sheet at Plant'!$C:$L,9,FALSE),""))</f>
        <v/>
      </c>
      <c r="J990" s="85" t="str">
        <f>IF(B990="","",IFERROR(VLOOKUP(B990,'Coil Sheet at Plant'!$C:$M,10,FALSE),""))</f>
        <v/>
      </c>
      <c r="K990" s="69" t="str">
        <f>IF(B990="","",SUMIF(B:B,B990,G:G))</f>
        <v/>
      </c>
      <c r="L990" s="70" t="str">
        <f>IF(B990="","",IFERROR(VLOOKUP(B990,'Coil Sheet at Plant'!$C:$I,7,FALSE),""))</f>
        <v/>
      </c>
      <c r="M990" s="71" t="str">
        <f>IF(OR(K990="",L990=""),"",IF(L990=0,"⚠ NO PARENT WIDTH",IF(K990&gt;L990,"⚠ BABY &gt; PARENT","✔ OK")))</f>
        <v/>
      </c>
      <c r="N990" s="71" t="str">
        <f>IF(D990="","",IF(COUNTIF(D$3:D990,D990)&gt;1,"⚠ DUPLICATE",""))</f>
        <v/>
      </c>
      <c r="O990" s="72" t="str">
        <f>IF(B990="","",SUMIF(B:B,B990,G:G)&amp;" / "&amp;IFERROR(VLOOKUP(B990,'Coil Sheet at Plant'!$C:$I,7,FALSE),"?")&amp;" mm")</f>
        <v/>
      </c>
    </row>
    <row r="991" spans="1:15">
      <c r="A991" s="36"/>
      <c r="B991" s="32"/>
      <c r="C991" s="39"/>
      <c r="D991" s="44" t="str">
        <f>IF(OR(B991="",C991=""),"",CONCATENATE(B991,"-",C991))</f>
        <v/>
      </c>
      <c r="E991" s="49" t="str">
        <f>IF(B991="","",IFERROR(VLOOKUP(B991,'Coil Sheet at Plant'!$C:$G,5,FALSE),"ID Not Found"))</f>
        <v/>
      </c>
      <c r="F991" s="50" t="str">
        <f>IF(B991="","",IFERROR(VLOOKUP(B991,'Coil Sheet at Plant'!$C:$H,6,FALSE),"ID Not Found"))</f>
        <v/>
      </c>
      <c r="G991" s="81">
        <v>1138</v>
      </c>
      <c r="H991" s="89" t="str">
        <f>IF(OR(B991="",G991=""),"",IFERROR(VLOOKUP(B991,'Coil Sheet at Plant'!$C:$J,8,FALSE),0)*G991/SUMIF(B:B,B991,G:G))</f>
        <v/>
      </c>
      <c r="I991" s="56" t="str">
        <f>IF(B991="","",IFERROR(VLOOKUP(B991,'Coil Sheet at Plant'!$C:$L,9,FALSE),""))</f>
        <v/>
      </c>
      <c r="J991" s="85" t="str">
        <f>IF(B991="","",IFERROR(VLOOKUP(B991,'Coil Sheet at Plant'!$C:$M,10,FALSE),""))</f>
        <v/>
      </c>
      <c r="K991" s="69" t="str">
        <f>IF(B991="","",SUMIF(B:B,B991,G:G))</f>
        <v/>
      </c>
      <c r="L991" s="70" t="str">
        <f>IF(B991="","",IFERROR(VLOOKUP(B991,'Coil Sheet at Plant'!$C:$I,7,FALSE),""))</f>
        <v/>
      </c>
      <c r="M991" s="71" t="str">
        <f>IF(OR(K991="",L991=""),"",IF(L991=0,"⚠ NO PARENT WIDTH",IF(K991&gt;L991,"⚠ BABY &gt; PARENT","✔ OK")))</f>
        <v/>
      </c>
      <c r="N991" s="71" t="str">
        <f>IF(D991="","",IF(COUNTIF(D$3:D991,D991)&gt;1,"⚠ DUPLICATE",""))</f>
        <v/>
      </c>
      <c r="O991" s="72" t="str">
        <f>IF(B991="","",SUMIF(B:B,B991,G:G)&amp;" / "&amp;IFERROR(VLOOKUP(B991,'Coil Sheet at Plant'!$C:$I,7,FALSE),"?")&amp;" mm")</f>
        <v/>
      </c>
    </row>
    <row r="992" spans="1:15">
      <c r="A992" s="36"/>
      <c r="B992" s="32"/>
      <c r="C992" s="39"/>
      <c r="D992" s="44" t="str">
        <f>IF(OR(B992="",C992=""),"",CONCATENATE(B992,"-",C992))</f>
        <v/>
      </c>
      <c r="E992" s="49" t="str">
        <f>IF(B992="","",IFERROR(VLOOKUP(B992,'Coil Sheet at Plant'!$C:$G,5,FALSE),"ID Not Found"))</f>
        <v/>
      </c>
      <c r="F992" s="50" t="str">
        <f>IF(B992="","",IFERROR(VLOOKUP(B992,'Coil Sheet at Plant'!$C:$H,6,FALSE),"ID Not Found"))</f>
        <v/>
      </c>
      <c r="G992" s="81">
        <v>1139</v>
      </c>
      <c r="H992" s="89" t="str">
        <f>IF(OR(B992="",G992=""),"",IFERROR(VLOOKUP(B992,'Coil Sheet at Plant'!$C:$J,8,FALSE),0)*G992/SUMIF(B:B,B992,G:G))</f>
        <v/>
      </c>
      <c r="I992" s="56" t="str">
        <f>IF(B992="","",IFERROR(VLOOKUP(B992,'Coil Sheet at Plant'!$C:$L,9,FALSE),""))</f>
        <v/>
      </c>
      <c r="J992" s="85" t="str">
        <f>IF(B992="","",IFERROR(VLOOKUP(B992,'Coil Sheet at Plant'!$C:$M,10,FALSE),""))</f>
        <v/>
      </c>
      <c r="K992" s="69" t="str">
        <f>IF(B992="","",SUMIF(B:B,B992,G:G))</f>
        <v/>
      </c>
      <c r="L992" s="70" t="str">
        <f>IF(B992="","",IFERROR(VLOOKUP(B992,'Coil Sheet at Plant'!$C:$I,7,FALSE),""))</f>
        <v/>
      </c>
      <c r="M992" s="71" t="str">
        <f>IF(OR(K992="",L992=""),"",IF(L992=0,"⚠ NO PARENT WIDTH",IF(K992&gt;L992,"⚠ BABY &gt; PARENT","✔ OK")))</f>
        <v/>
      </c>
      <c r="N992" s="71" t="str">
        <f>IF(D992="","",IF(COUNTIF(D$3:D992,D992)&gt;1,"⚠ DUPLICATE",""))</f>
        <v/>
      </c>
      <c r="O992" s="72" t="str">
        <f>IF(B992="","",SUMIF(B:B,B992,G:G)&amp;" / "&amp;IFERROR(VLOOKUP(B992,'Coil Sheet at Plant'!$C:$I,7,FALSE),"?")&amp;" mm")</f>
        <v/>
      </c>
    </row>
    <row r="993" spans="1:15">
      <c r="A993" s="36"/>
      <c r="B993" s="32"/>
      <c r="C993" s="39"/>
      <c r="D993" s="44" t="str">
        <f>IF(OR(B993="",C993=""),"",CONCATENATE(B993,"-",C993))</f>
        <v/>
      </c>
      <c r="E993" s="49" t="str">
        <f>IF(B993="","",IFERROR(VLOOKUP(B993,'Coil Sheet at Plant'!$C:$G,5,FALSE),"ID Not Found"))</f>
        <v/>
      </c>
      <c r="F993" s="50" t="str">
        <f>IF(B993="","",IFERROR(VLOOKUP(B993,'Coil Sheet at Plant'!$C:$H,6,FALSE),"ID Not Found"))</f>
        <v/>
      </c>
      <c r="G993" s="81">
        <v>1140</v>
      </c>
      <c r="H993" s="89" t="str">
        <f>IF(OR(B993="",G993=""),"",IFERROR(VLOOKUP(B993,'Coil Sheet at Plant'!$C:$J,8,FALSE),0)*G993/SUMIF(B:B,B993,G:G))</f>
        <v/>
      </c>
      <c r="I993" s="56" t="str">
        <f>IF(B993="","",IFERROR(VLOOKUP(B993,'Coil Sheet at Plant'!$C:$L,9,FALSE),""))</f>
        <v/>
      </c>
      <c r="J993" s="85" t="str">
        <f>IF(B993="","",IFERROR(VLOOKUP(B993,'Coil Sheet at Plant'!$C:$M,10,FALSE),""))</f>
        <v/>
      </c>
      <c r="K993" s="69" t="str">
        <f>IF(B993="","",SUMIF(B:B,B993,G:G))</f>
        <v/>
      </c>
      <c r="L993" s="70" t="str">
        <f>IF(B993="","",IFERROR(VLOOKUP(B993,'Coil Sheet at Plant'!$C:$I,7,FALSE),""))</f>
        <v/>
      </c>
      <c r="M993" s="71" t="str">
        <f>IF(OR(K993="",L993=""),"",IF(L993=0,"⚠ NO PARENT WIDTH",IF(K993&gt;L993,"⚠ BABY &gt; PARENT","✔ OK")))</f>
        <v/>
      </c>
      <c r="N993" s="71" t="str">
        <f>IF(D993="","",IF(COUNTIF(D$3:D993,D993)&gt;1,"⚠ DUPLICATE",""))</f>
        <v/>
      </c>
      <c r="O993" s="72" t="str">
        <f>IF(B993="","",SUMIF(B:B,B993,G:G)&amp;" / "&amp;IFERROR(VLOOKUP(B993,'Coil Sheet at Plant'!$C:$I,7,FALSE),"?")&amp;" mm")</f>
        <v/>
      </c>
    </row>
    <row r="994" spans="1:15">
      <c r="A994" s="36"/>
      <c r="B994" s="32"/>
      <c r="C994" s="39"/>
      <c r="D994" s="44" t="str">
        <f>IF(OR(B994="",C994=""),"",CONCATENATE(B994,"-",C994))</f>
        <v/>
      </c>
      <c r="E994" s="49" t="str">
        <f>IF(B994="","",IFERROR(VLOOKUP(B994,'Coil Sheet at Plant'!$C:$G,5,FALSE),"ID Not Found"))</f>
        <v/>
      </c>
      <c r="F994" s="50" t="str">
        <f>IF(B994="","",IFERROR(VLOOKUP(B994,'Coil Sheet at Plant'!$C:$H,6,FALSE),"ID Not Found"))</f>
        <v/>
      </c>
      <c r="G994" s="81">
        <v>1141</v>
      </c>
      <c r="H994" s="89" t="str">
        <f>IF(OR(B994="",G994=""),"",IFERROR(VLOOKUP(B994,'Coil Sheet at Plant'!$C:$J,8,FALSE),0)*G994/SUMIF(B:B,B994,G:G))</f>
        <v/>
      </c>
      <c r="I994" s="56" t="str">
        <f>IF(B994="","",IFERROR(VLOOKUP(B994,'Coil Sheet at Plant'!$C:$L,9,FALSE),""))</f>
        <v/>
      </c>
      <c r="J994" s="85" t="str">
        <f>IF(B994="","",IFERROR(VLOOKUP(B994,'Coil Sheet at Plant'!$C:$M,10,FALSE),""))</f>
        <v/>
      </c>
      <c r="K994" s="69" t="str">
        <f>IF(B994="","",SUMIF(B:B,B994,G:G))</f>
        <v/>
      </c>
      <c r="L994" s="70" t="str">
        <f>IF(B994="","",IFERROR(VLOOKUP(B994,'Coil Sheet at Plant'!$C:$I,7,FALSE),""))</f>
        <v/>
      </c>
      <c r="M994" s="71" t="str">
        <f>IF(OR(K994="",L994=""),"",IF(L994=0,"⚠ NO PARENT WIDTH",IF(K994&gt;L994,"⚠ BABY &gt; PARENT","✔ OK")))</f>
        <v/>
      </c>
      <c r="N994" s="71" t="str">
        <f>IF(D994="","",IF(COUNTIF(D$3:D994,D994)&gt;1,"⚠ DUPLICATE",""))</f>
        <v/>
      </c>
      <c r="O994" s="72" t="str">
        <f>IF(B994="","",SUMIF(B:B,B994,G:G)&amp;" / "&amp;IFERROR(VLOOKUP(B994,'Coil Sheet at Plant'!$C:$I,7,FALSE),"?")&amp;" mm")</f>
        <v/>
      </c>
    </row>
    <row r="995" spans="1:15">
      <c r="A995" s="36"/>
      <c r="B995" s="32"/>
      <c r="C995" s="39"/>
      <c r="D995" s="44" t="str">
        <f>IF(OR(B995="",C995=""),"",CONCATENATE(B995,"-",C995))</f>
        <v/>
      </c>
      <c r="E995" s="49" t="str">
        <f>IF(B995="","",IFERROR(VLOOKUP(B995,'Coil Sheet at Plant'!$C:$G,5,FALSE),"ID Not Found"))</f>
        <v/>
      </c>
      <c r="F995" s="50" t="str">
        <f>IF(B995="","",IFERROR(VLOOKUP(B995,'Coil Sheet at Plant'!$C:$H,6,FALSE),"ID Not Found"))</f>
        <v/>
      </c>
      <c r="G995" s="81">
        <v>1142</v>
      </c>
      <c r="H995" s="89" t="str">
        <f>IF(OR(B995="",G995=""),"",IFERROR(VLOOKUP(B995,'Coil Sheet at Plant'!$C:$J,8,FALSE),0)*G995/SUMIF(B:B,B995,G:G))</f>
        <v/>
      </c>
      <c r="I995" s="56" t="str">
        <f>IF(B995="","",IFERROR(VLOOKUP(B995,'Coil Sheet at Plant'!$C:$L,9,FALSE),""))</f>
        <v/>
      </c>
      <c r="J995" s="85" t="str">
        <f>IF(B995="","",IFERROR(VLOOKUP(B995,'Coil Sheet at Plant'!$C:$M,10,FALSE),""))</f>
        <v/>
      </c>
      <c r="K995" s="69" t="str">
        <f>IF(B995="","",SUMIF(B:B,B995,G:G))</f>
        <v/>
      </c>
      <c r="L995" s="70" t="str">
        <f>IF(B995="","",IFERROR(VLOOKUP(B995,'Coil Sheet at Plant'!$C:$I,7,FALSE),""))</f>
        <v/>
      </c>
      <c r="M995" s="71" t="str">
        <f>IF(OR(K995="",L995=""),"",IF(L995=0,"⚠ NO PARENT WIDTH",IF(K995&gt;L995,"⚠ BABY &gt; PARENT","✔ OK")))</f>
        <v/>
      </c>
      <c r="N995" s="71" t="str">
        <f>IF(D995="","",IF(COUNTIF(D$3:D995,D995)&gt;1,"⚠ DUPLICATE",""))</f>
        <v/>
      </c>
      <c r="O995" s="72" t="str">
        <f>IF(B995="","",SUMIF(B:B,B995,G:G)&amp;" / "&amp;IFERROR(VLOOKUP(B995,'Coil Sheet at Plant'!$C:$I,7,FALSE),"?")&amp;" mm")</f>
        <v/>
      </c>
    </row>
    <row r="996" spans="1:15">
      <c r="A996" s="36"/>
      <c r="B996" s="32"/>
      <c r="C996" s="39"/>
      <c r="D996" s="44" t="str">
        <f>IF(OR(B996="",C996=""),"",CONCATENATE(B996,"-",C996))</f>
        <v/>
      </c>
      <c r="E996" s="49" t="str">
        <f>IF(B996="","",IFERROR(VLOOKUP(B996,'Coil Sheet at Plant'!$C:$G,5,FALSE),"ID Not Found"))</f>
        <v/>
      </c>
      <c r="F996" s="50" t="str">
        <f>IF(B996="","",IFERROR(VLOOKUP(B996,'Coil Sheet at Plant'!$C:$H,6,FALSE),"ID Not Found"))</f>
        <v/>
      </c>
      <c r="G996" s="81">
        <v>1143</v>
      </c>
      <c r="H996" s="89" t="str">
        <f>IF(OR(B996="",G996=""),"",IFERROR(VLOOKUP(B996,'Coil Sheet at Plant'!$C:$J,8,FALSE),0)*G996/SUMIF(B:B,B996,G:G))</f>
        <v/>
      </c>
      <c r="I996" s="56" t="str">
        <f>IF(B996="","",IFERROR(VLOOKUP(B996,'Coil Sheet at Plant'!$C:$L,9,FALSE),""))</f>
        <v/>
      </c>
      <c r="J996" s="85" t="str">
        <f>IF(B996="","",IFERROR(VLOOKUP(B996,'Coil Sheet at Plant'!$C:$M,10,FALSE),""))</f>
        <v/>
      </c>
      <c r="K996" s="69" t="str">
        <f>IF(B996="","",SUMIF(B:B,B996,G:G))</f>
        <v/>
      </c>
      <c r="L996" s="70" t="str">
        <f>IF(B996="","",IFERROR(VLOOKUP(B996,'Coil Sheet at Plant'!$C:$I,7,FALSE),""))</f>
        <v/>
      </c>
      <c r="M996" s="71" t="str">
        <f>IF(OR(K996="",L996=""),"",IF(L996=0,"⚠ NO PARENT WIDTH",IF(K996&gt;L996,"⚠ BABY &gt; PARENT","✔ OK")))</f>
        <v/>
      </c>
      <c r="N996" s="71" t="str">
        <f>IF(D996="","",IF(COUNTIF(D$3:D996,D996)&gt;1,"⚠ DUPLICATE",""))</f>
        <v/>
      </c>
      <c r="O996" s="72" t="str">
        <f>IF(B996="","",SUMIF(B:B,B996,G:G)&amp;" / "&amp;IFERROR(VLOOKUP(B996,'Coil Sheet at Plant'!$C:$I,7,FALSE),"?")&amp;" mm")</f>
        <v/>
      </c>
    </row>
    <row r="997" spans="1:15">
      <c r="A997" s="36"/>
      <c r="B997" s="32"/>
      <c r="C997" s="39"/>
      <c r="D997" s="44" t="str">
        <f>IF(OR(B997="",C997=""),"",CONCATENATE(B997,"-",C997))</f>
        <v/>
      </c>
      <c r="E997" s="49" t="str">
        <f>IF(B997="","",IFERROR(VLOOKUP(B997,'Coil Sheet at Plant'!$C:$G,5,FALSE),"ID Not Found"))</f>
        <v/>
      </c>
      <c r="F997" s="50" t="str">
        <f>IF(B997="","",IFERROR(VLOOKUP(B997,'Coil Sheet at Plant'!$C:$H,6,FALSE),"ID Not Found"))</f>
        <v/>
      </c>
      <c r="G997" s="81">
        <v>1144</v>
      </c>
      <c r="H997" s="89" t="str">
        <f>IF(OR(B997="",G997=""),"",IFERROR(VLOOKUP(B997,'Coil Sheet at Plant'!$C:$J,8,FALSE),0)*G997/SUMIF(B:B,B997,G:G))</f>
        <v/>
      </c>
      <c r="I997" s="56" t="str">
        <f>IF(B997="","",IFERROR(VLOOKUP(B997,'Coil Sheet at Plant'!$C:$L,9,FALSE),""))</f>
        <v/>
      </c>
      <c r="J997" s="85" t="str">
        <f>IF(B997="","",IFERROR(VLOOKUP(B997,'Coil Sheet at Plant'!$C:$M,10,FALSE),""))</f>
        <v/>
      </c>
      <c r="K997" s="69" t="str">
        <f>IF(B997="","",SUMIF(B:B,B997,G:G))</f>
        <v/>
      </c>
      <c r="L997" s="70" t="str">
        <f>IF(B997="","",IFERROR(VLOOKUP(B997,'Coil Sheet at Plant'!$C:$I,7,FALSE),""))</f>
        <v/>
      </c>
      <c r="M997" s="71" t="str">
        <f>IF(OR(K997="",L997=""),"",IF(L997=0,"⚠ NO PARENT WIDTH",IF(K997&gt;L997,"⚠ BABY &gt; PARENT","✔ OK")))</f>
        <v/>
      </c>
      <c r="N997" s="71" t="str">
        <f>IF(D997="","",IF(COUNTIF(D$3:D997,D997)&gt;1,"⚠ DUPLICATE",""))</f>
        <v/>
      </c>
      <c r="O997" s="72" t="str">
        <f>IF(B997="","",SUMIF(B:B,B997,G:G)&amp;" / "&amp;IFERROR(VLOOKUP(B997,'Coil Sheet at Plant'!$C:$I,7,FALSE),"?")&amp;" mm")</f>
        <v/>
      </c>
    </row>
    <row r="998" spans="1:15">
      <c r="A998" s="36"/>
      <c r="B998" s="32"/>
      <c r="C998" s="39"/>
      <c r="D998" s="44" t="str">
        <f>IF(OR(B998="",C998=""),"",CONCATENATE(B998,"-",C998))</f>
        <v/>
      </c>
      <c r="E998" s="49" t="str">
        <f>IF(B998="","",IFERROR(VLOOKUP(B998,'Coil Sheet at Plant'!$C:$G,5,FALSE),"ID Not Found"))</f>
        <v/>
      </c>
      <c r="F998" s="50" t="str">
        <f>IF(B998="","",IFERROR(VLOOKUP(B998,'Coil Sheet at Plant'!$C:$H,6,FALSE),"ID Not Found"))</f>
        <v/>
      </c>
      <c r="G998" s="81">
        <v>1145</v>
      </c>
      <c r="H998" s="89" t="str">
        <f>IF(OR(B998="",G998=""),"",IFERROR(VLOOKUP(B998,'Coil Sheet at Plant'!$C:$J,8,FALSE),0)*G998/SUMIF(B:B,B998,G:G))</f>
        <v/>
      </c>
      <c r="I998" s="56" t="str">
        <f>IF(B998="","",IFERROR(VLOOKUP(B998,'Coil Sheet at Plant'!$C:$L,9,FALSE),""))</f>
        <v/>
      </c>
      <c r="J998" s="85" t="str">
        <f>IF(B998="","",IFERROR(VLOOKUP(B998,'Coil Sheet at Plant'!$C:$M,10,FALSE),""))</f>
        <v/>
      </c>
      <c r="K998" s="69" t="str">
        <f>IF(B998="","",SUMIF(B:B,B998,G:G))</f>
        <v/>
      </c>
      <c r="L998" s="70" t="str">
        <f>IF(B998="","",IFERROR(VLOOKUP(B998,'Coil Sheet at Plant'!$C:$I,7,FALSE),""))</f>
        <v/>
      </c>
      <c r="M998" s="71" t="str">
        <f>IF(OR(K998="",L998=""),"",IF(L998=0,"⚠ NO PARENT WIDTH",IF(K998&gt;L998,"⚠ BABY &gt; PARENT","✔ OK")))</f>
        <v/>
      </c>
      <c r="N998" s="71" t="str">
        <f>IF(D998="","",IF(COUNTIF(D$3:D998,D998)&gt;1,"⚠ DUPLICATE",""))</f>
        <v/>
      </c>
      <c r="O998" s="72" t="str">
        <f>IF(B998="","",SUMIF(B:B,B998,G:G)&amp;" / "&amp;IFERROR(VLOOKUP(B998,'Coil Sheet at Plant'!$C:$I,7,FALSE),"?")&amp;" mm")</f>
        <v/>
      </c>
    </row>
    <row r="999" spans="1:15">
      <c r="A999" s="36"/>
      <c r="B999" s="32"/>
      <c r="C999" s="39"/>
      <c r="D999" s="44" t="str">
        <f>IF(OR(B999="",C999=""),"",CONCATENATE(B999,"-",C999))</f>
        <v/>
      </c>
      <c r="E999" s="49" t="str">
        <f>IF(B999="","",IFERROR(VLOOKUP(B999,'Coil Sheet at Plant'!$C:$G,5,FALSE),"ID Not Found"))</f>
        <v/>
      </c>
      <c r="F999" s="50" t="str">
        <f>IF(B999="","",IFERROR(VLOOKUP(B999,'Coil Sheet at Plant'!$C:$H,6,FALSE),"ID Not Found"))</f>
        <v/>
      </c>
      <c r="G999" s="81">
        <v>1146</v>
      </c>
      <c r="H999" s="89" t="str">
        <f>IF(OR(B999="",G999=""),"",IFERROR(VLOOKUP(B999,'Coil Sheet at Plant'!$C:$J,8,FALSE),0)*G999/SUMIF(B:B,B999,G:G))</f>
        <v/>
      </c>
      <c r="I999" s="56" t="str">
        <f>IF(B999="","",IFERROR(VLOOKUP(B999,'Coil Sheet at Plant'!$C:$L,9,FALSE),""))</f>
        <v/>
      </c>
      <c r="J999" s="85" t="str">
        <f>IF(B999="","",IFERROR(VLOOKUP(B999,'Coil Sheet at Plant'!$C:$M,10,FALSE),""))</f>
        <v/>
      </c>
      <c r="K999" s="69" t="str">
        <f>IF(B999="","",SUMIF(B:B,B999,G:G))</f>
        <v/>
      </c>
      <c r="L999" s="70" t="str">
        <f>IF(B999="","",IFERROR(VLOOKUP(B999,'Coil Sheet at Plant'!$C:$I,7,FALSE),""))</f>
        <v/>
      </c>
      <c r="M999" s="71" t="str">
        <f>IF(OR(K999="",L999=""),"",IF(L999=0,"⚠ NO PARENT WIDTH",IF(K999&gt;L999,"⚠ BABY &gt; PARENT","✔ OK")))</f>
        <v/>
      </c>
      <c r="N999" s="71" t="str">
        <f>IF(D999="","",IF(COUNTIF(D$3:D999,D999)&gt;1,"⚠ DUPLICATE",""))</f>
        <v/>
      </c>
      <c r="O999" s="72" t="str">
        <f>IF(B999="","",SUMIF(B:B,B999,G:G)&amp;" / "&amp;IFERROR(VLOOKUP(B999,'Coil Sheet at Plant'!$C:$I,7,FALSE),"?")&amp;" mm")</f>
        <v/>
      </c>
    </row>
    <row r="1000" spans="1:15">
      <c r="A1000" s="37"/>
      <c r="B1000" s="33"/>
      <c r="C1000" s="40"/>
      <c r="D1000" s="45" t="str">
        <f>IF(OR(B1000="",C1000=""),"",CONCATENATE(B1000,"-",C1000))</f>
        <v/>
      </c>
      <c r="E1000" s="49" t="str">
        <f>IF(B1000="","",IFERROR(VLOOKUP(B1000,'Coil Sheet at Plant'!$C:$G,5,FALSE),"ID Not Found"))</f>
        <v/>
      </c>
      <c r="F1000" s="50" t="str">
        <f>IF(B1000="","",IFERROR(VLOOKUP(B1000,'Coil Sheet at Plant'!$C:$H,6,FALSE),"ID Not Found"))</f>
        <v/>
      </c>
      <c r="G1000" s="82">
        <v>1147</v>
      </c>
      <c r="H1000" s="90" t="str">
        <f>IF(OR(B1000="",G1000=""),"",IFERROR(VLOOKUP(B1000,'Coil Sheet at Plant'!$C:$J,8,FALSE),0)*G1000/SUMIF(B:B,B1000,G:G))</f>
        <v/>
      </c>
      <c r="I1000" s="57" t="str">
        <f>IF(B1000="","",IFERROR(VLOOKUP(B1000,'Coil Sheet at Plant'!$C:$L,9,FALSE),""))</f>
        <v/>
      </c>
      <c r="J1000" s="86" t="str">
        <f>IF(B1000="","",IFERROR(VLOOKUP(B1000,'Coil Sheet at Plant'!$C:$M,10,FALSE),""))</f>
        <v/>
      </c>
      <c r="K1000" s="73" t="str">
        <f>IF(B1000="","",SUMIF(B:B,B1000,G:G))</f>
        <v/>
      </c>
      <c r="L1000" s="74" t="str">
        <f>IF(B1000="","",IFERROR(VLOOKUP(B1000,'Coil Sheet at Plant'!$C:$I,7,FALSE),""))</f>
        <v/>
      </c>
      <c r="M1000" s="75" t="str">
        <f>IF(OR(K1000="",L1000=""),"",IF(L1000=0,"⚠ NO PARENT WIDTH",IF(K1000&gt;L1000,"⚠ BABY &gt; PARENT","✔ OK")))</f>
        <v/>
      </c>
      <c r="N1000" s="75" t="str">
        <f>IF(D1000="","",IF(COUNTIF(D$3:D1000,D1000)&gt;1,"⚠ DUPLICATE",""))</f>
        <v/>
      </c>
      <c r="O1000" s="76" t="str">
        <f>IF(B1000="","",SUMIF(B:B,B1000,G:G)&amp;" / "&amp;IFERROR(VLOOKUP(B1000,'Coil Sheet at Plant'!$C:$I,7,FALSE),"?")&amp;" mm")</f>
        <v/>
      </c>
    </row>
  </sheetData>
  <mergeCells count="2">
    <mergeCell ref="K1:O1"/>
    <mergeCell ref="A1:C1"/>
  </mergeCells>
  <conditionalFormatting sqref="M3:M1000">
    <cfRule type="containsText" dxfId="15" priority="17" operator="containsText" text="OK">
      <formula>NOT(ISERROR(SEARCH("OK",M3)))</formula>
    </cfRule>
  </conditionalFormatting>
  <conditionalFormatting sqref="M3:M1000">
    <cfRule type="containsText" dxfId="14" priority="18" operator="containsText" text="⚠">
      <formula>NOT(ISERROR(SEARCH("⚠",M3)))</formula>
    </cfRule>
  </conditionalFormatting>
  <conditionalFormatting sqref="N3:N1000">
    <cfRule type="containsText" dxfId="13" priority="19" operator="containsText" text="DUPLICATE">
      <formula>NOT(ISERROR(SEARCH("DUPLICATE",N3)))</formula>
    </cfRule>
  </conditionalFormatting>
  <dataValidations count="16">
    <dataValidation type="date" allowBlank="1" showInputMessage="1" showErrorMessage="1" errorTitle="Invalid Date" error="Date must be between 01-01-2020 and today." promptTitle="Date of Conversion" prompt="Enter slitting date (dd-mm-yyyy). Cannot be a future date." sqref="A3:A28 A37:A1000" xr:uid="{86A7C79B-2927-4C5D-9C61-1862AE74F4C5}">
      <formula1>43831</formula1>
      <formula2>TODAY()</formula2>
    </dataValidation>
    <dataValidation type="list" errorStyle="warning" allowBlank="1" showInputMessage="1" showErrorMessage="1" errorTitle="ID Not Found" error="This ID is not in the master coil list. Verify the HR Coil ID." promptTitle="HR Coil ID" prompt="Select an HR Coil ID from the dropdown list." sqref="B3:B10 B37:B1000" xr:uid="{6B78270F-5D9A-4A08-87CD-B45EC5D3D48E}">
      <formula1>CoilIDList</formula1>
    </dataValidation>
    <dataValidation type="list" allowBlank="1" showInputMessage="1" showErrorMessage="1" errorTitle="Invalid Entry" error="Must be a single uppercase letter A-Z." promptTitle="Baby Coil Entry" prompt="Select a letter (A, B, C...) for each baby coil from this HR coil." sqref="C3:C1000" xr:uid="{6F70880F-C3A2-47ED-9EC0-3A82E6375300}">
      <formula1>"A,B,C,D,E,F,G,H,I,J,K,L,M,N,O,P,Q,R,S,T,U,V,W,X,Y,Z"</formula1>
    </dataValidation>
    <dataValidation type="custom" allowBlank="1" showInputMessage="1" showErrorMessage="1" errorTitle="Invalid Width" error="Must be a positive number." promptTitle="Width (mm)" prompt="Enter baby coil width in mm after slitting. Must be &gt; 0." sqref="G3:G18 G29:G1000" xr:uid="{D95209B6-7DC7-4024-A6DF-7CDBBB0F429D}">
      <formula1>AND(ISNUMBER(G3),G3&gt;0)</formula1>
    </dataValidation>
    <dataValidation type="custom" allowBlank="1" showInputMessage="1" promptTitle="Baby Coil ID" prompt="Auto: Generated as HR Coil ID + Baby Letter (e.g., OH-HYD-...-01-A). Do not edit." sqref="D3:D1000" xr:uid="{29877705-B90E-417B-96BA-7C2C668332EC}">
      <formula1>TRUE</formula1>
    </dataValidation>
    <dataValidation type="custom" allowBlank="1" showInputMessage="1" promptTitle="Thickness (mm)" prompt="Auto: Pulled from parent coil in 'Coil Sheet at Plant'. Do not edit." sqref="E3:E1000" xr:uid="{19934E85-6A04-4BF7-89C7-A65BB5BD9FE1}">
      <formula1>TRUE</formula1>
    </dataValidation>
    <dataValidation type="custom" allowBlank="1" showInputMessage="1" promptTitle="Length (mm)" prompt="Auto: Pulled from parent coil in 'Coil Sheet at Plant'. Do not edit." sqref="F3:F1000" xr:uid="{42C30F34-C600-4566-ABE7-34BFC7FDDD98}">
      <formula1>TRUE</formula1>
    </dataValidation>
    <dataValidation type="custom" allowBlank="1" showInputMessage="1" promptTitle="Weight (kg)" prompt="Auto: Parent Weight × (This Baby Width ÷ Sum of all Baby Widths). Proportional allocation." sqref="H3:H1000" xr:uid="{B5866ABC-0AD8-47E4-AA30-C24FF8CEA40A}">
      <formula1>TRUE</formula1>
    </dataValidation>
    <dataValidation type="custom" allowBlank="1" showInputMessage="1" promptTitle="Cost Price (₹)" prompt="Auto: Pulled from parent coil in 'Coil Sheet at Plant'. Do not edit." sqref="I3:I1000" xr:uid="{6F6F36D8-9F0B-4F6B-BFB9-EB5A3C84F4B7}">
      <formula1>TRUE</formula1>
    </dataValidation>
    <dataValidation type="custom" allowBlank="1" showInputMessage="1" promptTitle="PO Number" prompt="Auto: Pulled from parent coil in 'Coil Sheet at Plant'. Do not edit." sqref="J3:J1000" xr:uid="{E910A9A1-1D09-4548-B69D-85A5F8932F60}">
      <formula1>TRUE</formula1>
    </dataValidation>
    <dataValidation type="custom" allowBlank="1" showInputMessage="1" promptTitle="Sum Baby Width (mm)" prompt="Auto: Total width of all baby coils from the same HR parent coil." sqref="K3:K1000" xr:uid="{A41985BC-A95C-4821-81C3-B1882319E0B9}">
      <formula1>TRUE</formula1>
    </dataValidation>
    <dataValidation type="custom" allowBlank="1" showInputMessage="1" promptTitle="Parent Coil Width (mm)" prompt="Auto: Original parent coil width pulled from 'Coil Sheet at Plant'." sqref="L3:L1000" xr:uid="{B6F6E436-6906-4783-8518-27A542D5D3BE}">
      <formula1>TRUE</formula1>
    </dataValidation>
    <dataValidation type="custom" allowBlank="1" showInputMessage="1" promptTitle="Width Validation" prompt="Auto: ✔ OK if sum of baby widths ≤ parent width. ⚠ BABY &gt; PARENT if exceeded." sqref="M3:M1000" xr:uid="{2EAE6BB2-3E60-4BD7-8B31-2B751DD82D62}">
      <formula1>TRUE</formula1>
    </dataValidation>
    <dataValidation type="custom" allowBlank="1" showInputMessage="1" promptTitle="Duplicate Baby ID Check" prompt="Auto: Flags ⚠ DUPLICATE if this Baby Coil ID already exists above." sqref="N3:N1000" xr:uid="{4C122049-4A76-432F-85BF-ACF413D113D3}">
      <formula1>TRUE</formula1>
    </dataValidation>
    <dataValidation type="custom" allowBlank="1" showInputMessage="1" promptTitle="Width Sum vs Parent" prompt="Auto: Shows 'Baby Total / Parent Width mm' for quick visual check." sqref="O3:O1000" xr:uid="{E9183FD4-F074-424E-BA61-73B851969CE6}">
      <formula1>TRUE</formula1>
    </dataValidation>
    <dataValidation type="custom" allowBlank="1" showInputMessage="1" promptTitle="HR Coil ID" prompt="Enter unique coil ID. Format: OH-{Location}-{Date}-{Seq}" sqref="B29:B36" xr:uid="{7AB2EE6E-4C70-4897-8700-F37E27F36A2E}">
      <formula1>TRUE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9A16-C2D2-412B-BEF1-7F70C2DE1E0E}">
  <dimension ref="A1:L10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outlineLevelCol="1"/>
  <cols>
    <col min="1" max="1" width="21" customWidth="1"/>
    <col min="2" max="2" width="46.5703125" customWidth="1"/>
    <col min="3" max="3" width="35.28515625" customWidth="1"/>
    <col min="4" max="4" width="18.140625" customWidth="1"/>
    <col min="5" max="6" width="15.28515625" customWidth="1"/>
    <col min="7" max="7" width="17.140625" customWidth="1"/>
    <col min="8" max="8" width="9.140625" customWidth="1"/>
    <col min="9" max="9" width="19" customWidth="1" outlineLevel="1"/>
    <col min="10" max="10" width="20" customWidth="1" outlineLevel="1"/>
    <col min="11" max="11" width="16.140625" customWidth="1" outlineLevel="1"/>
    <col min="12" max="12" width="22.85546875" customWidth="1" outlineLevel="1"/>
    <col min="13" max="13" width="9.140625" customWidth="1"/>
  </cols>
  <sheetData>
    <row r="1" spans="1:12" ht="15.75">
      <c r="A1" s="11" t="s">
        <v>76</v>
      </c>
      <c r="B1" s="222"/>
      <c r="C1" s="222"/>
      <c r="D1" s="222"/>
      <c r="E1" s="223"/>
      <c r="F1" s="223"/>
      <c r="G1" s="223"/>
      <c r="H1" s="223"/>
      <c r="I1" s="5" t="s">
        <v>4</v>
      </c>
      <c r="J1" s="172"/>
      <c r="K1" s="172"/>
      <c r="L1" s="173"/>
    </row>
    <row r="2" spans="1:12" ht="43.5">
      <c r="A2" s="224" t="s">
        <v>49</v>
      </c>
      <c r="B2" s="225" t="s">
        <v>77</v>
      </c>
      <c r="C2" s="225" t="s">
        <v>51</v>
      </c>
      <c r="D2" s="226" t="s">
        <v>78</v>
      </c>
      <c r="E2" s="227" t="s">
        <v>12</v>
      </c>
      <c r="F2" s="228" t="s">
        <v>13</v>
      </c>
      <c r="G2" s="228" t="s">
        <v>11</v>
      </c>
      <c r="H2" s="229" t="s">
        <v>79</v>
      </c>
      <c r="I2" s="230" t="s">
        <v>80</v>
      </c>
      <c r="J2" s="231" t="s">
        <v>81</v>
      </c>
      <c r="K2" s="231" t="s">
        <v>82</v>
      </c>
      <c r="L2" s="232" t="s">
        <v>83</v>
      </c>
    </row>
    <row r="3" spans="1:12">
      <c r="A3" s="34">
        <v>46109</v>
      </c>
      <c r="B3" s="28" t="s">
        <v>84</v>
      </c>
      <c r="C3" s="28" t="s">
        <v>85</v>
      </c>
      <c r="D3" s="29">
        <v>124</v>
      </c>
      <c r="E3" s="47">
        <f>IF(C3="","",IFERROR(VLOOKUP(C3,'Coil to Slit'!$D:$H,3,FALSE),""))</f>
        <v>0</v>
      </c>
      <c r="F3" s="47">
        <f>IF(C3="","",IFERROR(VLOOKUP(C3,'Coil to Slit'!$D:$H,4,FALSE),""))</f>
        <v>147</v>
      </c>
      <c r="G3" s="87">
        <f>IF(C3="","",IFERROR(VLOOKUP(C3,'Coil to Slit'!$D:$H,2,FALSE),""))</f>
        <v>2.8</v>
      </c>
      <c r="H3" s="51">
        <f>IF(OR(C3="",D3=""),"",IFERROR(VLOOKUP(C3,'Coil to Slit'!$D:$H,5,FALSE),""))</f>
        <v>2.4397506033789216</v>
      </c>
      <c r="I3" s="54">
        <f>IF(C3="","",IFERROR(VLOOKUP(LEFT(C3,LEN(C3)-2),'Coil Sheet at Plant'!$C:$J,8,FALSE),""))</f>
        <v>20.63</v>
      </c>
      <c r="J3" s="153">
        <f>IF(C3="","",SUMIF(C:C,C3,H:H))</f>
        <v>2.4397506033789216</v>
      </c>
      <c r="K3" s="63" t="str">
        <f>IF(OR(I3="",J3=""),"",IF(J3&gt;I3,"⚠ BUNDLES &gt; MOTHER COIL","✔ OK"))</f>
        <v>✔ OK</v>
      </c>
      <c r="L3" s="64" t="e">
        <f>IF(#REF!="","",IF(COUNTIF(#REF!,#REF!)&gt;1,"⚠ DUPLICATE",""))</f>
        <v>#REF!</v>
      </c>
    </row>
    <row r="4" spans="1:12">
      <c r="A4" s="35">
        <v>46109</v>
      </c>
      <c r="B4" s="30" t="s">
        <v>84</v>
      </c>
      <c r="C4" s="30" t="s">
        <v>86</v>
      </c>
      <c r="D4" s="31">
        <v>124</v>
      </c>
      <c r="E4" s="47">
        <f>IF(C4="","",IFERROR(VLOOKUP(C4,'Coil to Slit'!$D:$H,3,FALSE),""))</f>
        <v>0</v>
      </c>
      <c r="F4" s="47">
        <f>IF(C4="","",IFERROR(VLOOKUP(C4,'Coil to Slit'!$D:$H,4,FALSE),""))</f>
        <v>147</v>
      </c>
      <c r="G4" s="87">
        <f>IF(C4="","",IFERROR(VLOOKUP(C4,'Coil to Slit'!$D:$H,2,FALSE),""))</f>
        <v>2.8</v>
      </c>
      <c r="H4" s="51">
        <f>IF(OR(C4="",D4=""),"",IFERROR(VLOOKUP(C4,'Coil to Slit'!$D:$H,5,FALSE),""))</f>
        <v>2.4397506033789216</v>
      </c>
      <c r="I4" s="54">
        <f>IF(C4="","",IFERROR(VLOOKUP(LEFT(C4,LEN(C4)-2),'Coil Sheet at Plant'!$C:$J,8,FALSE),""))</f>
        <v>20.63</v>
      </c>
      <c r="J4" s="155">
        <f>IF(C4="","",SUMIF(C:C,C4,H:H))</f>
        <v>2.4397506033789216</v>
      </c>
      <c r="K4" s="67" t="str">
        <f t="shared" ref="K4:K23" si="0">IF(OR(I4="",J4=""),"",IF(J4&gt;I4,"⚠ BUNDLES &gt; MOTHER COIL","✔ OK"))</f>
        <v>✔ OK</v>
      </c>
      <c r="L4" s="68" t="e">
        <f>IF(#REF!="","",IF(COUNTIF(#REF!,#REF!)&gt;1,"⚠ DUPLICATE",""))</f>
        <v>#REF!</v>
      </c>
    </row>
    <row r="5" spans="1:12">
      <c r="A5" s="35">
        <v>46111</v>
      </c>
      <c r="B5" s="30" t="s">
        <v>84</v>
      </c>
      <c r="C5" s="30" t="s">
        <v>87</v>
      </c>
      <c r="D5" s="31">
        <v>126</v>
      </c>
      <c r="E5" s="47">
        <f>IF(C5="","",IFERROR(VLOOKUP(C5,'Coil to Slit'!$D:$H,3,FALSE),""))</f>
        <v>0</v>
      </c>
      <c r="F5" s="47">
        <f>IF(C5="","",IFERROR(VLOOKUP(C5,'Coil to Slit'!$D:$H,4,FALSE),""))</f>
        <v>147</v>
      </c>
      <c r="G5" s="87">
        <f>IF(C5="","",IFERROR(VLOOKUP(C5,'Coil to Slit'!$D:$H,2,FALSE),""))</f>
        <v>2.8</v>
      </c>
      <c r="H5" s="51">
        <f>IF(OR(C5="",D5=""),"",IFERROR(VLOOKUP(C5,'Coil to Slit'!$D:$H,5,FALSE),""))</f>
        <v>2.4397506033789216</v>
      </c>
      <c r="I5" s="54">
        <f>IF(C5="","",IFERROR(VLOOKUP(LEFT(C5,LEN(C5)-2),'Coil Sheet at Plant'!$C:$J,8,FALSE),""))</f>
        <v>20.63</v>
      </c>
      <c r="J5" s="155">
        <f>IF(C5="","",SUMIF(C:C,C5,H:H))</f>
        <v>2.4397506033789216</v>
      </c>
      <c r="K5" s="67" t="str">
        <f t="shared" si="0"/>
        <v>✔ OK</v>
      </c>
      <c r="L5" s="68" t="e">
        <f>IF(#REF!="","",IF(COUNTIF(#REF!,#REF!)&gt;1,"⚠ DUPLICATE",""))</f>
        <v>#REF!</v>
      </c>
    </row>
    <row r="6" spans="1:12">
      <c r="A6" s="35">
        <v>46111</v>
      </c>
      <c r="B6" s="30" t="s">
        <v>84</v>
      </c>
      <c r="C6" s="30" t="s">
        <v>88</v>
      </c>
      <c r="D6" s="31">
        <v>126</v>
      </c>
      <c r="E6" s="47">
        <f>IF(C6="","",IFERROR(VLOOKUP(C6,'Coil to Slit'!$D:$H,3,FALSE),""))</f>
        <v>0</v>
      </c>
      <c r="F6" s="47">
        <f>IF(C6="","",IFERROR(VLOOKUP(C6,'Coil to Slit'!$D:$H,4,FALSE),""))</f>
        <v>147</v>
      </c>
      <c r="G6" s="87">
        <f>IF(C6="","",IFERROR(VLOOKUP(C6,'Coil to Slit'!$D:$H,2,FALSE),""))</f>
        <v>2.8</v>
      </c>
      <c r="H6" s="51">
        <f>IF(OR(C6="",D6=""),"",IFERROR(VLOOKUP(C6,'Coil to Slit'!$D:$H,5,FALSE),""))</f>
        <v>2.4397506033789216</v>
      </c>
      <c r="I6" s="54">
        <f>IF(C6="","",IFERROR(VLOOKUP(LEFT(C6,LEN(C6)-2),'Coil Sheet at Plant'!$C:$J,8,FALSE),""))</f>
        <v>20.63</v>
      </c>
      <c r="J6" s="155">
        <f>IF(C6="","",SUMIF(C:C,C6,H:H))</f>
        <v>2.4397506033789216</v>
      </c>
      <c r="K6" s="67" t="str">
        <f t="shared" si="0"/>
        <v>✔ OK</v>
      </c>
      <c r="L6" s="68" t="e">
        <f>IF(#REF!="","",IF(COUNTIF(#REF!,#REF!)&gt;1,"⚠ DUPLICATE",""))</f>
        <v>#REF!</v>
      </c>
    </row>
    <row r="7" spans="1:12">
      <c r="A7" s="35">
        <v>46111</v>
      </c>
      <c r="B7" s="30" t="s">
        <v>84</v>
      </c>
      <c r="C7" s="30" t="s">
        <v>89</v>
      </c>
      <c r="D7" s="31">
        <v>128</v>
      </c>
      <c r="E7" s="47">
        <f>IF(C7="","",IFERROR(VLOOKUP(C7,'Coil to Slit'!$D:$H,3,FALSE),""))</f>
        <v>0</v>
      </c>
      <c r="F7" s="47">
        <f>IF(C7="","",IFERROR(VLOOKUP(C7,'Coil to Slit'!$D:$H,4,FALSE),""))</f>
        <v>147</v>
      </c>
      <c r="G7" s="87">
        <f>IF(C7="","",IFERROR(VLOOKUP(C7,'Coil to Slit'!$D:$H,2,FALSE),""))</f>
        <v>2.8</v>
      </c>
      <c r="H7" s="51">
        <f>IF(OR(C7="",D7=""),"",IFERROR(VLOOKUP(C7,'Coil to Slit'!$D:$H,5,FALSE),""))</f>
        <v>2.4397506033789216</v>
      </c>
      <c r="I7" s="54">
        <f>IF(C7="","",IFERROR(VLOOKUP(LEFT(C7,LEN(C7)-2),'Coil Sheet at Plant'!$C:$J,8,FALSE),""))</f>
        <v>20.63</v>
      </c>
      <c r="J7" s="155">
        <f>IF(C7="","",SUMIF(C:C,C7,H:H))</f>
        <v>2.4397506033789216</v>
      </c>
      <c r="K7" s="67" t="str">
        <f t="shared" si="0"/>
        <v>✔ OK</v>
      </c>
      <c r="L7" s="68" t="e">
        <f>IF(#REF!="","",IF(COUNTIF(#REF!,#REF!)&gt;1,"⚠ DUPLICATE",""))</f>
        <v>#REF!</v>
      </c>
    </row>
    <row r="8" spans="1:12">
      <c r="A8" s="35">
        <v>46111</v>
      </c>
      <c r="B8" s="30" t="s">
        <v>84</v>
      </c>
      <c r="C8" s="30" t="s">
        <v>90</v>
      </c>
      <c r="D8" s="31">
        <v>127</v>
      </c>
      <c r="E8" s="47">
        <f>IF(C8="","",IFERROR(VLOOKUP(C8,'Coil to Slit'!$D:$H,3,FALSE),""))</f>
        <v>0</v>
      </c>
      <c r="F8" s="47">
        <f>IF(C8="","",IFERROR(VLOOKUP(C8,'Coil to Slit'!$D:$H,4,FALSE),""))</f>
        <v>147</v>
      </c>
      <c r="G8" s="87">
        <f>IF(C8="","",IFERROR(VLOOKUP(C8,'Coil to Slit'!$D:$H,2,FALSE),""))</f>
        <v>2.8</v>
      </c>
      <c r="H8" s="51">
        <f>IF(OR(C8="",D8=""),"",IFERROR(VLOOKUP(C8,'Coil to Slit'!$D:$H,5,FALSE),""))</f>
        <v>2.475229283990346</v>
      </c>
      <c r="I8" s="54">
        <f>IF(C8="","",IFERROR(VLOOKUP(LEFT(C8,LEN(C8)-2),'Coil Sheet at Plant'!$C:$J,8,FALSE),""))</f>
        <v>20.93</v>
      </c>
      <c r="J8" s="155">
        <f>IF(C8="","",SUMIF(C:C,C8,H:H))</f>
        <v>2.475229283990346</v>
      </c>
      <c r="K8" s="67" t="str">
        <f t="shared" si="0"/>
        <v>✔ OK</v>
      </c>
      <c r="L8" s="68" t="e">
        <f>IF(#REF!="","",IF(COUNTIF(#REF!,#REF!)&gt;1,"⚠ DUPLICATE",""))</f>
        <v>#REF!</v>
      </c>
    </row>
    <row r="9" spans="1:12">
      <c r="A9" s="35">
        <v>46111</v>
      </c>
      <c r="B9" s="30" t="s">
        <v>84</v>
      </c>
      <c r="C9" s="30" t="s">
        <v>91</v>
      </c>
      <c r="D9" s="31">
        <v>127</v>
      </c>
      <c r="E9" s="47">
        <f>IF(C9="","",IFERROR(VLOOKUP(C9,'Coil to Slit'!$D:$H,3,FALSE),""))</f>
        <v>0</v>
      </c>
      <c r="F9" s="47">
        <f>IF(C9="","",IFERROR(VLOOKUP(C9,'Coil to Slit'!$D:$H,4,FALSE),""))</f>
        <v>147</v>
      </c>
      <c r="G9" s="87">
        <f>IF(C9="","",IFERROR(VLOOKUP(C9,'Coil to Slit'!$D:$H,2,FALSE),""))</f>
        <v>2.8</v>
      </c>
      <c r="H9" s="51">
        <f>IF(OR(C9="",D9=""),"",IFERROR(VLOOKUP(C9,'Coil to Slit'!$D:$H,5,FALSE),""))</f>
        <v>2.475229283990346</v>
      </c>
      <c r="I9" s="54">
        <f>IF(C9="","",IFERROR(VLOOKUP(LEFT(C9,LEN(C9)-2),'Coil Sheet at Plant'!$C:$J,8,FALSE),""))</f>
        <v>20.93</v>
      </c>
      <c r="J9" s="155">
        <f>IF(C9="","",SUMIF(C:C,C9,H:H))</f>
        <v>2.475229283990346</v>
      </c>
      <c r="K9" s="67" t="str">
        <f t="shared" si="0"/>
        <v>✔ OK</v>
      </c>
      <c r="L9" s="68" t="e">
        <f>IF(#REF!="","",IF(COUNTIF(#REF!,#REF!)&gt;1,"⚠ DUPLICATE",""))</f>
        <v>#REF!</v>
      </c>
    </row>
    <row r="10" spans="1:12">
      <c r="A10" s="35">
        <v>46111</v>
      </c>
      <c r="B10" s="30" t="s">
        <v>84</v>
      </c>
      <c r="C10" s="30" t="s">
        <v>92</v>
      </c>
      <c r="D10" s="31">
        <v>127</v>
      </c>
      <c r="E10" s="47">
        <f>IF(C10="","",IFERROR(VLOOKUP(C10,'Coil to Slit'!$D:$H,3,FALSE),""))</f>
        <v>0</v>
      </c>
      <c r="F10" s="47">
        <f>IF(C10="","",IFERROR(VLOOKUP(C10,'Coil to Slit'!$D:$H,4,FALSE),""))</f>
        <v>147</v>
      </c>
      <c r="G10" s="87">
        <f>IF(C10="","",IFERROR(VLOOKUP(C10,'Coil to Slit'!$D:$H,2,FALSE),""))</f>
        <v>2.8</v>
      </c>
      <c r="H10" s="51">
        <f>IF(OR(C10="",D10=""),"",IFERROR(VLOOKUP(C10,'Coil to Slit'!$D:$H,5,FALSE),""))</f>
        <v>2.475229283990346</v>
      </c>
      <c r="I10" s="54">
        <f>IF(C10="","",IFERROR(VLOOKUP(LEFT(C10,LEN(C10)-2),'Coil Sheet at Plant'!$C:$J,8,FALSE),""))</f>
        <v>20.93</v>
      </c>
      <c r="J10" s="155">
        <f>IF(C10="","",SUMIF(C:C,C10,H:H))</f>
        <v>2.475229283990346</v>
      </c>
      <c r="K10" s="67" t="str">
        <f t="shared" si="0"/>
        <v>✔ OK</v>
      </c>
      <c r="L10" s="68" t="e">
        <f>IF(#REF!="","",IF(COUNTIF(#REF!,#REF!)&gt;1,"⚠ DUPLICATE",""))</f>
        <v>#REF!</v>
      </c>
    </row>
    <row r="11" spans="1:12">
      <c r="A11" s="35">
        <v>46111</v>
      </c>
      <c r="B11" s="30" t="s">
        <v>84</v>
      </c>
      <c r="C11" s="30" t="s">
        <v>93</v>
      </c>
      <c r="D11" s="31">
        <v>127</v>
      </c>
      <c r="E11" s="47">
        <f>IF(C11="","",IFERROR(VLOOKUP(C11,'Coil to Slit'!$D:$H,3,FALSE),""))</f>
        <v>0</v>
      </c>
      <c r="F11" s="47">
        <f>IF(C11="","",IFERROR(VLOOKUP(C11,'Coil to Slit'!$D:$H,4,FALSE),""))</f>
        <v>147</v>
      </c>
      <c r="G11" s="87">
        <f>IF(C11="","",IFERROR(VLOOKUP(C11,'Coil to Slit'!$D:$H,2,FALSE),""))</f>
        <v>2.8</v>
      </c>
      <c r="H11" s="51">
        <f>IF(OR(C11="",D11=""),"",IFERROR(VLOOKUP(C11,'Coil to Slit'!$D:$H,5,FALSE),""))</f>
        <v>2.475229283990346</v>
      </c>
      <c r="I11" s="54">
        <f>IF(C11="","",IFERROR(VLOOKUP(LEFT(C11,LEN(C11)-2),'Coil Sheet at Plant'!$C:$J,8,FALSE),""))</f>
        <v>20.93</v>
      </c>
      <c r="J11" s="155">
        <f>IF(C11="","",SUMIF(C:C,C11,H:H))</f>
        <v>2.475229283990346</v>
      </c>
      <c r="K11" s="67" t="str">
        <f t="shared" si="0"/>
        <v>✔ OK</v>
      </c>
      <c r="L11" s="68" t="e">
        <f>IF(#REF!="","",IF(COUNTIF(#REF!,#REF!)&gt;1,"⚠ DUPLICATE",""))</f>
        <v>#REF!</v>
      </c>
    </row>
    <row r="12" spans="1:12">
      <c r="A12" s="35">
        <v>46111</v>
      </c>
      <c r="B12" s="30" t="s">
        <v>84</v>
      </c>
      <c r="C12" s="30" t="s">
        <v>94</v>
      </c>
      <c r="D12" s="31">
        <v>130</v>
      </c>
      <c r="E12" s="47">
        <f>IF(C12="","",IFERROR(VLOOKUP(C12,'Coil to Slit'!$D:$H,3,FALSE),""))</f>
        <v>0</v>
      </c>
      <c r="F12" s="47">
        <f>IF(C12="","",IFERROR(VLOOKUP(C12,'Coil to Slit'!$D:$H,4,FALSE),""))</f>
        <v>147</v>
      </c>
      <c r="G12" s="87">
        <f>IF(C12="","",IFERROR(VLOOKUP(C12,'Coil to Slit'!$D:$H,2,FALSE),""))</f>
        <v>2.8</v>
      </c>
      <c r="H12" s="51">
        <f>IF(OR(C12="",D12=""),"",IFERROR(VLOOKUP(C12,'Coil to Slit'!$D:$H,5,FALSE),""))</f>
        <v>2.475229283990346</v>
      </c>
      <c r="I12" s="54">
        <f>IF(C12="","",IFERROR(VLOOKUP(LEFT(C12,LEN(C12)-2),'Coil Sheet at Plant'!$C:$J,8,FALSE),""))</f>
        <v>20.93</v>
      </c>
      <c r="J12" s="155">
        <f>IF(C12="","",SUMIF(C:C,C12,H:H))</f>
        <v>2.475229283990346</v>
      </c>
      <c r="K12" s="67" t="str">
        <f t="shared" si="0"/>
        <v>✔ OK</v>
      </c>
      <c r="L12" s="68" t="e">
        <f>IF(#REF!="","",IF(COUNTIF(#REF!,#REF!)&gt;1,"⚠ DUPLICATE",""))</f>
        <v>#REF!</v>
      </c>
    </row>
    <row r="13" spans="1:12">
      <c r="A13" s="35">
        <v>46111</v>
      </c>
      <c r="B13" s="30" t="s">
        <v>95</v>
      </c>
      <c r="C13" s="30" t="s">
        <v>96</v>
      </c>
      <c r="D13" s="31">
        <v>161</v>
      </c>
      <c r="E13" s="47">
        <f>IF(C13="","",IFERROR(VLOOKUP(C13,'Coil to Slit'!$D:$H,3,FALSE),""))</f>
        <v>0</v>
      </c>
      <c r="F13" s="47">
        <f>IF(C13="","",IFERROR(VLOOKUP(C13,'Coil to Slit'!$D:$H,4,FALSE),""))</f>
        <v>147</v>
      </c>
      <c r="G13" s="87">
        <f>IF(C13="","",IFERROR(VLOOKUP(C13,'Coil to Slit'!$D:$H,2,FALSE),""))</f>
        <v>2.5</v>
      </c>
      <c r="H13" s="51">
        <f>IF(OR(C13="",D13=""),"",IFERROR(VLOOKUP(C13,'Coil to Slit'!$D:$H,5,FALSE),""))</f>
        <v>2.8627859042553192</v>
      </c>
      <c r="I13" s="54">
        <f>IF(C13="","",IFERROR(VLOOKUP(LEFT(C13,LEN(C13)-2),'Coil Sheet at Plant'!$C:$J,8,FALSE),""))</f>
        <v>29.29</v>
      </c>
      <c r="J13" s="155">
        <f>IF(C13="","",SUMIF(C:C,C13,H:H))</f>
        <v>2.8627859042553192</v>
      </c>
      <c r="K13" s="67" t="str">
        <f t="shared" si="0"/>
        <v>✔ OK</v>
      </c>
      <c r="L13" s="68" t="e">
        <f>IF(#REF!="","",IF(COUNTIF(#REF!,#REF!)&gt;1,"⚠ DUPLICATE",""))</f>
        <v>#REF!</v>
      </c>
    </row>
    <row r="14" spans="1:12">
      <c r="A14" s="35">
        <v>46111</v>
      </c>
      <c r="B14" s="30" t="s">
        <v>95</v>
      </c>
      <c r="C14" s="30" t="s">
        <v>97</v>
      </c>
      <c r="D14" s="31">
        <v>161</v>
      </c>
      <c r="E14" s="47">
        <f>IF(C14="","",IFERROR(VLOOKUP(C14,'Coil to Slit'!$D:$H,3,FALSE),""))</f>
        <v>0</v>
      </c>
      <c r="F14" s="47">
        <f>IF(C14="","",IFERROR(VLOOKUP(C14,'Coil to Slit'!$D:$H,4,FALSE),""))</f>
        <v>147</v>
      </c>
      <c r="G14" s="87">
        <f>IF(C14="","",IFERROR(VLOOKUP(C14,'Coil to Slit'!$D:$H,2,FALSE),""))</f>
        <v>2.5</v>
      </c>
      <c r="H14" s="51">
        <f>IF(OR(C14="",D14=""),"",IFERROR(VLOOKUP(C14,'Coil to Slit'!$D:$H,5,FALSE),""))</f>
        <v>2.8627859042553192</v>
      </c>
      <c r="I14" s="54">
        <f>IF(C14="","",IFERROR(VLOOKUP(LEFT(C14,LEN(C14)-2),'Coil Sheet at Plant'!$C:$J,8,FALSE),""))</f>
        <v>29.29</v>
      </c>
      <c r="J14" s="155">
        <f>IF(C14="","",SUMIF(C:C,C14,H:H))</f>
        <v>2.8627859042553192</v>
      </c>
      <c r="K14" s="67" t="str">
        <f t="shared" si="0"/>
        <v>✔ OK</v>
      </c>
      <c r="L14" s="68" t="e">
        <f>IF(#REF!="","",IF(COUNTIF(#REF!,#REF!)&gt;1,"⚠ DUPLICATE",""))</f>
        <v>#REF!</v>
      </c>
    </row>
    <row r="15" spans="1:12">
      <c r="A15" s="35">
        <v>46111</v>
      </c>
      <c r="B15" s="30" t="s">
        <v>95</v>
      </c>
      <c r="C15" s="30" t="s">
        <v>98</v>
      </c>
      <c r="D15" s="31">
        <v>161</v>
      </c>
      <c r="E15" s="47">
        <f>IF(C15="","",IFERROR(VLOOKUP(C15,'Coil to Slit'!$D:$H,3,FALSE),""))</f>
        <v>0</v>
      </c>
      <c r="F15" s="47">
        <f>IF(C15="","",IFERROR(VLOOKUP(C15,'Coil to Slit'!$D:$H,4,FALSE),""))</f>
        <v>147</v>
      </c>
      <c r="G15" s="87">
        <f>IF(C15="","",IFERROR(VLOOKUP(C15,'Coil to Slit'!$D:$H,2,FALSE),""))</f>
        <v>2.5</v>
      </c>
      <c r="H15" s="51">
        <f>IF(OR(C15="",D15=""),"",IFERROR(VLOOKUP(C15,'Coil to Slit'!$D:$H,5,FALSE),""))</f>
        <v>2.8627859042553192</v>
      </c>
      <c r="I15" s="54">
        <f>IF(C15="","",IFERROR(VLOOKUP(LEFT(C15,LEN(C15)-2),'Coil Sheet at Plant'!$C:$J,8,FALSE),""))</f>
        <v>29.29</v>
      </c>
      <c r="J15" s="155">
        <f>IF(C15="","",SUMIF(C:C,C15,H:H))</f>
        <v>2.8627859042553192</v>
      </c>
      <c r="K15" s="67" t="str">
        <f t="shared" si="0"/>
        <v>✔ OK</v>
      </c>
      <c r="L15" s="68" t="e">
        <f>IF(#REF!="","",IF(COUNTIF(#REF!,#REF!)&gt;1,"⚠ DUPLICATE",""))</f>
        <v>#REF!</v>
      </c>
    </row>
    <row r="16" spans="1:12">
      <c r="A16" s="35">
        <v>46111</v>
      </c>
      <c r="B16" s="30" t="s">
        <v>95</v>
      </c>
      <c r="C16" s="30" t="s">
        <v>99</v>
      </c>
      <c r="D16" s="31">
        <v>163</v>
      </c>
      <c r="E16" s="47">
        <f>IF(C16="","",IFERROR(VLOOKUP(C16,'Coil to Slit'!$D:$H,3,FALSE),""))</f>
        <v>0</v>
      </c>
      <c r="F16" s="47">
        <f>IF(C16="","",IFERROR(VLOOKUP(C16,'Coil to Slit'!$D:$H,4,FALSE),""))</f>
        <v>147</v>
      </c>
      <c r="G16" s="87">
        <f>IF(C16="","",IFERROR(VLOOKUP(C16,'Coil to Slit'!$D:$H,2,FALSE),""))</f>
        <v>2.5</v>
      </c>
      <c r="H16" s="51">
        <f>IF(OR(C16="",D16=""),"",IFERROR(VLOOKUP(C16,'Coil to Slit'!$D:$H,5,FALSE),""))</f>
        <v>2.8627859042553192</v>
      </c>
      <c r="I16" s="54">
        <f>IF(C16="","",IFERROR(VLOOKUP(LEFT(C16,LEN(C16)-2),'Coil Sheet at Plant'!$C:$J,8,FALSE),""))</f>
        <v>29.29</v>
      </c>
      <c r="J16" s="155">
        <f>IF(C16="","",SUMIF(C:C,C16,H:H))</f>
        <v>5.7255718085106384</v>
      </c>
      <c r="K16" s="67" t="str">
        <f t="shared" si="0"/>
        <v>✔ OK</v>
      </c>
      <c r="L16" s="68" t="e">
        <f>IF(#REF!="","",IF(COUNTIF(#REF!,#REF!)&gt;1,"⚠ DUPLICATE",""))</f>
        <v>#REF!</v>
      </c>
    </row>
    <row r="17" spans="1:12">
      <c r="A17" s="35">
        <v>46112</v>
      </c>
      <c r="B17" s="30" t="s">
        <v>100</v>
      </c>
      <c r="C17" s="30" t="s">
        <v>101</v>
      </c>
      <c r="D17" s="31">
        <v>160</v>
      </c>
      <c r="E17" s="47">
        <f>IF(C17="","",IFERROR(VLOOKUP(C17,'Coil to Slit'!$D:$H,3,FALSE),""))</f>
        <v>0</v>
      </c>
      <c r="F17" s="47">
        <f>IF(C17="","",IFERROR(VLOOKUP(C17,'Coil to Slit'!$D:$H,4,FALSE),""))</f>
        <v>196</v>
      </c>
      <c r="G17" s="87">
        <f>IF(C17="","",IFERROR(VLOOKUP(C17,'Coil to Slit'!$D:$H,2,FALSE),""))</f>
        <v>2.5</v>
      </c>
      <c r="H17" s="51">
        <f>IF(OR(C17="",D17=""),"",IFERROR(VLOOKUP(C17,'Coil to Slit'!$D:$H,5,FALSE),""))</f>
        <v>3.8170478723404258</v>
      </c>
      <c r="I17" s="54">
        <f>IF(C17="","",IFERROR(VLOOKUP(LEFT(C17,LEN(C17)-2),'Coil Sheet at Plant'!$C:$J,8,FALSE),""))</f>
        <v>29.29</v>
      </c>
      <c r="J17" s="155">
        <f>IF(C17="","",SUMIF(C:C,C17,H:H))</f>
        <v>3.8170478723404258</v>
      </c>
      <c r="K17" s="67" t="str">
        <f t="shared" si="0"/>
        <v>✔ OK</v>
      </c>
      <c r="L17" s="68" t="e">
        <f>IF(#REF!="","",IF(COUNTIF(#REF!,#REF!)&gt;1,"⚠ DUPLICATE",""))</f>
        <v>#REF!</v>
      </c>
    </row>
    <row r="18" spans="1:12">
      <c r="A18" s="35">
        <v>46112</v>
      </c>
      <c r="B18" s="30" t="s">
        <v>100</v>
      </c>
      <c r="C18" s="30" t="s">
        <v>102</v>
      </c>
      <c r="D18" s="31">
        <v>160</v>
      </c>
      <c r="E18" s="47">
        <f>IF(C18="","",IFERROR(VLOOKUP(C18,'Coil to Slit'!$D:$H,3,FALSE),""))</f>
        <v>0</v>
      </c>
      <c r="F18" s="47">
        <f>IF(C18="","",IFERROR(VLOOKUP(C18,'Coil to Slit'!$D:$H,4,FALSE),""))</f>
        <v>196</v>
      </c>
      <c r="G18" s="87">
        <f>IF(C18="","",IFERROR(VLOOKUP(C18,'Coil to Slit'!$D:$H,2,FALSE),""))</f>
        <v>2.5</v>
      </c>
      <c r="H18" s="51">
        <f>IF(OR(C18="",D18=""),"",IFERROR(VLOOKUP(C18,'Coil to Slit'!$D:$H,5,FALSE),""))</f>
        <v>3.8170478723404258</v>
      </c>
      <c r="I18" s="54">
        <f>IF(C18="","",IFERROR(VLOOKUP(LEFT(C18,LEN(C18)-2),'Coil Sheet at Plant'!$C:$J,8,FALSE),""))</f>
        <v>29.29</v>
      </c>
      <c r="J18" s="155">
        <f>IF(C18="","",SUMIF(C:C,C18,H:H))</f>
        <v>3.8170478723404258</v>
      </c>
      <c r="K18" s="67" t="str">
        <f t="shared" si="0"/>
        <v>✔ OK</v>
      </c>
      <c r="L18" s="68" t="e">
        <f>IF(#REF!="","",IF(COUNTIF(#REF!,#REF!)&gt;1,"⚠ DUPLICATE",""))</f>
        <v>#REF!</v>
      </c>
    </row>
    <row r="19" spans="1:12">
      <c r="A19" s="35">
        <v>46113</v>
      </c>
      <c r="B19" s="30" t="s">
        <v>100</v>
      </c>
      <c r="C19" s="30" t="s">
        <v>103</v>
      </c>
      <c r="D19" s="31">
        <v>162</v>
      </c>
      <c r="E19" s="47">
        <f>IF(C19="","",IFERROR(VLOOKUP(C19,'Coil to Slit'!$D:$H,3,FALSE),""))</f>
        <v>0</v>
      </c>
      <c r="F19" s="47">
        <f>IF(C19="","",IFERROR(VLOOKUP(C19,'Coil to Slit'!$D:$H,4,FALSE),""))</f>
        <v>196</v>
      </c>
      <c r="G19" s="87">
        <f>IF(C19="","",IFERROR(VLOOKUP(C19,'Coil to Slit'!$D:$H,2,FALSE),""))</f>
        <v>2.5</v>
      </c>
      <c r="H19" s="51">
        <f>IF(OR(C19="",D19=""),"",IFERROR(VLOOKUP(C19,'Coil to Slit'!$D:$H,5,FALSE),""))</f>
        <v>3.8170478723404258</v>
      </c>
      <c r="I19" s="54">
        <f>IF(C19="","",IFERROR(VLOOKUP(LEFT(C19,LEN(C19)-2),'Coil Sheet at Plant'!$C:$J,8,FALSE),""))</f>
        <v>29.29</v>
      </c>
      <c r="J19" s="155">
        <f>IF(C19="","",SUMIF(C:C,C19,H:H))</f>
        <v>3.8170478723404258</v>
      </c>
      <c r="K19" s="67" t="str">
        <f t="shared" si="0"/>
        <v>✔ OK</v>
      </c>
      <c r="L19" s="68" t="e">
        <f>IF(#REF!="","",IF(COUNTIF(#REF!,#REF!)&gt;1,"⚠ DUPLICATE",""))</f>
        <v>#REF!</v>
      </c>
    </row>
    <row r="20" spans="1:12">
      <c r="A20" s="35">
        <v>46112</v>
      </c>
      <c r="B20" s="30" t="s">
        <v>104</v>
      </c>
      <c r="C20" s="30" t="s">
        <v>105</v>
      </c>
      <c r="D20" s="31">
        <v>125</v>
      </c>
      <c r="E20" s="47">
        <f>IF(C20="","",IFERROR(VLOOKUP(C20,'Coil to Slit'!$D:$H,3,FALSE),""))</f>
        <v>0</v>
      </c>
      <c r="F20" s="47">
        <f>IF(C20="","",IFERROR(VLOOKUP(C20,'Coil to Slit'!$D:$H,4,FALSE),""))</f>
        <v>196</v>
      </c>
      <c r="G20" s="87">
        <f>IF(C20="","",IFERROR(VLOOKUP(C20,'Coil to Slit'!$D:$H,2,FALSE),""))</f>
        <v>2.8</v>
      </c>
      <c r="H20" s="51">
        <f>IF(OR(C20="",D20=""),"",IFERROR(VLOOKUP(C20,'Coil to Slit'!$D:$H,5,FALSE),""))</f>
        <v>3.2530008045052292</v>
      </c>
      <c r="I20" s="54">
        <f>IF(C20="","",IFERROR(VLOOKUP(LEFT(C20,LEN(C20)-2),'Coil Sheet at Plant'!$C:$J,8,FALSE),""))</f>
        <v>20.63</v>
      </c>
      <c r="J20" s="155">
        <f>IF(C20="","",SUMIF(C:C,C20,H:H))</f>
        <v>3.2530008045052292</v>
      </c>
      <c r="K20" s="67" t="str">
        <f t="shared" si="0"/>
        <v>✔ OK</v>
      </c>
      <c r="L20" s="68" t="e">
        <f>IF(#REF!="","",IF(COUNTIF(#REF!,#REF!)&gt;1,"⚠ DUPLICATE",""))</f>
        <v>#REF!</v>
      </c>
    </row>
    <row r="21" spans="1:12">
      <c r="A21" s="35">
        <v>46112</v>
      </c>
      <c r="B21" s="30" t="s">
        <v>104</v>
      </c>
      <c r="C21" s="30" t="s">
        <v>106</v>
      </c>
      <c r="D21" s="31">
        <v>125</v>
      </c>
      <c r="E21" s="47">
        <f>IF(C21="","",IFERROR(VLOOKUP(C21,'Coil to Slit'!$D:$H,3,FALSE),""))</f>
        <v>0</v>
      </c>
      <c r="F21" s="47">
        <f>IF(C21="","",IFERROR(VLOOKUP(C21,'Coil to Slit'!$D:$H,4,FALSE),""))</f>
        <v>196</v>
      </c>
      <c r="G21" s="87">
        <f>IF(C21="","",IFERROR(VLOOKUP(C21,'Coil to Slit'!$D:$H,2,FALSE),""))</f>
        <v>2.8</v>
      </c>
      <c r="H21" s="51">
        <f>IF(OR(C21="",D21=""),"",IFERROR(VLOOKUP(C21,'Coil to Slit'!$D:$H,5,FALSE),""))</f>
        <v>3.2530008045052292</v>
      </c>
      <c r="I21" s="54">
        <f>IF(C21="","",IFERROR(VLOOKUP(LEFT(C21,LEN(C21)-2),'Coil Sheet at Plant'!$C:$J,8,FALSE),""))</f>
        <v>20.63</v>
      </c>
      <c r="J21" s="155">
        <f>IF(C21="","",SUMIF(C:C,C21,H:H))</f>
        <v>3.2530008045052292</v>
      </c>
      <c r="K21" s="67" t="str">
        <f t="shared" si="0"/>
        <v>✔ OK</v>
      </c>
      <c r="L21" s="68" t="e">
        <f>IF(#REF!="","",IF(COUNTIF(#REF!,#REF!)&gt;1,"⚠ DUPLICATE",""))</f>
        <v>#REF!</v>
      </c>
    </row>
    <row r="22" spans="1:12">
      <c r="A22" s="35">
        <v>46112</v>
      </c>
      <c r="B22" s="30" t="s">
        <v>104</v>
      </c>
      <c r="C22" s="30" t="s">
        <v>107</v>
      </c>
      <c r="D22" s="31">
        <v>125</v>
      </c>
      <c r="E22" s="47">
        <f>IF(C22="","",IFERROR(VLOOKUP(C22,'Coil to Slit'!$D:$H,3,FALSE),""))</f>
        <v>0</v>
      </c>
      <c r="F22" s="47">
        <f>IF(C22="","",IFERROR(VLOOKUP(C22,'Coil to Slit'!$D:$H,4,FALSE),""))</f>
        <v>196</v>
      </c>
      <c r="G22" s="87">
        <f>IF(C22="","",IFERROR(VLOOKUP(C22,'Coil to Slit'!$D:$H,2,FALSE),""))</f>
        <v>2.8</v>
      </c>
      <c r="H22" s="51">
        <f>IF(OR(C22="",D22=""),"",IFERROR(VLOOKUP(C22,'Coil to Slit'!$D:$H,5,FALSE),""))</f>
        <v>3.3003057119871277</v>
      </c>
      <c r="I22" s="54">
        <f>IF(C22="","",IFERROR(VLOOKUP(LEFT(C22,LEN(C22)-2),'Coil Sheet at Plant'!$C:$J,8,FALSE),""))</f>
        <v>20.93</v>
      </c>
      <c r="J22" s="155">
        <f>IF(C22="","",SUMIF(C:C,C22,H:H))</f>
        <v>3.3003057119871277</v>
      </c>
      <c r="K22" s="67" t="str">
        <f t="shared" si="0"/>
        <v>✔ OK</v>
      </c>
      <c r="L22" s="68" t="e">
        <f>IF(#REF!="","",IF(COUNTIF(#REF!,#REF!)&gt;1,"⚠ DUPLICATE",""))</f>
        <v>#REF!</v>
      </c>
    </row>
    <row r="23" spans="1:12">
      <c r="A23" s="35">
        <v>46112</v>
      </c>
      <c r="B23" s="30" t="s">
        <v>104</v>
      </c>
      <c r="C23" s="30" t="s">
        <v>108</v>
      </c>
      <c r="D23" s="31">
        <v>125</v>
      </c>
      <c r="E23" s="47">
        <f>IF(C23="","",IFERROR(VLOOKUP(C23,'Coil to Slit'!$D:$H,3,FALSE),""))</f>
        <v>0</v>
      </c>
      <c r="F23" s="47">
        <f>IF(C23="","",IFERROR(VLOOKUP(C23,'Coil to Slit'!$D:$H,4,FALSE),""))</f>
        <v>196</v>
      </c>
      <c r="G23" s="87">
        <f>IF(C23="","",IFERROR(VLOOKUP(C23,'Coil to Slit'!$D:$H,2,FALSE),""))</f>
        <v>2.8</v>
      </c>
      <c r="H23" s="51">
        <f>IF(OR(C23="",D23=""),"",IFERROR(VLOOKUP(C23,'Coil to Slit'!$D:$H,5,FALSE),""))</f>
        <v>3.3003057119871277</v>
      </c>
      <c r="I23" s="54">
        <f>IF(C23="","",IFERROR(VLOOKUP(LEFT(C23,LEN(C23)-2),'Coil Sheet at Plant'!$C:$J,8,FALSE),""))</f>
        <v>20.93</v>
      </c>
      <c r="J23" s="155">
        <f>IF(C23="","",SUMIF(C:C,C23,H:H))</f>
        <v>3.3003057119871277</v>
      </c>
      <c r="K23" s="67" t="str">
        <f t="shared" si="0"/>
        <v>✔ OK</v>
      </c>
      <c r="L23" s="68" t="e">
        <f>IF(#REF!="","",IF(COUNTIF(#REF!,#REF!)&gt;1,"⚠ DUPLICATE",""))</f>
        <v>#REF!</v>
      </c>
    </row>
    <row r="24" spans="1:12">
      <c r="A24" s="35">
        <v>46113</v>
      </c>
      <c r="B24" s="30" t="s">
        <v>109</v>
      </c>
      <c r="C24" s="30" t="s">
        <v>110</v>
      </c>
      <c r="D24" s="31">
        <v>213</v>
      </c>
      <c r="E24" s="47">
        <f>IF(C24="","",IFERROR(VLOOKUP(C24,'Coil to Slit'!$D:$H,3,FALSE),""))</f>
        <v>0</v>
      </c>
      <c r="F24" s="47">
        <f>IF(C24="","",IFERROR(VLOOKUP(C24,'Coil to Slit'!$D:$H,4,FALSE),""))</f>
        <v>197</v>
      </c>
      <c r="G24" s="87">
        <f>IF(C24="","",IFERROR(VLOOKUP(C24,'Coil to Slit'!$D:$H,2,FALSE),""))</f>
        <v>2.2000000000000002</v>
      </c>
      <c r="H24" s="51">
        <f>IF(OR(C24="",D24=""),"",IFERROR(VLOOKUP(C24,'Coil to Slit'!$D:$H,5,FALSE),""))</f>
        <v>4.4817106314948036</v>
      </c>
      <c r="I24" s="54">
        <f>IF(C24="","",IFERROR(VLOOKUP(LEFT(C24,LEN(C24)-2),'Coil Sheet at Plant'!$C:$J,8,FALSE),""))</f>
        <v>28.46</v>
      </c>
      <c r="J24" s="155">
        <f>IF(C24="","",SUMIF(C:C,C24,H:H))</f>
        <v>4.4817106314948036</v>
      </c>
      <c r="K24" s="67" t="str">
        <f>IF(OR(I24="",J24=""),"",IF(J24&gt;I24,"⚠ BUNDLES &gt; BABY COIL","✔ OK"))</f>
        <v>✔ OK</v>
      </c>
      <c r="L24" s="68" t="e">
        <f>IF(#REF!="","",IF(COUNTIF(#REF!,#REF!)&gt;1,"⚠ DUPLICATE",""))</f>
        <v>#REF!</v>
      </c>
    </row>
    <row r="25" spans="1:12">
      <c r="A25" s="35">
        <v>46113</v>
      </c>
      <c r="B25" s="30" t="s">
        <v>109</v>
      </c>
      <c r="C25" s="30" t="s">
        <v>111</v>
      </c>
      <c r="D25" s="31">
        <v>213</v>
      </c>
      <c r="E25" s="47">
        <f>IF(C25="","",IFERROR(VLOOKUP(C25,'Coil to Slit'!$D:$H,3,FALSE),""))</f>
        <v>0</v>
      </c>
      <c r="F25" s="47">
        <f>IF(C25="","",IFERROR(VLOOKUP(C25,'Coil to Slit'!$D:$H,4,FALSE),""))</f>
        <v>197</v>
      </c>
      <c r="G25" s="87">
        <f>IF(C25="","",IFERROR(VLOOKUP(C25,'Coil to Slit'!$D:$H,2,FALSE),""))</f>
        <v>2.2000000000000002</v>
      </c>
      <c r="H25" s="51">
        <f>IF(OR(C25="",D25=""),"",IFERROR(VLOOKUP(C25,'Coil to Slit'!$D:$H,5,FALSE),""))</f>
        <v>4.4817106314948036</v>
      </c>
      <c r="I25" s="54">
        <f>IF(C25="","",IFERROR(VLOOKUP(LEFT(C25,LEN(C25)-2),'Coil Sheet at Plant'!$C:$J,8,FALSE),""))</f>
        <v>28.46</v>
      </c>
      <c r="J25" s="155">
        <f>IF(C25="","",SUMIF(C:C,C25,H:H))</f>
        <v>4.4817106314948036</v>
      </c>
      <c r="K25" s="67" t="str">
        <f t="shared" ref="K25:K31" si="1">IF(OR(I25="",J25=""),"",IF(J25&gt;I25,"⚠ BUNDLES &gt; BABY COIL","✔ OK"))</f>
        <v>✔ OK</v>
      </c>
      <c r="L25" s="68" t="e">
        <f>IF(#REF!="","",IF(COUNTIF(#REF!,#REF!)&gt;1,"⚠ DUPLICATE",""))</f>
        <v>#REF!</v>
      </c>
    </row>
    <row r="26" spans="1:12">
      <c r="A26" s="35">
        <v>46113</v>
      </c>
      <c r="B26" s="30" t="s">
        <v>95</v>
      </c>
      <c r="C26" s="30" t="s">
        <v>99</v>
      </c>
      <c r="D26" s="31">
        <v>8</v>
      </c>
      <c r="E26" s="47">
        <f>IF(C26="","",IFERROR(VLOOKUP(C26,'Coil to Slit'!$D:$H,3,FALSE),""))</f>
        <v>0</v>
      </c>
      <c r="F26" s="47">
        <f>IF(C26="","",IFERROR(VLOOKUP(C26,'Coil to Slit'!$D:$H,4,FALSE),""))</f>
        <v>147</v>
      </c>
      <c r="G26" s="87">
        <f>IF(C26="","",IFERROR(VLOOKUP(C26,'Coil to Slit'!$D:$H,2,FALSE),""))</f>
        <v>2.5</v>
      </c>
      <c r="H26" s="51">
        <f>IF(OR(C26="",D26=""),"",IFERROR(VLOOKUP(C26,'Coil to Slit'!$D:$H,5,FALSE),""))</f>
        <v>2.8627859042553192</v>
      </c>
      <c r="I26" s="54">
        <f>IF(C26="","",IFERROR(VLOOKUP(LEFT(C26,LEN(C26)-2),'Coil Sheet at Plant'!$C:$J,8,FALSE),""))</f>
        <v>29.29</v>
      </c>
      <c r="J26" s="155">
        <f>IF(C26="","",SUMIF(C:C,C26,H:H))</f>
        <v>5.7255718085106384</v>
      </c>
      <c r="K26" s="67" t="str">
        <f t="shared" si="1"/>
        <v>✔ OK</v>
      </c>
      <c r="L26" s="68" t="e">
        <f>IF(#REF!="","",IF(COUNTIF(#REF!,#REF!)&gt;1,"⚠ DUPLICATE",""))</f>
        <v>#REF!</v>
      </c>
    </row>
    <row r="27" spans="1:12">
      <c r="A27" s="35">
        <v>46113</v>
      </c>
      <c r="B27" s="30" t="s">
        <v>112</v>
      </c>
      <c r="C27" s="30" t="s">
        <v>113</v>
      </c>
      <c r="D27" s="31">
        <v>219</v>
      </c>
      <c r="E27" s="47">
        <f>IF(C27="","",IFERROR(VLOOKUP(C27,'Coil to Slit'!$D:$H,3,FALSE),""))</f>
        <v>0</v>
      </c>
      <c r="F27" s="47">
        <f>IF(C27="","",IFERROR(VLOOKUP(C27,'Coil to Slit'!$D:$H,4,FALSE),""))</f>
        <v>148</v>
      </c>
      <c r="G27" s="87">
        <f>IF(C27="","",IFERROR(VLOOKUP(C27,'Coil to Slit'!$D:$H,2,FALSE),""))</f>
        <v>2.2000000000000002</v>
      </c>
      <c r="H27" s="51">
        <f>IF(OR(C27="",D27=""),"",IFERROR(VLOOKUP(C27,'Coil to Slit'!$D:$H,5,FALSE),""))</f>
        <v>3.3669704236610709</v>
      </c>
      <c r="I27" s="54">
        <f>IF(C27="","",IFERROR(VLOOKUP(LEFT(C27,LEN(C27)-2),'Coil Sheet at Plant'!$C:$J,8,FALSE),""))</f>
        <v>28.46</v>
      </c>
      <c r="J27" s="155">
        <f>IF(C27="","",SUMIF(C:C,C27,H:H))</f>
        <v>3.3669704236610709</v>
      </c>
      <c r="K27" s="67" t="str">
        <f t="shared" si="1"/>
        <v>✔ OK</v>
      </c>
      <c r="L27" s="68" t="e">
        <f>IF(#REF!="","",IF(COUNTIF(#REF!,#REF!)&gt;1,"⚠ DUPLICATE",""))</f>
        <v>#REF!</v>
      </c>
    </row>
    <row r="28" spans="1:12">
      <c r="A28" s="35">
        <v>46113</v>
      </c>
      <c r="B28" s="30" t="s">
        <v>112</v>
      </c>
      <c r="C28" s="30" t="s">
        <v>114</v>
      </c>
      <c r="D28" s="31">
        <v>219</v>
      </c>
      <c r="E28" s="47">
        <f>IF(C28="","",IFERROR(VLOOKUP(C28,'Coil to Slit'!$D:$H,3,FALSE),""))</f>
        <v>0</v>
      </c>
      <c r="F28" s="47">
        <f>IF(C28="","",IFERROR(VLOOKUP(C28,'Coil to Slit'!$D:$H,4,FALSE),""))</f>
        <v>148</v>
      </c>
      <c r="G28" s="87">
        <f>IF(C28="","",IFERROR(VLOOKUP(C28,'Coil to Slit'!$D:$H,2,FALSE),""))</f>
        <v>2.2000000000000002</v>
      </c>
      <c r="H28" s="51">
        <f>IF(OR(C28="",D28=""),"",IFERROR(VLOOKUP(C28,'Coil to Slit'!$D:$H,5,FALSE),""))</f>
        <v>3.3669704236610709</v>
      </c>
      <c r="I28" s="54">
        <f>IF(C28="","",IFERROR(VLOOKUP(LEFT(C28,LEN(C28)-2),'Coil Sheet at Plant'!$C:$J,8,FALSE),""))</f>
        <v>28.46</v>
      </c>
      <c r="J28" s="155">
        <f>IF(C28="","",SUMIF(C:C,C28,H:H))</f>
        <v>3.3669704236610709</v>
      </c>
      <c r="K28" s="67" t="str">
        <f t="shared" si="1"/>
        <v>✔ OK</v>
      </c>
      <c r="L28" s="68" t="e">
        <f>IF(#REF!="","",IF(COUNTIF(#REF!,#REF!)&gt;1,"⚠ DUPLICATE",""))</f>
        <v>#REF!</v>
      </c>
    </row>
    <row r="29" spans="1:12">
      <c r="A29" s="35">
        <v>46113</v>
      </c>
      <c r="B29" s="30" t="s">
        <v>112</v>
      </c>
      <c r="C29" s="30" t="s">
        <v>115</v>
      </c>
      <c r="D29" s="31">
        <v>219</v>
      </c>
      <c r="E29" s="47">
        <f>IF(C29="","",IFERROR(VLOOKUP(C29,'Coil to Slit'!$D:$H,3,FALSE),""))</f>
        <v>0</v>
      </c>
      <c r="F29" s="47">
        <f>IF(C29="","",IFERROR(VLOOKUP(C29,'Coil to Slit'!$D:$H,4,FALSE),""))</f>
        <v>148</v>
      </c>
      <c r="G29" s="87">
        <f>IF(C29="","",IFERROR(VLOOKUP(C29,'Coil to Slit'!$D:$H,2,FALSE),""))</f>
        <v>2.2000000000000002</v>
      </c>
      <c r="H29" s="51">
        <f>IF(OR(C29="",D29=""),"",IFERROR(VLOOKUP(C29,'Coil to Slit'!$D:$H,5,FALSE),""))</f>
        <v>3.3669704236610709</v>
      </c>
      <c r="I29" s="54">
        <f>IF(C29="","",IFERROR(VLOOKUP(LEFT(C29,LEN(C29)-2),'Coil Sheet at Plant'!$C:$J,8,FALSE),""))</f>
        <v>28.46</v>
      </c>
      <c r="J29" s="155">
        <f>IF(C29="","",SUMIF(C:C,C29,H:H))</f>
        <v>3.3669704236610709</v>
      </c>
      <c r="K29" s="67" t="str">
        <f t="shared" si="1"/>
        <v>✔ OK</v>
      </c>
      <c r="L29" s="68" t="e">
        <f>IF(#REF!="","",IF(COUNTIF(#REF!,#REF!)&gt;1,"⚠ DUPLICATE",""))</f>
        <v>#REF!</v>
      </c>
    </row>
    <row r="30" spans="1:12">
      <c r="A30" s="35">
        <v>46113</v>
      </c>
      <c r="B30" s="30" t="s">
        <v>112</v>
      </c>
      <c r="C30" s="30" t="s">
        <v>116</v>
      </c>
      <c r="D30" s="31">
        <v>219</v>
      </c>
      <c r="E30" s="47">
        <f>IF(C30="","",IFERROR(VLOOKUP(C30,'Coil to Slit'!$D:$H,3,FALSE),""))</f>
        <v>0</v>
      </c>
      <c r="F30" s="47">
        <f>IF(C30="","",IFERROR(VLOOKUP(C30,'Coil to Slit'!$D:$H,4,FALSE),""))</f>
        <v>148</v>
      </c>
      <c r="G30" s="87">
        <f>IF(C30="","",IFERROR(VLOOKUP(C30,'Coil to Slit'!$D:$H,2,FALSE),""))</f>
        <v>2.2000000000000002</v>
      </c>
      <c r="H30" s="51">
        <f>IF(OR(C30="",D30=""),"",IFERROR(VLOOKUP(C30,'Coil to Slit'!$D:$H,5,FALSE),""))</f>
        <v>3.3669704236610709</v>
      </c>
      <c r="I30" s="54">
        <f>IF(C30="","",IFERROR(VLOOKUP(LEFT(C30,LEN(C30)-2),'Coil Sheet at Plant'!$C:$J,8,FALSE),""))</f>
        <v>28.46</v>
      </c>
      <c r="J30" s="155">
        <f>IF(C30="","",SUMIF(C:C,C30,H:H))</f>
        <v>3.3669704236610709</v>
      </c>
      <c r="K30" s="67" t="str">
        <f t="shared" si="1"/>
        <v>✔ OK</v>
      </c>
      <c r="L30" s="68" t="e">
        <f>IF(#REF!="","",IF(COUNTIF(#REF!,#REF!)&gt;1,"⚠ DUPLICATE",""))</f>
        <v>#REF!</v>
      </c>
    </row>
    <row r="31" spans="1:12">
      <c r="A31" s="35">
        <v>46113</v>
      </c>
      <c r="B31" s="30" t="s">
        <v>112</v>
      </c>
      <c r="C31" s="30" t="s">
        <v>117</v>
      </c>
      <c r="D31" s="31">
        <v>218</v>
      </c>
      <c r="E31" s="47">
        <f>IF(C31="","",IFERROR(VLOOKUP(C31,'Coil to Slit'!$D:$H,3,FALSE),""))</f>
        <v>0</v>
      </c>
      <c r="F31" s="47">
        <f>IF(C31="","",IFERROR(VLOOKUP(C31,'Coil to Slit'!$D:$H,4,FALSE),""))</f>
        <v>148</v>
      </c>
      <c r="G31" s="87">
        <f>IF(C31="","",IFERROR(VLOOKUP(C31,'Coil to Slit'!$D:$H,2,FALSE),""))</f>
        <v>2.2000000000000002</v>
      </c>
      <c r="H31" s="51">
        <f>IF(OR(C31="",D31=""),"",IFERROR(VLOOKUP(C31,'Coil to Slit'!$D:$H,5,FALSE),""))</f>
        <v>3.3669704236610709</v>
      </c>
      <c r="I31" s="54">
        <f>IF(C31="","",IFERROR(VLOOKUP(LEFT(C31,LEN(C31)-2),'Coil Sheet at Plant'!$C:$J,8,FALSE),""))</f>
        <v>28.46</v>
      </c>
      <c r="J31" s="155">
        <f>IF(C31="","",SUMIF(C:C,C31,H:H))</f>
        <v>3.3669704236610709</v>
      </c>
      <c r="K31" s="67" t="str">
        <f t="shared" si="1"/>
        <v>✔ OK</v>
      </c>
      <c r="L31" s="68" t="e">
        <f>IF(#REF!="","",IF(COUNTIF(#REF!,#REF!)&gt;1,"⚠ DUPLICATE",""))</f>
        <v>#REF!</v>
      </c>
    </row>
    <row r="32" spans="1:12">
      <c r="A32" s="35">
        <v>46118</v>
      </c>
      <c r="B32" s="30" t="s">
        <v>118</v>
      </c>
      <c r="C32" s="30" t="s">
        <v>119</v>
      </c>
      <c r="D32" s="31">
        <v>157</v>
      </c>
      <c r="E32" s="47" t="str">
        <f>IF(C32="","",IFERROR(VLOOKUP(C32,'Coil to Slit'!$D:$H,3,FALSE),""))</f>
        <v> </v>
      </c>
      <c r="F32" s="47">
        <f>IF(C32="","",IFERROR(VLOOKUP(C32,'Coil to Slit'!$D:$H,4,FALSE),""))</f>
        <v>197</v>
      </c>
      <c r="G32" s="87">
        <f>IF(C32="","",IFERROR(VLOOKUP(C32,'Coil to Slit'!$D:$H,2,FALSE),""))</f>
        <v>2</v>
      </c>
      <c r="H32" s="51">
        <f>IF(OR(C32="",D32=""),"",IFERROR(VLOOKUP(C32,'Coil to Slit'!$D:$H,5,FALSE),""))</f>
        <v>3.0084164859002174</v>
      </c>
      <c r="I32" s="54">
        <f>IF(C32="","",IFERROR(VLOOKUP(LEFT(C32,LEN(C32)-2),'Coil Sheet at Plant'!$C:$J,8,FALSE),""))</f>
        <v>14.08</v>
      </c>
      <c r="J32" s="155">
        <f>IF(C32="","",SUMIF(C:C,C32,H:H))</f>
        <v>3.0084164859002174</v>
      </c>
      <c r="K32" s="67" t="str">
        <f>IF(OR(I32="",J32=""),"",IF(J32&gt;I32,"⚠ BUNDLES &gt; BABY COIL","✔ OK"))</f>
        <v>✔ OK</v>
      </c>
      <c r="L32" s="68" t="e">
        <f>IF(#REF!="","",IF(COUNTIF(#REF!,#REF!)&gt;1,"⚠ DUPLICATE",""))</f>
        <v>#REF!</v>
      </c>
    </row>
    <row r="33" spans="1:12">
      <c r="A33" s="35">
        <v>46118</v>
      </c>
      <c r="B33" s="30" t="s">
        <v>118</v>
      </c>
      <c r="C33" s="30" t="s">
        <v>120</v>
      </c>
      <c r="D33" s="31">
        <v>157</v>
      </c>
      <c r="E33" s="47" t="str">
        <f>IF(C33="","",IFERROR(VLOOKUP(C33,'Coil to Slit'!$D:$H,3,FALSE),""))</f>
        <v> </v>
      </c>
      <c r="F33" s="47">
        <f>IF(C33="","",IFERROR(VLOOKUP(C33,'Coil to Slit'!$D:$H,4,FALSE),""))</f>
        <v>197</v>
      </c>
      <c r="G33" s="87">
        <f>IF(C33="","",IFERROR(VLOOKUP(C33,'Coil to Slit'!$D:$H,2,FALSE),""))</f>
        <v>2</v>
      </c>
      <c r="H33" s="51">
        <f>IF(OR(C33="",D33=""),"",IFERROR(VLOOKUP(C33,'Coil to Slit'!$D:$H,5,FALSE),""))</f>
        <v>3.0084164859002174</v>
      </c>
      <c r="I33" s="54">
        <f>IF(C33="","",IFERROR(VLOOKUP(LEFT(C33,LEN(C33)-2),'Coil Sheet at Plant'!$C:$J,8,FALSE),""))</f>
        <v>14.08</v>
      </c>
      <c r="J33" s="155">
        <f>IF(C33="","",SUMIF(C:C,C33,H:H))</f>
        <v>3.0084164859002174</v>
      </c>
      <c r="K33" s="67" t="str">
        <f>IF(OR(I33="",J33=""),"",IF(J33&gt;I33,"⚠ BUNDLES &gt; BABY COIL","✔ OK"))</f>
        <v>✔ OK</v>
      </c>
      <c r="L33" s="68" t="e">
        <f>IF(#REF!="","",IF(COUNTIF(#REF!,#REF!)&gt;1,"⚠ DUPLICATE",""))</f>
        <v>#REF!</v>
      </c>
    </row>
    <row r="34" spans="1:12">
      <c r="A34" s="35">
        <v>46118</v>
      </c>
      <c r="B34" s="30" t="s">
        <v>118</v>
      </c>
      <c r="C34" s="30" t="s">
        <v>121</v>
      </c>
      <c r="D34" s="31">
        <v>158</v>
      </c>
      <c r="E34" s="47" t="str">
        <f>IF(C34="","",IFERROR(VLOOKUP(C34,'Coil to Slit'!$D:$H,3,FALSE),""))</f>
        <v> </v>
      </c>
      <c r="F34" s="47">
        <f>IF(C34="","",IFERROR(VLOOKUP(C34,'Coil to Slit'!$D:$H,4,FALSE),""))</f>
        <v>197</v>
      </c>
      <c r="G34" s="87">
        <f>IF(C34="","",IFERROR(VLOOKUP(C34,'Coil to Slit'!$D:$H,2,FALSE),""))</f>
        <v>2</v>
      </c>
      <c r="H34" s="51">
        <f>IF(OR(C34="",D34=""),"",IFERROR(VLOOKUP(C34,'Coil to Slit'!$D:$H,5,FALSE),""))</f>
        <v>3.0084164859002174</v>
      </c>
      <c r="I34" s="54">
        <f>IF(C34="","",IFERROR(VLOOKUP(LEFT(C34,LEN(C34)-2),'Coil Sheet at Plant'!$C:$J,8,FALSE),""))</f>
        <v>14.08</v>
      </c>
      <c r="J34" s="155">
        <f>IF(C34="","",SUMIF(C:C,C34,H:H))</f>
        <v>3.0084164859002174</v>
      </c>
      <c r="K34" s="67" t="str">
        <f>IF(OR(I34="",J34=""),"",IF(J34&gt;I34,"⚠ BUNDLES &gt; BABY COIL","✔ OK"))</f>
        <v>✔ OK</v>
      </c>
      <c r="L34" s="68" t="e">
        <f>IF(#REF!="","",IF(COUNTIF(#REF!,#REF!)&gt;1,"⚠ DUPLICATE",""))</f>
        <v>#REF!</v>
      </c>
    </row>
    <row r="35" spans="1:12">
      <c r="A35" s="35">
        <v>46118</v>
      </c>
      <c r="B35" s="30" t="s">
        <v>118</v>
      </c>
      <c r="C35" s="30" t="s">
        <v>122</v>
      </c>
      <c r="D35" s="31">
        <v>165</v>
      </c>
      <c r="E35" s="47" t="str">
        <f>IF(C35="","",IFERROR(VLOOKUP(C35,'Coil to Slit'!$D:$H,3,FALSE),""))</f>
        <v> </v>
      </c>
      <c r="F35" s="47">
        <f>IF(C35="","",IFERROR(VLOOKUP(C35,'Coil to Slit'!$D:$H,4,FALSE),""))</f>
        <v>197</v>
      </c>
      <c r="G35" s="87">
        <f>IF(C35="","",IFERROR(VLOOKUP(C35,'Coil to Slit'!$D:$H,2,FALSE),""))</f>
        <v>2</v>
      </c>
      <c r="H35" s="51">
        <f>IF(OR(C35="",D35=""),"",IFERROR(VLOOKUP(C35,'Coil to Slit'!$D:$H,5,FALSE),""))</f>
        <v>3.1005202541699766</v>
      </c>
      <c r="I35" s="54">
        <f>IF(C35="","",IFERROR(VLOOKUP(LEFT(C35,LEN(C35)-2),'Coil Sheet at Plant'!$C:$J,8,FALSE),""))</f>
        <v>19.815000000000001</v>
      </c>
      <c r="J35" s="155">
        <f>IF(C35="","",SUMIF(C:C,C35,H:H))</f>
        <v>3.1005202541699766</v>
      </c>
      <c r="K35" s="67" t="str">
        <f>IF(OR(I35="",J35=""),"",IF(J35&gt;I35,"⚠ BUNDLES &gt; BABY COIL","✔ OK"))</f>
        <v>✔ OK</v>
      </c>
      <c r="L35" s="68" t="e">
        <f>IF(#REF!="","",IF(COUNTIF(#REF!,#REF!)&gt;1,"⚠ DUPLICATE",""))</f>
        <v>#REF!</v>
      </c>
    </row>
    <row r="36" spans="1:12">
      <c r="A36" s="35">
        <v>46118</v>
      </c>
      <c r="B36" s="30" t="s">
        <v>118</v>
      </c>
      <c r="C36" s="30" t="s">
        <v>123</v>
      </c>
      <c r="D36" s="31">
        <v>165</v>
      </c>
      <c r="E36" s="47" t="str">
        <f>IF(C36="","",IFERROR(VLOOKUP(C36,'Coil to Slit'!$D:$H,3,FALSE),""))</f>
        <v> </v>
      </c>
      <c r="F36" s="47">
        <f>IF(C36="","",IFERROR(VLOOKUP(C36,'Coil to Slit'!$D:$H,4,FALSE),""))</f>
        <v>197</v>
      </c>
      <c r="G36" s="87">
        <f>IF(C36="","",IFERROR(VLOOKUP(C36,'Coil to Slit'!$D:$H,2,FALSE),""))</f>
        <v>2</v>
      </c>
      <c r="H36" s="51">
        <f>IF(OR(C36="",D36=""),"",IFERROR(VLOOKUP(C36,'Coil to Slit'!$D:$H,5,FALSE),""))</f>
        <v>3.1005202541699766</v>
      </c>
      <c r="I36" s="54">
        <f>IF(C36="","",IFERROR(VLOOKUP(LEFT(C36,LEN(C36)-2),'Coil Sheet at Plant'!$C:$J,8,FALSE),""))</f>
        <v>19.815000000000001</v>
      </c>
      <c r="J36" s="155">
        <f>IF(C36="","",SUMIF(C:C,C36,H:H))</f>
        <v>3.1005202541699766</v>
      </c>
      <c r="K36" s="67" t="str">
        <f>IF(OR(I36="",J36=""),"",IF(J36&gt;I36,"⚠ BUNDLES &gt; BABY COIL","✔ OK"))</f>
        <v>✔ OK</v>
      </c>
      <c r="L36" s="68" t="e">
        <f>IF(#REF!="","",IF(COUNTIF(#REF!,#REF!)&gt;1,"⚠ DUPLICATE",""))</f>
        <v>#REF!</v>
      </c>
    </row>
    <row r="37" spans="1:12">
      <c r="A37" s="35">
        <v>46118</v>
      </c>
      <c r="B37" s="30" t="s">
        <v>118</v>
      </c>
      <c r="C37" s="30" t="s">
        <v>124</v>
      </c>
      <c r="D37" s="31">
        <v>165</v>
      </c>
      <c r="E37" s="47" t="str">
        <f>IF(C37="","",IFERROR(VLOOKUP(C37,'Coil to Slit'!$D:$H,3,FALSE),""))</f>
        <v> </v>
      </c>
      <c r="F37" s="47">
        <f>IF(C37="","",IFERROR(VLOOKUP(C37,'Coil to Slit'!$D:$H,4,FALSE),""))</f>
        <v>197</v>
      </c>
      <c r="G37" s="87">
        <f>IF(C37="","",IFERROR(VLOOKUP(C37,'Coil to Slit'!$D:$H,2,FALSE),""))</f>
        <v>2</v>
      </c>
      <c r="H37" s="51">
        <f>IF(OR(C37="",D37=""),"",IFERROR(VLOOKUP(C37,'Coil to Slit'!$D:$H,5,FALSE),""))</f>
        <v>3.1005202541699766</v>
      </c>
      <c r="I37" s="54">
        <f>IF(C37="","",IFERROR(VLOOKUP(LEFT(C37,LEN(C37)-2),'Coil Sheet at Plant'!$C:$J,8,FALSE),""))</f>
        <v>19.815000000000001</v>
      </c>
      <c r="J37" s="155">
        <f>IF(C37="","",SUMIF(C:C,C37,H:H))</f>
        <v>3.1005202541699766</v>
      </c>
      <c r="K37" s="67" t="str">
        <f>IF(OR(I37="",J37=""),"",IF(J37&gt;I37,"⚠ BUNDLES &gt; BABY COIL","✔ OK"))</f>
        <v>✔ OK</v>
      </c>
      <c r="L37" s="68" t="e">
        <f>IF(#REF!="","",IF(COUNTIF(#REF!,#REF!)&gt;1,"⚠ DUPLICATE",""))</f>
        <v>#REF!</v>
      </c>
    </row>
    <row r="38" spans="1:12">
      <c r="A38" s="35">
        <v>46118</v>
      </c>
      <c r="B38" s="30" t="s">
        <v>118</v>
      </c>
      <c r="C38" s="30" t="s">
        <v>125</v>
      </c>
      <c r="D38" s="31">
        <v>95</v>
      </c>
      <c r="E38" s="47" t="str">
        <f>IF(C38="","",IFERROR(VLOOKUP(C38,'Coil to Slit'!$D:$H,3,FALSE),""))</f>
        <v> </v>
      </c>
      <c r="F38" s="47">
        <f>IF(C38="","",IFERROR(VLOOKUP(C38,'Coil to Slit'!$D:$H,4,FALSE),""))</f>
        <v>197</v>
      </c>
      <c r="G38" s="87">
        <f>IF(C38="","",IFERROR(VLOOKUP(C38,'Coil to Slit'!$D:$H,2,FALSE),""))</f>
        <v>2</v>
      </c>
      <c r="H38" s="51">
        <f>IF(OR(C38="",D38=""),"",IFERROR(VLOOKUP(C38,'Coil to Slit'!$D:$H,5,FALSE),""))</f>
        <v>3.1005202541699766</v>
      </c>
      <c r="I38" s="54">
        <f>IF(C38="","",IFERROR(VLOOKUP(LEFT(C38,LEN(C38)-2),'Coil Sheet at Plant'!$C:$J,8,FALSE),""))</f>
        <v>19.815000000000001</v>
      </c>
      <c r="J38" s="155">
        <f>IF(C38="","",SUMIF(C:C,C38,H:H))</f>
        <v>4.4158924832117847</v>
      </c>
      <c r="K38" s="67" t="str">
        <f>IF(OR(I38="",J38=""),"",IF(J38&gt;I38,"⚠ BUNDLES &gt; BABY COIL","✔ OK"))</f>
        <v>✔ OK</v>
      </c>
      <c r="L38" s="68" t="e">
        <f>IF(#REF!="","",IF(COUNTIF(#REF!,#REF!)&gt;1,"⚠ DUPLICATE",""))</f>
        <v>#REF!</v>
      </c>
    </row>
    <row r="39" spans="1:12">
      <c r="A39" s="35">
        <v>46119</v>
      </c>
      <c r="B39" s="30" t="s">
        <v>118</v>
      </c>
      <c r="C39" s="30" t="s">
        <v>125</v>
      </c>
      <c r="D39" s="31">
        <v>70</v>
      </c>
      <c r="E39" s="49" t="str">
        <f>IF(C39="","",IFERROR(VLOOKUP(C39,'Coil to Slit'!$D:$F,3,FALSE),""))</f>
        <v> </v>
      </c>
      <c r="F39" s="49">
        <f>IF(C39="","",IFERROR(VLOOKUP(C39,'Coil to Slit'!$D:$G,4,FALSE),""))</f>
        <v>197</v>
      </c>
      <c r="G39" s="88">
        <f>IF(C39="","",IFERROR(VLOOKUP(C39,'Coil to Slit'!$D:$E,2,FALSE),""))</f>
        <v>2</v>
      </c>
      <c r="H39" s="52">
        <f>IF(OR(C39="",D39="",I39=""),"",I39*D39/SUMIF(C:C,C39,D:D))</f>
        <v>1.3153722290418084</v>
      </c>
      <c r="I39" s="154">
        <f>IF(C39="","",IFERROR(VLOOKUP(C39,'Coil to Slit'!$D:$H,5,FALSE),""))</f>
        <v>3.1005202541699766</v>
      </c>
      <c r="J39" s="155">
        <f>IF(C39="","",SUMIF(C:C,C39,H:H))</f>
        <v>4.4158924832117847</v>
      </c>
      <c r="K39" s="67" t="str">
        <f>IF(OR(I39="",J39=""),"",IF(J39&gt;I39,"⚠ BUNDLES &gt; BABY COIL","✔ OK"))</f>
        <v>⚠ BUNDLES &gt; BABY COIL</v>
      </c>
      <c r="L39" s="68" t="e">
        <f>IF(#REF!="","",IF(COUNTIF(#REF!,#REF!)&gt;1,"⚠ DUPLICATE",""))</f>
        <v>#REF!</v>
      </c>
    </row>
    <row r="40" spans="1:12">
      <c r="A40" s="35">
        <v>46119</v>
      </c>
      <c r="B40" s="30" t="s">
        <v>118</v>
      </c>
      <c r="C40" s="30" t="s">
        <v>126</v>
      </c>
      <c r="D40" s="31">
        <v>166</v>
      </c>
      <c r="E40" s="49" t="str">
        <f>IF(C40="","",IFERROR(VLOOKUP(C40,'Coil to Slit'!$D:$F,3,FALSE),""))</f>
        <v> </v>
      </c>
      <c r="F40" s="49">
        <f>IF(C40="","",IFERROR(VLOOKUP(C40,'Coil to Slit'!$D:$G,4,FALSE),""))</f>
        <v>197</v>
      </c>
      <c r="G40" s="88">
        <f>IF(C40="","",IFERROR(VLOOKUP(C40,'Coil to Slit'!$D:$E,2,FALSE),""))</f>
        <v>2</v>
      </c>
      <c r="H40" s="52">
        <f>IF(OR(C40="",D40="",I40=""),"",I40*D40/SUMIF(C:C,C40,D:D))</f>
        <v>3.100520254169977</v>
      </c>
      <c r="I40" s="154">
        <f>IF(C40="","",IFERROR(VLOOKUP(C40,'Coil to Slit'!$D:$H,5,FALSE),""))</f>
        <v>3.1005202541699766</v>
      </c>
      <c r="J40" s="155">
        <f>IF(C40="","",SUMIF(C:C,C40,H:H))</f>
        <v>3.100520254169977</v>
      </c>
      <c r="K40" s="67" t="str">
        <f>IF(OR(I40="",J40=""),"",IF(J40&gt;I40,"⚠ BUNDLES &gt; BABY COIL","✔ OK"))</f>
        <v>✔ OK</v>
      </c>
      <c r="L40" s="68" t="e">
        <f>IF(#REF!="","",IF(COUNTIF(#REF!,#REF!)&gt;1,"⚠ DUPLICATE",""))</f>
        <v>#REF!</v>
      </c>
    </row>
    <row r="41" spans="1:12">
      <c r="A41" s="35">
        <v>46119</v>
      </c>
      <c r="B41" s="30" t="s">
        <v>118</v>
      </c>
      <c r="C41" s="30" t="s">
        <v>127</v>
      </c>
      <c r="D41" s="31">
        <v>166</v>
      </c>
      <c r="E41" s="49" t="str">
        <f>IF(C41="","",IFERROR(VLOOKUP(C41,'Coil to Slit'!$D:$F,3,FALSE),""))</f>
        <v> </v>
      </c>
      <c r="F41" s="49">
        <f>IF(C41="","",IFERROR(VLOOKUP(C41,'Coil to Slit'!$D:$G,4,FALSE),""))</f>
        <v>197</v>
      </c>
      <c r="G41" s="88">
        <f>IF(C41="","",IFERROR(VLOOKUP(C41,'Coil to Slit'!$D:$E,2,FALSE),""))</f>
        <v>2</v>
      </c>
      <c r="H41" s="52">
        <f>IF(OR(C41="",D41="",I41=""),"",I41*D41/SUMIF(C:C,C41,D:D))</f>
        <v>3.100520254169977</v>
      </c>
      <c r="I41" s="154">
        <f>IF(C41="","",IFERROR(VLOOKUP(C41,'Coil to Slit'!$D:$H,5,FALSE),""))</f>
        <v>3.1005202541699766</v>
      </c>
      <c r="J41" s="155">
        <f>IF(C41="","",SUMIF(C:C,C41,H:H))</f>
        <v>3.100520254169977</v>
      </c>
      <c r="K41" s="67" t="str">
        <f>IF(OR(I41="",J41=""),"",IF(J41&gt;I41,"⚠ BUNDLES &gt; BABY COIL","✔ OK"))</f>
        <v>✔ OK</v>
      </c>
      <c r="L41" s="68" t="e">
        <f>IF(#REF!="","",IF(COUNTIF(#REF!,#REF!)&gt;1,"⚠ DUPLICATE",""))</f>
        <v>#REF!</v>
      </c>
    </row>
    <row r="42" spans="1:12">
      <c r="A42" s="35">
        <v>46119</v>
      </c>
      <c r="B42" s="30" t="s">
        <v>118</v>
      </c>
      <c r="C42" s="30" t="s">
        <v>128</v>
      </c>
      <c r="D42" s="31">
        <v>185</v>
      </c>
      <c r="E42" s="49" t="str">
        <f>IF(C42="","",IFERROR(VLOOKUP(C42,'Coil to Slit'!$D:$F,3,FALSE),""))</f>
        <v> </v>
      </c>
      <c r="F42" s="49">
        <f>IF(C42="","",IFERROR(VLOOKUP(C42,'Coil to Slit'!$D:$G,4,FALSE),""))</f>
        <v>197</v>
      </c>
      <c r="G42" s="88">
        <f>IF(C42="","",IFERROR(VLOOKUP(C42,'Coil to Slit'!$D:$E,2,FALSE),""))</f>
        <v>2</v>
      </c>
      <c r="H42" s="52">
        <f>IF(OR(C42="",D42="",I42=""),"",I42*D42/SUMIF(C:C,C42,D:D))</f>
        <v>3.4627561556791102</v>
      </c>
      <c r="I42" s="154">
        <f>IF(C42="","",IFERROR(VLOOKUP(C42,'Coil to Slit'!$D:$H,5,FALSE),""))</f>
        <v>3.4627561556791102</v>
      </c>
      <c r="J42" s="155">
        <f>IF(C42="","",SUMIF(C:C,C42,H:H))</f>
        <v>3.4627561556791102</v>
      </c>
      <c r="K42" s="67" t="str">
        <f>IF(OR(I42="",J42=""),"",IF(J42&gt;I42,"⚠ BUNDLES &gt; BABY COIL","✔ OK"))</f>
        <v>✔ OK</v>
      </c>
      <c r="L42" s="68" t="e">
        <f>IF(#REF!="","",IF(COUNTIF(#REF!,#REF!)&gt;1,"⚠ DUPLICATE",""))</f>
        <v>#REF!</v>
      </c>
    </row>
    <row r="43" spans="1:12">
      <c r="A43" s="35">
        <v>46119</v>
      </c>
      <c r="B43" s="30" t="s">
        <v>118</v>
      </c>
      <c r="C43" s="30" t="s">
        <v>129</v>
      </c>
      <c r="D43" s="31">
        <v>185</v>
      </c>
      <c r="E43" s="49" t="str">
        <f>IF(C43="","",IFERROR(VLOOKUP(C43,'Coil to Slit'!$D:$F,3,FALSE),""))</f>
        <v> </v>
      </c>
      <c r="F43" s="49">
        <f>IF(C43="","",IFERROR(VLOOKUP(C43,'Coil to Slit'!$D:$G,4,FALSE),""))</f>
        <v>197</v>
      </c>
      <c r="G43" s="88">
        <f>IF(C43="","",IFERROR(VLOOKUP(C43,'Coil to Slit'!$D:$E,2,FALSE),""))</f>
        <v>2</v>
      </c>
      <c r="H43" s="52">
        <f>IF(OR(C43="",D43="",I43=""),"",I43*D43/SUMIF(C:C,C43,D:D))</f>
        <v>3.4627561556791102</v>
      </c>
      <c r="I43" s="154">
        <f>IF(C43="","",IFERROR(VLOOKUP(C43,'Coil to Slit'!$D:$H,5,FALSE),""))</f>
        <v>3.4627561556791102</v>
      </c>
      <c r="J43" s="155">
        <f>IF(C43="","",SUMIF(C:C,C43,H:H))</f>
        <v>3.4627561556791102</v>
      </c>
      <c r="K43" s="67" t="str">
        <f>IF(OR(I43="",J43=""),"",IF(J43&gt;I43,"⚠ BUNDLES &gt; BABY COIL","✔ OK"))</f>
        <v>✔ OK</v>
      </c>
      <c r="L43" s="68" t="e">
        <f>IF(#REF!="","",IF(COUNTIF(#REF!,#REF!)&gt;1,"⚠ DUPLICATE",""))</f>
        <v>#REF!</v>
      </c>
    </row>
    <row r="44" spans="1:12">
      <c r="A44" s="35">
        <v>46119</v>
      </c>
      <c r="B44" s="30" t="s">
        <v>118</v>
      </c>
      <c r="C44" s="30" t="s">
        <v>130</v>
      </c>
      <c r="D44" s="31">
        <v>185</v>
      </c>
      <c r="E44" s="49" t="str">
        <f>IF(C44="","",IFERROR(VLOOKUP(C44,'Coil to Slit'!$D:$F,3,FALSE),""))</f>
        <v> </v>
      </c>
      <c r="F44" s="49">
        <f>IF(C44="","",IFERROR(VLOOKUP(C44,'Coil to Slit'!$D:$G,4,FALSE),""))</f>
        <v>197</v>
      </c>
      <c r="G44" s="88">
        <f>IF(C44="","",IFERROR(VLOOKUP(C44,'Coil to Slit'!$D:$E,2,FALSE),""))</f>
        <v>2</v>
      </c>
      <c r="H44" s="52">
        <f>IF(OR(C44="",D44="",I44=""),"",I44*D44/SUMIF(C:C,C44,D:D))</f>
        <v>3.4627561556791102</v>
      </c>
      <c r="I44" s="154">
        <f>IF(C44="","",IFERROR(VLOOKUP(C44,'Coil to Slit'!$D:$H,5,FALSE),""))</f>
        <v>3.4627561556791102</v>
      </c>
      <c r="J44" s="155">
        <f>IF(C44="","",SUMIF(C:C,C44,H:H))</f>
        <v>3.4627561556791102</v>
      </c>
      <c r="K44" s="67" t="str">
        <f>IF(OR(I44="",J44=""),"",IF(J44&gt;I44,"⚠ BUNDLES &gt; BABY COIL","✔ OK"))</f>
        <v>✔ OK</v>
      </c>
      <c r="L44" s="68" t="e">
        <f>IF(#REF!="","",IF(COUNTIF(#REF!,#REF!)&gt;1,"⚠ DUPLICATE",""))</f>
        <v>#REF!</v>
      </c>
    </row>
    <row r="45" spans="1:12">
      <c r="A45" s="35">
        <v>46119</v>
      </c>
      <c r="B45" s="30" t="s">
        <v>118</v>
      </c>
      <c r="C45" s="30" t="s">
        <v>131</v>
      </c>
      <c r="D45" s="31">
        <v>185</v>
      </c>
      <c r="E45" s="49" t="str">
        <f>IF(C45="","",IFERROR(VLOOKUP(C45,'Coil to Slit'!$D:$F,3,FALSE),""))</f>
        <v> </v>
      </c>
      <c r="F45" s="49">
        <f>IF(C45="","",IFERROR(VLOOKUP(C45,'Coil to Slit'!$D:$G,4,FALSE),""))</f>
        <v>197</v>
      </c>
      <c r="G45" s="88">
        <f>IF(C45="","",IFERROR(VLOOKUP(C45,'Coil to Slit'!$D:$E,2,FALSE),""))</f>
        <v>2</v>
      </c>
      <c r="H45" s="52">
        <f>IF(OR(C45="",D45="",I45=""),"",I45*D45/SUMIF(C:C,C45,D:D))</f>
        <v>3.4627561556791102</v>
      </c>
      <c r="I45" s="154">
        <f>IF(C45="","",IFERROR(VLOOKUP(C45,'Coil to Slit'!$D:$H,5,FALSE),""))</f>
        <v>3.4627561556791102</v>
      </c>
      <c r="J45" s="155">
        <f>IF(C45="","",SUMIF(C:C,C45,H:H))</f>
        <v>3.4627561556791102</v>
      </c>
      <c r="K45" s="67" t="str">
        <f>IF(OR(I45="",J45=""),"",IF(J45&gt;I45,"⚠ BUNDLES &gt; BABY COIL","✔ OK"))</f>
        <v>✔ OK</v>
      </c>
      <c r="L45" s="68" t="e">
        <f>IF(#REF!="","",IF(COUNTIF(#REF!,#REF!)&gt;1,"⚠ DUPLICATE",""))</f>
        <v>#REF!</v>
      </c>
    </row>
    <row r="46" spans="1:12">
      <c r="A46" s="35">
        <v>46119</v>
      </c>
      <c r="B46" s="30" t="s">
        <v>118</v>
      </c>
      <c r="C46" s="30" t="s">
        <v>132</v>
      </c>
      <c r="D46" s="31">
        <v>185</v>
      </c>
      <c r="E46" s="49" t="str">
        <f>IF(C46="","",IFERROR(VLOOKUP(C46,'Coil to Slit'!$D:$F,3,FALSE),""))</f>
        <v> </v>
      </c>
      <c r="F46" s="49">
        <f>IF(C46="","",IFERROR(VLOOKUP(C46,'Coil to Slit'!$D:$G,4,FALSE),""))</f>
        <v>197</v>
      </c>
      <c r="G46" s="88">
        <f>IF(C46="","",IFERROR(VLOOKUP(C46,'Coil to Slit'!$D:$E,2,FALSE),""))</f>
        <v>2</v>
      </c>
      <c r="H46" s="52">
        <f>IF(OR(C46="",D46="",I46=""),"",I46*D46/SUMIF(C:C,C46,D:D))</f>
        <v>3.4627561556791102</v>
      </c>
      <c r="I46" s="154">
        <f>IF(C46="","",IFERROR(VLOOKUP(C46,'Coil to Slit'!$D:$H,5,FALSE),""))</f>
        <v>3.4627561556791102</v>
      </c>
      <c r="J46" s="155">
        <f>IF(C46="","",SUMIF(C:C,C46,H:H))</f>
        <v>3.4627561556791102</v>
      </c>
      <c r="K46" s="67" t="str">
        <f>IF(OR(I46="",J46=""),"",IF(J46&gt;I46,"⚠ BUNDLES &gt; BABY COIL","✔ OK"))</f>
        <v>✔ OK</v>
      </c>
      <c r="L46" s="68" t="e">
        <f>IF(#REF!="","",IF(COUNTIF(#REF!,#REF!)&gt;1,"⚠ DUPLICATE",""))</f>
        <v>#REF!</v>
      </c>
    </row>
    <row r="47" spans="1:12">
      <c r="A47" s="35">
        <v>46119</v>
      </c>
      <c r="B47" s="30" t="s">
        <v>118</v>
      </c>
      <c r="C47" s="30" t="s">
        <v>133</v>
      </c>
      <c r="D47" s="31">
        <v>185</v>
      </c>
      <c r="E47" s="49" t="str">
        <f>IF(C47="","",IFERROR(VLOOKUP(C47,'Coil to Slit'!$D:$F,3,FALSE),""))</f>
        <v> </v>
      </c>
      <c r="F47" s="49">
        <f>IF(C47="","",IFERROR(VLOOKUP(C47,'Coil to Slit'!$D:$G,4,FALSE),""))</f>
        <v>197</v>
      </c>
      <c r="G47" s="88">
        <f>IF(C47="","",IFERROR(VLOOKUP(C47,'Coil to Slit'!$D:$E,2,FALSE),""))</f>
        <v>2</v>
      </c>
      <c r="H47" s="52">
        <f>IF(OR(C47="",D47="",I47=""),"",I47*D47/SUMIF(C:C,C47,D:D))</f>
        <v>3.4627561556791102</v>
      </c>
      <c r="I47" s="154">
        <f>IF(C47="","",IFERROR(VLOOKUP(C47,'Coil to Slit'!$D:$H,5,FALSE),""))</f>
        <v>3.4627561556791102</v>
      </c>
      <c r="J47" s="155">
        <f>IF(C47="","",SUMIF(C:C,C47,H:H))</f>
        <v>3.4627561556791102</v>
      </c>
      <c r="K47" s="67" t="str">
        <f>IF(OR(I47="",J47=""),"",IF(J47&gt;I47,"⚠ BUNDLES &gt; BABY COIL","✔ OK"))</f>
        <v>✔ OK</v>
      </c>
      <c r="L47" s="68" t="e">
        <f>IF(#REF!="","",IF(COUNTIF(#REF!,#REF!)&gt;1,"⚠ DUPLICATE",""))</f>
        <v>#REF!</v>
      </c>
    </row>
    <row r="48" spans="1:12">
      <c r="A48" s="35"/>
      <c r="B48" s="30"/>
      <c r="C48" s="30"/>
      <c r="D48" s="31"/>
      <c r="E48" s="49" t="str">
        <f>IF(C48="","",IFERROR(VLOOKUP(C48,'Coil to Slit'!$D:$F,3,FALSE),""))</f>
        <v/>
      </c>
      <c r="F48" s="49" t="str">
        <f>IF(C48="","",IFERROR(VLOOKUP(C48,'Coil to Slit'!$D:$G,4,FALSE),""))</f>
        <v/>
      </c>
      <c r="G48" s="88" t="str">
        <f>IF(C48="","",IFERROR(VLOOKUP(C48,'Coil to Slit'!$D:$E,2,FALSE),""))</f>
        <v/>
      </c>
      <c r="H48" s="52" t="str">
        <f>IF(OR(C48="",D48="",I48=""),"",I48*D48/SUMIF(C:C,C48,D:D))</f>
        <v/>
      </c>
      <c r="I48" s="154" t="str">
        <f>IF(C48="","",IFERROR(VLOOKUP(C48,'Coil to Slit'!$D:$H,5,FALSE),""))</f>
        <v/>
      </c>
      <c r="J48" s="155" t="str">
        <f>IF(C48="","",SUMIF(C:C,C48,H:H))</f>
        <v/>
      </c>
      <c r="K48" s="67" t="str">
        <f>IF(OR(I48="",J48=""),"",IF(J48&gt;I48,"⚠ BUNDLES &gt; BABY COIL","✔ OK"))</f>
        <v/>
      </c>
      <c r="L48" s="68" t="e">
        <f>IF(#REF!="","",IF(COUNTIF(#REF!,#REF!)&gt;1,"⚠ DUPLICATE",""))</f>
        <v>#REF!</v>
      </c>
    </row>
    <row r="49" spans="1:12">
      <c r="A49" s="35"/>
      <c r="B49" s="30"/>
      <c r="C49" s="30"/>
      <c r="D49" s="31"/>
      <c r="E49" s="49" t="str">
        <f>IF(C49="","",IFERROR(VLOOKUP(C49,'Coil to Slit'!$D:$F,3,FALSE),""))</f>
        <v/>
      </c>
      <c r="F49" s="49" t="str">
        <f>IF(C49="","",IFERROR(VLOOKUP(C49,'Coil to Slit'!$D:$G,4,FALSE),""))</f>
        <v/>
      </c>
      <c r="G49" s="88" t="str">
        <f>IF(C49="","",IFERROR(VLOOKUP(C49,'Coil to Slit'!$D:$E,2,FALSE),""))</f>
        <v/>
      </c>
      <c r="H49" s="52" t="str">
        <f>IF(OR(C49="",D49="",I49=""),"",I49*D49/SUMIF(C:C,C49,D:D))</f>
        <v/>
      </c>
      <c r="I49" s="154" t="str">
        <f>IF(C49="","",IFERROR(VLOOKUP(C49,'Coil to Slit'!$D:$H,5,FALSE),""))</f>
        <v/>
      </c>
      <c r="J49" s="155" t="str">
        <f>IF(C49="","",SUMIF(C:C,C49,H:H))</f>
        <v/>
      </c>
      <c r="K49" s="67" t="str">
        <f>IF(OR(I49="",J49=""),"",IF(J49&gt;I49,"⚠ BUNDLES &gt; BABY COIL","✔ OK"))</f>
        <v/>
      </c>
      <c r="L49" s="68" t="e">
        <f>IF(#REF!="","",IF(COUNTIF(#REF!,#REF!)&gt;1,"⚠ DUPLICATE",""))</f>
        <v>#REF!</v>
      </c>
    </row>
    <row r="50" spans="1:12">
      <c r="A50" s="35"/>
      <c r="B50" s="30"/>
      <c r="C50" s="30"/>
      <c r="D50" s="31"/>
      <c r="E50" s="49" t="str">
        <f>IF(C50="","",IFERROR(VLOOKUP(C50,'Coil to Slit'!$D:$F,3,FALSE),""))</f>
        <v/>
      </c>
      <c r="F50" s="49" t="str">
        <f>IF(C50="","",IFERROR(VLOOKUP(C50,'Coil to Slit'!$D:$G,4,FALSE),""))</f>
        <v/>
      </c>
      <c r="G50" s="88" t="str">
        <f>IF(C50="","",IFERROR(VLOOKUP(C50,'Coil to Slit'!$D:$E,2,FALSE),""))</f>
        <v/>
      </c>
      <c r="H50" s="52" t="str">
        <f>IF(OR(C50="",D50="",I50=""),"",I50*D50/SUMIF(C:C,C50,D:D))</f>
        <v/>
      </c>
      <c r="I50" s="154" t="str">
        <f>IF(C50="","",IFERROR(VLOOKUP(C50,'Coil to Slit'!$D:$H,5,FALSE),""))</f>
        <v/>
      </c>
      <c r="J50" s="155" t="str">
        <f>IF(C50="","",SUMIF(C:C,C50,H:H))</f>
        <v/>
      </c>
      <c r="K50" s="67" t="str">
        <f>IF(OR(I50="",J50=""),"",IF(J50&gt;I50,"⚠ BUNDLES &gt; BABY COIL","✔ OK"))</f>
        <v/>
      </c>
      <c r="L50" s="68" t="e">
        <f>IF(#REF!="","",IF(COUNTIF(#REF!,#REF!)&gt;1,"⚠ DUPLICATE",""))</f>
        <v>#REF!</v>
      </c>
    </row>
    <row r="51" spans="1:12">
      <c r="A51" s="35"/>
      <c r="B51" s="30"/>
      <c r="C51" s="30"/>
      <c r="D51" s="31"/>
      <c r="E51" s="49" t="str">
        <f>IF(C51="","",IFERROR(VLOOKUP(C51,'Coil to Slit'!$D:$F,3,FALSE),""))</f>
        <v/>
      </c>
      <c r="F51" s="49" t="str">
        <f>IF(C51="","",IFERROR(VLOOKUP(C51,'Coil to Slit'!$D:$G,4,FALSE),""))</f>
        <v/>
      </c>
      <c r="G51" s="88" t="str">
        <f>IF(C51="","",IFERROR(VLOOKUP(C51,'Coil to Slit'!$D:$E,2,FALSE),""))</f>
        <v/>
      </c>
      <c r="H51" s="52" t="str">
        <f>IF(OR(C51="",D51="",I51=""),"",I51*D51/SUMIF(C:C,C51,D:D))</f>
        <v/>
      </c>
      <c r="I51" s="154" t="str">
        <f>IF(C51="","",IFERROR(VLOOKUP(C51,'Coil to Slit'!$D:$H,5,FALSE),""))</f>
        <v/>
      </c>
      <c r="J51" s="155" t="str">
        <f>IF(C51="","",SUMIF(C:C,C51,H:H))</f>
        <v/>
      </c>
      <c r="K51" s="67" t="str">
        <f>IF(OR(I51="",J51=""),"",IF(J51&gt;I51,"⚠ BUNDLES &gt; BABY COIL","✔ OK"))</f>
        <v/>
      </c>
      <c r="L51" s="68" t="e">
        <f>IF(#REF!="","",IF(COUNTIF(#REF!,#REF!)&gt;1,"⚠ DUPLICATE",""))</f>
        <v>#REF!</v>
      </c>
    </row>
    <row r="52" spans="1:12">
      <c r="A52" s="35"/>
      <c r="B52" s="30"/>
      <c r="C52" s="30"/>
      <c r="D52" s="31"/>
      <c r="E52" s="49" t="str">
        <f>IF(C52="","",IFERROR(VLOOKUP(C52,'Coil to Slit'!$D:$F,3,FALSE),""))</f>
        <v/>
      </c>
      <c r="F52" s="49" t="str">
        <f>IF(C52="","",IFERROR(VLOOKUP(C52,'Coil to Slit'!$D:$G,4,FALSE),""))</f>
        <v/>
      </c>
      <c r="G52" s="88" t="str">
        <f>IF(C52="","",IFERROR(VLOOKUP(C52,'Coil to Slit'!$D:$E,2,FALSE),""))</f>
        <v/>
      </c>
      <c r="H52" s="52" t="str">
        <f>IF(OR(C52="",D52="",I52=""),"",I52*D52/SUMIF(C:C,C52,D:D))</f>
        <v/>
      </c>
      <c r="I52" s="154" t="str">
        <f>IF(C52="","",IFERROR(VLOOKUP(C52,'Coil to Slit'!$D:$H,5,FALSE),""))</f>
        <v/>
      </c>
      <c r="J52" s="155" t="str">
        <f>IF(C52="","",SUMIF(C:C,C52,H:H))</f>
        <v/>
      </c>
      <c r="K52" s="67" t="str">
        <f>IF(OR(I52="",J52=""),"",IF(J52&gt;I52,"⚠ BUNDLES &gt; BABY COIL","✔ OK"))</f>
        <v/>
      </c>
      <c r="L52" s="68" t="e">
        <f>IF(#REF!="","",IF(COUNTIF(#REF!,#REF!)&gt;1,"⚠ DUPLICATE",""))</f>
        <v>#REF!</v>
      </c>
    </row>
    <row r="53" spans="1:12">
      <c r="A53" s="35"/>
      <c r="B53" s="30"/>
      <c r="C53" s="30"/>
      <c r="D53" s="31"/>
      <c r="E53" s="49" t="str">
        <f>IF(C53="","",IFERROR(VLOOKUP(C53,'Coil to Slit'!$D:$F,3,FALSE),""))</f>
        <v/>
      </c>
      <c r="F53" s="49" t="str">
        <f>IF(C53="","",IFERROR(VLOOKUP(C53,'Coil to Slit'!$D:$G,4,FALSE),""))</f>
        <v/>
      </c>
      <c r="G53" s="88" t="str">
        <f>IF(C53="","",IFERROR(VLOOKUP(C53,'Coil to Slit'!$D:$E,2,FALSE),""))</f>
        <v/>
      </c>
      <c r="H53" s="52" t="str">
        <f>IF(OR(C53="",D53="",I53=""),"",I53*D53/SUMIF(C:C,C53,D:D))</f>
        <v/>
      </c>
      <c r="I53" s="154" t="str">
        <f>IF(C53="","",IFERROR(VLOOKUP(C53,'Coil to Slit'!$D:$H,5,FALSE),""))</f>
        <v/>
      </c>
      <c r="J53" s="155" t="str">
        <f>IF(C53="","",SUMIF(C:C,C53,H:H))</f>
        <v/>
      </c>
      <c r="K53" s="67" t="str">
        <f>IF(OR(I53="",J53=""),"",IF(J53&gt;I53,"⚠ BUNDLES &gt; BABY COIL","✔ OK"))</f>
        <v/>
      </c>
      <c r="L53" s="68" t="e">
        <f>IF(#REF!="","",IF(COUNTIF(#REF!,#REF!)&gt;1,"⚠ DUPLICATE",""))</f>
        <v>#REF!</v>
      </c>
    </row>
    <row r="54" spans="1:12">
      <c r="A54" s="35"/>
      <c r="B54" s="30"/>
      <c r="C54" s="30"/>
      <c r="D54" s="31"/>
      <c r="E54" s="49" t="str">
        <f>IF(C54="","",IFERROR(VLOOKUP(C54,'Coil to Slit'!$D:$F,3,FALSE),""))</f>
        <v/>
      </c>
      <c r="F54" s="49" t="str">
        <f>IF(C54="","",IFERROR(VLOOKUP(C54,'Coil to Slit'!$D:$G,4,FALSE),""))</f>
        <v/>
      </c>
      <c r="G54" s="88" t="str">
        <f>IF(C54="","",IFERROR(VLOOKUP(C54,'Coil to Slit'!$D:$E,2,FALSE),""))</f>
        <v/>
      </c>
      <c r="H54" s="52" t="str">
        <f>IF(OR(C54="",D54="",I54=""),"",I54*D54/SUMIF(C:C,C54,D:D))</f>
        <v/>
      </c>
      <c r="I54" s="154" t="str">
        <f>IF(C54="","",IFERROR(VLOOKUP(C54,'Coil to Slit'!$D:$H,5,FALSE),""))</f>
        <v/>
      </c>
      <c r="J54" s="155" t="str">
        <f>IF(C54="","",SUMIF(C:C,C54,H:H))</f>
        <v/>
      </c>
      <c r="K54" s="67" t="str">
        <f>IF(OR(I54="",J54=""),"",IF(J54&gt;I54,"⚠ BUNDLES &gt; BABY COIL","✔ OK"))</f>
        <v/>
      </c>
      <c r="L54" s="68" t="e">
        <f>IF(#REF!="","",IF(COUNTIF(#REF!,#REF!)&gt;1,"⚠ DUPLICATE",""))</f>
        <v>#REF!</v>
      </c>
    </row>
    <row r="55" spans="1:12">
      <c r="A55" s="35"/>
      <c r="B55" s="30"/>
      <c r="C55" s="30"/>
      <c r="D55" s="31"/>
      <c r="E55" s="49" t="str">
        <f>IF(C55="","",IFERROR(VLOOKUP(C55,'Coil to Slit'!$D:$F,3,FALSE),""))</f>
        <v/>
      </c>
      <c r="F55" s="49" t="str">
        <f>IF(C55="","",IFERROR(VLOOKUP(C55,'Coil to Slit'!$D:$G,4,FALSE),""))</f>
        <v/>
      </c>
      <c r="G55" s="88" t="str">
        <f>IF(C55="","",IFERROR(VLOOKUP(C55,'Coil to Slit'!$D:$E,2,FALSE),""))</f>
        <v/>
      </c>
      <c r="H55" s="52" t="str">
        <f>IF(OR(C55="",D55="",I55=""),"",I55*D55/SUMIF(C:C,C55,D:D))</f>
        <v/>
      </c>
      <c r="I55" s="154" t="str">
        <f>IF(C55="","",IFERROR(VLOOKUP(C55,'Coil to Slit'!$D:$H,5,FALSE),""))</f>
        <v/>
      </c>
      <c r="J55" s="155" t="str">
        <f>IF(C55="","",SUMIF(C:C,C55,H:H))</f>
        <v/>
      </c>
      <c r="K55" s="67" t="str">
        <f>IF(OR(I55="",J55=""),"",IF(J55&gt;I55,"⚠ BUNDLES &gt; BABY COIL","✔ OK"))</f>
        <v/>
      </c>
      <c r="L55" s="68" t="e">
        <f>IF(#REF!="","",IF(COUNTIF(#REF!,#REF!)&gt;1,"⚠ DUPLICATE",""))</f>
        <v>#REF!</v>
      </c>
    </row>
    <row r="56" spans="1:12">
      <c r="A56" s="35"/>
      <c r="B56" s="30"/>
      <c r="C56" s="30"/>
      <c r="D56" s="31"/>
      <c r="E56" s="49" t="str">
        <f>IF(C56="","",IFERROR(VLOOKUP(C56,'Coil to Slit'!$D:$F,3,FALSE),""))</f>
        <v/>
      </c>
      <c r="F56" s="49" t="str">
        <f>IF(C56="","",IFERROR(VLOOKUP(C56,'Coil to Slit'!$D:$G,4,FALSE),""))</f>
        <v/>
      </c>
      <c r="G56" s="88" t="str">
        <f>IF(C56="","",IFERROR(VLOOKUP(C56,'Coil to Slit'!$D:$E,2,FALSE),""))</f>
        <v/>
      </c>
      <c r="H56" s="52" t="str">
        <f>IF(OR(C56="",D56="",I56=""),"",I56*D56/SUMIF(C:C,C56,D:D))</f>
        <v/>
      </c>
      <c r="I56" s="154" t="str">
        <f>IF(C56="","",IFERROR(VLOOKUP(C56,'Coil to Slit'!$D:$H,5,FALSE),""))</f>
        <v/>
      </c>
      <c r="J56" s="155" t="str">
        <f>IF(C56="","",SUMIF(C:C,C56,H:H))</f>
        <v/>
      </c>
      <c r="K56" s="67" t="str">
        <f>IF(OR(I56="",J56=""),"",IF(J56&gt;I56,"⚠ BUNDLES &gt; BABY COIL","✔ OK"))</f>
        <v/>
      </c>
      <c r="L56" s="68" t="e">
        <f>IF(#REF!="","",IF(COUNTIF(#REF!,#REF!)&gt;1,"⚠ DUPLICATE",""))</f>
        <v>#REF!</v>
      </c>
    </row>
    <row r="57" spans="1:12">
      <c r="A57" s="35"/>
      <c r="B57" s="30"/>
      <c r="C57" s="30"/>
      <c r="D57" s="31"/>
      <c r="E57" s="49" t="str">
        <f>IF(C57="","",IFERROR(VLOOKUP(C57,'Coil to Slit'!$D:$F,3,FALSE),""))</f>
        <v/>
      </c>
      <c r="F57" s="49" t="str">
        <f>IF(C57="","",IFERROR(VLOOKUP(C57,'Coil to Slit'!$D:$G,4,FALSE),""))</f>
        <v/>
      </c>
      <c r="G57" s="88" t="str">
        <f>IF(C57="","",IFERROR(VLOOKUP(C57,'Coil to Slit'!$D:$E,2,FALSE),""))</f>
        <v/>
      </c>
      <c r="H57" s="52" t="str">
        <f>IF(OR(C57="",D57="",I57=""),"",I57*D57/SUMIF(C:C,C57,D:D))</f>
        <v/>
      </c>
      <c r="I57" s="154" t="str">
        <f>IF(C57="","",IFERROR(VLOOKUP(C57,'Coil to Slit'!$D:$H,5,FALSE),""))</f>
        <v/>
      </c>
      <c r="J57" s="155" t="str">
        <f>IF(C57="","",SUMIF(C:C,C57,H:H))</f>
        <v/>
      </c>
      <c r="K57" s="67" t="str">
        <f>IF(OR(I57="",J57=""),"",IF(J57&gt;I57,"⚠ BUNDLES &gt; BABY COIL","✔ OK"))</f>
        <v/>
      </c>
      <c r="L57" s="68" t="e">
        <f>IF(#REF!="","",IF(COUNTIF(#REF!,#REF!)&gt;1,"⚠ DUPLICATE",""))</f>
        <v>#REF!</v>
      </c>
    </row>
    <row r="58" spans="1:12">
      <c r="A58" s="35"/>
      <c r="B58" s="30"/>
      <c r="C58" s="30"/>
      <c r="D58" s="31"/>
      <c r="E58" s="49" t="str">
        <f>IF(C58="","",IFERROR(VLOOKUP(C58,'Coil to Slit'!$D:$F,3,FALSE),""))</f>
        <v/>
      </c>
      <c r="F58" s="49" t="str">
        <f>IF(C58="","",IFERROR(VLOOKUP(C58,'Coil to Slit'!$D:$G,4,FALSE),""))</f>
        <v/>
      </c>
      <c r="G58" s="88" t="str">
        <f>IF(C58="","",IFERROR(VLOOKUP(C58,'Coil to Slit'!$D:$E,2,FALSE),""))</f>
        <v/>
      </c>
      <c r="H58" s="52" t="str">
        <f>IF(OR(C58="",D58="",I58=""),"",I58*D58/SUMIF(C:C,C58,D:D))</f>
        <v/>
      </c>
      <c r="I58" s="154" t="str">
        <f>IF(C58="","",IFERROR(VLOOKUP(C58,'Coil to Slit'!$D:$H,5,FALSE),""))</f>
        <v/>
      </c>
      <c r="J58" s="155" t="str">
        <f>IF(C58="","",SUMIF(C:C,C58,H:H))</f>
        <v/>
      </c>
      <c r="K58" s="67" t="str">
        <f>IF(OR(I58="",J58=""),"",IF(J58&gt;I58,"⚠ BUNDLES &gt; BABY COIL","✔ OK"))</f>
        <v/>
      </c>
      <c r="L58" s="68" t="e">
        <f>IF(#REF!="","",IF(COUNTIF(#REF!,#REF!)&gt;1,"⚠ DUPLICATE",""))</f>
        <v>#REF!</v>
      </c>
    </row>
    <row r="59" spans="1:12">
      <c r="A59" s="35"/>
      <c r="B59" s="30"/>
      <c r="C59" s="30"/>
      <c r="D59" s="31"/>
      <c r="E59" s="49" t="str">
        <f>IF(C59="","",IFERROR(VLOOKUP(C59,'Coil to Slit'!$D:$F,3,FALSE),""))</f>
        <v/>
      </c>
      <c r="F59" s="49" t="str">
        <f>IF(C59="","",IFERROR(VLOOKUP(C59,'Coil to Slit'!$D:$G,4,FALSE),""))</f>
        <v/>
      </c>
      <c r="G59" s="88" t="str">
        <f>IF(C59="","",IFERROR(VLOOKUP(C59,'Coil to Slit'!$D:$E,2,FALSE),""))</f>
        <v/>
      </c>
      <c r="H59" s="52" t="str">
        <f>IF(OR(C59="",D59="",I59=""),"",I59*D59/SUMIF(C:C,C59,D:D))</f>
        <v/>
      </c>
      <c r="I59" s="154" t="str">
        <f>IF(C59="","",IFERROR(VLOOKUP(C59,'Coil to Slit'!$D:$H,5,FALSE),""))</f>
        <v/>
      </c>
      <c r="J59" s="155" t="str">
        <f>IF(C59="","",SUMIF(C:C,C59,H:H))</f>
        <v/>
      </c>
      <c r="K59" s="67" t="str">
        <f>IF(OR(I59="",J59=""),"",IF(J59&gt;I59,"⚠ BUNDLES &gt; BABY COIL","✔ OK"))</f>
        <v/>
      </c>
      <c r="L59" s="68" t="e">
        <f>IF(#REF!="","",IF(COUNTIF(#REF!,#REF!)&gt;1,"⚠ DUPLICATE",""))</f>
        <v>#REF!</v>
      </c>
    </row>
    <row r="60" spans="1:12">
      <c r="A60" s="35"/>
      <c r="B60" s="30"/>
      <c r="C60" s="30"/>
      <c r="D60" s="31"/>
      <c r="E60" s="49" t="str">
        <f>IF(C60="","",IFERROR(VLOOKUP(C60,'Coil to Slit'!$D:$F,3,FALSE),""))</f>
        <v/>
      </c>
      <c r="F60" s="49" t="str">
        <f>IF(C60="","",IFERROR(VLOOKUP(C60,'Coil to Slit'!$D:$G,4,FALSE),""))</f>
        <v/>
      </c>
      <c r="G60" s="88" t="str">
        <f>IF(C60="","",IFERROR(VLOOKUP(C60,'Coil to Slit'!$D:$E,2,FALSE),""))</f>
        <v/>
      </c>
      <c r="H60" s="52" t="str">
        <f>IF(OR(C60="",D60="",I60=""),"",I60*D60/SUMIF(C:C,C60,D:D))</f>
        <v/>
      </c>
      <c r="I60" s="154" t="str">
        <f>IF(C60="","",IFERROR(VLOOKUP(C60,'Coil to Slit'!$D:$H,5,FALSE),""))</f>
        <v/>
      </c>
      <c r="J60" s="155" t="str">
        <f>IF(C60="","",SUMIF(C:C,C60,H:H))</f>
        <v/>
      </c>
      <c r="K60" s="67" t="str">
        <f>IF(OR(I60="",J60=""),"",IF(J60&gt;I60,"⚠ BUNDLES &gt; BABY COIL","✔ OK"))</f>
        <v/>
      </c>
      <c r="L60" s="68" t="e">
        <f>IF(#REF!="","",IF(COUNTIF(#REF!,#REF!)&gt;1,"⚠ DUPLICATE",""))</f>
        <v>#REF!</v>
      </c>
    </row>
    <row r="61" spans="1:12">
      <c r="A61" s="35"/>
      <c r="B61" s="30"/>
      <c r="C61" s="30"/>
      <c r="D61" s="31"/>
      <c r="E61" s="49" t="str">
        <f>IF(C61="","",IFERROR(VLOOKUP(C61,'Coil to Slit'!$D:$F,3,FALSE),""))</f>
        <v/>
      </c>
      <c r="F61" s="49" t="str">
        <f>IF(C61="","",IFERROR(VLOOKUP(C61,'Coil to Slit'!$D:$G,4,FALSE),""))</f>
        <v/>
      </c>
      <c r="G61" s="88" t="str">
        <f>IF(C61="","",IFERROR(VLOOKUP(C61,'Coil to Slit'!$D:$E,2,FALSE),""))</f>
        <v/>
      </c>
      <c r="H61" s="52" t="str">
        <f>IF(OR(C61="",D61="",I61=""),"",I61*D61/SUMIF(C:C,C61,D:D))</f>
        <v/>
      </c>
      <c r="I61" s="154" t="str">
        <f>IF(C61="","",IFERROR(VLOOKUP(C61,'Coil to Slit'!$D:$H,5,FALSE),""))</f>
        <v/>
      </c>
      <c r="J61" s="155" t="str">
        <f>IF(C61="","",SUMIF(C:C,C61,H:H))</f>
        <v/>
      </c>
      <c r="K61" s="67" t="str">
        <f>IF(OR(I61="",J61=""),"",IF(J61&gt;I61,"⚠ BUNDLES &gt; BABY COIL","✔ OK"))</f>
        <v/>
      </c>
      <c r="L61" s="68" t="e">
        <f>IF(#REF!="","",IF(COUNTIF(#REF!,#REF!)&gt;1,"⚠ DUPLICATE",""))</f>
        <v>#REF!</v>
      </c>
    </row>
    <row r="62" spans="1:12">
      <c r="A62" s="35"/>
      <c r="B62" s="30"/>
      <c r="C62" s="30"/>
      <c r="D62" s="31"/>
      <c r="E62" s="49" t="str">
        <f>IF(C62="","",IFERROR(VLOOKUP(C62,'Coil to Slit'!$D:$F,3,FALSE),""))</f>
        <v/>
      </c>
      <c r="F62" s="49" t="str">
        <f>IF(C62="","",IFERROR(VLOOKUP(C62,'Coil to Slit'!$D:$G,4,FALSE),""))</f>
        <v/>
      </c>
      <c r="G62" s="88" t="str">
        <f>IF(C62="","",IFERROR(VLOOKUP(C62,'Coil to Slit'!$D:$E,2,FALSE),""))</f>
        <v/>
      </c>
      <c r="H62" s="52" t="str">
        <f>IF(OR(C62="",D62="",I62=""),"",I62*D62/SUMIF(C:C,C62,D:D))</f>
        <v/>
      </c>
      <c r="I62" s="154" t="str">
        <f>IF(C62="","",IFERROR(VLOOKUP(C62,'Coil to Slit'!$D:$H,5,FALSE),""))</f>
        <v/>
      </c>
      <c r="J62" s="155" t="str">
        <f>IF(C62="","",SUMIF(C:C,C62,H:H))</f>
        <v/>
      </c>
      <c r="K62" s="67" t="str">
        <f>IF(OR(I62="",J62=""),"",IF(J62&gt;I62,"⚠ BUNDLES &gt; BABY COIL","✔ OK"))</f>
        <v/>
      </c>
      <c r="L62" s="68" t="e">
        <f>IF(#REF!="","",IF(COUNTIF(#REF!,#REF!)&gt;1,"⚠ DUPLICATE",""))</f>
        <v>#REF!</v>
      </c>
    </row>
    <row r="63" spans="1:12">
      <c r="A63" s="35"/>
      <c r="B63" s="30"/>
      <c r="C63" s="30"/>
      <c r="D63" s="31"/>
      <c r="E63" s="49" t="str">
        <f>IF(C63="","",IFERROR(VLOOKUP(C63,'Coil to Slit'!$D:$F,3,FALSE),""))</f>
        <v/>
      </c>
      <c r="F63" s="49" t="str">
        <f>IF(C63="","",IFERROR(VLOOKUP(C63,'Coil to Slit'!$D:$G,4,FALSE),""))</f>
        <v/>
      </c>
      <c r="G63" s="88" t="str">
        <f>IF(C63="","",IFERROR(VLOOKUP(C63,'Coil to Slit'!$D:$E,2,FALSE),""))</f>
        <v/>
      </c>
      <c r="H63" s="52" t="str">
        <f>IF(OR(C63="",D63="",I63=""),"",I63*D63/SUMIF(C:C,C63,D:D))</f>
        <v/>
      </c>
      <c r="I63" s="154" t="str">
        <f>IF(C63="","",IFERROR(VLOOKUP(C63,'Coil to Slit'!$D:$H,5,FALSE),""))</f>
        <v/>
      </c>
      <c r="J63" s="155" t="str">
        <f>IF(C63="","",SUMIF(C:C,C63,H:H))</f>
        <v/>
      </c>
      <c r="K63" s="67" t="str">
        <f>IF(OR(I63="",J63=""),"",IF(J63&gt;I63,"⚠ BUNDLES &gt; BABY COIL","✔ OK"))</f>
        <v/>
      </c>
      <c r="L63" s="68" t="e">
        <f>IF(#REF!="","",IF(COUNTIF(#REF!,#REF!)&gt;1,"⚠ DUPLICATE",""))</f>
        <v>#REF!</v>
      </c>
    </row>
    <row r="64" spans="1:12">
      <c r="A64" s="35"/>
      <c r="B64" s="30"/>
      <c r="C64" s="30"/>
      <c r="D64" s="31"/>
      <c r="E64" s="49" t="str">
        <f>IF(C64="","",IFERROR(VLOOKUP(C64,'Coil to Slit'!$D:$F,3,FALSE),""))</f>
        <v/>
      </c>
      <c r="F64" s="49" t="str">
        <f>IF(C64="","",IFERROR(VLOOKUP(C64,'Coil to Slit'!$D:$G,4,FALSE),""))</f>
        <v/>
      </c>
      <c r="G64" s="88" t="str">
        <f>IF(C64="","",IFERROR(VLOOKUP(C64,'Coil to Slit'!$D:$E,2,FALSE),""))</f>
        <v/>
      </c>
      <c r="H64" s="52" t="str">
        <f>IF(OR(C64="",D64="",I64=""),"",I64*D64/SUMIF(C:C,C64,D:D))</f>
        <v/>
      </c>
      <c r="I64" s="154" t="str">
        <f>IF(C64="","",IFERROR(VLOOKUP(C64,'Coil to Slit'!$D:$H,5,FALSE),""))</f>
        <v/>
      </c>
      <c r="J64" s="155" t="str">
        <f>IF(C64="","",SUMIF(C:C,C64,H:H))</f>
        <v/>
      </c>
      <c r="K64" s="67" t="str">
        <f>IF(OR(I64="",J64=""),"",IF(J64&gt;I64,"⚠ BUNDLES &gt; BABY COIL","✔ OK"))</f>
        <v/>
      </c>
      <c r="L64" s="68" t="e">
        <f>IF(#REF!="","",IF(COUNTIF(#REF!,#REF!)&gt;1,"⚠ DUPLICATE",""))</f>
        <v>#REF!</v>
      </c>
    </row>
    <row r="65" spans="1:12">
      <c r="A65" s="35"/>
      <c r="B65" s="30"/>
      <c r="C65" s="30"/>
      <c r="D65" s="31"/>
      <c r="E65" s="49" t="str">
        <f>IF(C65="","",IFERROR(VLOOKUP(C65,'Coil to Slit'!$D:$F,3,FALSE),""))</f>
        <v/>
      </c>
      <c r="F65" s="49" t="str">
        <f>IF(C65="","",IFERROR(VLOOKUP(C65,'Coil to Slit'!$D:$G,4,FALSE),""))</f>
        <v/>
      </c>
      <c r="G65" s="88" t="str">
        <f>IF(C65="","",IFERROR(VLOOKUP(C65,'Coil to Slit'!$D:$E,2,FALSE),""))</f>
        <v/>
      </c>
      <c r="H65" s="52" t="str">
        <f>IF(OR(C65="",D65="",I65=""),"",I65*D65/SUMIF(C:C,C65,D:D))</f>
        <v/>
      </c>
      <c r="I65" s="154" t="str">
        <f>IF(C65="","",IFERROR(VLOOKUP(C65,'Coil to Slit'!$D:$H,5,FALSE),""))</f>
        <v/>
      </c>
      <c r="J65" s="155" t="str">
        <f>IF(C65="","",SUMIF(C:C,C65,H:H))</f>
        <v/>
      </c>
      <c r="K65" s="67" t="str">
        <f>IF(OR(I65="",J65=""),"",IF(J65&gt;I65,"⚠ BUNDLES &gt; BABY COIL","✔ OK"))</f>
        <v/>
      </c>
      <c r="L65" s="68" t="e">
        <f>IF(#REF!="","",IF(COUNTIF(#REF!,#REF!)&gt;1,"⚠ DUPLICATE",""))</f>
        <v>#REF!</v>
      </c>
    </row>
    <row r="66" spans="1:12">
      <c r="A66" s="35"/>
      <c r="B66" s="30"/>
      <c r="C66" s="30"/>
      <c r="D66" s="31"/>
      <c r="E66" s="49" t="str">
        <f>IF(C66="","",IFERROR(VLOOKUP(C66,'Coil to Slit'!$D:$F,3,FALSE),""))</f>
        <v/>
      </c>
      <c r="F66" s="49" t="str">
        <f>IF(C66="","",IFERROR(VLOOKUP(C66,'Coil to Slit'!$D:$G,4,FALSE),""))</f>
        <v/>
      </c>
      <c r="G66" s="88" t="str">
        <f>IF(C66="","",IFERROR(VLOOKUP(C66,'Coil to Slit'!$D:$E,2,FALSE),""))</f>
        <v/>
      </c>
      <c r="H66" s="52" t="str">
        <f>IF(OR(C66="",D66="",I66=""),"",I66*D66/SUMIF(C:C,C66,D:D))</f>
        <v/>
      </c>
      <c r="I66" s="154" t="str">
        <f>IF(C66="","",IFERROR(VLOOKUP(C66,'Coil to Slit'!$D:$H,5,FALSE),""))</f>
        <v/>
      </c>
      <c r="J66" s="155" t="str">
        <f>IF(C66="","",SUMIF(C:C,C66,H:H))</f>
        <v/>
      </c>
      <c r="K66" s="67" t="str">
        <f>IF(OR(I66="",J66=""),"",IF(J66&gt;I66,"⚠ BUNDLES &gt; BABY COIL","✔ OK"))</f>
        <v/>
      </c>
      <c r="L66" s="68" t="e">
        <f>IF(#REF!="","",IF(COUNTIF(#REF!,#REF!)&gt;1,"⚠ DUPLICATE",""))</f>
        <v>#REF!</v>
      </c>
    </row>
    <row r="67" spans="1:12">
      <c r="A67" s="35"/>
      <c r="B67" s="30"/>
      <c r="C67" s="30"/>
      <c r="D67" s="31"/>
      <c r="E67" s="49" t="str">
        <f>IF(C67="","",IFERROR(VLOOKUP(C67,'Coil to Slit'!$D:$F,3,FALSE),""))</f>
        <v/>
      </c>
      <c r="F67" s="49" t="str">
        <f>IF(C67="","",IFERROR(VLOOKUP(C67,'Coil to Slit'!$D:$G,4,FALSE),""))</f>
        <v/>
      </c>
      <c r="G67" s="88" t="str">
        <f>IF(C67="","",IFERROR(VLOOKUP(C67,'Coil to Slit'!$D:$E,2,FALSE),""))</f>
        <v/>
      </c>
      <c r="H67" s="52" t="str">
        <f>IF(OR(C67="",D67="",I67=""),"",I67*D67/SUMIF(C:C,C67,D:D))</f>
        <v/>
      </c>
      <c r="I67" s="154" t="str">
        <f>IF(C67="","",IFERROR(VLOOKUP(C67,'Coil to Slit'!$D:$H,5,FALSE),""))</f>
        <v/>
      </c>
      <c r="J67" s="155" t="str">
        <f>IF(C67="","",SUMIF(C:C,C67,H:H))</f>
        <v/>
      </c>
      <c r="K67" s="67" t="str">
        <f>IF(OR(I67="",J67=""),"",IF(J67&gt;I67,"⚠ BUNDLES &gt; BABY COIL","✔ OK"))</f>
        <v/>
      </c>
      <c r="L67" s="68" t="e">
        <f>IF(#REF!="","",IF(COUNTIF(#REF!,#REF!)&gt;1,"⚠ DUPLICATE",""))</f>
        <v>#REF!</v>
      </c>
    </row>
    <row r="68" spans="1:12">
      <c r="A68" s="35"/>
      <c r="B68" s="30"/>
      <c r="C68" s="30"/>
      <c r="D68" s="31"/>
      <c r="E68" s="49" t="str">
        <f>IF(C68="","",IFERROR(VLOOKUP(C68,'Coil to Slit'!$D:$F,3,FALSE),""))</f>
        <v/>
      </c>
      <c r="F68" s="49" t="str">
        <f>IF(C68="","",IFERROR(VLOOKUP(C68,'Coil to Slit'!$D:$G,4,FALSE),""))</f>
        <v/>
      </c>
      <c r="G68" s="88" t="str">
        <f>IF(C68="","",IFERROR(VLOOKUP(C68,'Coil to Slit'!$D:$E,2,FALSE),""))</f>
        <v/>
      </c>
      <c r="H68" s="52" t="str">
        <f>IF(OR(C68="",D68="",I68=""),"",I68*D68/SUMIF(C:C,C68,D:D))</f>
        <v/>
      </c>
      <c r="I68" s="154" t="str">
        <f>IF(C68="","",IFERROR(VLOOKUP(C68,'Coil to Slit'!$D:$H,5,FALSE),""))</f>
        <v/>
      </c>
      <c r="J68" s="155" t="str">
        <f>IF(C68="","",SUMIF(C:C,C68,H:H))</f>
        <v/>
      </c>
      <c r="K68" s="67" t="str">
        <f>IF(OR(I68="",J68=""),"",IF(J68&gt;I68,"⚠ BUNDLES &gt; BABY COIL","✔ OK"))</f>
        <v/>
      </c>
      <c r="L68" s="68" t="e">
        <f>IF(#REF!="","",IF(COUNTIF(#REF!,#REF!)&gt;1,"⚠ DUPLICATE",""))</f>
        <v>#REF!</v>
      </c>
    </row>
    <row r="69" spans="1:12">
      <c r="A69" s="35"/>
      <c r="B69" s="30"/>
      <c r="C69" s="30"/>
      <c r="D69" s="31"/>
      <c r="E69" s="49" t="str">
        <f>IF(C69="","",IFERROR(VLOOKUP(C69,'Coil to Slit'!$D:$F,3,FALSE),""))</f>
        <v/>
      </c>
      <c r="F69" s="49" t="str">
        <f>IF(C69="","",IFERROR(VLOOKUP(C69,'Coil to Slit'!$D:$G,4,FALSE),""))</f>
        <v/>
      </c>
      <c r="G69" s="88" t="str">
        <f>IF(C69="","",IFERROR(VLOOKUP(C69,'Coil to Slit'!$D:$E,2,FALSE),""))</f>
        <v/>
      </c>
      <c r="H69" s="52" t="str">
        <f>IF(OR(C69="",D69="",I69=""),"",I69*D69/SUMIF(C:C,C69,D:D))</f>
        <v/>
      </c>
      <c r="I69" s="154" t="str">
        <f>IF(C69="","",IFERROR(VLOOKUP(C69,'Coil to Slit'!$D:$H,5,FALSE),""))</f>
        <v/>
      </c>
      <c r="J69" s="155" t="str">
        <f>IF(C69="","",SUMIF(C:C,C69,H:H))</f>
        <v/>
      </c>
      <c r="K69" s="67" t="str">
        <f>IF(OR(I69="",J69=""),"",IF(J69&gt;I69,"⚠ BUNDLES &gt; BABY COIL","✔ OK"))</f>
        <v/>
      </c>
      <c r="L69" s="68" t="e">
        <f>IF(#REF!="","",IF(COUNTIF(#REF!,#REF!)&gt;1,"⚠ DUPLICATE",""))</f>
        <v>#REF!</v>
      </c>
    </row>
    <row r="70" spans="1:12">
      <c r="A70" s="35"/>
      <c r="B70" s="30"/>
      <c r="C70" s="30"/>
      <c r="D70" s="31"/>
      <c r="E70" s="49" t="str">
        <f>IF(C70="","",IFERROR(VLOOKUP(C70,'Coil to Slit'!$D:$F,3,FALSE),""))</f>
        <v/>
      </c>
      <c r="F70" s="49" t="str">
        <f>IF(C70="","",IFERROR(VLOOKUP(C70,'Coil to Slit'!$D:$G,4,FALSE),""))</f>
        <v/>
      </c>
      <c r="G70" s="88" t="str">
        <f>IF(C70="","",IFERROR(VLOOKUP(C70,'Coil to Slit'!$D:$E,2,FALSE),""))</f>
        <v/>
      </c>
      <c r="H70" s="52" t="str">
        <f>IF(OR(C70="",D70="",I70=""),"",I70*D70/SUMIF(C:C,C70,D:D))</f>
        <v/>
      </c>
      <c r="I70" s="154" t="str">
        <f>IF(C70="","",IFERROR(VLOOKUP(C70,'Coil to Slit'!$D:$H,5,FALSE),""))</f>
        <v/>
      </c>
      <c r="J70" s="155" t="str">
        <f>IF(C70="","",SUMIF(C:C,C70,H:H))</f>
        <v/>
      </c>
      <c r="K70" s="67" t="str">
        <f>IF(OR(I70="",J70=""),"",IF(J70&gt;I70,"⚠ BUNDLES &gt; BABY COIL","✔ OK"))</f>
        <v/>
      </c>
      <c r="L70" s="68" t="e">
        <f>IF(#REF!="","",IF(COUNTIF(#REF!,#REF!)&gt;1,"⚠ DUPLICATE",""))</f>
        <v>#REF!</v>
      </c>
    </row>
    <row r="71" spans="1:12">
      <c r="A71" s="35"/>
      <c r="B71" s="30"/>
      <c r="C71" s="30"/>
      <c r="D71" s="31"/>
      <c r="E71" s="49" t="str">
        <f>IF(C71="","",IFERROR(VLOOKUP(C71,'Coil to Slit'!$D:$F,3,FALSE),""))</f>
        <v/>
      </c>
      <c r="F71" s="49" t="str">
        <f>IF(C71="","",IFERROR(VLOOKUP(C71,'Coil to Slit'!$D:$G,4,FALSE),""))</f>
        <v/>
      </c>
      <c r="G71" s="88" t="str">
        <f>IF(C71="","",IFERROR(VLOOKUP(C71,'Coil to Slit'!$D:$E,2,FALSE),""))</f>
        <v/>
      </c>
      <c r="H71" s="52" t="str">
        <f>IF(OR(C71="",D71="",I71=""),"",I71*D71/SUMIF(C:C,C71,D:D))</f>
        <v/>
      </c>
      <c r="I71" s="154" t="str">
        <f>IF(C71="","",IFERROR(VLOOKUP(C71,'Coil to Slit'!$D:$H,5,FALSE),""))</f>
        <v/>
      </c>
      <c r="J71" s="155" t="str">
        <f>IF(C71="","",SUMIF(C:C,C71,H:H))</f>
        <v/>
      </c>
      <c r="K71" s="67" t="str">
        <f>IF(OR(I71="",J71=""),"",IF(J71&gt;I71,"⚠ BUNDLES &gt; BABY COIL","✔ OK"))</f>
        <v/>
      </c>
      <c r="L71" s="68" t="e">
        <f>IF(#REF!="","",IF(COUNTIF(#REF!,#REF!)&gt;1,"⚠ DUPLICATE",""))</f>
        <v>#REF!</v>
      </c>
    </row>
    <row r="72" spans="1:12">
      <c r="A72" s="35"/>
      <c r="B72" s="30"/>
      <c r="C72" s="30"/>
      <c r="D72" s="31"/>
      <c r="E72" s="49" t="str">
        <f>IF(C72="","",IFERROR(VLOOKUP(C72,'Coil to Slit'!$D:$F,3,FALSE),""))</f>
        <v/>
      </c>
      <c r="F72" s="49" t="str">
        <f>IF(C72="","",IFERROR(VLOOKUP(C72,'Coil to Slit'!$D:$G,4,FALSE),""))</f>
        <v/>
      </c>
      <c r="G72" s="88" t="str">
        <f>IF(C72="","",IFERROR(VLOOKUP(C72,'Coil to Slit'!$D:$E,2,FALSE),""))</f>
        <v/>
      </c>
      <c r="H72" s="52" t="str">
        <f>IF(OR(C72="",D72="",I72=""),"",I72*D72/SUMIF(C:C,C72,D:D))</f>
        <v/>
      </c>
      <c r="I72" s="154" t="str">
        <f>IF(C72="","",IFERROR(VLOOKUP(C72,'Coil to Slit'!$D:$H,5,FALSE),""))</f>
        <v/>
      </c>
      <c r="J72" s="155" t="str">
        <f>IF(C72="","",SUMIF(C:C,C72,H:H))</f>
        <v/>
      </c>
      <c r="K72" s="67" t="str">
        <f>IF(OR(I72="",J72=""),"",IF(J72&gt;I72,"⚠ BUNDLES &gt; BABY COIL","✔ OK"))</f>
        <v/>
      </c>
      <c r="L72" s="68" t="e">
        <f>IF(#REF!="","",IF(COUNTIF(#REF!,#REF!)&gt;1,"⚠ DUPLICATE",""))</f>
        <v>#REF!</v>
      </c>
    </row>
    <row r="73" spans="1:12">
      <c r="A73" s="35"/>
      <c r="B73" s="30"/>
      <c r="C73" s="30"/>
      <c r="D73" s="31"/>
      <c r="E73" s="49" t="str">
        <f>IF(C73="","",IFERROR(VLOOKUP(C73,'Coil to Slit'!$D:$F,3,FALSE),""))</f>
        <v/>
      </c>
      <c r="F73" s="49" t="str">
        <f>IF(C73="","",IFERROR(VLOOKUP(C73,'Coil to Slit'!$D:$G,4,FALSE),""))</f>
        <v/>
      </c>
      <c r="G73" s="88" t="str">
        <f>IF(C73="","",IFERROR(VLOOKUP(C73,'Coil to Slit'!$D:$E,2,FALSE),""))</f>
        <v/>
      </c>
      <c r="H73" s="52" t="str">
        <f>IF(OR(C73="",D73="",I73=""),"",I73*D73/SUMIF(C:C,C73,D:D))</f>
        <v/>
      </c>
      <c r="I73" s="154" t="str">
        <f>IF(C73="","",IFERROR(VLOOKUP(C73,'Coil to Slit'!$D:$H,5,FALSE),""))</f>
        <v/>
      </c>
      <c r="J73" s="155" t="str">
        <f>IF(C73="","",SUMIF(C:C,C73,H:H))</f>
        <v/>
      </c>
      <c r="K73" s="67" t="str">
        <f>IF(OR(I73="",J73=""),"",IF(J73&gt;I73,"⚠ BUNDLES &gt; BABY COIL","✔ OK"))</f>
        <v/>
      </c>
      <c r="L73" s="68" t="e">
        <f>IF(#REF!="","",IF(COUNTIF(#REF!,#REF!)&gt;1,"⚠ DUPLICATE",""))</f>
        <v>#REF!</v>
      </c>
    </row>
    <row r="74" spans="1:12">
      <c r="A74" s="35"/>
      <c r="B74" s="30"/>
      <c r="C74" s="30"/>
      <c r="D74" s="31"/>
      <c r="E74" s="49" t="str">
        <f>IF(C74="","",IFERROR(VLOOKUP(C74,'Coil to Slit'!$D:$F,3,FALSE),""))</f>
        <v/>
      </c>
      <c r="F74" s="49" t="str">
        <f>IF(C74="","",IFERROR(VLOOKUP(C74,'Coil to Slit'!$D:$G,4,FALSE),""))</f>
        <v/>
      </c>
      <c r="G74" s="88" t="str">
        <f>IF(C74="","",IFERROR(VLOOKUP(C74,'Coil to Slit'!$D:$E,2,FALSE),""))</f>
        <v/>
      </c>
      <c r="H74" s="52" t="str">
        <f>IF(OR(C74="",D74="",I74=""),"",I74*D74/SUMIF(C:C,C74,D:D))</f>
        <v/>
      </c>
      <c r="I74" s="154" t="str">
        <f>IF(C74="","",IFERROR(VLOOKUP(C74,'Coil to Slit'!$D:$H,5,FALSE),""))</f>
        <v/>
      </c>
      <c r="J74" s="155" t="str">
        <f>IF(C74="","",SUMIF(C:C,C74,H:H))</f>
        <v/>
      </c>
      <c r="K74" s="67" t="str">
        <f>IF(OR(I74="",J74=""),"",IF(J74&gt;I74,"⚠ BUNDLES &gt; BABY COIL","✔ OK"))</f>
        <v/>
      </c>
      <c r="L74" s="68" t="e">
        <f>IF(#REF!="","",IF(COUNTIF(#REF!,#REF!)&gt;1,"⚠ DUPLICATE",""))</f>
        <v>#REF!</v>
      </c>
    </row>
    <row r="75" spans="1:12">
      <c r="A75" s="35"/>
      <c r="B75" s="30"/>
      <c r="C75" s="30"/>
      <c r="D75" s="31"/>
      <c r="E75" s="49" t="str">
        <f>IF(C75="","",IFERROR(VLOOKUP(C75,'Coil to Slit'!$D:$F,3,FALSE),""))</f>
        <v/>
      </c>
      <c r="F75" s="49" t="str">
        <f>IF(C75="","",IFERROR(VLOOKUP(C75,'Coil to Slit'!$D:$G,4,FALSE),""))</f>
        <v/>
      </c>
      <c r="G75" s="88" t="str">
        <f>IF(C75="","",IFERROR(VLOOKUP(C75,'Coil to Slit'!$D:$E,2,FALSE),""))</f>
        <v/>
      </c>
      <c r="H75" s="52" t="str">
        <f>IF(OR(C75="",D75="",I75=""),"",I75*D75/SUMIF(C:C,C75,D:D))</f>
        <v/>
      </c>
      <c r="I75" s="154" t="str">
        <f>IF(C75="","",IFERROR(VLOOKUP(C75,'Coil to Slit'!$D:$H,5,FALSE),""))</f>
        <v/>
      </c>
      <c r="J75" s="155" t="str">
        <f>IF(C75="","",SUMIF(C:C,C75,H:H))</f>
        <v/>
      </c>
      <c r="K75" s="67" t="str">
        <f>IF(OR(I75="",J75=""),"",IF(J75&gt;I75,"⚠ BUNDLES &gt; BABY COIL","✔ OK"))</f>
        <v/>
      </c>
      <c r="L75" s="68" t="e">
        <f>IF(#REF!="","",IF(COUNTIF(#REF!,#REF!)&gt;1,"⚠ DUPLICATE",""))</f>
        <v>#REF!</v>
      </c>
    </row>
    <row r="76" spans="1:12">
      <c r="A76" s="35"/>
      <c r="B76" s="30"/>
      <c r="C76" s="30"/>
      <c r="D76" s="31"/>
      <c r="E76" s="49" t="str">
        <f>IF(C76="","",IFERROR(VLOOKUP(C76,'Coil to Slit'!$D:$F,3,FALSE),""))</f>
        <v/>
      </c>
      <c r="F76" s="49" t="str">
        <f>IF(C76="","",IFERROR(VLOOKUP(C76,'Coil to Slit'!$D:$G,4,FALSE),""))</f>
        <v/>
      </c>
      <c r="G76" s="88" t="str">
        <f>IF(C76="","",IFERROR(VLOOKUP(C76,'Coil to Slit'!$D:$E,2,FALSE),""))</f>
        <v/>
      </c>
      <c r="H76" s="52" t="str">
        <f>IF(OR(C76="",D76="",I76=""),"",I76*D76/SUMIF(C:C,C76,D:D))</f>
        <v/>
      </c>
      <c r="I76" s="154" t="str">
        <f>IF(C76="","",IFERROR(VLOOKUP(C76,'Coil to Slit'!$D:$H,5,FALSE),""))</f>
        <v/>
      </c>
      <c r="J76" s="155" t="str">
        <f>IF(C76="","",SUMIF(C:C,C76,H:H))</f>
        <v/>
      </c>
      <c r="K76" s="67" t="str">
        <f>IF(OR(I76="",J76=""),"",IF(J76&gt;I76,"⚠ BUNDLES &gt; BABY COIL","✔ OK"))</f>
        <v/>
      </c>
      <c r="L76" s="68" t="e">
        <f>IF(#REF!="","",IF(COUNTIF(#REF!,#REF!)&gt;1,"⚠ DUPLICATE",""))</f>
        <v>#REF!</v>
      </c>
    </row>
    <row r="77" spans="1:12">
      <c r="A77" s="35"/>
      <c r="B77" s="30"/>
      <c r="C77" s="30"/>
      <c r="D77" s="31"/>
      <c r="E77" s="49" t="str">
        <f>IF(C77="","",IFERROR(VLOOKUP(C77,'Coil to Slit'!$D:$F,3,FALSE),""))</f>
        <v/>
      </c>
      <c r="F77" s="49" t="str">
        <f>IF(C77="","",IFERROR(VLOOKUP(C77,'Coil to Slit'!$D:$G,4,FALSE),""))</f>
        <v/>
      </c>
      <c r="G77" s="88" t="str">
        <f>IF(C77="","",IFERROR(VLOOKUP(C77,'Coil to Slit'!$D:$E,2,FALSE),""))</f>
        <v/>
      </c>
      <c r="H77" s="52" t="str">
        <f>IF(OR(C77="",D77="",I77=""),"",I77*D77/SUMIF(C:C,C77,D:D))</f>
        <v/>
      </c>
      <c r="I77" s="154" t="str">
        <f>IF(C77="","",IFERROR(VLOOKUP(C77,'Coil to Slit'!$D:$H,5,FALSE),""))</f>
        <v/>
      </c>
      <c r="J77" s="155" t="str">
        <f>IF(C77="","",SUMIF(C:C,C77,H:H))</f>
        <v/>
      </c>
      <c r="K77" s="67" t="str">
        <f>IF(OR(I77="",J77=""),"",IF(J77&gt;I77,"⚠ BUNDLES &gt; BABY COIL","✔ OK"))</f>
        <v/>
      </c>
      <c r="L77" s="68" t="e">
        <f>IF(#REF!="","",IF(COUNTIF(#REF!,#REF!)&gt;1,"⚠ DUPLICATE",""))</f>
        <v>#REF!</v>
      </c>
    </row>
    <row r="78" spans="1:12">
      <c r="A78" s="35"/>
      <c r="B78" s="30"/>
      <c r="C78" s="30"/>
      <c r="D78" s="31"/>
      <c r="E78" s="49" t="str">
        <f>IF(C78="","",IFERROR(VLOOKUP(C78,'Coil to Slit'!$D:$F,3,FALSE),""))</f>
        <v/>
      </c>
      <c r="F78" s="49" t="str">
        <f>IF(C78="","",IFERROR(VLOOKUP(C78,'Coil to Slit'!$D:$G,4,FALSE),""))</f>
        <v/>
      </c>
      <c r="G78" s="88" t="str">
        <f>IF(C78="","",IFERROR(VLOOKUP(C78,'Coil to Slit'!$D:$E,2,FALSE),""))</f>
        <v/>
      </c>
      <c r="H78" s="52" t="str">
        <f>IF(OR(C78="",D78="",I78=""),"",I78*D78/SUMIF(C:C,C78,D:D))</f>
        <v/>
      </c>
      <c r="I78" s="154" t="str">
        <f>IF(C78="","",IFERROR(VLOOKUP(C78,'Coil to Slit'!$D:$H,5,FALSE),""))</f>
        <v/>
      </c>
      <c r="J78" s="155" t="str">
        <f>IF(C78="","",SUMIF(C:C,C78,H:H))</f>
        <v/>
      </c>
      <c r="K78" s="67" t="str">
        <f>IF(OR(I78="",J78=""),"",IF(J78&gt;I78,"⚠ BUNDLES &gt; BABY COIL","✔ OK"))</f>
        <v/>
      </c>
      <c r="L78" s="68" t="e">
        <f>IF(#REF!="","",IF(COUNTIF(#REF!,#REF!)&gt;1,"⚠ DUPLICATE",""))</f>
        <v>#REF!</v>
      </c>
    </row>
    <row r="79" spans="1:12">
      <c r="A79" s="35"/>
      <c r="B79" s="30"/>
      <c r="C79" s="30"/>
      <c r="D79" s="31"/>
      <c r="E79" s="49" t="str">
        <f>IF(C79="","",IFERROR(VLOOKUP(C79,'Coil to Slit'!$D:$F,3,FALSE),""))</f>
        <v/>
      </c>
      <c r="F79" s="49" t="str">
        <f>IF(C79="","",IFERROR(VLOOKUP(C79,'Coil to Slit'!$D:$G,4,FALSE),""))</f>
        <v/>
      </c>
      <c r="G79" s="88" t="str">
        <f>IF(C79="","",IFERROR(VLOOKUP(C79,'Coil to Slit'!$D:$E,2,FALSE),""))</f>
        <v/>
      </c>
      <c r="H79" s="52" t="str">
        <f>IF(OR(C79="",D79="",I79=""),"",I79*D79/SUMIF(C:C,C79,D:D))</f>
        <v/>
      </c>
      <c r="I79" s="154" t="str">
        <f>IF(C79="","",IFERROR(VLOOKUP(C79,'Coil to Slit'!$D:$H,5,FALSE),""))</f>
        <v/>
      </c>
      <c r="J79" s="155" t="str">
        <f>IF(C79="","",SUMIF(C:C,C79,H:H))</f>
        <v/>
      </c>
      <c r="K79" s="67" t="str">
        <f>IF(OR(I79="",J79=""),"",IF(J79&gt;I79,"⚠ BUNDLES &gt; BABY COIL","✔ OK"))</f>
        <v/>
      </c>
      <c r="L79" s="68" t="e">
        <f>IF(#REF!="","",IF(COUNTIF(#REF!,#REF!)&gt;1,"⚠ DUPLICATE",""))</f>
        <v>#REF!</v>
      </c>
    </row>
    <row r="80" spans="1:12">
      <c r="A80" s="35"/>
      <c r="B80" s="30"/>
      <c r="C80" s="30"/>
      <c r="D80" s="31"/>
      <c r="E80" s="49" t="str">
        <f>IF(C80="","",IFERROR(VLOOKUP(C80,'Coil to Slit'!$D:$F,3,FALSE),""))</f>
        <v/>
      </c>
      <c r="F80" s="49" t="str">
        <f>IF(C80="","",IFERROR(VLOOKUP(C80,'Coil to Slit'!$D:$G,4,FALSE),""))</f>
        <v/>
      </c>
      <c r="G80" s="88" t="str">
        <f>IF(C80="","",IFERROR(VLOOKUP(C80,'Coil to Slit'!$D:$E,2,FALSE),""))</f>
        <v/>
      </c>
      <c r="H80" s="52" t="str">
        <f>IF(OR(C80="",D80="",I80=""),"",I80*D80/SUMIF(C:C,C80,D:D))</f>
        <v/>
      </c>
      <c r="I80" s="154" t="str">
        <f>IF(C80="","",IFERROR(VLOOKUP(C80,'Coil to Slit'!$D:$H,5,FALSE),""))</f>
        <v/>
      </c>
      <c r="J80" s="155" t="str">
        <f>IF(C80="","",SUMIF(C:C,C80,H:H))</f>
        <v/>
      </c>
      <c r="K80" s="67" t="str">
        <f>IF(OR(I80="",J80=""),"",IF(J80&gt;I80,"⚠ BUNDLES &gt; BABY COIL","✔ OK"))</f>
        <v/>
      </c>
      <c r="L80" s="68" t="e">
        <f>IF(#REF!="","",IF(COUNTIF(#REF!,#REF!)&gt;1,"⚠ DUPLICATE",""))</f>
        <v>#REF!</v>
      </c>
    </row>
    <row r="81" spans="1:12">
      <c r="A81" s="35"/>
      <c r="B81" s="30"/>
      <c r="C81" s="30"/>
      <c r="D81" s="31"/>
      <c r="E81" s="49" t="str">
        <f>IF(C81="","",IFERROR(VLOOKUP(C81,'Coil to Slit'!$D:$F,3,FALSE),""))</f>
        <v/>
      </c>
      <c r="F81" s="49" t="str">
        <f>IF(C81="","",IFERROR(VLOOKUP(C81,'Coil to Slit'!$D:$G,4,FALSE),""))</f>
        <v/>
      </c>
      <c r="G81" s="88" t="str">
        <f>IF(C81="","",IFERROR(VLOOKUP(C81,'Coil to Slit'!$D:$E,2,FALSE),""))</f>
        <v/>
      </c>
      <c r="H81" s="52" t="str">
        <f>IF(OR(C81="",D81="",I81=""),"",I81*D81/SUMIF(C:C,C81,D:D))</f>
        <v/>
      </c>
      <c r="I81" s="154" t="str">
        <f>IF(C81="","",IFERROR(VLOOKUP(C81,'Coil to Slit'!$D:$H,5,FALSE),""))</f>
        <v/>
      </c>
      <c r="J81" s="155" t="str">
        <f>IF(C81="","",SUMIF(C:C,C81,H:H))</f>
        <v/>
      </c>
      <c r="K81" s="67" t="str">
        <f>IF(OR(I81="",J81=""),"",IF(J81&gt;I81,"⚠ BUNDLES &gt; BABY COIL","✔ OK"))</f>
        <v/>
      </c>
      <c r="L81" s="68" t="e">
        <f>IF(#REF!="","",IF(COUNTIF(#REF!,#REF!)&gt;1,"⚠ DUPLICATE",""))</f>
        <v>#REF!</v>
      </c>
    </row>
    <row r="82" spans="1:12">
      <c r="A82" s="35"/>
      <c r="B82" s="30"/>
      <c r="C82" s="30"/>
      <c r="D82" s="31"/>
      <c r="E82" s="49" t="str">
        <f>IF(C82="","",IFERROR(VLOOKUP(C82,'Coil to Slit'!$D:$F,3,FALSE),""))</f>
        <v/>
      </c>
      <c r="F82" s="49" t="str">
        <f>IF(C82="","",IFERROR(VLOOKUP(C82,'Coil to Slit'!$D:$G,4,FALSE),""))</f>
        <v/>
      </c>
      <c r="G82" s="88" t="str">
        <f>IF(C82="","",IFERROR(VLOOKUP(C82,'Coil to Slit'!$D:$E,2,FALSE),""))</f>
        <v/>
      </c>
      <c r="H82" s="52" t="str">
        <f>IF(OR(C82="",D82="",I82=""),"",I82*D82/SUMIF(C:C,C82,D:D))</f>
        <v/>
      </c>
      <c r="I82" s="154" t="str">
        <f>IF(C82="","",IFERROR(VLOOKUP(C82,'Coil to Slit'!$D:$H,5,FALSE),""))</f>
        <v/>
      </c>
      <c r="J82" s="155" t="str">
        <f>IF(C82="","",SUMIF(C:C,C82,H:H))</f>
        <v/>
      </c>
      <c r="K82" s="67" t="str">
        <f>IF(OR(I82="",J82=""),"",IF(J82&gt;I82,"⚠ BUNDLES &gt; BABY COIL","✔ OK"))</f>
        <v/>
      </c>
      <c r="L82" s="68" t="e">
        <f>IF(#REF!="","",IF(COUNTIF(#REF!,#REF!)&gt;1,"⚠ DUPLICATE",""))</f>
        <v>#REF!</v>
      </c>
    </row>
    <row r="83" spans="1:12">
      <c r="A83" s="35"/>
      <c r="B83" s="30"/>
      <c r="C83" s="30"/>
      <c r="D83" s="31"/>
      <c r="E83" s="49" t="str">
        <f>IF(C83="","",IFERROR(VLOOKUP(C83,'Coil to Slit'!$D:$F,3,FALSE),""))</f>
        <v/>
      </c>
      <c r="F83" s="49" t="str">
        <f>IF(C83="","",IFERROR(VLOOKUP(C83,'Coil to Slit'!$D:$G,4,FALSE),""))</f>
        <v/>
      </c>
      <c r="G83" s="88" t="str">
        <f>IF(C83="","",IFERROR(VLOOKUP(C83,'Coil to Slit'!$D:$E,2,FALSE),""))</f>
        <v/>
      </c>
      <c r="H83" s="52" t="str">
        <f>IF(OR(C83="",D83="",I83=""),"",I83*D83/SUMIF(C:C,C83,D:D))</f>
        <v/>
      </c>
      <c r="I83" s="154" t="str">
        <f>IF(C83="","",IFERROR(VLOOKUP(C83,'Coil to Slit'!$D:$H,5,FALSE),""))</f>
        <v/>
      </c>
      <c r="J83" s="155" t="str">
        <f>IF(C83="","",SUMIF(C:C,C83,H:H))</f>
        <v/>
      </c>
      <c r="K83" s="67" t="str">
        <f>IF(OR(I83="",J83=""),"",IF(J83&gt;I83,"⚠ BUNDLES &gt; BABY COIL","✔ OK"))</f>
        <v/>
      </c>
      <c r="L83" s="68" t="e">
        <f>IF(#REF!="","",IF(COUNTIF(#REF!,#REF!)&gt;1,"⚠ DUPLICATE",""))</f>
        <v>#REF!</v>
      </c>
    </row>
    <row r="84" spans="1:12">
      <c r="A84" s="35"/>
      <c r="B84" s="30"/>
      <c r="C84" s="30"/>
      <c r="D84" s="31"/>
      <c r="E84" s="49" t="str">
        <f>IF(C84="","",IFERROR(VLOOKUP(C84,'Coil to Slit'!$D:$F,3,FALSE),""))</f>
        <v/>
      </c>
      <c r="F84" s="49" t="str">
        <f>IF(C84="","",IFERROR(VLOOKUP(C84,'Coil to Slit'!$D:$G,4,FALSE),""))</f>
        <v/>
      </c>
      <c r="G84" s="88" t="str">
        <f>IF(C84="","",IFERROR(VLOOKUP(C84,'Coil to Slit'!$D:$E,2,FALSE),""))</f>
        <v/>
      </c>
      <c r="H84" s="52" t="str">
        <f>IF(OR(C84="",D84="",I84=""),"",I84*D84/SUMIF(C:C,C84,D:D))</f>
        <v/>
      </c>
      <c r="I84" s="154" t="str">
        <f>IF(C84="","",IFERROR(VLOOKUP(C84,'Coil to Slit'!$D:$H,5,FALSE),""))</f>
        <v/>
      </c>
      <c r="J84" s="155" t="str">
        <f>IF(C84="","",SUMIF(C:C,C84,H:H))</f>
        <v/>
      </c>
      <c r="K84" s="67" t="str">
        <f>IF(OR(I84="",J84=""),"",IF(J84&gt;I84,"⚠ BUNDLES &gt; BABY COIL","✔ OK"))</f>
        <v/>
      </c>
      <c r="L84" s="68" t="e">
        <f>IF(#REF!="","",IF(COUNTIF(#REF!,#REF!)&gt;1,"⚠ DUPLICATE",""))</f>
        <v>#REF!</v>
      </c>
    </row>
    <row r="85" spans="1:12">
      <c r="A85" s="35"/>
      <c r="B85" s="30"/>
      <c r="C85" s="30"/>
      <c r="D85" s="31"/>
      <c r="E85" s="49" t="str">
        <f>IF(C85="","",IFERROR(VLOOKUP(C85,'Coil to Slit'!$D:$F,3,FALSE),""))</f>
        <v/>
      </c>
      <c r="F85" s="49" t="str">
        <f>IF(C85="","",IFERROR(VLOOKUP(C85,'Coil to Slit'!$D:$G,4,FALSE),""))</f>
        <v/>
      </c>
      <c r="G85" s="88" t="str">
        <f>IF(C85="","",IFERROR(VLOOKUP(C85,'Coil to Slit'!$D:$E,2,FALSE),""))</f>
        <v/>
      </c>
      <c r="H85" s="52" t="str">
        <f>IF(OR(C85="",D85="",I85=""),"",I85*D85/SUMIF(C:C,C85,D:D))</f>
        <v/>
      </c>
      <c r="I85" s="154" t="str">
        <f>IF(C85="","",IFERROR(VLOOKUP(C85,'Coil to Slit'!$D:$H,5,FALSE),""))</f>
        <v/>
      </c>
      <c r="J85" s="155" t="str">
        <f>IF(C85="","",SUMIF(C:C,C85,H:H))</f>
        <v/>
      </c>
      <c r="K85" s="67" t="str">
        <f>IF(OR(I85="",J85=""),"",IF(J85&gt;I85,"⚠ BUNDLES &gt; BABY COIL","✔ OK"))</f>
        <v/>
      </c>
      <c r="L85" s="68" t="e">
        <f>IF(#REF!="","",IF(COUNTIF(#REF!,#REF!)&gt;1,"⚠ DUPLICATE",""))</f>
        <v>#REF!</v>
      </c>
    </row>
    <row r="86" spans="1:12">
      <c r="A86" s="35"/>
      <c r="B86" s="30"/>
      <c r="C86" s="30"/>
      <c r="D86" s="31"/>
      <c r="E86" s="49" t="str">
        <f>IF(C86="","",IFERROR(VLOOKUP(C86,'Coil to Slit'!$D:$F,3,FALSE),""))</f>
        <v/>
      </c>
      <c r="F86" s="49" t="str">
        <f>IF(C86="","",IFERROR(VLOOKUP(C86,'Coil to Slit'!$D:$G,4,FALSE),""))</f>
        <v/>
      </c>
      <c r="G86" s="88" t="str">
        <f>IF(C86="","",IFERROR(VLOOKUP(C86,'Coil to Slit'!$D:$E,2,FALSE),""))</f>
        <v/>
      </c>
      <c r="H86" s="52" t="str">
        <f>IF(OR(C86="",D86="",I86=""),"",I86*D86/SUMIF(C:C,C86,D:D))</f>
        <v/>
      </c>
      <c r="I86" s="154" t="str">
        <f>IF(C86="","",IFERROR(VLOOKUP(C86,'Coil to Slit'!$D:$H,5,FALSE),""))</f>
        <v/>
      </c>
      <c r="J86" s="155" t="str">
        <f>IF(C86="","",SUMIF(C:C,C86,H:H))</f>
        <v/>
      </c>
      <c r="K86" s="67" t="str">
        <f>IF(OR(I86="",J86=""),"",IF(J86&gt;I86,"⚠ BUNDLES &gt; BABY COIL","✔ OK"))</f>
        <v/>
      </c>
      <c r="L86" s="68" t="e">
        <f>IF(#REF!="","",IF(COUNTIF(#REF!,#REF!)&gt;1,"⚠ DUPLICATE",""))</f>
        <v>#REF!</v>
      </c>
    </row>
    <row r="87" spans="1:12">
      <c r="A87" s="35"/>
      <c r="B87" s="30"/>
      <c r="C87" s="30"/>
      <c r="D87" s="31"/>
      <c r="E87" s="49" t="str">
        <f>IF(C87="","",IFERROR(VLOOKUP(C87,'Coil to Slit'!$D:$F,3,FALSE),""))</f>
        <v/>
      </c>
      <c r="F87" s="49" t="str">
        <f>IF(C87="","",IFERROR(VLOOKUP(C87,'Coil to Slit'!$D:$G,4,FALSE),""))</f>
        <v/>
      </c>
      <c r="G87" s="88" t="str">
        <f>IF(C87="","",IFERROR(VLOOKUP(C87,'Coil to Slit'!$D:$E,2,FALSE),""))</f>
        <v/>
      </c>
      <c r="H87" s="52" t="str">
        <f>IF(OR(C87="",D87="",I87=""),"",I87*D87/SUMIF(C:C,C87,D:D))</f>
        <v/>
      </c>
      <c r="I87" s="154" t="str">
        <f>IF(C87="","",IFERROR(VLOOKUP(C87,'Coil to Slit'!$D:$H,5,FALSE),""))</f>
        <v/>
      </c>
      <c r="J87" s="155" t="str">
        <f>IF(C87="","",SUMIF(C:C,C87,H:H))</f>
        <v/>
      </c>
      <c r="K87" s="67" t="str">
        <f>IF(OR(I87="",J87=""),"",IF(J87&gt;I87,"⚠ BUNDLES &gt; BABY COIL","✔ OK"))</f>
        <v/>
      </c>
      <c r="L87" s="68" t="e">
        <f>IF(#REF!="","",IF(COUNTIF(#REF!,#REF!)&gt;1,"⚠ DUPLICATE",""))</f>
        <v>#REF!</v>
      </c>
    </row>
    <row r="88" spans="1:12">
      <c r="A88" s="35"/>
      <c r="B88" s="30"/>
      <c r="C88" s="30"/>
      <c r="D88" s="31"/>
      <c r="E88" s="49" t="str">
        <f>IF(C88="","",IFERROR(VLOOKUP(C88,'Coil to Slit'!$D:$F,3,FALSE),""))</f>
        <v/>
      </c>
      <c r="F88" s="49" t="str">
        <f>IF(C88="","",IFERROR(VLOOKUP(C88,'Coil to Slit'!$D:$G,4,FALSE),""))</f>
        <v/>
      </c>
      <c r="G88" s="88" t="str">
        <f>IF(C88="","",IFERROR(VLOOKUP(C88,'Coil to Slit'!$D:$E,2,FALSE),""))</f>
        <v/>
      </c>
      <c r="H88" s="52" t="str">
        <f>IF(OR(C88="",D88="",I88=""),"",I88*D88/SUMIF(C:C,C88,D:D))</f>
        <v/>
      </c>
      <c r="I88" s="154" t="str">
        <f>IF(C88="","",IFERROR(VLOOKUP(C88,'Coil to Slit'!$D:$H,5,FALSE),""))</f>
        <v/>
      </c>
      <c r="J88" s="155" t="str">
        <f>IF(C88="","",SUMIF(C:C,C88,H:H))</f>
        <v/>
      </c>
      <c r="K88" s="67" t="str">
        <f>IF(OR(I88="",J88=""),"",IF(J88&gt;I88,"⚠ BUNDLES &gt; BABY COIL","✔ OK"))</f>
        <v/>
      </c>
      <c r="L88" s="68" t="e">
        <f>IF(#REF!="","",IF(COUNTIF(#REF!,#REF!)&gt;1,"⚠ DUPLICATE",""))</f>
        <v>#REF!</v>
      </c>
    </row>
    <row r="89" spans="1:12">
      <c r="A89" s="35"/>
      <c r="B89" s="30"/>
      <c r="C89" s="30"/>
      <c r="D89" s="31"/>
      <c r="E89" s="49" t="str">
        <f>IF(C89="","",IFERROR(VLOOKUP(C89,'Coil to Slit'!$D:$F,3,FALSE),""))</f>
        <v/>
      </c>
      <c r="F89" s="49" t="str">
        <f>IF(C89="","",IFERROR(VLOOKUP(C89,'Coil to Slit'!$D:$G,4,FALSE),""))</f>
        <v/>
      </c>
      <c r="G89" s="88" t="str">
        <f>IF(C89="","",IFERROR(VLOOKUP(C89,'Coil to Slit'!$D:$E,2,FALSE),""))</f>
        <v/>
      </c>
      <c r="H89" s="52" t="str">
        <f>IF(OR(C89="",D89="",I89=""),"",I89*D89/SUMIF(C:C,C89,D:D))</f>
        <v/>
      </c>
      <c r="I89" s="154" t="str">
        <f>IF(C89="","",IFERROR(VLOOKUP(C89,'Coil to Slit'!$D:$H,5,FALSE),""))</f>
        <v/>
      </c>
      <c r="J89" s="155" t="str">
        <f>IF(C89="","",SUMIF(C:C,C89,H:H))</f>
        <v/>
      </c>
      <c r="K89" s="67" t="str">
        <f>IF(OR(I89="",J89=""),"",IF(J89&gt;I89,"⚠ BUNDLES &gt; BABY COIL","✔ OK"))</f>
        <v/>
      </c>
      <c r="L89" s="68" t="e">
        <f>IF(#REF!="","",IF(COUNTIF(#REF!,#REF!)&gt;1,"⚠ DUPLICATE",""))</f>
        <v>#REF!</v>
      </c>
    </row>
    <row r="90" spans="1:12">
      <c r="A90" s="35"/>
      <c r="B90" s="30"/>
      <c r="C90" s="30"/>
      <c r="D90" s="31"/>
      <c r="E90" s="49" t="str">
        <f>IF(C90="","",IFERROR(VLOOKUP(C90,'Coil to Slit'!$D:$F,3,FALSE),""))</f>
        <v/>
      </c>
      <c r="F90" s="49" t="str">
        <f>IF(C90="","",IFERROR(VLOOKUP(C90,'Coil to Slit'!$D:$G,4,FALSE),""))</f>
        <v/>
      </c>
      <c r="G90" s="88" t="str">
        <f>IF(C90="","",IFERROR(VLOOKUP(C90,'Coil to Slit'!$D:$E,2,FALSE),""))</f>
        <v/>
      </c>
      <c r="H90" s="52" t="str">
        <f>IF(OR(C90="",D90="",I90=""),"",I90*D90/SUMIF(C:C,C90,D:D))</f>
        <v/>
      </c>
      <c r="I90" s="154" t="str">
        <f>IF(C90="","",IFERROR(VLOOKUP(C90,'Coil to Slit'!$D:$H,5,FALSE),""))</f>
        <v/>
      </c>
      <c r="J90" s="155" t="str">
        <f>IF(C90="","",SUMIF(C:C,C90,H:H))</f>
        <v/>
      </c>
      <c r="K90" s="67" t="str">
        <f>IF(OR(I90="",J90=""),"",IF(J90&gt;I90,"⚠ BUNDLES &gt; BABY COIL","✔ OK"))</f>
        <v/>
      </c>
      <c r="L90" s="68" t="e">
        <f>IF(#REF!="","",IF(COUNTIF(#REF!,#REF!)&gt;1,"⚠ DUPLICATE",""))</f>
        <v>#REF!</v>
      </c>
    </row>
    <row r="91" spans="1:12">
      <c r="A91" s="35"/>
      <c r="B91" s="30"/>
      <c r="C91" s="30"/>
      <c r="D91" s="31"/>
      <c r="E91" s="49" t="str">
        <f>IF(C91="","",IFERROR(VLOOKUP(C91,'Coil to Slit'!$D:$F,3,FALSE),""))</f>
        <v/>
      </c>
      <c r="F91" s="49" t="str">
        <f>IF(C91="","",IFERROR(VLOOKUP(C91,'Coil to Slit'!$D:$G,4,FALSE),""))</f>
        <v/>
      </c>
      <c r="G91" s="88" t="str">
        <f>IF(C91="","",IFERROR(VLOOKUP(C91,'Coil to Slit'!$D:$E,2,FALSE),""))</f>
        <v/>
      </c>
      <c r="H91" s="52" t="str">
        <f>IF(OR(C91="",D91="",I91=""),"",I91*D91/SUMIF(C:C,C91,D:D))</f>
        <v/>
      </c>
      <c r="I91" s="154" t="str">
        <f>IF(C91="","",IFERROR(VLOOKUP(C91,'Coil to Slit'!$D:$H,5,FALSE),""))</f>
        <v/>
      </c>
      <c r="J91" s="155" t="str">
        <f>IF(C91="","",SUMIF(C:C,C91,H:H))</f>
        <v/>
      </c>
      <c r="K91" s="67" t="str">
        <f>IF(OR(I91="",J91=""),"",IF(J91&gt;I91,"⚠ BUNDLES &gt; BABY COIL","✔ OK"))</f>
        <v/>
      </c>
      <c r="L91" s="68" t="e">
        <f>IF(#REF!="","",IF(COUNTIF(#REF!,#REF!)&gt;1,"⚠ DUPLICATE",""))</f>
        <v>#REF!</v>
      </c>
    </row>
    <row r="92" spans="1:12">
      <c r="A92" s="35"/>
      <c r="B92" s="30"/>
      <c r="C92" s="30"/>
      <c r="D92" s="31"/>
      <c r="E92" s="49" t="str">
        <f>IF(C92="","",IFERROR(VLOOKUP(C92,'Coil to Slit'!$D:$F,3,FALSE),""))</f>
        <v/>
      </c>
      <c r="F92" s="49" t="str">
        <f>IF(C92="","",IFERROR(VLOOKUP(C92,'Coil to Slit'!$D:$G,4,FALSE),""))</f>
        <v/>
      </c>
      <c r="G92" s="88" t="str">
        <f>IF(C92="","",IFERROR(VLOOKUP(C92,'Coil to Slit'!$D:$E,2,FALSE),""))</f>
        <v/>
      </c>
      <c r="H92" s="52" t="str">
        <f>IF(OR(C92="",D92="",I92=""),"",I92*D92/SUMIF(C:C,C92,D:D))</f>
        <v/>
      </c>
      <c r="I92" s="154" t="str">
        <f>IF(C92="","",IFERROR(VLOOKUP(C92,'Coil to Slit'!$D:$H,5,FALSE),""))</f>
        <v/>
      </c>
      <c r="J92" s="155" t="str">
        <f>IF(C92="","",SUMIF(C:C,C92,H:H))</f>
        <v/>
      </c>
      <c r="K92" s="67" t="str">
        <f>IF(OR(I92="",J92=""),"",IF(J92&gt;I92,"⚠ BUNDLES &gt; BABY COIL","✔ OK"))</f>
        <v/>
      </c>
      <c r="L92" s="68" t="e">
        <f>IF(#REF!="","",IF(COUNTIF(#REF!,#REF!)&gt;1,"⚠ DUPLICATE",""))</f>
        <v>#REF!</v>
      </c>
    </row>
    <row r="93" spans="1:12">
      <c r="A93" s="35"/>
      <c r="B93" s="30"/>
      <c r="C93" s="30"/>
      <c r="D93" s="31"/>
      <c r="E93" s="49" t="str">
        <f>IF(C93="","",IFERROR(VLOOKUP(C93,'Coil to Slit'!$D:$F,3,FALSE),""))</f>
        <v/>
      </c>
      <c r="F93" s="49" t="str">
        <f>IF(C93="","",IFERROR(VLOOKUP(C93,'Coil to Slit'!$D:$G,4,FALSE),""))</f>
        <v/>
      </c>
      <c r="G93" s="88" t="str">
        <f>IF(C93="","",IFERROR(VLOOKUP(C93,'Coil to Slit'!$D:$E,2,FALSE),""))</f>
        <v/>
      </c>
      <c r="H93" s="52" t="str">
        <f>IF(OR(C93="",D93="",I93=""),"",I93*D93/SUMIF(C:C,C93,D:D))</f>
        <v/>
      </c>
      <c r="I93" s="154" t="str">
        <f>IF(C93="","",IFERROR(VLOOKUP(C93,'Coil to Slit'!$D:$H,5,FALSE),""))</f>
        <v/>
      </c>
      <c r="J93" s="155" t="str">
        <f>IF(C93="","",SUMIF(C:C,C93,H:H))</f>
        <v/>
      </c>
      <c r="K93" s="67" t="str">
        <f>IF(OR(I93="",J93=""),"",IF(J93&gt;I93,"⚠ BUNDLES &gt; BABY COIL","✔ OK"))</f>
        <v/>
      </c>
      <c r="L93" s="68" t="e">
        <f>IF(#REF!="","",IF(COUNTIF(#REF!,#REF!)&gt;1,"⚠ DUPLICATE",""))</f>
        <v>#REF!</v>
      </c>
    </row>
    <row r="94" spans="1:12">
      <c r="A94" s="35"/>
      <c r="B94" s="30"/>
      <c r="C94" s="30"/>
      <c r="D94" s="31"/>
      <c r="E94" s="49" t="str">
        <f>IF(C94="","",IFERROR(VLOOKUP(C94,'Coil to Slit'!$D:$F,3,FALSE),""))</f>
        <v/>
      </c>
      <c r="F94" s="49" t="str">
        <f>IF(C94="","",IFERROR(VLOOKUP(C94,'Coil to Slit'!$D:$G,4,FALSE),""))</f>
        <v/>
      </c>
      <c r="G94" s="88" t="str">
        <f>IF(C94="","",IFERROR(VLOOKUP(C94,'Coil to Slit'!$D:$E,2,FALSE),""))</f>
        <v/>
      </c>
      <c r="H94" s="52" t="str">
        <f>IF(OR(C94="",D94="",I94=""),"",I94*D94/SUMIF(C:C,C94,D:D))</f>
        <v/>
      </c>
      <c r="I94" s="154" t="str">
        <f>IF(C94="","",IFERROR(VLOOKUP(C94,'Coil to Slit'!$D:$H,5,FALSE),""))</f>
        <v/>
      </c>
      <c r="J94" s="155" t="str">
        <f>IF(C94="","",SUMIF(C:C,C94,H:H))</f>
        <v/>
      </c>
      <c r="K94" s="67" t="str">
        <f>IF(OR(I94="",J94=""),"",IF(J94&gt;I94,"⚠ BUNDLES &gt; BABY COIL","✔ OK"))</f>
        <v/>
      </c>
      <c r="L94" s="68" t="e">
        <f>IF(#REF!="","",IF(COUNTIF(#REF!,#REF!)&gt;1,"⚠ DUPLICATE",""))</f>
        <v>#REF!</v>
      </c>
    </row>
    <row r="95" spans="1:12">
      <c r="A95" s="35"/>
      <c r="B95" s="30"/>
      <c r="C95" s="30"/>
      <c r="D95" s="31"/>
      <c r="E95" s="49" t="str">
        <f>IF(C95="","",IFERROR(VLOOKUP(C95,'Coil to Slit'!$D:$F,3,FALSE),""))</f>
        <v/>
      </c>
      <c r="F95" s="49" t="str">
        <f>IF(C95="","",IFERROR(VLOOKUP(C95,'Coil to Slit'!$D:$G,4,FALSE),""))</f>
        <v/>
      </c>
      <c r="G95" s="88" t="str">
        <f>IF(C95="","",IFERROR(VLOOKUP(C95,'Coil to Slit'!$D:$E,2,FALSE),""))</f>
        <v/>
      </c>
      <c r="H95" s="52" t="str">
        <f>IF(OR(C95="",D95="",I95=""),"",I95*D95/SUMIF(C:C,C95,D:D))</f>
        <v/>
      </c>
      <c r="I95" s="154" t="str">
        <f>IF(C95="","",IFERROR(VLOOKUP(C95,'Coil to Slit'!$D:$H,5,FALSE),""))</f>
        <v/>
      </c>
      <c r="J95" s="155" t="str">
        <f>IF(C95="","",SUMIF(C:C,C95,H:H))</f>
        <v/>
      </c>
      <c r="K95" s="67" t="str">
        <f>IF(OR(I95="",J95=""),"",IF(J95&gt;I95,"⚠ BUNDLES &gt; BABY COIL","✔ OK"))</f>
        <v/>
      </c>
      <c r="L95" s="68" t="e">
        <f>IF(#REF!="","",IF(COUNTIF(#REF!,#REF!)&gt;1,"⚠ DUPLICATE",""))</f>
        <v>#REF!</v>
      </c>
    </row>
    <row r="96" spans="1:12">
      <c r="A96" s="35"/>
      <c r="B96" s="30"/>
      <c r="C96" s="30"/>
      <c r="D96" s="31"/>
      <c r="E96" s="49" t="str">
        <f>IF(C96="","",IFERROR(VLOOKUP(C96,'Coil to Slit'!$D:$F,3,FALSE),""))</f>
        <v/>
      </c>
      <c r="F96" s="49" t="str">
        <f>IF(C96="","",IFERROR(VLOOKUP(C96,'Coil to Slit'!$D:$G,4,FALSE),""))</f>
        <v/>
      </c>
      <c r="G96" s="88" t="str">
        <f>IF(C96="","",IFERROR(VLOOKUP(C96,'Coil to Slit'!$D:$E,2,FALSE),""))</f>
        <v/>
      </c>
      <c r="H96" s="52" t="str">
        <f>IF(OR(C96="",D96="",I96=""),"",I96*D96/SUMIF(C:C,C96,D:D))</f>
        <v/>
      </c>
      <c r="I96" s="154" t="str">
        <f>IF(C96="","",IFERROR(VLOOKUP(C96,'Coil to Slit'!$D:$H,5,FALSE),""))</f>
        <v/>
      </c>
      <c r="J96" s="155" t="str">
        <f>IF(C96="","",SUMIF(C:C,C96,H:H))</f>
        <v/>
      </c>
      <c r="K96" s="67" t="str">
        <f>IF(OR(I96="",J96=""),"",IF(J96&gt;I96,"⚠ BUNDLES &gt; BABY COIL","✔ OK"))</f>
        <v/>
      </c>
      <c r="L96" s="68" t="e">
        <f>IF(#REF!="","",IF(COUNTIF(#REF!,#REF!)&gt;1,"⚠ DUPLICATE",""))</f>
        <v>#REF!</v>
      </c>
    </row>
    <row r="97" spans="1:12">
      <c r="A97" s="35"/>
      <c r="B97" s="30"/>
      <c r="C97" s="30"/>
      <c r="D97" s="31"/>
      <c r="E97" s="49" t="str">
        <f>IF(C97="","",IFERROR(VLOOKUP(C97,'Coil to Slit'!$D:$F,3,FALSE),""))</f>
        <v/>
      </c>
      <c r="F97" s="49" t="str">
        <f>IF(C97="","",IFERROR(VLOOKUP(C97,'Coil to Slit'!$D:$G,4,FALSE),""))</f>
        <v/>
      </c>
      <c r="G97" s="88" t="str">
        <f>IF(C97="","",IFERROR(VLOOKUP(C97,'Coil to Slit'!$D:$E,2,FALSE),""))</f>
        <v/>
      </c>
      <c r="H97" s="52" t="str">
        <f>IF(OR(C97="",D97="",I97=""),"",I97*D97/SUMIF(C:C,C97,D:D))</f>
        <v/>
      </c>
      <c r="I97" s="154" t="str">
        <f>IF(C97="","",IFERROR(VLOOKUP(C97,'Coil to Slit'!$D:$H,5,FALSE),""))</f>
        <v/>
      </c>
      <c r="J97" s="155" t="str">
        <f>IF(C97="","",SUMIF(C:C,C97,H:H))</f>
        <v/>
      </c>
      <c r="K97" s="67" t="str">
        <f>IF(OR(I97="",J97=""),"",IF(J97&gt;I97,"⚠ BUNDLES &gt; BABY COIL","✔ OK"))</f>
        <v/>
      </c>
      <c r="L97" s="68" t="e">
        <f>IF(#REF!="","",IF(COUNTIF(#REF!,#REF!)&gt;1,"⚠ DUPLICATE",""))</f>
        <v>#REF!</v>
      </c>
    </row>
    <row r="98" spans="1:12">
      <c r="A98" s="35"/>
      <c r="B98" s="30"/>
      <c r="C98" s="30"/>
      <c r="D98" s="31"/>
      <c r="E98" s="49" t="str">
        <f>IF(C98="","",IFERROR(VLOOKUP(C98,'Coil to Slit'!$D:$F,3,FALSE),""))</f>
        <v/>
      </c>
      <c r="F98" s="49" t="str">
        <f>IF(C98="","",IFERROR(VLOOKUP(C98,'Coil to Slit'!$D:$G,4,FALSE),""))</f>
        <v/>
      </c>
      <c r="G98" s="88" t="str">
        <f>IF(C98="","",IFERROR(VLOOKUP(C98,'Coil to Slit'!$D:$E,2,FALSE),""))</f>
        <v/>
      </c>
      <c r="H98" s="52" t="str">
        <f>IF(OR(C98="",D98="",I98=""),"",I98*D98/SUMIF(C:C,C98,D:D))</f>
        <v/>
      </c>
      <c r="I98" s="154" t="str">
        <f>IF(C98="","",IFERROR(VLOOKUP(C98,'Coil to Slit'!$D:$H,5,FALSE),""))</f>
        <v/>
      </c>
      <c r="J98" s="155" t="str">
        <f>IF(C98="","",SUMIF(C:C,C98,H:H))</f>
        <v/>
      </c>
      <c r="K98" s="67" t="str">
        <f>IF(OR(I98="",J98=""),"",IF(J98&gt;I98,"⚠ BUNDLES &gt; BABY COIL","✔ OK"))</f>
        <v/>
      </c>
      <c r="L98" s="68" t="e">
        <f>IF(#REF!="","",IF(COUNTIF(#REF!,#REF!)&gt;1,"⚠ DUPLICATE",""))</f>
        <v>#REF!</v>
      </c>
    </row>
    <row r="99" spans="1:12">
      <c r="A99" s="35"/>
      <c r="B99" s="30"/>
      <c r="C99" s="30"/>
      <c r="D99" s="31"/>
      <c r="E99" s="49" t="str">
        <f>IF(C99="","",IFERROR(VLOOKUP(C99,'Coil to Slit'!$D:$F,3,FALSE),""))</f>
        <v/>
      </c>
      <c r="F99" s="49" t="str">
        <f>IF(C99="","",IFERROR(VLOOKUP(C99,'Coil to Slit'!$D:$G,4,FALSE),""))</f>
        <v/>
      </c>
      <c r="G99" s="88" t="str">
        <f>IF(C99="","",IFERROR(VLOOKUP(C99,'Coil to Slit'!$D:$E,2,FALSE),""))</f>
        <v/>
      </c>
      <c r="H99" s="52" t="str">
        <f>IF(OR(C99="",D99="",I99=""),"",I99*D99/SUMIF(C:C,C99,D:D))</f>
        <v/>
      </c>
      <c r="I99" s="154" t="str">
        <f>IF(C99="","",IFERROR(VLOOKUP(C99,'Coil to Slit'!$D:$H,5,FALSE),""))</f>
        <v/>
      </c>
      <c r="J99" s="155" t="str">
        <f>IF(C99="","",SUMIF(C:C,C99,H:H))</f>
        <v/>
      </c>
      <c r="K99" s="67" t="str">
        <f>IF(OR(I99="",J99=""),"",IF(J99&gt;I99,"⚠ BUNDLES &gt; BABY COIL","✔ OK"))</f>
        <v/>
      </c>
      <c r="L99" s="68" t="e">
        <f>IF(#REF!="","",IF(COUNTIF(#REF!,#REF!)&gt;1,"⚠ DUPLICATE",""))</f>
        <v>#REF!</v>
      </c>
    </row>
    <row r="100" spans="1:12">
      <c r="A100" s="146"/>
      <c r="B100" s="145"/>
      <c r="C100" s="145"/>
      <c r="D100" s="147"/>
      <c r="E100" s="150" t="str">
        <f>IF(C100="","",IFERROR(VLOOKUP(C100,'Coil to Slit'!$D:$F,3,FALSE),""))</f>
        <v/>
      </c>
      <c r="F100" s="150" t="str">
        <f>IF(C100="","",IFERROR(VLOOKUP(C100,'Coil to Slit'!$D:$G,4,FALSE),""))</f>
        <v/>
      </c>
      <c r="G100" s="151" t="str">
        <f>IF(C100="","",IFERROR(VLOOKUP(C100,'Coil to Slit'!$D:$E,2,FALSE),""))</f>
        <v/>
      </c>
      <c r="H100" s="152" t="str">
        <f>IF(OR(C100="",D100="",I100=""),"",I100*D100/SUMIF(C:C,C100,D:D))</f>
        <v/>
      </c>
      <c r="I100" s="156" t="str">
        <f>IF(C100="","",IFERROR(VLOOKUP(C100,'Coil to Slit'!$D:$H,5,FALSE),""))</f>
        <v/>
      </c>
      <c r="J100" s="157" t="str">
        <f>IF(C100="","",SUMIF(C:C,C100,H:H))</f>
        <v/>
      </c>
      <c r="K100" s="158" t="str">
        <f>IF(OR(I100="",J100=""),"",IF(J100&gt;I100,"⚠ BUNDLES &gt; BABY COIL","✔ OK"))</f>
        <v/>
      </c>
      <c r="L100" s="159" t="e">
        <f>IF(#REF!="","",IF(COUNTIF(#REF!,#REF!)&gt;1,"⚠ DUPLICATE",""))</f>
        <v>#REF!</v>
      </c>
    </row>
  </sheetData>
  <conditionalFormatting sqref="K3:K100">
    <cfRule type="containsText" dxfId="12" priority="12" operator="containsText" text="OK">
      <formula>NOT(ISERROR(SEARCH("OK",K3)))</formula>
    </cfRule>
  </conditionalFormatting>
  <conditionalFormatting sqref="K3:K100">
    <cfRule type="containsText" dxfId="11" priority="13" operator="containsText" text="⚠">
      <formula>NOT(ISERROR(SEARCH("⚠",K3)))</formula>
    </cfRule>
  </conditionalFormatting>
  <conditionalFormatting sqref="L3:L100">
    <cfRule type="containsText" dxfId="10" priority="14" operator="containsText" text="DUPLICATE">
      <formula>NOT(ISERROR(SEARCH("DUPLICATE",L3)))</formula>
    </cfRule>
  </conditionalFormatting>
  <dataValidations count="14">
    <dataValidation type="list" allowBlank="1" showInputMessage="1" showErrorMessage="1" errorTitle="Invalid Baby Coil ID" error="Please select a valid Baby Coil ID from the dropdown." sqref="C101:C1000" xr:uid="{E5AF6E5D-99CE-4466-AA53-80DC6F88E284}">
      <formula1>BabyCoilIDList</formula1>
    </dataValidation>
    <dataValidation type="whole" operator="greaterThanOrEqual" allowBlank="1" showInputMessage="1" showErrorMessage="1" errorTitle="Invalid" error="Must be a whole number ≥ 1." promptTitle="Number of Pieces" prompt="Enter number of pieces per bundle. Must be ≥ 1." sqref="D3:D7 D17:D100" xr:uid="{3FA6432C-F3C7-4B39-B202-4519E5121A5D}">
      <formula1>1</formula1>
    </dataValidation>
    <dataValidation type="list" allowBlank="1" showInputMessage="1" showErrorMessage="1" sqref="C48:C100" xr:uid="{BCF4FEA1-2201-495D-9609-AB4849D8668C}">
      <formula1>CoilIDList</formula1>
    </dataValidation>
    <dataValidation type="date" allowBlank="1" showInputMessage="1" showErrorMessage="1" errorTitle="Invalid Date" error="Date must be between 01-01-2020 and today." promptTitle="Date of Conversion" prompt="Enter FG production date (dd-mm-yyyy). Cannot be future." sqref="A3:A100" xr:uid="{F5C3BFBA-5AF9-42F5-811D-BD5B84806923}">
      <formula1>43831</formula1>
      <formula2>TODAY()</formula2>
    </dataValidation>
    <dataValidation type="custom" allowBlank="1" showInputMessage="1" promptTitle="Length (mm)" prompt="Auto: Pulled from baby coil in 'Coil to Slit'. Do not edit." sqref="E3:E100" xr:uid="{8A7DFA0F-D73B-4495-B133-FC244E7ADE43}">
      <formula1>TRUE</formula1>
    </dataValidation>
    <dataValidation type="custom" allowBlank="1" showInputMessage="1" promptTitle="Width (mm)" prompt="Auto: Pulled from baby coil in 'Coil to Slit'. Do not edit." sqref="F3:F100" xr:uid="{1894D96D-3BF7-450C-AC47-9C7B7273E5A6}">
      <formula1>TRUE</formula1>
    </dataValidation>
    <dataValidation type="custom" allowBlank="1" showInputMessage="1" promptTitle="Thickness (mm)" prompt="Auto: Pulled from baby coil in 'Coil to Slit'. Do not edit." sqref="G3:G100" xr:uid="{E09D4855-38FD-4DAA-BCA0-22E2834D2CB6}">
      <formula1>TRUE</formula1>
    </dataValidation>
    <dataValidation type="custom" allowBlank="1" showInputMessage="1" promptTitle="Baby Coil Wt (kg)" prompt="Auto: Weight of the baby coil being converted (from 'Coil to Slit')." sqref="I39:I100" xr:uid="{75D2C8AE-DED2-4227-B94E-907CABB9E3BB}">
      <formula1>TRUE</formula1>
    </dataValidation>
    <dataValidation type="custom" allowBlank="1" showInputMessage="1" promptTitle="Sum Bundle Wt (kg)" prompt="Auto: Total weight of all bundles from the same baby coil. Should not exceed baby coil weight." sqref="J3:J100" xr:uid="{C105C6B3-EE30-4B01-B199-A70F485A3D5B}">
      <formula1>TRUE</formula1>
    </dataValidation>
    <dataValidation type="custom" allowBlank="1" showInputMessage="1" promptTitle="Wt Validation" prompt="Auto: ✔ OK if total bundle weight ≤ baby coil weight. ⚠ if exceeded." sqref="K3:K100" xr:uid="{D0447488-F4DC-401D-9412-6B48F9798D39}">
      <formula1>TRUE</formula1>
    </dataValidation>
    <dataValidation type="custom" allowBlank="1" showInputMessage="1" promptTitle="Duplicate Bundle ID Check" prompt="Auto: Flags ⚠ DUPLICATE if this Bundle ID already exists above." sqref="L3:L100" xr:uid="{2BC483E8-EC2F-4CDE-9694-9685E0C7B903}">
      <formula1>TRUE</formula1>
    </dataValidation>
    <dataValidation type="list" allowBlank="1" showInputMessage="1" showErrorMessage="1" errorTitle="Invalid SKU" error="Please select a valid Material Info from the SKU Master list." promptTitle="SKU Code" prompt="Select a Material Info from the dropdown." sqref="B3:B100" xr:uid="{2BBE04A7-6A5A-4D08-8C23-56602FDFFF8B}">
      <formula1>MaterialInfoList</formula1>
    </dataValidation>
    <dataValidation type="custom" allowBlank="1" showInputMessage="1" promptTitle="Weight (kg)" prompt="Enter actual bundle weight in kg from weighbridge. Must be &gt; 0." sqref="H3:H100" xr:uid="{93717349-E0B6-431E-ACD6-A3D8B006400F}">
      <formula1>TRUE</formula1>
    </dataValidation>
    <dataValidation type="custom" allowBlank="1" showInputMessage="1" promptTitle="Cost Price (₹)" prompt="Auto: Pulled from parent coil in 'Coil Sheet at Plant'. Do not edit." sqref="I3:I38" xr:uid="{02C7C65F-A15E-4D70-B92F-65ACED244A89}">
      <formula1>TRUE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Invalid Entry" error="Please select a valid Baby Coil ID from the dropdown." promptTitle="Baby Coil ID" prompt="Select a Baby Coil ID from the Coil to Slit sheet" xr:uid="{B8DA18B6-DB94-4EA6-8261-6EC15F72C7E7}">
          <x14:formula1>
            <xm:f>'Coil to Slit'!$D$3:$D$1000</xm:f>
          </x14:formula1>
          <xm:sqref>C3:C47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9445-88EB-4B88-A2C4-3ECAF88ED297}">
  <dimension ref="A1:M117"/>
  <sheetViews>
    <sheetView tabSelected="1" workbookViewId="0">
      <pane ySplit="2" topLeftCell="A3" activePane="bottomLeft" state="frozen"/>
      <selection pane="bottomLeft" activeCell="F7" sqref="F7"/>
    </sheetView>
  </sheetViews>
  <sheetFormatPr defaultRowHeight="15"/>
  <cols>
    <col min="1" max="1" width="17.85546875" customWidth="1"/>
    <col min="2" max="2" width="30" customWidth="1"/>
    <col min="3" max="3" width="48.7109375" customWidth="1"/>
    <col min="4" max="4" width="22.28515625" customWidth="1"/>
    <col min="5" max="5" width="20.28515625" customWidth="1"/>
    <col min="6" max="6" width="14.140625" customWidth="1"/>
    <col min="7" max="8" width="24" customWidth="1"/>
    <col min="9" max="9" width="22.85546875" customWidth="1"/>
    <col min="10" max="10" width="26.7109375" customWidth="1"/>
    <col min="11" max="13" width="20.140625" customWidth="1"/>
  </cols>
  <sheetData>
    <row r="1" spans="1:13" ht="15.75">
      <c r="A1" s="277" t="s">
        <v>47</v>
      </c>
      <c r="B1" s="277"/>
      <c r="C1" s="277"/>
      <c r="D1" s="277"/>
      <c r="E1" s="277"/>
      <c r="F1" s="277"/>
      <c r="G1" s="277"/>
      <c r="H1" s="243"/>
      <c r="I1" s="243"/>
      <c r="J1" s="244"/>
      <c r="K1" s="189" t="s">
        <v>48</v>
      </c>
      <c r="L1" s="190"/>
      <c r="M1" s="196"/>
    </row>
    <row r="2" spans="1:13">
      <c r="A2" s="192" t="s">
        <v>134</v>
      </c>
      <c r="B2" s="192" t="s">
        <v>51</v>
      </c>
      <c r="C2" s="192" t="s">
        <v>77</v>
      </c>
      <c r="D2" s="248" t="s">
        <v>135</v>
      </c>
      <c r="E2" s="220" t="s">
        <v>136</v>
      </c>
      <c r="F2" s="192" t="s">
        <v>137</v>
      </c>
      <c r="G2" s="193" t="s">
        <v>138</v>
      </c>
      <c r="H2" s="193" t="s">
        <v>139</v>
      </c>
      <c r="I2" s="193" t="s">
        <v>140</v>
      </c>
      <c r="J2" s="193" t="s">
        <v>141</v>
      </c>
      <c r="K2" s="194" t="s">
        <v>142</v>
      </c>
      <c r="L2" s="195" t="s">
        <v>143</v>
      </c>
      <c r="M2" s="206" t="s">
        <v>144</v>
      </c>
    </row>
    <row r="3" spans="1:13">
      <c r="A3" s="201">
        <v>46112</v>
      </c>
      <c r="B3" s="199" t="s">
        <v>85</v>
      </c>
      <c r="C3" s="200" t="s">
        <v>84</v>
      </c>
      <c r="D3" s="249">
        <f>IF(OR(B3="",E3=""),"",IFERROR(INDEX('Slit to Tube Conversion'!$D:$D,MATCH(B3,'Slit to Tube Conversion'!$C:$C,0))-SUMIFS($E$3:E3,$B$3:B3,B3),""))</f>
        <v>14</v>
      </c>
      <c r="E3" s="250">
        <v>110</v>
      </c>
      <c r="F3">
        <v>1</v>
      </c>
      <c r="G3" s="198" t="str">
        <f>IF(F3="","","BND-"&amp;F3)</f>
        <v>BND-1</v>
      </c>
      <c r="H3" s="242"/>
      <c r="I3" s="202">
        <f>IF(OR(B3="",C3=""),"",IFERROR(INDEX('Slit to Tube Conversion'!$H:$H,MATCH(B3,'Slit to Tube Conversion'!$C:$C,0))/INDEX('Slit to Tube Conversion'!$D:$D,MATCH(B3,'Slit to Tube Conversion'!$C:$C,0)),""))</f>
        <v>1.9675408091765496E-2</v>
      </c>
      <c r="J3" s="203">
        <f>IF(OR(B3="",E3="",I3=""),"",I3*E3)</f>
        <v>2.1642948900942045</v>
      </c>
      <c r="K3" s="204" t="str">
        <f>IF(B3="","",IF(COUNTIF('Coil to Slit'!$D:$D,B3)&gt;0,"✔ Valid","⚠ Not in Coil to Slit"))</f>
        <v>✔ Valid</v>
      </c>
      <c r="L3" s="205" t="str">
        <f>IF(OR(G3="",B3=""),"",IF(COUNTIFS($G$3:G3,G3,$B$3:B3,B3)&gt;1,"⚠ DUPLICATE",""))</f>
        <v/>
      </c>
      <c r="M3" s="207" t="str">
        <f>IF(OR(B3="",E3=""),"",IFERROR(IF(E3&gt;INDEX('Slit to Tube Conversion'!$D:$D,MATCH(B3,'Slit to Tube Conversion'!$C:$C,0)),"⚠ EXCEEDS FG ("&amp;INDEX('Slit to Tube Conversion'!$D:$D,MATCH(B3,'Slit to Tube Conversion'!$C:$C,0))&amp;")","✔ OK"),"Not in FG Conversion"))</f>
        <v>✔ OK</v>
      </c>
    </row>
    <row r="4" spans="1:13">
      <c r="A4" s="201">
        <v>46112</v>
      </c>
      <c r="B4" s="199" t="s">
        <v>85</v>
      </c>
      <c r="C4" s="200" t="s">
        <v>84</v>
      </c>
      <c r="D4" s="249">
        <f>IF(OR(B4="",E4=""),"",IFERROR(INDEX('Slit to Tube Conversion'!$D:$D,MATCH(B4,'Slit to Tube Conversion'!$C:$C,0))-SUMIFS($E$3:E4,$B$3:B4,B4),""))</f>
        <v>0</v>
      </c>
      <c r="E4" s="250">
        <v>14</v>
      </c>
      <c r="F4">
        <f>IF(B4="","",F3+1)</f>
        <v>2</v>
      </c>
      <c r="G4" s="198" t="str">
        <f>IF(F4="","","BND-"&amp;F4)</f>
        <v>BND-2</v>
      </c>
      <c r="H4" s="242"/>
      <c r="I4" s="202">
        <f>IF(OR(B4="",C4=""),"",IFERROR(INDEX('Slit to Tube Conversion'!$H:$H,MATCH(B4,'Slit to Tube Conversion'!$C:$C,0))/INDEX('Slit to Tube Conversion'!$D:$D,MATCH(B4,'Slit to Tube Conversion'!$C:$C,0)),""))</f>
        <v>1.9675408091765496E-2</v>
      </c>
      <c r="J4" s="203">
        <f>IF(OR(B4="",E4="",I4=""),"",I4*E4)</f>
        <v>0.27545571328471696</v>
      </c>
      <c r="K4" s="204" t="str">
        <f>IF(B4="","",IF(COUNTIF('Coil to Slit'!$D:$D,B4)&gt;0,"✔ Valid","⚠ Not in Coil to Slit"))</f>
        <v>✔ Valid</v>
      </c>
      <c r="L4" s="205" t="str">
        <f>IF(OR(G4="",B4=""),"",IF(COUNTIFS($G$3:G4,G4,$B$3:B4,B4)&gt;1,"⚠ DUPLICATE",""))</f>
        <v/>
      </c>
      <c r="M4" s="207" t="str">
        <f>IF(OR(B4="",E4=""),"",IFERROR(IF(E4&gt;INDEX('Slit to Tube Conversion'!$D:$D,MATCH(B4,'Slit to Tube Conversion'!$C:$C,0)),"⚠ EXCEEDS FG ("&amp;INDEX('Slit to Tube Conversion'!$D:$D,MATCH(B4,'Slit to Tube Conversion'!$C:$C,0))&amp;")","✔ OK"),"Not in FG Conversion"))</f>
        <v>✔ OK</v>
      </c>
    </row>
    <row r="5" spans="1:13">
      <c r="A5" s="201">
        <v>46112</v>
      </c>
      <c r="B5" s="199" t="s">
        <v>86</v>
      </c>
      <c r="C5" s="200" t="s">
        <v>84</v>
      </c>
      <c r="D5" s="249">
        <f>IF(OR(B5="",E5=""),"",IFERROR(INDEX('Slit to Tube Conversion'!$D:$D,MATCH(B5,'Slit to Tube Conversion'!$C:$C,0))-SUMIFS($E$3:E5,$B$3:B5,B5),""))</f>
        <v>28</v>
      </c>
      <c r="E5" s="250">
        <v>96</v>
      </c>
      <c r="F5">
        <v>2</v>
      </c>
      <c r="G5" s="198" t="str">
        <f t="shared" ref="G5:G84" si="0">IF(F5="","","BND-"&amp;F5)</f>
        <v>BND-2</v>
      </c>
      <c r="H5" s="242"/>
      <c r="I5" s="202">
        <f>IF(OR(B5="",C5=""),"",IFERROR(INDEX('Slit to Tube Conversion'!$H:$H,MATCH(B5,'Slit to Tube Conversion'!$C:$C,0))/INDEX('Slit to Tube Conversion'!$D:$D,MATCH(B5,'Slit to Tube Conversion'!$C:$C,0)),""))</f>
        <v>1.9675408091765496E-2</v>
      </c>
      <c r="J5" s="203">
        <f>IF(OR(B5="",E5="",I5=""),"",I5*E5)</f>
        <v>1.8888391768094877</v>
      </c>
      <c r="K5" s="204" t="str">
        <f>IF(B5="","",IF(COUNTIF('Coil to Slit'!$D:$D,B5)&gt;0,"✔ Valid","⚠ Not in Coil to Slit"))</f>
        <v>✔ Valid</v>
      </c>
      <c r="L5" s="205" t="str">
        <f>IF(OR(G5="",B5=""),"",IF(COUNTIFS($G$3:G5,G5,$B$3:B5,B5)&gt;1,"⚠ DUPLICATE",""))</f>
        <v/>
      </c>
      <c r="M5" s="207" t="str">
        <f>IF(OR(B5="",E5=""),"",IFERROR(IF(E5&gt;INDEX('Slit to Tube Conversion'!$D:$D,MATCH(B5,'Slit to Tube Conversion'!$C:$C,0)),"⚠ EXCEEDS FG ("&amp;INDEX('Slit to Tube Conversion'!$D:$D,MATCH(B5,'Slit to Tube Conversion'!$C:$C,0))&amp;")","✔ OK"),"Not in FG Conversion"))</f>
        <v>✔ OK</v>
      </c>
    </row>
    <row r="6" spans="1:13">
      <c r="A6" s="201">
        <v>46112</v>
      </c>
      <c r="B6" s="199" t="s">
        <v>86</v>
      </c>
      <c r="C6" s="200" t="s">
        <v>84</v>
      </c>
      <c r="D6" s="249">
        <f>IF(OR(B6="",E6=""),"",IFERROR(INDEX('Slit to Tube Conversion'!$D:$D,MATCH(B6,'Slit to Tube Conversion'!$C:$C,0))-SUMIFS($E$3:E6,$B$3:B6,B6),""))</f>
        <v>0</v>
      </c>
      <c r="E6" s="250">
        <v>28</v>
      </c>
      <c r="F6">
        <v>3</v>
      </c>
      <c r="G6" s="198" t="str">
        <f t="shared" si="0"/>
        <v>BND-3</v>
      </c>
      <c r="H6" s="242"/>
      <c r="I6" s="202">
        <f>IF(OR(B6="",C6=""),"",IFERROR(INDEX('Slit to Tube Conversion'!$H:$H,MATCH(B6,'Slit to Tube Conversion'!$C:$C,0))/INDEX('Slit to Tube Conversion'!$D:$D,MATCH(B6,'Slit to Tube Conversion'!$C:$C,0)),""))</f>
        <v>1.9675408091765496E-2</v>
      </c>
      <c r="J6" s="203">
        <f>IF(OR(B6="",E6="",I6=""),"",I6*E6)</f>
        <v>0.55091142656943393</v>
      </c>
      <c r="K6" s="204" t="str">
        <f>IF(B6="","",IF(COUNTIF('Coil to Slit'!$D:$D,B6)&gt;0,"✔ Valid","⚠ Not in Coil to Slit"))</f>
        <v>✔ Valid</v>
      </c>
      <c r="L6" s="205" t="str">
        <f>IF(OR(G6="",B6=""),"",IF(COUNTIFS($G$3:G6,G6,$B$3:B6,B6)&gt;1,"⚠ DUPLICATE",""))</f>
        <v/>
      </c>
      <c r="M6" s="207" t="str">
        <f>IF(OR(B6="",E6=""),"",IFERROR(IF(E6&gt;INDEX('Slit to Tube Conversion'!$D:$D,MATCH(B6,'Slit to Tube Conversion'!$C:$C,0)),"⚠ EXCEEDS FG ("&amp;INDEX('Slit to Tube Conversion'!$D:$D,MATCH(B6,'Slit to Tube Conversion'!$C:$C,0))&amp;")","✔ OK"),"Not in FG Conversion"))</f>
        <v>✔ OK</v>
      </c>
    </row>
    <row r="7" spans="1:13">
      <c r="A7" s="201">
        <v>46112</v>
      </c>
      <c r="B7" s="30" t="s">
        <v>87</v>
      </c>
      <c r="C7" s="200" t="s">
        <v>84</v>
      </c>
      <c r="D7" s="249">
        <f>IF(OR(B7="",E7=""),"",IFERROR(INDEX('Slit to Tube Conversion'!$D:$D,MATCH(B7,'Slit to Tube Conversion'!$C:$C,0))-SUMIFS($E$3:E7,$B$3:B7,B7),""))</f>
        <v>44</v>
      </c>
      <c r="E7" s="250">
        <v>82</v>
      </c>
      <c r="F7">
        <v>3</v>
      </c>
      <c r="G7" s="198" t="str">
        <f t="shared" si="0"/>
        <v>BND-3</v>
      </c>
      <c r="H7" s="242"/>
      <c r="I7" s="202">
        <f>IF(OR(B7="",C7=""),"",IFERROR(INDEX('Slit to Tube Conversion'!$H:$H,MATCH(B7,'Slit to Tube Conversion'!$C:$C,0))/INDEX('Slit to Tube Conversion'!$D:$D,MATCH(B7,'Slit to Tube Conversion'!$C:$C,0)),""))</f>
        <v>1.9363100026816838E-2</v>
      </c>
      <c r="J7" s="203">
        <f>IF(OR(B7="",E7="",I7=""),"",I7*E7)</f>
        <v>1.5877742021989807</v>
      </c>
      <c r="K7" s="204" t="str">
        <f>IF(B7="","",IF(COUNTIF('Coil to Slit'!$D:$D,B7)&gt;0,"✔ Valid","⚠ Not in Coil to Slit"))</f>
        <v>✔ Valid</v>
      </c>
      <c r="L7" s="205" t="str">
        <f>IF(OR(G7="",B7=""),"",IF(COUNTIFS($G$3:G7,G7,$B$3:B7,B7)&gt;1,"⚠ DUPLICATE",""))</f>
        <v/>
      </c>
      <c r="M7" s="207" t="str">
        <f>IF(OR(B7="",E7=""),"",IFERROR(IF(E7&gt;INDEX('Slit to Tube Conversion'!$D:$D,MATCH(B7,'Slit to Tube Conversion'!$C:$C,0)),"⚠ EXCEEDS FG ("&amp;INDEX('Slit to Tube Conversion'!$D:$D,MATCH(B7,'Slit to Tube Conversion'!$C:$C,0))&amp;")","✔ OK"),"Not in FG Conversion"))</f>
        <v>✔ OK</v>
      </c>
    </row>
    <row r="8" spans="1:13">
      <c r="A8" s="201">
        <v>46112</v>
      </c>
      <c r="B8" s="30" t="s">
        <v>87</v>
      </c>
      <c r="C8" s="200" t="s">
        <v>84</v>
      </c>
      <c r="D8" s="249">
        <f>IF(OR(B8="",E8=""),"",IFERROR(INDEX('Slit to Tube Conversion'!$D:$D,MATCH(B8,'Slit to Tube Conversion'!$C:$C,0))-SUMIFS($E$3:E8,$B$3:B8,B8),""))</f>
        <v>0</v>
      </c>
      <c r="E8" s="250">
        <v>44</v>
      </c>
      <c r="F8">
        <f>IF(B8="","",F7+1)</f>
        <v>4</v>
      </c>
      <c r="G8" s="198" t="str">
        <f>IF(F8="","","BND-"&amp;F8)</f>
        <v>BND-4</v>
      </c>
      <c r="H8" s="242"/>
      <c r="I8" s="202">
        <f>IF(OR(B8="",C8=""),"",IFERROR(INDEX('Slit to Tube Conversion'!$H:$H,MATCH(B8,'Slit to Tube Conversion'!$C:$C,0))/INDEX('Slit to Tube Conversion'!$D:$D,MATCH(B8,'Slit to Tube Conversion'!$C:$C,0)),""))</f>
        <v>1.9363100026816838E-2</v>
      </c>
      <c r="J8" s="203">
        <f>IF(OR(B8="",E8="",I8=""),"",I8*E8)</f>
        <v>0.85197640117994089</v>
      </c>
      <c r="K8" s="204" t="str">
        <f>IF(B8="","",IF(COUNTIF('Coil to Slit'!$D:$D,B8)&gt;0,"✔ Valid","⚠ Not in Coil to Slit"))</f>
        <v>✔ Valid</v>
      </c>
      <c r="L8" s="205" t="str">
        <f>IF(OR(G8="",B8=""),"",IF(COUNTIFS($G$3:G8,G8,$B$3:B8,B8)&gt;1,"⚠ DUPLICATE",""))</f>
        <v/>
      </c>
      <c r="M8" s="207" t="str">
        <f>IF(OR(B8="",E8=""),"",IFERROR(IF(E8&gt;INDEX('Slit to Tube Conversion'!$D:$D,MATCH(B8,'Slit to Tube Conversion'!$C:$C,0)),"⚠ EXCEEDS FG ("&amp;INDEX('Slit to Tube Conversion'!$D:$D,MATCH(B8,'Slit to Tube Conversion'!$C:$C,0))&amp;")","✔ OK"),"Not in FG Conversion"))</f>
        <v>✔ OK</v>
      </c>
    </row>
    <row r="9" spans="1:13">
      <c r="A9" s="201">
        <v>46112</v>
      </c>
      <c r="B9" s="30" t="s">
        <v>88</v>
      </c>
      <c r="C9" s="200" t="s">
        <v>84</v>
      </c>
      <c r="D9" s="249">
        <f>IF(OR(B9="",E9=""),"",IFERROR(INDEX('Slit to Tube Conversion'!$D:$D,MATCH(B9,'Slit to Tube Conversion'!$C:$C,0))-SUMIFS($E$3:E9,$B$3:B9,B9),""))</f>
        <v>60</v>
      </c>
      <c r="E9" s="250">
        <v>66</v>
      </c>
      <c r="F9">
        <v>4</v>
      </c>
      <c r="G9" s="198" t="str">
        <f t="shared" si="0"/>
        <v>BND-4</v>
      </c>
      <c r="H9" s="242"/>
      <c r="I9" s="202">
        <f>IF(OR(B9="",C9=""),"",IFERROR(INDEX('Slit to Tube Conversion'!$H:$H,MATCH(B9,'Slit to Tube Conversion'!$C:$C,0))/INDEX('Slit to Tube Conversion'!$D:$D,MATCH(B9,'Slit to Tube Conversion'!$C:$C,0)),""))</f>
        <v>1.9363100026816838E-2</v>
      </c>
      <c r="J9" s="203">
        <f>IF(OR(B9="",E9="",I9=""),"",I9*E9)</f>
        <v>1.2779646017699113</v>
      </c>
      <c r="K9" s="204" t="str">
        <f>IF(B9="","",IF(COUNTIF('Coil to Slit'!$D:$D,B9)&gt;0,"✔ Valid","⚠ Not in Coil to Slit"))</f>
        <v>✔ Valid</v>
      </c>
      <c r="L9" s="205" t="str">
        <f>IF(OR(G9="",B9=""),"",IF(COUNTIFS($G$3:G9,G9,$B$3:B9,B9)&gt;1,"⚠ DUPLICATE",""))</f>
        <v/>
      </c>
      <c r="M9" s="207" t="str">
        <f>IF(OR(B9="",E9=""),"",IFERROR(IF(E9&gt;INDEX('Slit to Tube Conversion'!$D:$D,MATCH(B9,'Slit to Tube Conversion'!$C:$C,0)),"⚠ EXCEEDS FG ("&amp;INDEX('Slit to Tube Conversion'!$D:$D,MATCH(B9,'Slit to Tube Conversion'!$C:$C,0))&amp;")","✔ OK"),"Not in FG Conversion"))</f>
        <v>✔ OK</v>
      </c>
    </row>
    <row r="10" spans="1:13">
      <c r="A10" s="201">
        <v>46112</v>
      </c>
      <c r="B10" s="30" t="s">
        <v>88</v>
      </c>
      <c r="C10" s="200" t="s">
        <v>84</v>
      </c>
      <c r="D10" s="249">
        <f>IF(OR(B10="",E10=""),"",IFERROR(INDEX('Slit to Tube Conversion'!$D:$D,MATCH(B10,'Slit to Tube Conversion'!$C:$C,0))-SUMIFS($E$3:E10,$B$3:B10,B10),""))</f>
        <v>0</v>
      </c>
      <c r="E10" s="250">
        <v>60</v>
      </c>
      <c r="F10">
        <v>5</v>
      </c>
      <c r="G10" s="198" t="str">
        <f t="shared" si="0"/>
        <v>BND-5</v>
      </c>
      <c r="H10" s="242"/>
      <c r="I10" s="202">
        <f>IF(OR(B10="",C10=""),"",IFERROR(INDEX('Slit to Tube Conversion'!$H:$H,MATCH(B10,'Slit to Tube Conversion'!$C:$C,0))/INDEX('Slit to Tube Conversion'!$D:$D,MATCH(B10,'Slit to Tube Conversion'!$C:$C,0)),""))</f>
        <v>1.9363100026816838E-2</v>
      </c>
      <c r="J10" s="203">
        <f>IF(OR(B10="",E10="",I10=""),"",I10*E10)</f>
        <v>1.1617860016090102</v>
      </c>
      <c r="K10" s="204" t="str">
        <f>IF(B10="","",IF(COUNTIF('Coil to Slit'!$D:$D,B10)&gt;0,"✔ Valid","⚠ Not in Coil to Slit"))</f>
        <v>✔ Valid</v>
      </c>
      <c r="L10" s="205" t="str">
        <f>IF(OR(G10="",B10=""),"",IF(COUNTIFS($G$3:G10,G10,$B$3:B10,B10)&gt;1,"⚠ DUPLICATE",""))</f>
        <v/>
      </c>
      <c r="M10" s="207" t="str">
        <f>IF(OR(B10="",E10=""),"",IFERROR(IF(E10&gt;INDEX('Slit to Tube Conversion'!$D:$D,MATCH(B10,'Slit to Tube Conversion'!$C:$C,0)),"⚠ EXCEEDS FG ("&amp;INDEX('Slit to Tube Conversion'!$D:$D,MATCH(B10,'Slit to Tube Conversion'!$C:$C,0))&amp;")","✔ OK"),"Not in FG Conversion"))</f>
        <v>✔ OK</v>
      </c>
    </row>
    <row r="11" spans="1:13">
      <c r="A11" s="201">
        <v>46112</v>
      </c>
      <c r="B11" s="199" t="s">
        <v>89</v>
      </c>
      <c r="C11" s="200" t="s">
        <v>84</v>
      </c>
      <c r="D11" s="249">
        <f>IF(OR(B11="",E11=""),"",IFERROR(INDEX('Slit to Tube Conversion'!$D:$D,MATCH(B11,'Slit to Tube Conversion'!$C:$C,0))-SUMIFS($E$3:E11,$B$3:B11,B11),""))</f>
        <v>78</v>
      </c>
      <c r="E11" s="250">
        <v>50</v>
      </c>
      <c r="F11">
        <v>5</v>
      </c>
      <c r="G11" s="198" t="str">
        <f t="shared" si="0"/>
        <v>BND-5</v>
      </c>
      <c r="H11" s="242"/>
      <c r="I11" s="202">
        <f>IF(OR(B11="",C11=""),"",IFERROR(INDEX('Slit to Tube Conversion'!$H:$H,MATCH(B11,'Slit to Tube Conversion'!$C:$C,0))/INDEX('Slit to Tube Conversion'!$D:$D,MATCH(B11,'Slit to Tube Conversion'!$C:$C,0)),""))</f>
        <v>1.9060551588897825E-2</v>
      </c>
      <c r="J11" s="203">
        <f>IF(OR(B11="",E11="",I11=""),"",I11*E11)</f>
        <v>0.95302757944489125</v>
      </c>
      <c r="K11" s="204" t="str">
        <f>IF(B11="","",IF(COUNTIF('Coil to Slit'!$D:$D,B11)&gt;0,"✔ Valid","⚠ Not in Coil to Slit"))</f>
        <v>✔ Valid</v>
      </c>
      <c r="L11" s="205" t="str">
        <f>IF(OR(G11="",B11=""),"",IF(COUNTIFS($G$3:G11,G11,$B$3:B11,B11)&gt;1,"⚠ DUPLICATE",""))</f>
        <v/>
      </c>
      <c r="M11" s="207" t="str">
        <f>IF(OR(B11="",E11=""),"",IFERROR(IF(E11&gt;INDEX('Slit to Tube Conversion'!$D:$D,MATCH(B11,'Slit to Tube Conversion'!$C:$C,0)),"⚠ EXCEEDS FG ("&amp;INDEX('Slit to Tube Conversion'!$D:$D,MATCH(B11,'Slit to Tube Conversion'!$C:$C,0))&amp;")","✔ OK"),"Not in FG Conversion"))</f>
        <v>✔ OK</v>
      </c>
    </row>
    <row r="12" spans="1:13">
      <c r="A12" s="201">
        <v>46112</v>
      </c>
      <c r="B12" s="199" t="s">
        <v>89</v>
      </c>
      <c r="C12" s="200" t="s">
        <v>84</v>
      </c>
      <c r="D12" s="249">
        <f>IF(OR(B12="",E12=""),"",IFERROR(INDEX('Slit to Tube Conversion'!$D:$D,MATCH(B12,'Slit to Tube Conversion'!$C:$C,0))-SUMIFS($E$3:E12,$B$3:B12,B12),""))</f>
        <v>0</v>
      </c>
      <c r="E12" s="221">
        <v>78</v>
      </c>
      <c r="F12">
        <v>6</v>
      </c>
      <c r="G12" s="198" t="str">
        <f t="shared" si="0"/>
        <v>BND-6</v>
      </c>
      <c r="H12" s="242"/>
      <c r="I12" s="202">
        <f>IF(OR(B12="",C12=""),"",IFERROR(INDEX('Slit to Tube Conversion'!$H:$H,MATCH(B12,'Slit to Tube Conversion'!$C:$C,0))/INDEX('Slit to Tube Conversion'!$D:$D,MATCH(B12,'Slit to Tube Conversion'!$C:$C,0)),""))</f>
        <v>1.9060551588897825E-2</v>
      </c>
      <c r="J12" s="203">
        <f>IF(OR(B12="",E12="",I12=""),"",I12*E12)</f>
        <v>1.4867230239340303</v>
      </c>
      <c r="K12" s="204" t="str">
        <f>IF(B12="","",IF(COUNTIF('Coil to Slit'!$D:$D,B12)&gt;0,"✔ Valid","⚠ Not in Coil to Slit"))</f>
        <v>✔ Valid</v>
      </c>
      <c r="L12" s="205" t="str">
        <f>IF(OR(G12="",B12=""),"",IF(COUNTIFS($G$3:G12,G12,$B$3:B12,B12)&gt;1,"⚠ DUPLICATE",""))</f>
        <v/>
      </c>
      <c r="M12" s="207" t="str">
        <f>IF(OR(B12="",E12=""),"",IFERROR(IF(E12&gt;INDEX('Slit to Tube Conversion'!$D:$D,MATCH(B12,'Slit to Tube Conversion'!$C:$C,0)),"⚠ EXCEEDS FG ("&amp;INDEX('Slit to Tube Conversion'!$D:$D,MATCH(B12,'Slit to Tube Conversion'!$C:$C,0))&amp;")","✔ OK"),"Not in FG Conversion"))</f>
        <v>✔ OK</v>
      </c>
    </row>
    <row r="13" spans="1:13">
      <c r="A13" s="201">
        <v>46112</v>
      </c>
      <c r="B13" s="199" t="s">
        <v>90</v>
      </c>
      <c r="C13" s="200" t="s">
        <v>84</v>
      </c>
      <c r="D13" s="249">
        <f>IF(OR(B13="",E13=""),"",IFERROR(INDEX('Slit to Tube Conversion'!$D:$D,MATCH(B13,'Slit to Tube Conversion'!$C:$C,0))-SUMIFS($E$3:E13,$B$3:B13,B13),""))</f>
        <v>95</v>
      </c>
      <c r="E13" s="221">
        <v>32</v>
      </c>
      <c r="F13">
        <v>6</v>
      </c>
      <c r="G13" s="198" t="str">
        <f>IF(F13="","","BND-"&amp;F13)</f>
        <v>BND-6</v>
      </c>
      <c r="H13" s="242"/>
      <c r="I13" s="202"/>
      <c r="J13" s="203"/>
      <c r="K13" s="204"/>
      <c r="L13" s="205"/>
      <c r="M13" s="207"/>
    </row>
    <row r="14" spans="1:13">
      <c r="A14" s="201">
        <v>46112</v>
      </c>
      <c r="B14" s="199" t="s">
        <v>90</v>
      </c>
      <c r="C14" s="200" t="s">
        <v>84</v>
      </c>
      <c r="D14" s="249">
        <f>IF(OR(B14="",E14=""),"",IFERROR(INDEX('Slit to Tube Conversion'!$D:$D,MATCH(B14,'Slit to Tube Conversion'!$C:$C,0))-SUMIFS($E$3:E14,$B$3:B14,B14),""))</f>
        <v>0</v>
      </c>
      <c r="E14" s="221">
        <v>95</v>
      </c>
      <c r="F14">
        <v>7</v>
      </c>
      <c r="G14" s="198" t="str">
        <f>IF(F14="","","BND-"&amp;F14)</f>
        <v>BND-7</v>
      </c>
      <c r="H14" s="242"/>
      <c r="I14" s="202"/>
      <c r="J14" s="203"/>
      <c r="K14" s="204"/>
      <c r="L14" s="205"/>
      <c r="M14" s="207"/>
    </row>
    <row r="15" spans="1:13">
      <c r="A15" s="201">
        <v>46112</v>
      </c>
      <c r="B15" s="199" t="s">
        <v>91</v>
      </c>
      <c r="C15" s="200" t="s">
        <v>84</v>
      </c>
      <c r="D15" s="249">
        <f>IF(OR(B15="",E15=""),"",IFERROR(INDEX('Slit to Tube Conversion'!$D:$D,MATCH(B15,'Slit to Tube Conversion'!$C:$C,0))-SUMIFS($E$3:E15,$B$3:B15,B15),""))</f>
        <v>112</v>
      </c>
      <c r="E15" s="221">
        <v>15</v>
      </c>
      <c r="F15">
        <v>7</v>
      </c>
      <c r="G15" s="198" t="str">
        <f>IF(F15="","","BND-"&amp;F15)</f>
        <v>BND-7</v>
      </c>
      <c r="H15" s="242"/>
      <c r="I15" s="202"/>
      <c r="J15" s="203"/>
      <c r="K15" s="204"/>
      <c r="L15" s="205"/>
      <c r="M15" s="207"/>
    </row>
    <row r="16" spans="1:13">
      <c r="A16" s="201">
        <v>46112</v>
      </c>
      <c r="B16" s="199" t="s">
        <v>91</v>
      </c>
      <c r="C16" s="200" t="s">
        <v>84</v>
      </c>
      <c r="D16" s="249">
        <f>IF(OR(B16="",E16=""),"",IFERROR(INDEX('Slit to Tube Conversion'!$D:$D,MATCH(B16,'Slit to Tube Conversion'!$C:$C,0))-SUMIFS($E$3:E16,$B$3:B16,B16),""))</f>
        <v>2</v>
      </c>
      <c r="E16" s="221">
        <v>110</v>
      </c>
      <c r="F16">
        <v>8</v>
      </c>
      <c r="G16" s="198" t="str">
        <f>IF(F16="","","BND-"&amp;F16)</f>
        <v>BND-8</v>
      </c>
      <c r="H16" s="242"/>
      <c r="I16" s="202"/>
      <c r="J16" s="203"/>
      <c r="K16" s="204"/>
      <c r="L16" s="205"/>
      <c r="M16" s="207"/>
    </row>
    <row r="17" spans="1:13">
      <c r="A17" s="201">
        <v>46112</v>
      </c>
      <c r="B17" s="199" t="s">
        <v>91</v>
      </c>
      <c r="C17" s="200" t="s">
        <v>84</v>
      </c>
      <c r="D17" s="249">
        <f>IF(OR(B17="",E17=""),"",IFERROR(INDEX('Slit to Tube Conversion'!$D:$D,MATCH(B17,'Slit to Tube Conversion'!$C:$C,0))-SUMIFS($E$3:E17,$B$3:B17,B17),""))</f>
        <v>0</v>
      </c>
      <c r="E17" s="221">
        <v>2</v>
      </c>
      <c r="F17">
        <v>9</v>
      </c>
      <c r="G17" s="198" t="str">
        <f>IF(F17="","","BND-"&amp;F17)</f>
        <v>BND-9</v>
      </c>
      <c r="H17" s="242"/>
      <c r="I17" s="202"/>
      <c r="J17" s="203"/>
      <c r="K17" s="204"/>
      <c r="L17" s="205"/>
      <c r="M17" s="207"/>
    </row>
    <row r="18" spans="1:13">
      <c r="A18" s="201">
        <v>46112</v>
      </c>
      <c r="B18" s="199" t="s">
        <v>92</v>
      </c>
      <c r="C18" s="200" t="s">
        <v>84</v>
      </c>
      <c r="D18" s="249">
        <f>IF(OR(B18="",E18=""),"",IFERROR(INDEX('Slit to Tube Conversion'!$D:$D,MATCH(B18,'Slit to Tube Conversion'!$C:$C,0))-SUMIFS($E$3:E18,$B$3:B18,B18),""))</f>
        <v>19</v>
      </c>
      <c r="E18" s="221">
        <v>108</v>
      </c>
      <c r="F18">
        <v>9</v>
      </c>
      <c r="G18" s="198" t="str">
        <f>IF(F18="","","BND-"&amp;F18)</f>
        <v>BND-9</v>
      </c>
      <c r="H18" s="242"/>
      <c r="I18" s="202"/>
      <c r="J18" s="203"/>
      <c r="K18" s="204"/>
      <c r="L18" s="205"/>
      <c r="M18" s="207"/>
    </row>
    <row r="19" spans="1:13">
      <c r="A19" s="201">
        <v>46112</v>
      </c>
      <c r="B19" s="199" t="s">
        <v>92</v>
      </c>
      <c r="C19" s="200" t="s">
        <v>84</v>
      </c>
      <c r="D19" s="249">
        <f>IF(OR(B19="",E19=""),"",IFERROR(INDEX('Slit to Tube Conversion'!$D:$D,MATCH(B19,'Slit to Tube Conversion'!$C:$C,0))-SUMIFS($E$3:E19,$B$3:B19,B19),""))</f>
        <v>0</v>
      </c>
      <c r="E19" s="221">
        <v>19</v>
      </c>
      <c r="F19">
        <v>10</v>
      </c>
      <c r="G19" s="198" t="str">
        <f>IF(F19="","","BND-"&amp;F19)</f>
        <v>BND-10</v>
      </c>
      <c r="H19" s="242"/>
      <c r="I19" s="202"/>
      <c r="J19" s="203"/>
      <c r="K19" s="204"/>
      <c r="L19" s="205"/>
      <c r="M19" s="207"/>
    </row>
    <row r="20" spans="1:13">
      <c r="A20" s="201">
        <v>46112</v>
      </c>
      <c r="B20" s="199" t="s">
        <v>93</v>
      </c>
      <c r="C20" s="200" t="s">
        <v>84</v>
      </c>
      <c r="D20" s="249">
        <f>IF(OR(B20="",E20=""),"",IFERROR(INDEX('Slit to Tube Conversion'!$D:$D,MATCH(B20,'Slit to Tube Conversion'!$C:$C,0))-SUMIFS($E$3:E20,$B$3:B20,B20),""))</f>
        <v>34</v>
      </c>
      <c r="E20" s="221">
        <v>93</v>
      </c>
      <c r="F20">
        <v>10</v>
      </c>
      <c r="G20" s="198" t="str">
        <f>IF(F20="","","BND-"&amp;F20)</f>
        <v>BND-10</v>
      </c>
      <c r="H20" s="242"/>
      <c r="I20" s="202"/>
      <c r="J20" s="203"/>
      <c r="K20" s="204"/>
      <c r="L20" s="205"/>
      <c r="M20" s="207"/>
    </row>
    <row r="21" spans="1:13">
      <c r="A21" s="201">
        <v>46112</v>
      </c>
      <c r="B21" s="199" t="s">
        <v>93</v>
      </c>
      <c r="C21" s="200" t="s">
        <v>84</v>
      </c>
      <c r="D21" s="249">
        <f>IF(OR(B21="",E21=""),"",IFERROR(INDEX('Slit to Tube Conversion'!$D:$D,MATCH(B21,'Slit to Tube Conversion'!$C:$C,0))-SUMIFS($E$3:E21,$B$3:B21,B21),""))</f>
        <v>0</v>
      </c>
      <c r="E21" s="221">
        <v>34</v>
      </c>
      <c r="F21">
        <v>11</v>
      </c>
      <c r="G21" s="198" t="str">
        <f>IF(F21="","","BND-"&amp;F21)</f>
        <v>BND-11</v>
      </c>
      <c r="H21" s="242"/>
      <c r="I21" s="202"/>
      <c r="J21" s="203"/>
      <c r="K21" s="204"/>
      <c r="L21" s="205"/>
      <c r="M21" s="207"/>
    </row>
    <row r="22" spans="1:13">
      <c r="A22" s="201">
        <v>46112</v>
      </c>
      <c r="B22" s="199" t="s">
        <v>94</v>
      </c>
      <c r="C22" s="200" t="s">
        <v>84</v>
      </c>
      <c r="D22" s="259">
        <f>IF(OR(B22="",E22=""),"",IFERROR(INDEX('Slit to Tube Conversion'!$D:$D,MATCH(B22,'Slit to Tube Conversion'!$C:$C,0))-SUMIFS($E$3:E22,$B$3:B22,B22),""))</f>
        <v>4</v>
      </c>
      <c r="E22" s="221">
        <v>126</v>
      </c>
      <c r="F22">
        <v>11</v>
      </c>
      <c r="G22" s="198" t="str">
        <f>IF(F22="","","BND-"&amp;F22)</f>
        <v>BND-11</v>
      </c>
      <c r="H22" s="242"/>
      <c r="I22" s="202"/>
      <c r="J22" s="203"/>
      <c r="K22" s="204"/>
      <c r="L22" s="205"/>
      <c r="M22" s="207"/>
    </row>
    <row r="23" spans="1:13">
      <c r="A23" s="260">
        <v>46112</v>
      </c>
      <c r="B23" s="261" t="s">
        <v>94</v>
      </c>
      <c r="C23" s="262"/>
      <c r="D23" s="259" t="str">
        <f>IF(OR(B23="",E23=""),"",IFERROR(INDEX('Slit to Tube Conversion'!$D:$D,MATCH(B23,'Slit to Tube Conversion'!$C:$C,0))-SUMIFS($E$3:E23,$B$3:B23,B23),""))</f>
        <v/>
      </c>
      <c r="E23" s="263"/>
      <c r="G23" s="198"/>
      <c r="H23" s="242"/>
      <c r="I23" s="202"/>
      <c r="J23" s="203"/>
      <c r="K23" s="204"/>
      <c r="L23" s="205"/>
      <c r="M23" s="207"/>
    </row>
    <row r="24" spans="1:13">
      <c r="A24" s="201">
        <v>46112</v>
      </c>
      <c r="B24" s="199" t="s">
        <v>105</v>
      </c>
      <c r="C24" s="200" t="s">
        <v>104</v>
      </c>
      <c r="D24" s="249">
        <f>IF(OR(B24="",E24=""),"",IFERROR(INDEX('Slit to Tube Conversion'!$D:$D,MATCH(B24,'Slit to Tube Conversion'!$C:$C,0))-SUMIFS($E$3:E24,$B$3:B24,B24),""))</f>
        <v>45</v>
      </c>
      <c r="E24" s="221">
        <v>80</v>
      </c>
      <c r="F24">
        <v>12</v>
      </c>
      <c r="G24" s="198" t="str">
        <f t="shared" si="0"/>
        <v>BND-12</v>
      </c>
      <c r="H24" s="242"/>
      <c r="I24" s="202">
        <f>IF(OR(B24="",C24=""),"",IFERROR(INDEX('Slit to Tube Conversion'!$H:$H,MATCH(B24,'Slit to Tube Conversion'!$C:$C,0))/INDEX('Slit to Tube Conversion'!$D:$D,MATCH(B24,'Slit to Tube Conversion'!$C:$C,0)),""))</f>
        <v>2.6024006436041833E-2</v>
      </c>
      <c r="J24" s="203">
        <f>IF(OR(B24="",E24="",I24=""),"",I24*E24)</f>
        <v>2.0819205148833468</v>
      </c>
      <c r="K24" s="204" t="str">
        <f>IF(B24="","",IF(COUNTIF('Coil to Slit'!$D:$D,B24)&gt;0,"✔ Valid","⚠ Not in Coil to Slit"))</f>
        <v>✔ Valid</v>
      </c>
      <c r="L24" s="205" t="str">
        <f>IF(OR(G24="",B24=""),"",IF(COUNTIFS($G$3:G24,G24,$B$3:B24,B24)&gt;1,"⚠ DUPLICATE",""))</f>
        <v/>
      </c>
      <c r="M24" s="207" t="str">
        <f>IF(OR(B24="",E24=""),"",IFERROR(IF(E24&gt;INDEX('Slit to Tube Conversion'!$D:$D,MATCH(B24,'Slit to Tube Conversion'!$C:$C,0)),"⚠ EXCEEDS FG ("&amp;INDEX('Slit to Tube Conversion'!$D:$D,MATCH(B24,'Slit to Tube Conversion'!$C:$C,0))&amp;")","✔ OK"),"Not in FG Conversion"))</f>
        <v>✔ OK</v>
      </c>
    </row>
    <row r="25" spans="1:13">
      <c r="A25" s="201">
        <v>46112</v>
      </c>
      <c r="B25" s="199" t="s">
        <v>105</v>
      </c>
      <c r="C25" s="200" t="s">
        <v>104</v>
      </c>
      <c r="D25" s="249">
        <f>IF(OR(B25="",E25=""),"",IFERROR(INDEX('Slit to Tube Conversion'!$D:$D,MATCH(B25,'Slit to Tube Conversion'!$C:$C,0))-SUMIFS($E$3:E25,$B$3:B25,B25),""))</f>
        <v>0</v>
      </c>
      <c r="E25" s="221">
        <v>45</v>
      </c>
      <c r="F25">
        <f>IF(B25="","",F24+1)</f>
        <v>13</v>
      </c>
      <c r="G25" s="198" t="str">
        <f t="shared" si="0"/>
        <v>BND-13</v>
      </c>
      <c r="H25" s="242"/>
      <c r="I25" s="202">
        <f>IF(OR(B25="",C25=""),"",IFERROR(INDEX('Slit to Tube Conversion'!$H:$H,MATCH(B25,'Slit to Tube Conversion'!$C:$C,0))/INDEX('Slit to Tube Conversion'!$D:$D,MATCH(B25,'Slit to Tube Conversion'!$C:$C,0)),""))</f>
        <v>2.6024006436041833E-2</v>
      </c>
      <c r="J25" s="203">
        <f>IF(OR(B25="",E25="",I25=""),"",I25*E25)</f>
        <v>1.1710802896218826</v>
      </c>
      <c r="K25" s="204" t="str">
        <f>IF(B25="","",IF(COUNTIF('Coil to Slit'!$D:$D,B25)&gt;0,"✔ Valid","⚠ Not in Coil to Slit"))</f>
        <v>✔ Valid</v>
      </c>
      <c r="L25" s="205" t="str">
        <f>IF(OR(G25="",B25=""),"",IF(COUNTIFS($G$3:G25,G25,$B$3:B25,B25)&gt;1,"⚠ DUPLICATE",""))</f>
        <v/>
      </c>
      <c r="M25" s="207" t="str">
        <f>IF(OR(B25="",E25=""),"",IFERROR(IF(E25&gt;INDEX('Slit to Tube Conversion'!$D:$D,MATCH(B25,'Slit to Tube Conversion'!$C:$C,0)),"⚠ EXCEEDS FG ("&amp;INDEX('Slit to Tube Conversion'!$D:$D,MATCH(B25,'Slit to Tube Conversion'!$C:$C,0))&amp;")","✔ OK"),"Not in FG Conversion"))</f>
        <v>✔ OK</v>
      </c>
    </row>
    <row r="26" spans="1:13">
      <c r="A26" s="201">
        <v>46112</v>
      </c>
      <c r="B26" s="199" t="s">
        <v>106</v>
      </c>
      <c r="C26" s="200" t="s">
        <v>104</v>
      </c>
      <c r="D26" s="249">
        <f>IF(OR(B26="",E26=""),"",IFERROR(INDEX('Slit to Tube Conversion'!$D:$D,MATCH(B26,'Slit to Tube Conversion'!$C:$C,0))-SUMIFS($E$3:E26,$B$3:B26,B26),""))</f>
        <v>90</v>
      </c>
      <c r="E26" s="221">
        <v>35</v>
      </c>
      <c r="F26">
        <v>13</v>
      </c>
      <c r="G26" s="198" t="str">
        <f t="shared" si="0"/>
        <v>BND-13</v>
      </c>
      <c r="H26" s="242"/>
      <c r="I26" s="202">
        <f>IF(OR(B26="",C26=""),"",IFERROR(INDEX('Slit to Tube Conversion'!$H:$H,MATCH(B26,'Slit to Tube Conversion'!$C:$C,0))/INDEX('Slit to Tube Conversion'!$D:$D,MATCH(B26,'Slit to Tube Conversion'!$C:$C,0)),""))</f>
        <v>2.6024006436041833E-2</v>
      </c>
      <c r="J26" s="203">
        <f>IF(OR(B26="",E26="",I26=""),"",I26*E26)</f>
        <v>0.91084022526146413</v>
      </c>
      <c r="K26" s="204" t="str">
        <f>IF(B26="","",IF(COUNTIF('Coil to Slit'!$D:$D,B26)&gt;0,"✔ Valid","⚠ Not in Coil to Slit"))</f>
        <v>✔ Valid</v>
      </c>
      <c r="L26" s="205" t="str">
        <f>IF(OR(G26="",B26=""),"",IF(COUNTIFS($G$3:G26,G26,$B$3:B26,B26)&gt;1,"⚠ DUPLICATE",""))</f>
        <v/>
      </c>
      <c r="M26" s="207" t="str">
        <f>IF(OR(B26="",E26=""),"",IFERROR(IF(E26&gt;INDEX('Slit to Tube Conversion'!$D:$D,MATCH(B26,'Slit to Tube Conversion'!$C:$C,0)),"⚠ EXCEEDS FG ("&amp;INDEX('Slit to Tube Conversion'!$D:$D,MATCH(B26,'Slit to Tube Conversion'!$C:$C,0))&amp;")","✔ OK"),"Not in FG Conversion"))</f>
        <v>✔ OK</v>
      </c>
    </row>
    <row r="27" spans="1:13">
      <c r="A27" s="255">
        <v>46112</v>
      </c>
      <c r="B27" s="256" t="s">
        <v>106</v>
      </c>
      <c r="C27" s="257" t="s">
        <v>104</v>
      </c>
      <c r="D27" s="249">
        <f>IF(OR(B27="",E27=""),"",IFERROR(INDEX('Slit to Tube Conversion'!$D:$D,MATCH(B27,'Slit to Tube Conversion'!$C:$C,0))-SUMIFS($E$3:E27,$B$3:B27,B27),""))</f>
        <v>10</v>
      </c>
      <c r="E27" s="258">
        <v>80</v>
      </c>
      <c r="F27">
        <v>14</v>
      </c>
      <c r="G27" s="198" t="str">
        <f t="shared" si="0"/>
        <v>BND-14</v>
      </c>
      <c r="H27" s="242"/>
      <c r="I27" s="202">
        <f>IF(OR(B27="",C27=""),"",IFERROR(INDEX('Slit to Tube Conversion'!$H:$H,MATCH(B27,'Slit to Tube Conversion'!$C:$C,0))/INDEX('Slit to Tube Conversion'!$D:$D,MATCH(B27,'Slit to Tube Conversion'!$C:$C,0)),""))</f>
        <v>2.6024006436041833E-2</v>
      </c>
      <c r="J27" s="203">
        <f>IF(OR(B27="",E27="",I27=""),"",I27*E27)</f>
        <v>2.0819205148833468</v>
      </c>
      <c r="K27" s="204" t="str">
        <f>IF(B27="","",IF(COUNTIF('Coil to Slit'!$D:$D,B27)&gt;0,"✔ Valid","⚠ Not in Coil to Slit"))</f>
        <v>✔ Valid</v>
      </c>
      <c r="L27" s="205" t="str">
        <f>IF(OR(G27="",B27=""),"",IF(COUNTIFS($G$3:G27,G27,$B$3:B27,B27)&gt;1,"⚠ DUPLICATE",""))</f>
        <v/>
      </c>
      <c r="M27" s="207" t="str">
        <f>IF(OR(B27="",E27=""),"",IFERROR(IF(E27&gt;INDEX('Slit to Tube Conversion'!$D:$D,MATCH(B27,'Slit to Tube Conversion'!$C:$C,0)),"⚠ EXCEEDS FG ("&amp;INDEX('Slit to Tube Conversion'!$D:$D,MATCH(B27,'Slit to Tube Conversion'!$C:$C,0))&amp;")","✔ OK"),"Not in FG Conversion"))</f>
        <v>✔ OK</v>
      </c>
    </row>
    <row r="28" spans="1:13">
      <c r="A28" s="255">
        <v>46112</v>
      </c>
      <c r="B28" s="252" t="s">
        <v>106</v>
      </c>
      <c r="C28" s="257" t="s">
        <v>104</v>
      </c>
      <c r="D28" s="249">
        <f>IF(OR(B28="",E28=""),"",IFERROR(INDEX('Slit to Tube Conversion'!$D:$D,MATCH(B28,'Slit to Tube Conversion'!$C:$C,0))-SUMIFS($E$3:E28,$B$3:B28,B28),""))</f>
        <v>0</v>
      </c>
      <c r="E28" s="253">
        <v>10</v>
      </c>
      <c r="F28">
        <v>15</v>
      </c>
      <c r="G28" s="198" t="str">
        <f t="shared" si="0"/>
        <v>BND-15</v>
      </c>
      <c r="H28" s="242"/>
      <c r="I28" s="202">
        <f>IF(OR(B28="",C28=""),"",IFERROR(INDEX('Slit to Tube Conversion'!$H:$H,MATCH(B28,'Slit to Tube Conversion'!$C:$C,0))/INDEX('Slit to Tube Conversion'!$D:$D,MATCH(B28,'Slit to Tube Conversion'!$C:$C,0)),""))</f>
        <v>2.6024006436041833E-2</v>
      </c>
      <c r="J28" s="203">
        <f>IF(OR(B28="",E28="",I28=""),"",I28*E28)</f>
        <v>0.26024006436041835</v>
      </c>
      <c r="K28" s="204" t="str">
        <f>IF(B28="","",IF(COUNTIF('Coil to Slit'!$D:$D,B28)&gt;0,"✔ Valid","⚠ Not in Coil to Slit"))</f>
        <v>✔ Valid</v>
      </c>
      <c r="L28" s="205" t="str">
        <f>IF(OR(G28="",B28=""),"",IF(COUNTIFS($G$3:G28,G28,$B$3:B28,B28)&gt;1,"⚠ DUPLICATE",""))</f>
        <v/>
      </c>
      <c r="M28" s="207" t="str">
        <f>IF(OR(B28="",E28=""),"",IFERROR(IF(E28&gt;INDEX('Slit to Tube Conversion'!$D:$D,MATCH(B28,'Slit to Tube Conversion'!$C:$C,0)),"⚠ EXCEEDS FG ("&amp;INDEX('Slit to Tube Conversion'!$D:$D,MATCH(B28,'Slit to Tube Conversion'!$C:$C,0))&amp;")","✔ OK"),"Not in FG Conversion"))</f>
        <v>✔ OK</v>
      </c>
    </row>
    <row r="29" spans="1:13">
      <c r="A29" s="255">
        <v>46112</v>
      </c>
      <c r="B29" s="252" t="s">
        <v>107</v>
      </c>
      <c r="C29" s="257" t="s">
        <v>104</v>
      </c>
      <c r="D29" s="249">
        <f>IF(OR(B29="",E29=""),"",IFERROR(INDEX('Slit to Tube Conversion'!$D:$D,MATCH(B29,'Slit to Tube Conversion'!$C:$C,0))-SUMIFS($E$3:E29,$B$3:B29,B29),""))</f>
        <v>55</v>
      </c>
      <c r="E29" s="253">
        <v>70</v>
      </c>
      <c r="F29">
        <v>15</v>
      </c>
      <c r="G29" s="198" t="str">
        <f t="shared" si="0"/>
        <v>BND-15</v>
      </c>
      <c r="H29" s="242"/>
      <c r="I29" s="202"/>
      <c r="J29" s="203"/>
      <c r="K29" s="204"/>
      <c r="L29" s="205"/>
      <c r="M29" s="207"/>
    </row>
    <row r="30" spans="1:13">
      <c r="A30" s="255">
        <v>46112</v>
      </c>
      <c r="B30" s="252" t="s">
        <v>107</v>
      </c>
      <c r="C30" s="257" t="s">
        <v>104</v>
      </c>
      <c r="D30" s="249">
        <f>IF(OR(B30="",E30=""),"",IFERROR(INDEX('Slit to Tube Conversion'!$D:$D,MATCH(B30,'Slit to Tube Conversion'!$C:$C,0))-SUMIFS($E$3:E30,$B$3:B30,B30),""))</f>
        <v>0</v>
      </c>
      <c r="E30" s="253">
        <v>55</v>
      </c>
      <c r="F30">
        <v>16</v>
      </c>
      <c r="G30" s="198" t="str">
        <f t="shared" si="0"/>
        <v>BND-16</v>
      </c>
      <c r="H30" s="242"/>
      <c r="I30" s="202"/>
      <c r="J30" s="203"/>
      <c r="K30" s="204"/>
      <c r="L30" s="205"/>
      <c r="M30" s="207"/>
    </row>
    <row r="31" spans="1:13">
      <c r="A31" s="255">
        <v>46112</v>
      </c>
      <c r="B31" s="252" t="s">
        <v>108</v>
      </c>
      <c r="C31" s="257" t="s">
        <v>104</v>
      </c>
      <c r="D31" s="249">
        <f>IF(OR(B31="",E31=""),"",IFERROR(INDEX('Slit to Tube Conversion'!$D:$D,MATCH(B31,'Slit to Tube Conversion'!$C:$C,0))-SUMIFS($E$3:E31,$B$3:B31,B31),""))</f>
        <v>100</v>
      </c>
      <c r="E31" s="253">
        <v>25</v>
      </c>
      <c r="F31">
        <v>16</v>
      </c>
      <c r="G31" s="198" t="str">
        <f t="shared" si="0"/>
        <v>BND-16</v>
      </c>
      <c r="H31" s="242"/>
      <c r="I31" s="202"/>
      <c r="J31" s="203"/>
      <c r="K31" s="204"/>
      <c r="L31" s="205"/>
      <c r="M31" s="207"/>
    </row>
    <row r="32" spans="1:13">
      <c r="A32" s="255">
        <v>46112</v>
      </c>
      <c r="B32" s="252" t="s">
        <v>108</v>
      </c>
      <c r="C32" s="257" t="s">
        <v>104</v>
      </c>
      <c r="D32" s="259">
        <f>IF(OR(B32="",E32=""),"",IFERROR(INDEX('Slit to Tube Conversion'!$D:$D,MATCH(B32,'Slit to Tube Conversion'!$C:$C,0))-SUMIFS($E$3:E32,$B$3:B32,B32),""))</f>
        <v>20</v>
      </c>
      <c r="E32" s="253">
        <v>80</v>
      </c>
      <c r="F32">
        <v>17</v>
      </c>
      <c r="G32" s="198" t="str">
        <f t="shared" si="0"/>
        <v>BND-17</v>
      </c>
      <c r="H32" s="242"/>
      <c r="I32" s="202">
        <f>IF(OR(B32="",C32=""),"",IFERROR(INDEX('Slit to Tube Conversion'!$H:$H,MATCH(B32,'Slit to Tube Conversion'!$C:$C,0))/INDEX('Slit to Tube Conversion'!$D:$D,MATCH(B32,'Slit to Tube Conversion'!$C:$C,0)),""))</f>
        <v>2.6402445695897021E-2</v>
      </c>
      <c r="J32" s="203">
        <f>IF(OR(B32="",E32="",I32=""),"",I32*E32)</f>
        <v>2.1121956556717616</v>
      </c>
      <c r="K32" s="204" t="str">
        <f>IF(B32="","",IF(COUNTIF('Coil to Slit'!$D:$D,B32)&gt;0,"✔ Valid","⚠ Not in Coil to Slit"))</f>
        <v>✔ Valid</v>
      </c>
      <c r="L32" s="205" t="str">
        <f>IF(OR(G32="",B32=""),"",IF(COUNTIFS($G$3:G32,G32,$B$3:B32,B32)&gt;1,"⚠ DUPLICATE",""))</f>
        <v/>
      </c>
      <c r="M32" s="207" t="str">
        <f>IF(OR(B32="",E32=""),"",IFERROR(IF(E32&gt;INDEX('Slit to Tube Conversion'!$D:$D,MATCH(B32,'Slit to Tube Conversion'!$C:$C,0)),"⚠ EXCEEDS FG ("&amp;INDEX('Slit to Tube Conversion'!$D:$D,MATCH(B32,'Slit to Tube Conversion'!$C:$C,0))&amp;")","✔ OK"),"Not in FG Conversion"))</f>
        <v>✔ OK</v>
      </c>
    </row>
    <row r="33" spans="1:13">
      <c r="A33" s="251">
        <v>46112</v>
      </c>
      <c r="B33" s="252" t="s">
        <v>96</v>
      </c>
      <c r="C33" s="253" t="s">
        <v>95</v>
      </c>
      <c r="D33" s="249">
        <f>IF(OR(B33="",E33=""),"",IFERROR(INDEX('Slit to Tube Conversion'!$D:$D,MATCH(B33,'Slit to Tube Conversion'!$C:$C,0))-SUMIFS($E$3:E33,$B$3:B33,B33),""))</f>
        <v>29</v>
      </c>
      <c r="E33" s="253">
        <v>132</v>
      </c>
      <c r="F33">
        <f t="shared" ref="F33:F91" si="1">IF(B33="","",F32+1)</f>
        <v>18</v>
      </c>
      <c r="G33" s="198" t="str">
        <f t="shared" si="0"/>
        <v>BND-18</v>
      </c>
      <c r="H33" s="242"/>
      <c r="I33" s="202">
        <f>IF(OR(B33="",C33=""),"",IFERROR(INDEX('Slit to Tube Conversion'!$H:$H,MATCH(B33,'Slit to Tube Conversion'!$C:$C,0))/INDEX('Slit to Tube Conversion'!$D:$D,MATCH(B33,'Slit to Tube Conversion'!$C:$C,0)),""))</f>
        <v>1.778127890841813E-2</v>
      </c>
      <c r="J33" s="203">
        <f>IF(OR(B33="",E33="",I33=""),"",I33*E33)</f>
        <v>2.3471288159111934</v>
      </c>
      <c r="K33" s="204" t="str">
        <f>IF(B33="","",IF(COUNTIF('Coil to Slit'!$D:$D,B33)&gt;0,"✔ Valid","⚠ Not in Coil to Slit"))</f>
        <v>✔ Valid</v>
      </c>
      <c r="L33" s="205" t="str">
        <f>IF(OR(G33="",B33=""),"",IF(COUNTIFS($G$3:G33,G33,$B$3:B33,B33)&gt;1,"⚠ DUPLICATE",""))</f>
        <v/>
      </c>
      <c r="M33" s="207" t="str">
        <f>IF(OR(B33="",E33=""),"",IFERROR(IF(E33&gt;INDEX('Slit to Tube Conversion'!$D:$D,MATCH(B33,'Slit to Tube Conversion'!$C:$C,0)),"⚠ EXCEEDS FG ("&amp;INDEX('Slit to Tube Conversion'!$D:$D,MATCH(B33,'Slit to Tube Conversion'!$C:$C,0))&amp;")","✔ OK"),"Not in FG Conversion"))</f>
        <v>✔ OK</v>
      </c>
    </row>
    <row r="34" spans="1:13">
      <c r="A34" s="251">
        <v>46112</v>
      </c>
      <c r="B34" s="252" t="s">
        <v>96</v>
      </c>
      <c r="C34" s="253" t="s">
        <v>95</v>
      </c>
      <c r="D34" s="249">
        <f>IF(OR(B34="",E34=""),"",IFERROR(INDEX('Slit to Tube Conversion'!$D:$D,MATCH(B34,'Slit to Tube Conversion'!$C:$C,0))-SUMIFS($E$3:E34,$B$3:B34,B34),""))</f>
        <v>0</v>
      </c>
      <c r="E34" s="253">
        <v>29</v>
      </c>
      <c r="F34">
        <f t="shared" si="1"/>
        <v>19</v>
      </c>
      <c r="G34" s="198" t="str">
        <f t="shared" si="0"/>
        <v>BND-19</v>
      </c>
      <c r="H34" s="242"/>
      <c r="I34" s="202">
        <f>IF(OR(B34="",C34=""),"",IFERROR(INDEX('Slit to Tube Conversion'!$H:$H,MATCH(B34,'Slit to Tube Conversion'!$C:$C,0))/INDEX('Slit to Tube Conversion'!$D:$D,MATCH(B34,'Slit to Tube Conversion'!$C:$C,0)),""))</f>
        <v>1.778127890841813E-2</v>
      </c>
      <c r="J34" s="203">
        <f>IF(OR(B34="",E34="",I34=""),"",I34*E34)</f>
        <v>0.51565708834412582</v>
      </c>
      <c r="K34" s="204" t="str">
        <f>IF(B34="","",IF(COUNTIF('Coil to Slit'!$D:$D,B34)&gt;0,"✔ Valid","⚠ Not in Coil to Slit"))</f>
        <v>✔ Valid</v>
      </c>
      <c r="L34" s="205" t="str">
        <f>IF(OR(G34="",B34=""),"",IF(COUNTIFS($G$3:G34,G34,$B$3:B34,B34)&gt;1,"⚠ DUPLICATE",""))</f>
        <v/>
      </c>
      <c r="M34" s="207" t="str">
        <f>IF(OR(B34="",E34=""),"",IFERROR(IF(E34&gt;INDEX('Slit to Tube Conversion'!$D:$D,MATCH(B34,'Slit to Tube Conversion'!$C:$C,0)),"⚠ EXCEEDS FG ("&amp;INDEX('Slit to Tube Conversion'!$D:$D,MATCH(B34,'Slit to Tube Conversion'!$C:$C,0))&amp;")","✔ OK"),"Not in FG Conversion"))</f>
        <v>✔ OK</v>
      </c>
    </row>
    <row r="35" spans="1:13">
      <c r="A35" s="251">
        <v>46112</v>
      </c>
      <c r="B35" s="252" t="s">
        <v>97</v>
      </c>
      <c r="C35" s="253" t="s">
        <v>95</v>
      </c>
      <c r="D35" s="249">
        <f>IF(OR(B35="",E35=""),"",IFERROR(INDEX('Slit to Tube Conversion'!$D:$D,MATCH(B35,'Slit to Tube Conversion'!$C:$C,0))-SUMIFS($E$3:E35,$B$3:B35,B35),""))</f>
        <v>70</v>
      </c>
      <c r="E35" s="253">
        <v>91</v>
      </c>
      <c r="F35">
        <v>19</v>
      </c>
      <c r="G35" s="198" t="str">
        <f t="shared" si="0"/>
        <v>BND-19</v>
      </c>
      <c r="H35" s="242"/>
      <c r="I35" s="202">
        <f>IF(OR(B35="",C35=""),"",IFERROR(INDEX('Slit to Tube Conversion'!$H:$H,MATCH(B35,'Slit to Tube Conversion'!$C:$C,0))/INDEX('Slit to Tube Conversion'!$D:$D,MATCH(B35,'Slit to Tube Conversion'!$C:$C,0)),""))</f>
        <v>1.778127890841813E-2</v>
      </c>
      <c r="J35" s="203">
        <f>IF(OR(B35="",E35="",I35=""),"",I35*E35)</f>
        <v>1.6180963806660498</v>
      </c>
      <c r="K35" s="204" t="str">
        <f>IF(B35="","",IF(COUNTIF('Coil to Slit'!$D:$D,B35)&gt;0,"✔ Valid","⚠ Not in Coil to Slit"))</f>
        <v>✔ Valid</v>
      </c>
      <c r="L35" s="205" t="str">
        <f>IF(OR(G35="",B35=""),"",IF(COUNTIFS($G$3:G35,G35,$B$3:B35,B35)&gt;1,"⚠ DUPLICATE",""))</f>
        <v/>
      </c>
      <c r="M35" s="207" t="str">
        <f>IF(OR(B35="",E35=""),"",IFERROR(IF(E35&gt;INDEX('Slit to Tube Conversion'!$D:$D,MATCH(B35,'Slit to Tube Conversion'!$C:$C,0)),"⚠ EXCEEDS FG ("&amp;INDEX('Slit to Tube Conversion'!$D:$D,MATCH(B35,'Slit to Tube Conversion'!$C:$C,0))&amp;")","✔ OK"),"Not in FG Conversion"))</f>
        <v>✔ OK</v>
      </c>
    </row>
    <row r="36" spans="1:13">
      <c r="A36" s="251">
        <v>46112</v>
      </c>
      <c r="B36" s="252" t="s">
        <v>97</v>
      </c>
      <c r="C36" s="253" t="s">
        <v>95</v>
      </c>
      <c r="D36" s="249">
        <f>IF(OR(B36="",E36=""),"",IFERROR(INDEX('Slit to Tube Conversion'!$D:$D,MATCH(B36,'Slit to Tube Conversion'!$C:$C,0))-SUMIFS($E$3:E36,$B$3:B36,B36),""))</f>
        <v>0</v>
      </c>
      <c r="E36" s="253">
        <v>70</v>
      </c>
      <c r="F36">
        <f t="shared" si="1"/>
        <v>20</v>
      </c>
      <c r="G36" s="198" t="str">
        <f t="shared" si="0"/>
        <v>BND-20</v>
      </c>
      <c r="H36" s="242"/>
      <c r="I36" s="202">
        <f>IF(OR(B36="",C36=""),"",IFERROR(INDEX('Slit to Tube Conversion'!$H:$H,MATCH(B36,'Slit to Tube Conversion'!$C:$C,0))/INDEX('Slit to Tube Conversion'!$D:$D,MATCH(B36,'Slit to Tube Conversion'!$C:$C,0)),""))</f>
        <v>1.778127890841813E-2</v>
      </c>
      <c r="J36" s="203">
        <f>IF(OR(B36="",E36="",I36=""),"",I36*E36)</f>
        <v>1.244689523589269</v>
      </c>
      <c r="K36" s="204" t="str">
        <f>IF(B36="","",IF(COUNTIF('Coil to Slit'!$D:$D,B36)&gt;0,"✔ Valid","⚠ Not in Coil to Slit"))</f>
        <v>✔ Valid</v>
      </c>
      <c r="L36" s="205" t="str">
        <f>IF(OR(G36="",B36=""),"",IF(COUNTIFS($G$3:G36,G36,$B$3:B36,B36)&gt;1,"⚠ DUPLICATE",""))</f>
        <v/>
      </c>
      <c r="M36" s="207" t="str">
        <f>IF(OR(B36="",E36=""),"",IFERROR(IF(E36&gt;INDEX('Slit to Tube Conversion'!$D:$D,MATCH(B36,'Slit to Tube Conversion'!$C:$C,0)),"⚠ EXCEEDS FG ("&amp;INDEX('Slit to Tube Conversion'!$D:$D,MATCH(B36,'Slit to Tube Conversion'!$C:$C,0))&amp;")","✔ OK"),"Not in FG Conversion"))</f>
        <v>✔ OK</v>
      </c>
    </row>
    <row r="37" spans="1:13">
      <c r="A37" s="251">
        <v>46112</v>
      </c>
      <c r="B37" s="252" t="s">
        <v>98</v>
      </c>
      <c r="C37" s="253" t="s">
        <v>95</v>
      </c>
      <c r="D37" s="249">
        <f>IF(OR(B37="",E37=""),"",IFERROR(INDEX('Slit to Tube Conversion'!$D:$D,MATCH(B37,'Slit to Tube Conversion'!$C:$C,0))-SUMIFS($E$3:E37,$B$3:B37,B37),""))</f>
        <v>111</v>
      </c>
      <c r="E37" s="253">
        <v>50</v>
      </c>
      <c r="F37">
        <v>20</v>
      </c>
      <c r="G37" s="198" t="str">
        <f t="shared" si="0"/>
        <v>BND-20</v>
      </c>
      <c r="H37" s="242"/>
      <c r="I37" s="202"/>
      <c r="J37" s="203"/>
      <c r="K37" s="204"/>
      <c r="L37" s="205"/>
      <c r="M37" s="207"/>
    </row>
    <row r="38" spans="1:13">
      <c r="A38" s="251">
        <v>46112</v>
      </c>
      <c r="B38" s="252" t="s">
        <v>98</v>
      </c>
      <c r="C38" s="253" t="s">
        <v>95</v>
      </c>
      <c r="D38" s="249">
        <f>IF(OR(B38="",E38=""),"",IFERROR(INDEX('Slit to Tube Conversion'!$D:$D,MATCH(B38,'Slit to Tube Conversion'!$C:$C,0))-SUMIFS($E$3:E38,$B$3:B38,B38),""))</f>
        <v>0</v>
      </c>
      <c r="E38" s="253">
        <v>111</v>
      </c>
      <c r="F38">
        <v>21</v>
      </c>
      <c r="G38" s="198" t="str">
        <f t="shared" si="0"/>
        <v>BND-21</v>
      </c>
      <c r="H38" s="242"/>
      <c r="I38" s="202"/>
      <c r="J38" s="203"/>
      <c r="K38" s="204"/>
      <c r="L38" s="205"/>
      <c r="M38" s="207"/>
    </row>
    <row r="39" spans="1:13">
      <c r="A39" s="251">
        <v>46112</v>
      </c>
      <c r="B39" s="252" t="s">
        <v>99</v>
      </c>
      <c r="C39" s="253" t="s">
        <v>95</v>
      </c>
      <c r="D39" s="249">
        <f>IF(OR(B39="",E39=""),"",IFERROR(INDEX('Slit to Tube Conversion'!$D:$D,MATCH(B39,'Slit to Tube Conversion'!$C:$C,0))-SUMIFS($E$3:E39,$B$3:B39,B39),""))</f>
        <v>154</v>
      </c>
      <c r="E39" s="253">
        <v>9</v>
      </c>
      <c r="F39">
        <v>21</v>
      </c>
      <c r="G39" s="198" t="str">
        <f t="shared" si="0"/>
        <v>BND-21</v>
      </c>
      <c r="H39" s="242"/>
      <c r="I39" s="202"/>
      <c r="J39" s="203"/>
      <c r="K39" s="204"/>
      <c r="L39" s="205"/>
      <c r="M39" s="207"/>
    </row>
    <row r="40" spans="1:13">
      <c r="A40" s="251">
        <v>46112</v>
      </c>
      <c r="B40" s="252" t="s">
        <v>99</v>
      </c>
      <c r="C40" s="253" t="s">
        <v>95</v>
      </c>
      <c r="D40" s="259">
        <f>IF(OR(B40="",E40=""),"",IFERROR(INDEX('Slit to Tube Conversion'!$D:$D,MATCH(B40,'Slit to Tube Conversion'!$C:$C,0))-SUMIFS($E$3:E40,$B$3:B40,B40),""))</f>
        <v>34</v>
      </c>
      <c r="E40" s="253">
        <v>120</v>
      </c>
      <c r="F40">
        <v>22</v>
      </c>
      <c r="G40" s="198" t="str">
        <f t="shared" si="0"/>
        <v>BND-22</v>
      </c>
      <c r="H40" s="242"/>
      <c r="I40" s="202">
        <f>IF(OR(B40="",C40=""),"",IFERROR(INDEX('Slit to Tube Conversion'!$H:$H,MATCH(B40,'Slit to Tube Conversion'!$C:$C,0))/INDEX('Slit to Tube Conversion'!$D:$D,MATCH(B40,'Slit to Tube Conversion'!$C:$C,0)),""))</f>
        <v>1.7563103707087847E-2</v>
      </c>
      <c r="J40" s="203">
        <f>IF(OR(B40="",E40="",I40=""),"",I40*E40)</f>
        <v>2.1075724448505415</v>
      </c>
      <c r="K40" s="204" t="str">
        <f>IF(B40="","",IF(COUNTIF('Coil to Slit'!$D:$D,B40)&gt;0,"✔ Valid","⚠ Not in Coil to Slit"))</f>
        <v>✔ Valid</v>
      </c>
      <c r="L40" s="205" t="str">
        <f>IF(OR(G40="",B40=""),"",IF(COUNTIFS($G$3:G40,G40,$B$3:B40,B40)&gt;1,"⚠ DUPLICATE",""))</f>
        <v/>
      </c>
      <c r="M40" s="207" t="str">
        <f>IF(OR(B40="",E40=""),"",IFERROR(IF(E40&gt;INDEX('Slit to Tube Conversion'!$D:$D,MATCH(B40,'Slit to Tube Conversion'!$C:$C,0)),"⚠ EXCEEDS FG ("&amp;INDEX('Slit to Tube Conversion'!$D:$D,MATCH(B40,'Slit to Tube Conversion'!$C:$C,0))&amp;")","✔ OK"),"Not in FG Conversion"))</f>
        <v>✔ OK</v>
      </c>
    </row>
    <row r="41" spans="1:13">
      <c r="A41" s="251">
        <v>46112</v>
      </c>
      <c r="B41" s="252" t="s">
        <v>101</v>
      </c>
      <c r="C41" s="253" t="s">
        <v>100</v>
      </c>
      <c r="D41" s="249">
        <f>IF(OR(B41="",E41=""),"",IFERROR(INDEX('Slit to Tube Conversion'!$D:$D,MATCH(B41,'Slit to Tube Conversion'!$C:$C,0))-SUMIFS($E$3:E41,$B$3:B41,B41),""))</f>
        <v>70</v>
      </c>
      <c r="E41" s="253">
        <v>90</v>
      </c>
      <c r="F41">
        <f t="shared" si="1"/>
        <v>23</v>
      </c>
      <c r="G41" s="198" t="str">
        <f t="shared" si="0"/>
        <v>BND-23</v>
      </c>
      <c r="H41" s="242"/>
      <c r="I41" s="202">
        <f>IF(OR(B41="",C41=""),"",IFERROR(INDEX('Slit to Tube Conversion'!$H:$H,MATCH(B41,'Slit to Tube Conversion'!$C:$C,0))/INDEX('Slit to Tube Conversion'!$D:$D,MATCH(B41,'Slit to Tube Conversion'!$C:$C,0)),""))</f>
        <v>2.385654920212766E-2</v>
      </c>
      <c r="J41" s="203">
        <f>IF(OR(B41="",E41="",I41=""),"",I41*E41)</f>
        <v>2.1470894281914892</v>
      </c>
      <c r="K41" s="204" t="str">
        <f>IF(B41="","",IF(COUNTIF('Coil to Slit'!$D:$D,B41)&gt;0,"✔ Valid","⚠ Not in Coil to Slit"))</f>
        <v>✔ Valid</v>
      </c>
      <c r="L41" s="205" t="str">
        <f>IF(OR(G41="",B41=""),"",IF(COUNTIFS($G$3:G41,G41,$B$3:B41,B41)&gt;1,"⚠ DUPLICATE",""))</f>
        <v/>
      </c>
      <c r="M41" s="207" t="str">
        <f>IF(OR(B41="",E41=""),"",IFERROR(IF(E41&gt;INDEX('Slit to Tube Conversion'!$D:$D,MATCH(B41,'Slit to Tube Conversion'!$C:$C,0)),"⚠ EXCEEDS FG ("&amp;INDEX('Slit to Tube Conversion'!$D:$D,MATCH(B41,'Slit to Tube Conversion'!$C:$C,0))&amp;")","✔ OK"),"Not in FG Conversion"))</f>
        <v>✔ OK</v>
      </c>
    </row>
    <row r="42" spans="1:13">
      <c r="A42" s="251">
        <v>46112</v>
      </c>
      <c r="B42" s="252" t="s">
        <v>101</v>
      </c>
      <c r="C42" s="253" t="s">
        <v>100</v>
      </c>
      <c r="D42" s="249">
        <f>IF(OR(B42="",E42=""),"",IFERROR(INDEX('Slit to Tube Conversion'!$D:$D,MATCH(B42,'Slit to Tube Conversion'!$C:$C,0))-SUMIFS($E$3:E42,$B$3:B42,B42),""))</f>
        <v>0</v>
      </c>
      <c r="E42" s="253">
        <v>70</v>
      </c>
      <c r="F42">
        <f t="shared" si="1"/>
        <v>24</v>
      </c>
      <c r="G42" s="198" t="str">
        <f t="shared" si="0"/>
        <v>BND-24</v>
      </c>
      <c r="H42" s="242"/>
      <c r="I42" s="202">
        <f>IF(OR(B42="",C42=""),"",IFERROR(INDEX('Slit to Tube Conversion'!$H:$H,MATCH(B42,'Slit to Tube Conversion'!$C:$C,0))/INDEX('Slit to Tube Conversion'!$D:$D,MATCH(B42,'Slit to Tube Conversion'!$C:$C,0)),""))</f>
        <v>2.385654920212766E-2</v>
      </c>
      <c r="J42" s="203">
        <f>IF(OR(B42="",E42="",I42=""),"",I42*E42)</f>
        <v>1.6699584441489361</v>
      </c>
      <c r="K42" s="204" t="str">
        <f>IF(B42="","",IF(COUNTIF('Coil to Slit'!$D:$D,B42)&gt;0,"✔ Valid","⚠ Not in Coil to Slit"))</f>
        <v>✔ Valid</v>
      </c>
      <c r="L42" s="205" t="str">
        <f>IF(OR(G42="",B42=""),"",IF(COUNTIFS($G$3:G42,G42,$B$3:B42,B42)&gt;1,"⚠ DUPLICATE",""))</f>
        <v/>
      </c>
      <c r="M42" s="207" t="str">
        <f>IF(OR(B42="",E42=""),"",IFERROR(IF(E42&gt;INDEX('Slit to Tube Conversion'!$D:$D,MATCH(B42,'Slit to Tube Conversion'!$C:$C,0)),"⚠ EXCEEDS FG ("&amp;INDEX('Slit to Tube Conversion'!$D:$D,MATCH(B42,'Slit to Tube Conversion'!$C:$C,0))&amp;")","✔ OK"),"Not in FG Conversion"))</f>
        <v>✔ OK</v>
      </c>
    </row>
    <row r="43" spans="1:13">
      <c r="A43" s="251">
        <v>46112</v>
      </c>
      <c r="B43" s="252" t="s">
        <v>102</v>
      </c>
      <c r="C43" s="253" t="s">
        <v>100</v>
      </c>
      <c r="D43" s="249">
        <f>IF(OR(B43="",E43=""),"",IFERROR(INDEX('Slit to Tube Conversion'!$D:$D,MATCH(B43,'Slit to Tube Conversion'!$C:$C,0))-SUMIFS($E$3:E43,$B$3:B43,B43),""))</f>
        <v>140</v>
      </c>
      <c r="E43" s="253">
        <v>20</v>
      </c>
      <c r="F43">
        <v>24</v>
      </c>
      <c r="G43" s="198" t="str">
        <f t="shared" si="0"/>
        <v>BND-24</v>
      </c>
      <c r="H43" s="242"/>
      <c r="I43" s="202">
        <f>IF(OR(B43="",C43=""),"",IFERROR(INDEX('Slit to Tube Conversion'!$H:$H,MATCH(B43,'Slit to Tube Conversion'!$C:$C,0))/INDEX('Slit to Tube Conversion'!$D:$D,MATCH(B43,'Slit to Tube Conversion'!$C:$C,0)),""))</f>
        <v>2.385654920212766E-2</v>
      </c>
      <c r="J43" s="203">
        <f>IF(OR(B43="",E43="",I43=""),"",I43*E43)</f>
        <v>0.47713098404255316</v>
      </c>
      <c r="K43" s="204" t="str">
        <f>IF(B43="","",IF(COUNTIF('Coil to Slit'!$D:$D,B43)&gt;0,"✔ Valid","⚠ Not in Coil to Slit"))</f>
        <v>✔ Valid</v>
      </c>
      <c r="L43" s="205" t="str">
        <f>IF(OR(G43="",B43=""),"",IF(COUNTIFS($G$3:G43,G43,$B$3:B43,B43)&gt;1,"⚠ DUPLICATE",""))</f>
        <v/>
      </c>
      <c r="M43" s="207" t="str">
        <f>IF(OR(B43="",E43=""),"",IFERROR(IF(E43&gt;INDEX('Slit to Tube Conversion'!$D:$D,MATCH(B43,'Slit to Tube Conversion'!$C:$C,0)),"⚠ EXCEEDS FG ("&amp;INDEX('Slit to Tube Conversion'!$D:$D,MATCH(B43,'Slit to Tube Conversion'!$C:$C,0))&amp;")","✔ OK"),"Not in FG Conversion"))</f>
        <v>✔ OK</v>
      </c>
    </row>
    <row r="44" spans="1:13">
      <c r="A44" s="251">
        <v>46112</v>
      </c>
      <c r="B44" s="252" t="s">
        <v>102</v>
      </c>
      <c r="C44" s="253" t="s">
        <v>100</v>
      </c>
      <c r="D44" s="259">
        <f>IF(OR(B44="",E44=""),"",IFERROR(INDEX('Slit to Tube Conversion'!$D:$D,MATCH(B44,'Slit to Tube Conversion'!$C:$C,0))-SUMIFS($E$3:E44,$B$3:B44,B44),""))</f>
        <v>50</v>
      </c>
      <c r="E44" s="253">
        <v>90</v>
      </c>
      <c r="F44">
        <f t="shared" si="1"/>
        <v>25</v>
      </c>
      <c r="G44" s="198" t="str">
        <f t="shared" si="0"/>
        <v>BND-25</v>
      </c>
      <c r="H44" s="242"/>
      <c r="I44" s="202">
        <f>IF(OR(B44="",C44=""),"",IFERROR(INDEX('Slit to Tube Conversion'!$H:$H,MATCH(B44,'Slit to Tube Conversion'!$C:$C,0))/INDEX('Slit to Tube Conversion'!$D:$D,MATCH(B44,'Slit to Tube Conversion'!$C:$C,0)),""))</f>
        <v>2.385654920212766E-2</v>
      </c>
      <c r="J44" s="203">
        <f>IF(OR(B44="",E44="",I44=""),"",I44*E44)</f>
        <v>2.1470894281914892</v>
      </c>
      <c r="K44" s="204" t="str">
        <f>IF(B44="","",IF(COUNTIF('Coil to Slit'!$D:$D,B44)&gt;0,"✔ Valid","⚠ Not in Coil to Slit"))</f>
        <v>✔ Valid</v>
      </c>
      <c r="L44" s="205" t="str">
        <f>IF(OR(G44="",B44=""),"",IF(COUNTIFS($G$3:G44,G44,$B$3:B44,B44)&gt;1,"⚠ DUPLICATE",""))</f>
        <v/>
      </c>
      <c r="M44" s="207" t="str">
        <f>IF(OR(B44="",E44=""),"",IFERROR(IF(E44&gt;INDEX('Slit to Tube Conversion'!$D:$D,MATCH(B44,'Slit to Tube Conversion'!$C:$C,0)),"⚠ EXCEEDS FG ("&amp;INDEX('Slit to Tube Conversion'!$D:$D,MATCH(B44,'Slit to Tube Conversion'!$C:$C,0))&amp;")","✔ OK"),"Not in FG Conversion"))</f>
        <v>✔ OK</v>
      </c>
    </row>
    <row r="45" spans="1:13">
      <c r="A45" s="251">
        <v>46112</v>
      </c>
      <c r="B45" s="252" t="s">
        <v>102</v>
      </c>
      <c r="C45" s="253" t="s">
        <v>100</v>
      </c>
      <c r="D45" s="249">
        <f>IF(OR(B45="",E45=""),"",IFERROR(INDEX('Slit to Tube Conversion'!$D:$D,MATCH(B45,'Slit to Tube Conversion'!$C:$C,0))-SUMIFS($E$3:E45,$B$3:B45,B45),""))</f>
        <v>0</v>
      </c>
      <c r="E45" s="253">
        <v>50</v>
      </c>
      <c r="F45">
        <f t="shared" si="1"/>
        <v>26</v>
      </c>
      <c r="G45" s="198" t="str">
        <f t="shared" si="0"/>
        <v>BND-26</v>
      </c>
      <c r="H45" s="242"/>
      <c r="I45" s="202">
        <f>IF(OR(B45="",C45=""),"",IFERROR(INDEX('Slit to Tube Conversion'!$H:$H,MATCH(B45,'Slit to Tube Conversion'!$C:$C,0))/INDEX('Slit to Tube Conversion'!$D:$D,MATCH(B45,'Slit to Tube Conversion'!$C:$C,0)),""))</f>
        <v>2.385654920212766E-2</v>
      </c>
      <c r="J45" s="203">
        <f>IF(OR(B45="",E45="",I45=""),"",I45*E45)</f>
        <v>1.1928274601063831</v>
      </c>
      <c r="K45" s="204" t="str">
        <f>IF(B45="","",IF(COUNTIF('Coil to Slit'!$D:$D,B45)&gt;0,"✔ Valid","⚠ Not in Coil to Slit"))</f>
        <v>✔ Valid</v>
      </c>
      <c r="L45" s="205" t="str">
        <f>IF(OR(G45="",B45=""),"",IF(COUNTIFS($G$3:G45,G45,$B$3:B45,B45)&gt;1,"⚠ DUPLICATE",""))</f>
        <v/>
      </c>
      <c r="M45" s="207" t="str">
        <f>IF(OR(B45="",E45=""),"",IFERROR(IF(E45&gt;INDEX('Slit to Tube Conversion'!$D:$D,MATCH(B45,'Slit to Tube Conversion'!$C:$C,0)),"⚠ EXCEEDS FG ("&amp;INDEX('Slit to Tube Conversion'!$D:$D,MATCH(B45,'Slit to Tube Conversion'!$C:$C,0))&amp;")","✔ OK"),"Not in FG Conversion"))</f>
        <v>✔ OK</v>
      </c>
    </row>
    <row r="46" spans="1:13">
      <c r="A46" s="251">
        <v>46112</v>
      </c>
      <c r="B46" s="252" t="s">
        <v>103</v>
      </c>
      <c r="C46" s="253" t="s">
        <v>100</v>
      </c>
      <c r="D46" s="249">
        <f>IF(OR(B46="",E46=""),"",IFERROR(INDEX('Slit to Tube Conversion'!$D:$D,MATCH(B46,'Slit to Tube Conversion'!$C:$C,0))-SUMIFS($E$3:E46,$B$3:B46,B46),""))</f>
        <v>122</v>
      </c>
      <c r="E46" s="253">
        <v>40</v>
      </c>
      <c r="F46">
        <v>26</v>
      </c>
      <c r="G46" s="198" t="str">
        <f t="shared" si="0"/>
        <v>BND-26</v>
      </c>
      <c r="H46" s="242"/>
      <c r="I46" s="202">
        <f>IF(OR(B46="",C46=""),"",IFERROR(INDEX('Slit to Tube Conversion'!$H:$H,MATCH(B46,'Slit to Tube Conversion'!$C:$C,0))/INDEX('Slit to Tube Conversion'!$D:$D,MATCH(B46,'Slit to Tube Conversion'!$C:$C,0)),""))</f>
        <v>2.3562023903335963E-2</v>
      </c>
      <c r="J46" s="203">
        <f>IF(OR(B46="",E46="",I46=""),"",I46*E46)</f>
        <v>0.94248095613343852</v>
      </c>
      <c r="K46" s="204" t="str">
        <f>IF(B46="","",IF(COUNTIF('Coil to Slit'!$D:$D,B46)&gt;0,"✔ Valid","⚠ Not in Coil to Slit"))</f>
        <v>✔ Valid</v>
      </c>
      <c r="L46" s="205" t="str">
        <f>IF(OR(G46="",B46=""),"",IF(COUNTIFS($G$3:G46,G46,$B$3:B46,B46)&gt;1,"⚠ DUPLICATE",""))</f>
        <v/>
      </c>
      <c r="M46" s="207" t="str">
        <f>IF(OR(B46="",E46=""),"",IFERROR(IF(E46&gt;INDEX('Slit to Tube Conversion'!$D:$D,MATCH(B46,'Slit to Tube Conversion'!$C:$C,0)),"⚠ EXCEEDS FG ("&amp;INDEX('Slit to Tube Conversion'!$D:$D,MATCH(B46,'Slit to Tube Conversion'!$C:$C,0))&amp;")","✔ OK"),"Not in FG Conversion"))</f>
        <v>✔ OK</v>
      </c>
    </row>
    <row r="47" spans="1:13">
      <c r="A47" s="251">
        <v>46112</v>
      </c>
      <c r="B47" s="252" t="s">
        <v>103</v>
      </c>
      <c r="C47" s="253" t="s">
        <v>100</v>
      </c>
      <c r="D47" s="259">
        <f>IF(OR(B47="",E47=""),"",IFERROR(INDEX('Slit to Tube Conversion'!$D:$D,MATCH(B47,'Slit to Tube Conversion'!$C:$C,0))-SUMIFS($E$3:E47,$B$3:B47,B47),""))</f>
        <v>32</v>
      </c>
      <c r="E47" s="253">
        <v>90</v>
      </c>
      <c r="F47">
        <f t="shared" si="1"/>
        <v>27</v>
      </c>
      <c r="G47" s="198" t="str">
        <f t="shared" si="0"/>
        <v>BND-27</v>
      </c>
      <c r="H47" s="242"/>
      <c r="I47" s="202">
        <f>IF(OR(B47="",C47=""),"",IFERROR(INDEX('Slit to Tube Conversion'!$H:$H,MATCH(B47,'Slit to Tube Conversion'!$C:$C,0))/INDEX('Slit to Tube Conversion'!$D:$D,MATCH(B47,'Slit to Tube Conversion'!$C:$C,0)),""))</f>
        <v>2.3562023903335963E-2</v>
      </c>
      <c r="J47" s="203">
        <f>IF(OR(B47="",E47="",I47=""),"",I47*E47)</f>
        <v>2.1205821513002365</v>
      </c>
      <c r="K47" s="204" t="str">
        <f>IF(B47="","",IF(COUNTIF('Coil to Slit'!$D:$D,B47)&gt;0,"✔ Valid","⚠ Not in Coil to Slit"))</f>
        <v>✔ Valid</v>
      </c>
      <c r="L47" s="205" t="str">
        <f>IF(OR(G47="",B47=""),"",IF(COUNTIFS($G$3:G47,G47,$B$3:B47,B47)&gt;1,"⚠ DUPLICATE",""))</f>
        <v/>
      </c>
      <c r="M47" s="207" t="str">
        <f>IF(OR(B47="",E47=""),"",IFERROR(IF(E47&gt;INDEX('Slit to Tube Conversion'!$D:$D,MATCH(B47,'Slit to Tube Conversion'!$C:$C,0)),"⚠ EXCEEDS FG ("&amp;INDEX('Slit to Tube Conversion'!$D:$D,MATCH(B47,'Slit to Tube Conversion'!$C:$C,0))&amp;")","✔ OK"),"Not in FG Conversion"))</f>
        <v>✔ OK</v>
      </c>
    </row>
    <row r="48" spans="1:13">
      <c r="A48" s="251">
        <v>46113</v>
      </c>
      <c r="B48" s="252" t="s">
        <v>113</v>
      </c>
      <c r="C48" s="254" t="s">
        <v>112</v>
      </c>
      <c r="D48" s="249">
        <f>IF(OR(B48="",E48=""),"",IFERROR(INDEX('Slit to Tube Conversion'!$D:$D,MATCH(B48,'Slit to Tube Conversion'!$C:$C,0))-SUMIFS($E$3:E48,$B$3:B48,B48),""))</f>
        <v>75</v>
      </c>
      <c r="E48" s="253">
        <v>144</v>
      </c>
      <c r="F48">
        <f t="shared" si="1"/>
        <v>28</v>
      </c>
      <c r="G48" s="198" t="str">
        <f t="shared" si="0"/>
        <v>BND-28</v>
      </c>
      <c r="H48" s="242"/>
      <c r="I48" s="202">
        <f>IF(OR(B48="",C48=""),"",IFERROR(INDEX('Slit to Tube Conversion'!$H:$H,MATCH(B48,'Slit to Tube Conversion'!$C:$C,0))/INDEX('Slit to Tube Conversion'!$D:$D,MATCH(B48,'Slit to Tube Conversion'!$C:$C,0)),""))</f>
        <v>1.537429417196836E-2</v>
      </c>
      <c r="J48" s="203">
        <f>IF(OR(B48="",E48="",I48=""),"",I48*E48)</f>
        <v>2.2138983607634439</v>
      </c>
      <c r="K48" s="204" t="str">
        <f>IF(B48="","",IF(COUNTIF('Coil to Slit'!$D:$D,B48)&gt;0,"✔ Valid","⚠ Not in Coil to Slit"))</f>
        <v>✔ Valid</v>
      </c>
      <c r="L48" s="205" t="str">
        <f>IF(OR(G48="",B48=""),"",IF(COUNTIFS($G$3:G48,G48,$B$3:B48,B48)&gt;1,"⚠ DUPLICATE",""))</f>
        <v/>
      </c>
      <c r="M48" s="207" t="str">
        <f>IF(OR(B48="",E48=""),"",IFERROR(IF(E48&gt;INDEX('Slit to Tube Conversion'!$D:$D,MATCH(B48,'Slit to Tube Conversion'!$C:$C,0)),"⚠ EXCEEDS FG ("&amp;INDEX('Slit to Tube Conversion'!$D:$D,MATCH(B48,'Slit to Tube Conversion'!$C:$C,0))&amp;")","✔ OK"),"Not in FG Conversion"))</f>
        <v>✔ OK</v>
      </c>
    </row>
    <row r="49" spans="1:13">
      <c r="A49" s="251">
        <v>46113</v>
      </c>
      <c r="B49" s="252" t="s">
        <v>113</v>
      </c>
      <c r="C49" s="254" t="s">
        <v>112</v>
      </c>
      <c r="D49" s="249">
        <f>IF(OR(B49="",E49=""),"",IFERROR(INDEX('Slit to Tube Conversion'!$D:$D,MATCH(B49,'Slit to Tube Conversion'!$C:$C,0))-SUMIFS($E$3:E49,$B$3:B49,B49),""))</f>
        <v>0</v>
      </c>
      <c r="E49" s="253">
        <v>75</v>
      </c>
      <c r="F49">
        <f t="shared" si="1"/>
        <v>29</v>
      </c>
      <c r="G49" s="198" t="str">
        <f t="shared" si="0"/>
        <v>BND-29</v>
      </c>
      <c r="H49" s="242"/>
      <c r="I49" s="202">
        <f>IF(OR(B49="",C49=""),"",IFERROR(INDEX('Slit to Tube Conversion'!$H:$H,MATCH(B49,'Slit to Tube Conversion'!$C:$C,0))/INDEX('Slit to Tube Conversion'!$D:$D,MATCH(B49,'Slit to Tube Conversion'!$C:$C,0)),""))</f>
        <v>1.537429417196836E-2</v>
      </c>
      <c r="J49" s="203">
        <f>IF(OR(B49="",E49="",I49=""),"",I49*E49)</f>
        <v>1.153072062897627</v>
      </c>
      <c r="K49" s="204" t="str">
        <f>IF(B49="","",IF(COUNTIF('Coil to Slit'!$D:$D,B49)&gt;0,"✔ Valid","⚠ Not in Coil to Slit"))</f>
        <v>✔ Valid</v>
      </c>
      <c r="L49" s="205" t="str">
        <f>IF(OR(G49="",B49=""),"",IF(COUNTIFS($G$3:G49,G49,$B$3:B49,B49)&gt;1,"⚠ DUPLICATE",""))</f>
        <v/>
      </c>
      <c r="M49" s="207" t="str">
        <f>IF(OR(B49="",E49=""),"",IFERROR(IF(E49&gt;INDEX('Slit to Tube Conversion'!$D:$D,MATCH(B49,'Slit to Tube Conversion'!$C:$C,0)),"⚠ EXCEEDS FG ("&amp;INDEX('Slit to Tube Conversion'!$D:$D,MATCH(B49,'Slit to Tube Conversion'!$C:$C,0))&amp;")","✔ OK"),"Not in FG Conversion"))</f>
        <v>✔ OK</v>
      </c>
    </row>
    <row r="50" spans="1:13">
      <c r="A50" s="251">
        <v>46113</v>
      </c>
      <c r="B50" s="252" t="s">
        <v>114</v>
      </c>
      <c r="C50" s="254" t="s">
        <v>112</v>
      </c>
      <c r="D50" s="249">
        <f>IF(OR(B50="",E50=""),"",IFERROR(INDEX('Slit to Tube Conversion'!$D:$D,MATCH(B50,'Slit to Tube Conversion'!$C:$C,0))-SUMIFS($E$3:E50,$B$3:B50,B50),""))</f>
        <v>150</v>
      </c>
      <c r="E50" s="253">
        <v>69</v>
      </c>
      <c r="F50">
        <v>29</v>
      </c>
      <c r="G50" s="198" t="str">
        <f t="shared" si="0"/>
        <v>BND-29</v>
      </c>
      <c r="H50" s="242"/>
      <c r="I50" s="202">
        <f>IF(OR(B50="",C50=""),"",IFERROR(INDEX('Slit to Tube Conversion'!$H:$H,MATCH(B50,'Slit to Tube Conversion'!$C:$C,0))/INDEX('Slit to Tube Conversion'!$D:$D,MATCH(B50,'Slit to Tube Conversion'!$C:$C,0)),""))</f>
        <v>1.537429417196836E-2</v>
      </c>
      <c r="J50" s="203">
        <f>IF(OR(B50="",E50="",I50=""),"",I50*E50)</f>
        <v>1.0608262978658167</v>
      </c>
      <c r="K50" s="204" t="str">
        <f>IF(B50="","",IF(COUNTIF('Coil to Slit'!$D:$D,B50)&gt;0,"✔ Valid","⚠ Not in Coil to Slit"))</f>
        <v>✔ Valid</v>
      </c>
      <c r="L50" s="205" t="str">
        <f>IF(OR(G50="",B50=""),"",IF(COUNTIFS($G$3:G50,G50,$B$3:B50,B50)&gt;1,"⚠ DUPLICATE",""))</f>
        <v/>
      </c>
      <c r="M50" s="207" t="str">
        <f>IF(OR(B50="",E50=""),"",IFERROR(IF(E50&gt;INDEX('Slit to Tube Conversion'!$D:$D,MATCH(B50,'Slit to Tube Conversion'!$C:$C,0)),"⚠ EXCEEDS FG ("&amp;INDEX('Slit to Tube Conversion'!$D:$D,MATCH(B50,'Slit to Tube Conversion'!$C:$C,0))&amp;")","✔ OK"),"Not in FG Conversion"))</f>
        <v>✔ OK</v>
      </c>
    </row>
    <row r="51" spans="1:13">
      <c r="A51" s="251">
        <v>46113</v>
      </c>
      <c r="B51" s="252" t="s">
        <v>114</v>
      </c>
      <c r="C51" s="254" t="s">
        <v>112</v>
      </c>
      <c r="D51" s="249">
        <f>IF(OR(B51="",E51=""),"",IFERROR(INDEX('Slit to Tube Conversion'!$D:$D,MATCH(B51,'Slit to Tube Conversion'!$C:$C,0))-SUMIFS($E$3:E51,$B$3:B51,B51),""))</f>
        <v>6</v>
      </c>
      <c r="E51" s="253">
        <v>144</v>
      </c>
      <c r="F51">
        <f t="shared" si="1"/>
        <v>30</v>
      </c>
      <c r="G51" s="198" t="str">
        <f t="shared" si="0"/>
        <v>BND-30</v>
      </c>
      <c r="H51" s="242"/>
      <c r="I51" s="202">
        <f>IF(OR(B51="",C51=""),"",IFERROR(INDEX('Slit to Tube Conversion'!$H:$H,MATCH(B51,'Slit to Tube Conversion'!$C:$C,0))/INDEX('Slit to Tube Conversion'!$D:$D,MATCH(B51,'Slit to Tube Conversion'!$C:$C,0)),""))</f>
        <v>1.537429417196836E-2</v>
      </c>
      <c r="J51" s="203">
        <f>IF(OR(B51="",E51="",I51=""),"",I51*E51)</f>
        <v>2.2138983607634439</v>
      </c>
      <c r="K51" s="204" t="str">
        <f>IF(B51="","",IF(COUNTIF('Coil to Slit'!$D:$D,B51)&gt;0,"✔ Valid","⚠ Not in Coil to Slit"))</f>
        <v>✔ Valid</v>
      </c>
      <c r="L51" s="205" t="str">
        <f>IF(OR(G51="",B51=""),"",IF(COUNTIFS($G$3:G51,G51,$B$3:B51,B51)&gt;1,"⚠ DUPLICATE",""))</f>
        <v/>
      </c>
      <c r="M51" s="207" t="str">
        <f>IF(OR(B51="",E51=""),"",IFERROR(IF(E51&gt;INDEX('Slit to Tube Conversion'!$D:$D,MATCH(B51,'Slit to Tube Conversion'!$C:$C,0)),"⚠ EXCEEDS FG ("&amp;INDEX('Slit to Tube Conversion'!$D:$D,MATCH(B51,'Slit to Tube Conversion'!$C:$C,0))&amp;")","✔ OK"),"Not in FG Conversion"))</f>
        <v>✔ OK</v>
      </c>
    </row>
    <row r="52" spans="1:13">
      <c r="A52" s="251">
        <v>46113</v>
      </c>
      <c r="B52" s="252" t="s">
        <v>114</v>
      </c>
      <c r="C52" s="254" t="s">
        <v>112</v>
      </c>
      <c r="D52" s="249">
        <f>IF(OR(B52="",E52=""),"",IFERROR(INDEX('Slit to Tube Conversion'!$D:$D,MATCH(B52,'Slit to Tube Conversion'!$C:$C,0))-SUMIFS($E$3:E52,$B$3:B52,B52),""))</f>
        <v>0</v>
      </c>
      <c r="E52" s="253">
        <v>6</v>
      </c>
      <c r="F52">
        <v>31</v>
      </c>
      <c r="G52" s="198" t="str">
        <f t="shared" si="0"/>
        <v>BND-31</v>
      </c>
      <c r="H52" s="242"/>
      <c r="I52" s="202">
        <f>IF(OR(B52="",C52=""),"",IFERROR(INDEX('Slit to Tube Conversion'!$H:$H,MATCH(B52,'Slit to Tube Conversion'!$C:$C,0))/INDEX('Slit to Tube Conversion'!$D:$D,MATCH(B52,'Slit to Tube Conversion'!$C:$C,0)),""))</f>
        <v>1.537429417196836E-2</v>
      </c>
      <c r="J52" s="203">
        <f>IF(OR(B52="",E52="",I52=""),"",I52*E52)</f>
        <v>9.2245765031810159E-2</v>
      </c>
      <c r="K52" s="204" t="str">
        <f>IF(B52="","",IF(COUNTIF('Coil to Slit'!$D:$D,B52)&gt;0,"✔ Valid","⚠ Not in Coil to Slit"))</f>
        <v>✔ Valid</v>
      </c>
      <c r="L52" s="205" t="str">
        <f>IF(OR(G52="",B52=""),"",IF(COUNTIFS($G$3:G52,G52,$B$3:B52,B52)&gt;1,"⚠ DUPLICATE",""))</f>
        <v/>
      </c>
      <c r="M52" s="207" t="str">
        <f>IF(OR(B52="",E52=""),"",IFERROR(IF(E52&gt;INDEX('Slit to Tube Conversion'!$D:$D,MATCH(B52,'Slit to Tube Conversion'!$C:$C,0)),"⚠ EXCEEDS FG ("&amp;INDEX('Slit to Tube Conversion'!$D:$D,MATCH(B52,'Slit to Tube Conversion'!$C:$C,0))&amp;")","✔ OK"),"Not in FG Conversion"))</f>
        <v>✔ OK</v>
      </c>
    </row>
    <row r="53" spans="1:13">
      <c r="A53" s="251">
        <v>46113</v>
      </c>
      <c r="B53" s="252" t="s">
        <v>115</v>
      </c>
      <c r="C53" s="254" t="s">
        <v>112</v>
      </c>
      <c r="D53" s="249">
        <f>IF(OR(B53="",E53=""),"",IFERROR(INDEX('Slit to Tube Conversion'!$D:$D,MATCH(B53,'Slit to Tube Conversion'!$C:$C,0))-SUMIFS($E$3:E53,$B$3:B53,B53),""))</f>
        <v>173</v>
      </c>
      <c r="E53" s="253">
        <v>46</v>
      </c>
      <c r="F53">
        <v>31</v>
      </c>
      <c r="G53" s="198" t="str">
        <f t="shared" si="0"/>
        <v>BND-31</v>
      </c>
      <c r="H53" s="242"/>
      <c r="I53" s="202">
        <f>IF(OR(B53="",C53=""),"",IFERROR(INDEX('Slit to Tube Conversion'!$H:$H,MATCH(B53,'Slit to Tube Conversion'!$C:$C,0))/INDEX('Slit to Tube Conversion'!$D:$D,MATCH(B53,'Slit to Tube Conversion'!$C:$C,0)),""))</f>
        <v>1.537429417196836E-2</v>
      </c>
      <c r="J53" s="203">
        <f>IF(OR(B53="",E53="",I53=""),"",I53*E53)</f>
        <v>0.70721753191054459</v>
      </c>
      <c r="K53" s="204" t="str">
        <f>IF(B53="","",IF(COUNTIF('Coil to Slit'!$D:$D,B53)&gt;0,"✔ Valid","⚠ Not in Coil to Slit"))</f>
        <v>✔ Valid</v>
      </c>
      <c r="L53" s="205" t="str">
        <f>IF(OR(G53="",B53=""),"",IF(COUNTIFS($G$3:G53,G53,$B$3:B53,B53)&gt;1,"⚠ DUPLICATE",""))</f>
        <v/>
      </c>
      <c r="M53" s="207" t="str">
        <f>IF(OR(B53="",E53=""),"",IFERROR(IF(E53&gt;INDEX('Slit to Tube Conversion'!$D:$D,MATCH(B53,'Slit to Tube Conversion'!$C:$C,0)),"⚠ EXCEEDS FG ("&amp;INDEX('Slit to Tube Conversion'!$D:$D,MATCH(B53,'Slit to Tube Conversion'!$C:$C,0))&amp;")","✔ OK"),"Not in FG Conversion"))</f>
        <v>✔ OK</v>
      </c>
    </row>
    <row r="54" spans="1:13">
      <c r="A54" s="251">
        <v>46113</v>
      </c>
      <c r="B54" s="252" t="s">
        <v>115</v>
      </c>
      <c r="C54" s="254" t="s">
        <v>112</v>
      </c>
      <c r="D54" s="249">
        <f>IF(OR(B54="",E54=""),"",IFERROR(INDEX('Slit to Tube Conversion'!$D:$D,MATCH(B54,'Slit to Tube Conversion'!$C:$C,0))-SUMIFS($E$3:E54,$B$3:B54,B54),""))</f>
        <v>29</v>
      </c>
      <c r="E54" s="253">
        <v>144</v>
      </c>
      <c r="F54">
        <v>32</v>
      </c>
      <c r="G54" s="198" t="str">
        <f t="shared" si="0"/>
        <v>BND-32</v>
      </c>
      <c r="H54" s="242"/>
      <c r="I54" s="202">
        <f>IF(OR(B54="",C54=""),"",IFERROR(INDEX('Slit to Tube Conversion'!$H:$H,MATCH(B54,'Slit to Tube Conversion'!$C:$C,0))/INDEX('Slit to Tube Conversion'!$D:$D,MATCH(B54,'Slit to Tube Conversion'!$C:$C,0)),""))</f>
        <v>1.537429417196836E-2</v>
      </c>
      <c r="J54" s="203">
        <f>IF(OR(B54="",E54="",I54=""),"",I54*E54)</f>
        <v>2.2138983607634439</v>
      </c>
      <c r="K54" s="204" t="str">
        <f>IF(B54="","",IF(COUNTIF('Coil to Slit'!$D:$D,B54)&gt;0,"✔ Valid","⚠ Not in Coil to Slit"))</f>
        <v>✔ Valid</v>
      </c>
      <c r="L54" s="205" t="str">
        <f>IF(OR(G54="",B54=""),"",IF(COUNTIFS($G$3:G54,G54,$B$3:B54,B54)&gt;1,"⚠ DUPLICATE",""))</f>
        <v/>
      </c>
      <c r="M54" s="207" t="str">
        <f>IF(OR(B54="",E54=""),"",IFERROR(IF(E54&gt;INDEX('Slit to Tube Conversion'!$D:$D,MATCH(B54,'Slit to Tube Conversion'!$C:$C,0)),"⚠ EXCEEDS FG ("&amp;INDEX('Slit to Tube Conversion'!$D:$D,MATCH(B54,'Slit to Tube Conversion'!$C:$C,0))&amp;")","✔ OK"),"Not in FG Conversion"))</f>
        <v>✔ OK</v>
      </c>
    </row>
    <row r="55" spans="1:13">
      <c r="A55" s="251">
        <v>46113</v>
      </c>
      <c r="B55" s="252" t="s">
        <v>115</v>
      </c>
      <c r="C55" s="254" t="s">
        <v>112</v>
      </c>
      <c r="D55" s="249">
        <f>IF(OR(B55="",E55=""),"",IFERROR(INDEX('Slit to Tube Conversion'!$D:$D,MATCH(B55,'Slit to Tube Conversion'!$C:$C,0))-SUMIFS($E$3:E55,$B$3:B55,B55),""))</f>
        <v>0</v>
      </c>
      <c r="E55" s="253">
        <v>29</v>
      </c>
      <c r="F55">
        <f t="shared" si="1"/>
        <v>33</v>
      </c>
      <c r="G55" s="198" t="str">
        <f t="shared" si="0"/>
        <v>BND-33</v>
      </c>
      <c r="H55" s="242"/>
      <c r="I55" s="202">
        <f>IF(OR(B55="",C55=""),"",IFERROR(INDEX('Slit to Tube Conversion'!$H:$H,MATCH(B55,'Slit to Tube Conversion'!$C:$C,0))/INDEX('Slit to Tube Conversion'!$D:$D,MATCH(B55,'Slit to Tube Conversion'!$C:$C,0)),""))</f>
        <v>1.537429417196836E-2</v>
      </c>
      <c r="J55" s="203">
        <f>IF(OR(B55="",E55="",I55=""),"",I55*E55)</f>
        <v>0.44585453098708244</v>
      </c>
      <c r="K55" s="204" t="str">
        <f>IF(B55="","",IF(COUNTIF('Coil to Slit'!$D:$D,B55)&gt;0,"✔ Valid","⚠ Not in Coil to Slit"))</f>
        <v>✔ Valid</v>
      </c>
      <c r="L55" s="205" t="str">
        <f>IF(OR(G55="",B55=""),"",IF(COUNTIFS($G$3:G55,G55,$B$3:B55,B55)&gt;1,"⚠ DUPLICATE",""))</f>
        <v/>
      </c>
      <c r="M55" s="207" t="str">
        <f>IF(OR(B55="",E55=""),"",IFERROR(IF(E55&gt;INDEX('Slit to Tube Conversion'!$D:$D,MATCH(B55,'Slit to Tube Conversion'!$C:$C,0)),"⚠ EXCEEDS FG ("&amp;INDEX('Slit to Tube Conversion'!$D:$D,MATCH(B55,'Slit to Tube Conversion'!$C:$C,0))&amp;")","✔ OK"),"Not in FG Conversion"))</f>
        <v>✔ OK</v>
      </c>
    </row>
    <row r="56" spans="1:13">
      <c r="A56" s="251">
        <v>46113</v>
      </c>
      <c r="B56" s="252" t="s">
        <v>116</v>
      </c>
      <c r="C56" s="254" t="s">
        <v>112</v>
      </c>
      <c r="D56" s="249">
        <f>IF(OR(B56="",E56=""),"",IFERROR(INDEX('Slit to Tube Conversion'!$D:$D,MATCH(B56,'Slit to Tube Conversion'!$C:$C,0))-SUMIFS($E$3:E56,$B$3:B56,B56),""))</f>
        <v>104</v>
      </c>
      <c r="E56" s="253">
        <v>115</v>
      </c>
      <c r="F56">
        <v>33</v>
      </c>
      <c r="G56" s="198" t="str">
        <f t="shared" si="0"/>
        <v>BND-33</v>
      </c>
      <c r="H56" s="242"/>
      <c r="I56" s="202">
        <f>IF(OR(B56="",C56=""),"",IFERROR(INDEX('Slit to Tube Conversion'!$H:$H,MATCH(B56,'Slit to Tube Conversion'!$C:$C,0))/INDEX('Slit to Tube Conversion'!$D:$D,MATCH(B56,'Slit to Tube Conversion'!$C:$C,0)),""))</f>
        <v>1.537429417196836E-2</v>
      </c>
      <c r="J56" s="203">
        <f>IF(OR(B56="",E56="",I56=""),"",I56*E56)</f>
        <v>1.7680438297763614</v>
      </c>
      <c r="K56" s="204" t="str">
        <f>IF(B56="","",IF(COUNTIF('Coil to Slit'!$D:$D,B56)&gt;0,"✔ Valid","⚠ Not in Coil to Slit"))</f>
        <v>✔ Valid</v>
      </c>
      <c r="L56" s="205" t="str">
        <f>IF(OR(G56="",B56=""),"",IF(COUNTIFS($G$3:G56,G56,$B$3:B56,B56)&gt;1,"⚠ DUPLICATE",""))</f>
        <v/>
      </c>
      <c r="M56" s="207" t="str">
        <f>IF(OR(B56="",E56=""),"",IFERROR(IF(E56&gt;INDEX('Slit to Tube Conversion'!$D:$D,MATCH(B56,'Slit to Tube Conversion'!$C:$C,0)),"⚠ EXCEEDS FG ("&amp;INDEX('Slit to Tube Conversion'!$D:$D,MATCH(B56,'Slit to Tube Conversion'!$C:$C,0))&amp;")","✔ OK"),"Not in FG Conversion"))</f>
        <v>✔ OK</v>
      </c>
    </row>
    <row r="57" spans="1:13">
      <c r="A57" s="251">
        <v>46113</v>
      </c>
      <c r="B57" s="252" t="s">
        <v>116</v>
      </c>
      <c r="C57" s="254" t="s">
        <v>112</v>
      </c>
      <c r="D57" s="249">
        <f>IF(OR(B57="",E57=""),"",IFERROR(INDEX('Slit to Tube Conversion'!$D:$D,MATCH(B57,'Slit to Tube Conversion'!$C:$C,0))-SUMIFS($E$3:E57,$B$3:B57,B57),""))</f>
        <v>0</v>
      </c>
      <c r="E57" s="253">
        <v>104</v>
      </c>
      <c r="F57">
        <f t="shared" si="1"/>
        <v>34</v>
      </c>
      <c r="G57" s="198" t="str">
        <f t="shared" si="0"/>
        <v>BND-34</v>
      </c>
      <c r="H57" s="242"/>
      <c r="I57" s="202">
        <f>IF(OR(B57="",C57=""),"",IFERROR(INDEX('Slit to Tube Conversion'!$H:$H,MATCH(B57,'Slit to Tube Conversion'!$C:$C,0))/INDEX('Slit to Tube Conversion'!$D:$D,MATCH(B57,'Slit to Tube Conversion'!$C:$C,0)),""))</f>
        <v>1.537429417196836E-2</v>
      </c>
      <c r="J57" s="203">
        <f>IF(OR(B57="",E57="",I57=""),"",I57*E57)</f>
        <v>1.5989265938847095</v>
      </c>
      <c r="K57" s="204" t="str">
        <f>IF(B57="","",IF(COUNTIF('Coil to Slit'!$D:$D,B57)&gt;0,"✔ Valid","⚠ Not in Coil to Slit"))</f>
        <v>✔ Valid</v>
      </c>
      <c r="L57" s="205" t="str">
        <f>IF(OR(G57="",B57=""),"",IF(COUNTIFS($G$3:G57,G57,$B$3:B57,B57)&gt;1,"⚠ DUPLICATE",""))</f>
        <v/>
      </c>
      <c r="M57" s="207" t="str">
        <f>IF(OR(B57="",E57=""),"",IFERROR(IF(E57&gt;INDEX('Slit to Tube Conversion'!$D:$D,MATCH(B57,'Slit to Tube Conversion'!$C:$C,0)),"⚠ EXCEEDS FG ("&amp;INDEX('Slit to Tube Conversion'!$D:$D,MATCH(B57,'Slit to Tube Conversion'!$C:$C,0))&amp;")","✔ OK"),"Not in FG Conversion"))</f>
        <v>✔ OK</v>
      </c>
    </row>
    <row r="58" spans="1:13">
      <c r="A58" s="251">
        <v>46113</v>
      </c>
      <c r="B58" s="252" t="s">
        <v>117</v>
      </c>
      <c r="C58" s="254" t="s">
        <v>112</v>
      </c>
      <c r="D58" s="249">
        <f>IF(OR(B58="",E58=""),"",IFERROR(INDEX('Slit to Tube Conversion'!$D:$D,MATCH(B58,'Slit to Tube Conversion'!$C:$C,0))-SUMIFS($E$3:E58,$B$3:B58,B58),""))</f>
        <v>178</v>
      </c>
      <c r="E58" s="253">
        <v>40</v>
      </c>
      <c r="F58">
        <v>34</v>
      </c>
      <c r="G58" s="198" t="str">
        <f t="shared" si="0"/>
        <v>BND-34</v>
      </c>
      <c r="H58" s="242"/>
      <c r="I58" s="202">
        <f>IF(OR(B58="",C58=""),"",IFERROR(INDEX('Slit to Tube Conversion'!$H:$H,MATCH(B58,'Slit to Tube Conversion'!$C:$C,0))/INDEX('Slit to Tube Conversion'!$D:$D,MATCH(B58,'Slit to Tube Conversion'!$C:$C,0)),""))</f>
        <v>1.5444818457160876E-2</v>
      </c>
      <c r="J58" s="203">
        <f>IF(OR(B58="",E58="",I58=""),"",I58*E58)</f>
        <v>0.61779273828643499</v>
      </c>
      <c r="K58" s="204" t="str">
        <f>IF(B58="","",IF(COUNTIF('Coil to Slit'!$D:$D,B58)&gt;0,"✔ Valid","⚠ Not in Coil to Slit"))</f>
        <v>✔ Valid</v>
      </c>
      <c r="L58" s="205" t="str">
        <f>IF(OR(G58="",B58=""),"",IF(COUNTIFS($G$3:G58,G58,$B$3:B58,B58)&gt;1,"⚠ DUPLICATE",""))</f>
        <v/>
      </c>
      <c r="M58" s="207" t="str">
        <f>IF(OR(B58="",E58=""),"",IFERROR(IF(E58&gt;INDEX('Slit to Tube Conversion'!$D:$D,MATCH(B58,'Slit to Tube Conversion'!$C:$C,0)),"⚠ EXCEEDS FG ("&amp;INDEX('Slit to Tube Conversion'!$D:$D,MATCH(B58,'Slit to Tube Conversion'!$C:$C,0))&amp;")","✔ OK"),"Not in FG Conversion"))</f>
        <v>✔ OK</v>
      </c>
    </row>
    <row r="59" spans="1:13">
      <c r="A59" s="251">
        <v>46113</v>
      </c>
      <c r="B59" s="252" t="s">
        <v>117</v>
      </c>
      <c r="C59" s="254" t="s">
        <v>112</v>
      </c>
      <c r="D59" s="259">
        <f>IF(OR(B59="",E59=""),"",IFERROR(INDEX('Slit to Tube Conversion'!$D:$D,MATCH(B59,'Slit to Tube Conversion'!$C:$C,0))-SUMIFS($E$3:E59,$B$3:B59,B59),""))</f>
        <v>34</v>
      </c>
      <c r="E59" s="253">
        <v>144</v>
      </c>
      <c r="F59">
        <f t="shared" si="1"/>
        <v>35</v>
      </c>
      <c r="G59" s="198" t="str">
        <f t="shared" si="0"/>
        <v>BND-35</v>
      </c>
      <c r="H59" s="242"/>
      <c r="I59" s="202">
        <f>IF(OR(B59="",C59=""),"",IFERROR(INDEX('Slit to Tube Conversion'!$H:$H,MATCH(B59,'Slit to Tube Conversion'!$C:$C,0))/INDEX('Slit to Tube Conversion'!$D:$D,MATCH(B59,'Slit to Tube Conversion'!$C:$C,0)),""))</f>
        <v>1.5444818457160876E-2</v>
      </c>
      <c r="J59" s="203">
        <f>IF(OR(B59="",E59="",I59=""),"",I59*E59)</f>
        <v>2.2240538578311662</v>
      </c>
      <c r="K59" s="204" t="str">
        <f>IF(B59="","",IF(COUNTIF('Coil to Slit'!$D:$D,B59)&gt;0,"✔ Valid","⚠ Not in Coil to Slit"))</f>
        <v>✔ Valid</v>
      </c>
      <c r="L59" s="205" t="str">
        <f>IF(OR(G59="",B59=""),"",IF(COUNTIFS($G$3:G59,G59,$B$3:B59,B59)&gt;1,"⚠ DUPLICATE",""))</f>
        <v/>
      </c>
      <c r="M59" s="207" t="str">
        <f>IF(OR(B59="",E59=""),"",IFERROR(IF(E59&gt;INDEX('Slit to Tube Conversion'!$D:$D,MATCH(B59,'Slit to Tube Conversion'!$C:$C,0)),"⚠ EXCEEDS FG ("&amp;INDEX('Slit to Tube Conversion'!$D:$D,MATCH(B59,'Slit to Tube Conversion'!$C:$C,0))&amp;")","✔ OK"),"Not in FG Conversion"))</f>
        <v>✔ OK</v>
      </c>
    </row>
    <row r="60" spans="1:13">
      <c r="A60" s="251">
        <v>46113</v>
      </c>
      <c r="B60" s="252" t="s">
        <v>110</v>
      </c>
      <c r="C60" s="254" t="s">
        <v>109</v>
      </c>
      <c r="D60" s="249">
        <f>IF(OR(B60="",E60=""),"",IFERROR(INDEX('Slit to Tube Conversion'!$D:$D,MATCH(B60,'Slit to Tube Conversion'!$C:$C,0))-SUMIFS($E$3:E60,$B$3:B60,B60),""))</f>
        <v>103</v>
      </c>
      <c r="E60" s="253">
        <v>110</v>
      </c>
      <c r="F60">
        <f t="shared" si="1"/>
        <v>36</v>
      </c>
      <c r="G60" s="198" t="str">
        <f t="shared" si="0"/>
        <v>BND-36</v>
      </c>
      <c r="H60" s="242"/>
      <c r="I60" s="202">
        <f>IF(OR(B60="",C60=""),"",IFERROR(INDEX('Slit to Tube Conversion'!$H:$H,MATCH(B60,'Slit to Tube Conversion'!$C:$C,0))/INDEX('Slit to Tube Conversion'!$D:$D,MATCH(B60,'Slit to Tube Conversion'!$C:$C,0)),""))</f>
        <v>2.1040894983543678E-2</v>
      </c>
      <c r="J60" s="203">
        <f>IF(OR(B60="",E60="",I60=""),"",I60*E60)</f>
        <v>2.3144984481898048</v>
      </c>
      <c r="K60" s="204" t="str">
        <f>IF(B60="","",IF(COUNTIF('Coil to Slit'!$D:$D,B60)&gt;0,"✔ Valid","⚠ Not in Coil to Slit"))</f>
        <v>✔ Valid</v>
      </c>
      <c r="L60" s="205" t="str">
        <f>IF(OR(G60="",B60=""),"",IF(COUNTIFS($G$3:G60,G60,$B$3:B60,B60)&gt;1,"⚠ DUPLICATE",""))</f>
        <v/>
      </c>
      <c r="M60" s="207" t="str">
        <f>IF(OR(B60="",E60=""),"",IFERROR(IF(E60&gt;INDEX('Slit to Tube Conversion'!$D:$D,MATCH(B60,'Slit to Tube Conversion'!$C:$C,0)),"⚠ EXCEEDS FG ("&amp;INDEX('Slit to Tube Conversion'!$D:$D,MATCH(B60,'Slit to Tube Conversion'!$C:$C,0))&amp;")","✔ OK"),"Not in FG Conversion"))</f>
        <v>✔ OK</v>
      </c>
    </row>
    <row r="61" spans="1:13">
      <c r="A61" s="251">
        <v>46113</v>
      </c>
      <c r="B61" s="252" t="s">
        <v>110</v>
      </c>
      <c r="C61" s="254" t="s">
        <v>109</v>
      </c>
      <c r="D61" s="249">
        <f>IF(OR(B61="",E61=""),"",IFERROR(INDEX('Slit to Tube Conversion'!$D:$D,MATCH(B61,'Slit to Tube Conversion'!$C:$C,0))-SUMIFS($E$3:E61,$B$3:B61,B61),""))</f>
        <v>0</v>
      </c>
      <c r="E61" s="253">
        <v>103</v>
      </c>
      <c r="F61">
        <f t="shared" si="1"/>
        <v>37</v>
      </c>
      <c r="G61" s="198" t="str">
        <f t="shared" si="0"/>
        <v>BND-37</v>
      </c>
      <c r="H61" s="242"/>
      <c r="I61" s="202">
        <f>IF(OR(B61="",C61=""),"",IFERROR(INDEX('Slit to Tube Conversion'!$H:$H,MATCH(B61,'Slit to Tube Conversion'!$C:$C,0))/INDEX('Slit to Tube Conversion'!$D:$D,MATCH(B61,'Slit to Tube Conversion'!$C:$C,0)),""))</f>
        <v>2.1040894983543678E-2</v>
      </c>
      <c r="J61" s="203">
        <f>IF(OR(B61="",E61="",I61=""),"",I61*E61)</f>
        <v>2.1672121833049989</v>
      </c>
      <c r="K61" s="204" t="str">
        <f>IF(B61="","",IF(COUNTIF('Coil to Slit'!$D:$D,B61)&gt;0,"✔ Valid","⚠ Not in Coil to Slit"))</f>
        <v>✔ Valid</v>
      </c>
      <c r="L61" s="205" t="str">
        <f>IF(OR(G61="",B61=""),"",IF(COUNTIFS($G$3:G61,G61,$B$3:B61,B61)&gt;1,"⚠ DUPLICATE",""))</f>
        <v/>
      </c>
      <c r="M61" s="207" t="str">
        <f>IF(OR(B61="",E61=""),"",IFERROR(IF(E61&gt;INDEX('Slit to Tube Conversion'!$D:$D,MATCH(B61,'Slit to Tube Conversion'!$C:$C,0)),"⚠ EXCEEDS FG ("&amp;INDEX('Slit to Tube Conversion'!$D:$D,MATCH(B61,'Slit to Tube Conversion'!$C:$C,0))&amp;")","✔ OK"),"Not in FG Conversion"))</f>
        <v>✔ OK</v>
      </c>
    </row>
    <row r="62" spans="1:13">
      <c r="A62" s="251">
        <v>46113</v>
      </c>
      <c r="B62" s="252" t="s">
        <v>111</v>
      </c>
      <c r="C62" s="254" t="s">
        <v>109</v>
      </c>
      <c r="D62" s="249">
        <f>IF(OR(B62="",E62=""),"",IFERROR(INDEX('Slit to Tube Conversion'!$D:$D,MATCH(B62,'Slit to Tube Conversion'!$C:$C,0))-SUMIFS($E$3:E62,$B$3:B62,B62),""))</f>
        <v>206</v>
      </c>
      <c r="E62" s="253">
        <v>7</v>
      </c>
      <c r="F62">
        <v>37</v>
      </c>
      <c r="G62" s="198" t="str">
        <f t="shared" si="0"/>
        <v>BND-37</v>
      </c>
      <c r="H62" s="242"/>
      <c r="I62" s="202">
        <f>IF(OR(B62="",C62=""),"",IFERROR(INDEX('Slit to Tube Conversion'!$H:$H,MATCH(B62,'Slit to Tube Conversion'!$C:$C,0))/INDEX('Slit to Tube Conversion'!$D:$D,MATCH(B62,'Slit to Tube Conversion'!$C:$C,0)),""))</f>
        <v>2.1040894983543678E-2</v>
      </c>
      <c r="J62" s="203">
        <f>IF(OR(B62="",E62="",I62=""),"",I62*E62)</f>
        <v>0.14728626488480576</v>
      </c>
      <c r="K62" s="204" t="str">
        <f>IF(B62="","",IF(COUNTIF('Coil to Slit'!$D:$D,B62)&gt;0,"✔ Valid","⚠ Not in Coil to Slit"))</f>
        <v>✔ Valid</v>
      </c>
      <c r="L62" s="205" t="str">
        <f>IF(OR(G62="",B62=""),"",IF(COUNTIFS($G$3:G62,G62,$B$3:B62,B62)&gt;1,"⚠ DUPLICATE",""))</f>
        <v/>
      </c>
      <c r="M62" s="207" t="str">
        <f>IF(OR(B62="",E62=""),"",IFERROR(IF(E62&gt;INDEX('Slit to Tube Conversion'!$D:$D,MATCH(B62,'Slit to Tube Conversion'!$C:$C,0)),"⚠ EXCEEDS FG ("&amp;INDEX('Slit to Tube Conversion'!$D:$D,MATCH(B62,'Slit to Tube Conversion'!$C:$C,0))&amp;")","✔ OK"),"Not in FG Conversion"))</f>
        <v>✔ OK</v>
      </c>
    </row>
    <row r="63" spans="1:13">
      <c r="A63" s="251">
        <v>46113</v>
      </c>
      <c r="B63" s="252" t="s">
        <v>111</v>
      </c>
      <c r="C63" s="254" t="s">
        <v>109</v>
      </c>
      <c r="D63" s="259">
        <f>IF(OR(B63="",E63=""),"",IFERROR(INDEX('Slit to Tube Conversion'!$D:$D,MATCH(B63,'Slit to Tube Conversion'!$C:$C,0))-SUMIFS($E$3:E63,$B$3:B63,B63),""))</f>
        <v>96</v>
      </c>
      <c r="E63" s="253">
        <v>110</v>
      </c>
      <c r="F63">
        <f t="shared" si="1"/>
        <v>38</v>
      </c>
      <c r="G63" s="198" t="str">
        <f t="shared" si="0"/>
        <v>BND-38</v>
      </c>
      <c r="H63" s="242"/>
      <c r="I63" s="202">
        <f>IF(OR(B63="",C63=""),"",IFERROR(INDEX('Slit to Tube Conversion'!$H:$H,MATCH(B63,'Slit to Tube Conversion'!$C:$C,0))/INDEX('Slit to Tube Conversion'!$D:$D,MATCH(B63,'Slit to Tube Conversion'!$C:$C,0)),""))</f>
        <v>2.1040894983543678E-2</v>
      </c>
      <c r="J63" s="203">
        <f>IF(OR(B63="",E63="",I63=""),"",I63*E63)</f>
        <v>2.3144984481898048</v>
      </c>
      <c r="K63" s="204" t="str">
        <f>IF(B63="","",IF(COUNTIF('Coil to Slit'!$D:$D,B63)&gt;0,"✔ Valid","⚠ Not in Coil to Slit"))</f>
        <v>✔ Valid</v>
      </c>
      <c r="L63" s="205" t="str">
        <f>IF(OR(G63="",B63=""),"",IF(COUNTIFS($G$3:G63,G63,$B$3:B63,B63)&gt;1,"⚠ DUPLICATE",""))</f>
        <v/>
      </c>
      <c r="M63" s="207" t="str">
        <f>IF(OR(B63="",E63=""),"",IFERROR(IF(E63&gt;INDEX('Slit to Tube Conversion'!$D:$D,MATCH(B63,'Slit to Tube Conversion'!$C:$C,0)),"⚠ EXCEEDS FG ("&amp;INDEX('Slit to Tube Conversion'!$D:$D,MATCH(B63,'Slit to Tube Conversion'!$C:$C,0))&amp;")","✔ OK"),"Not in FG Conversion"))</f>
        <v>✔ OK</v>
      </c>
    </row>
    <row r="64" spans="1:13">
      <c r="A64" s="251">
        <v>46113</v>
      </c>
      <c r="B64" s="252"/>
      <c r="C64" s="254"/>
      <c r="D64" s="249" t="str">
        <f>IF(OR(B64="",E64=""),"",IFERROR(INDEX('Slit to Tube Conversion'!$D:$D,MATCH(B64,'Slit to Tube Conversion'!$C:$C,0))-SUMIFS($E$3:E64,$B$3:B64,B64),""))</f>
        <v/>
      </c>
      <c r="E64" s="253"/>
      <c r="F64" t="str">
        <f t="shared" si="1"/>
        <v/>
      </c>
      <c r="G64" s="198" t="str">
        <f t="shared" si="0"/>
        <v/>
      </c>
      <c r="H64" s="242"/>
      <c r="I64" s="202" t="str">
        <f>IF(OR(B64="",C64=""),"",IFERROR(INDEX('Slit to Tube Conversion'!$H:$H,MATCH(B64,'Slit to Tube Conversion'!$C:$C,0))/INDEX('Slit to Tube Conversion'!$D:$D,MATCH(B64,'Slit to Tube Conversion'!$C:$C,0)),""))</f>
        <v/>
      </c>
      <c r="J64" s="203" t="str">
        <f>IF(OR(B64="",E64="",I64=""),"",I64*E64)</f>
        <v/>
      </c>
      <c r="K64" s="204" t="str">
        <f>IF(B64="","",IF(COUNTIF('Coil to Slit'!$D:$D,B64)&gt;0,"✔ Valid","⚠ Not in Coil to Slit"))</f>
        <v/>
      </c>
      <c r="L64" s="205" t="str">
        <f>IF(OR(G64="",B64=""),"",IF(COUNTIFS($G$3:G64,G64,$B$3:B64,B64)&gt;1,"⚠ DUPLICATE",""))</f>
        <v/>
      </c>
      <c r="M64" s="207" t="str">
        <f>IF(OR(B64="",E64=""),"",IFERROR(IF(E64&gt;INDEX('Slit to Tube Conversion'!$D:$D,MATCH(B64,'Slit to Tube Conversion'!$C:$C,0)),"⚠ EXCEEDS FG ("&amp;INDEX('Slit to Tube Conversion'!$D:$D,MATCH(B64,'Slit to Tube Conversion'!$C:$C,0))&amp;")","✔ OK"),"Not in FG Conversion"))</f>
        <v/>
      </c>
    </row>
    <row r="65" spans="1:13">
      <c r="A65" s="251"/>
      <c r="B65" s="252"/>
      <c r="C65" s="254"/>
      <c r="D65" s="249" t="str">
        <f>IF(OR(B65="",E65=""),"",IFERROR(INDEX('Slit to Tube Conversion'!$D:$D,MATCH(B65,'Slit to Tube Conversion'!$C:$C,0))-SUMIFS($E$3:E65,$B$3:B65,B65),""))</f>
        <v/>
      </c>
      <c r="E65" s="253"/>
      <c r="F65" t="str">
        <f t="shared" si="1"/>
        <v/>
      </c>
      <c r="G65" s="198" t="str">
        <f t="shared" si="0"/>
        <v/>
      </c>
      <c r="H65" s="242"/>
      <c r="I65" s="202" t="str">
        <f>IF(OR(B65="",C65=""),"",IFERROR(INDEX('Slit to Tube Conversion'!$H:$H,MATCH(B65,'Slit to Tube Conversion'!$C:$C,0))/INDEX('Slit to Tube Conversion'!$D:$D,MATCH(B65,'Slit to Tube Conversion'!$C:$C,0)),""))</f>
        <v/>
      </c>
      <c r="J65" s="203" t="str">
        <f>IF(OR(B65="",E65="",I65=""),"",I65*E65)</f>
        <v/>
      </c>
      <c r="K65" s="204" t="str">
        <f>IF(B65="","",IF(COUNTIF('Coil to Slit'!$D:$D,B65)&gt;0,"✔ Valid","⚠ Not in Coil to Slit"))</f>
        <v/>
      </c>
      <c r="L65" s="205" t="str">
        <f>IF(OR(G65="",B65=""),"",IF(COUNTIFS($G$3:G65,G65,$B$3:B65,B65)&gt;1,"⚠ DUPLICATE",""))</f>
        <v/>
      </c>
      <c r="M65" s="207" t="str">
        <f>IF(OR(B65="",E65=""),"",IFERROR(IF(E65&gt;INDEX('Slit to Tube Conversion'!$D:$D,MATCH(B65,'Slit to Tube Conversion'!$C:$C,0)),"⚠ EXCEEDS FG ("&amp;INDEX('Slit to Tube Conversion'!$D:$D,MATCH(B65,'Slit to Tube Conversion'!$C:$C,0))&amp;")","✔ OK"),"Not in FG Conversion"))</f>
        <v/>
      </c>
    </row>
    <row r="66" spans="1:13">
      <c r="A66" s="251"/>
      <c r="B66" s="252"/>
      <c r="C66" s="254"/>
      <c r="D66" s="249" t="str">
        <f>IF(OR(B66="",E66=""),"",IFERROR(INDEX('Slit to Tube Conversion'!$D:$D,MATCH(B66,'Slit to Tube Conversion'!$C:$C,0))-SUMIFS($E$3:E66,$B$3:B66,B66),""))</f>
        <v/>
      </c>
      <c r="E66" s="253"/>
      <c r="F66" t="str">
        <f t="shared" si="1"/>
        <v/>
      </c>
      <c r="G66" s="198" t="str">
        <f t="shared" si="0"/>
        <v/>
      </c>
      <c r="H66" s="242"/>
      <c r="I66" s="202" t="str">
        <f>IF(OR(B66="",C66=""),"",IFERROR(INDEX('Slit to Tube Conversion'!$H:$H,MATCH(B66,'Slit to Tube Conversion'!$C:$C,0))/INDEX('Slit to Tube Conversion'!$D:$D,MATCH(B66,'Slit to Tube Conversion'!$C:$C,0)),""))</f>
        <v/>
      </c>
      <c r="J66" s="203" t="str">
        <f>IF(OR(B66="",E66="",I66=""),"",I66*E66)</f>
        <v/>
      </c>
      <c r="K66" s="204" t="str">
        <f>IF(B66="","",IF(COUNTIF('Coil to Slit'!$D:$D,B66)&gt;0,"✔ Valid","⚠ Not in Coil to Slit"))</f>
        <v/>
      </c>
      <c r="L66" s="205" t="str">
        <f>IF(OR(G66="",B66=""),"",IF(COUNTIFS($G$3:G66,G66,$B$3:B66,B66)&gt;1,"⚠ DUPLICATE",""))</f>
        <v/>
      </c>
      <c r="M66" s="207" t="str">
        <f>IF(OR(B66="",E66=""),"",IFERROR(IF(E66&gt;INDEX('Slit to Tube Conversion'!$D:$D,MATCH(B66,'Slit to Tube Conversion'!$C:$C,0)),"⚠ EXCEEDS FG ("&amp;INDEX('Slit to Tube Conversion'!$D:$D,MATCH(B66,'Slit to Tube Conversion'!$C:$C,0))&amp;")","✔ OK"),"Not in FG Conversion"))</f>
        <v/>
      </c>
    </row>
    <row r="67" spans="1:13">
      <c r="A67" s="251"/>
      <c r="B67" s="252"/>
      <c r="C67" s="254"/>
      <c r="D67" s="249" t="str">
        <f>IF(OR(B67="",E67=""),"",IFERROR(INDEX('Slit to Tube Conversion'!$D:$D,MATCH(B67,'Slit to Tube Conversion'!$C:$C,0))-SUMIFS($E$3:E67,$B$3:B67,B67),""))</f>
        <v/>
      </c>
      <c r="E67" s="253"/>
      <c r="F67" t="str">
        <f t="shared" si="1"/>
        <v/>
      </c>
      <c r="G67" s="198" t="str">
        <f t="shared" si="0"/>
        <v/>
      </c>
      <c r="H67" s="242"/>
      <c r="I67" s="202" t="str">
        <f>IF(OR(B67="",C67=""),"",IFERROR(INDEX('Slit to Tube Conversion'!$H:$H,MATCH(B67,'Slit to Tube Conversion'!$C:$C,0))/INDEX('Slit to Tube Conversion'!$D:$D,MATCH(B67,'Slit to Tube Conversion'!$C:$C,0)),""))</f>
        <v/>
      </c>
      <c r="J67" s="203" t="str">
        <f>IF(OR(B67="",E67="",I67=""),"",I67*E67)</f>
        <v/>
      </c>
      <c r="K67" s="204" t="str">
        <f>IF(B67="","",IF(COUNTIF('Coil to Slit'!$D:$D,B67)&gt;0,"✔ Valid","⚠ Not in Coil to Slit"))</f>
        <v/>
      </c>
      <c r="L67" s="205" t="str">
        <f>IF(OR(G67="",B67=""),"",IF(COUNTIFS($G$3:G67,G67,$B$3:B67,B67)&gt;1,"⚠ DUPLICATE",""))</f>
        <v/>
      </c>
      <c r="M67" s="207" t="str">
        <f>IF(OR(B67="",E67=""),"",IFERROR(IF(E67&gt;INDEX('Slit to Tube Conversion'!$D:$D,MATCH(B67,'Slit to Tube Conversion'!$C:$C,0)),"⚠ EXCEEDS FG ("&amp;INDEX('Slit to Tube Conversion'!$D:$D,MATCH(B67,'Slit to Tube Conversion'!$C:$C,0))&amp;")","✔ OK"),"Not in FG Conversion"))</f>
        <v/>
      </c>
    </row>
    <row r="68" spans="1:13">
      <c r="A68" s="251"/>
      <c r="B68" s="252"/>
      <c r="C68" s="254"/>
      <c r="D68" s="249" t="str">
        <f>IF(OR(B68="",E68=""),"",IFERROR(INDEX('Slit to Tube Conversion'!$D:$D,MATCH(B68,'Slit to Tube Conversion'!$C:$C,0))-SUMIFS($E$3:E68,$B$3:B68,B68),""))</f>
        <v/>
      </c>
      <c r="E68" s="253"/>
      <c r="F68" t="str">
        <f t="shared" si="1"/>
        <v/>
      </c>
      <c r="G68" s="198" t="str">
        <f t="shared" si="0"/>
        <v/>
      </c>
      <c r="H68" s="242"/>
      <c r="I68" s="202" t="str">
        <f>IF(OR(B68="",C68=""),"",IFERROR(INDEX('Slit to Tube Conversion'!$H:$H,MATCH(B68,'Slit to Tube Conversion'!$C:$C,0))/INDEX('Slit to Tube Conversion'!$D:$D,MATCH(B68,'Slit to Tube Conversion'!$C:$C,0)),""))</f>
        <v/>
      </c>
      <c r="J68" s="203" t="str">
        <f>IF(OR(B68="",E68="",I68=""),"",I68*E68)</f>
        <v/>
      </c>
      <c r="K68" s="204" t="str">
        <f>IF(B68="","",IF(COUNTIF('Coil to Slit'!$D:$D,B68)&gt;0,"✔ Valid","⚠ Not in Coil to Slit"))</f>
        <v/>
      </c>
      <c r="L68" s="205" t="str">
        <f>IF(OR(G68="",B68=""),"",IF(COUNTIFS($G$3:G68,G68,$B$3:B68,B68)&gt;1,"⚠ DUPLICATE",""))</f>
        <v/>
      </c>
      <c r="M68" s="207" t="str">
        <f>IF(OR(B68="",E68=""),"",IFERROR(IF(E68&gt;INDEX('Slit to Tube Conversion'!$D:$D,MATCH(B68,'Slit to Tube Conversion'!$C:$C,0)),"⚠ EXCEEDS FG ("&amp;INDEX('Slit to Tube Conversion'!$D:$D,MATCH(B68,'Slit to Tube Conversion'!$C:$C,0))&amp;")","✔ OK"),"Not in FG Conversion"))</f>
        <v/>
      </c>
    </row>
    <row r="69" spans="1:13">
      <c r="A69" s="251"/>
      <c r="B69" s="252"/>
      <c r="C69" s="254"/>
      <c r="D69" s="249" t="str">
        <f>IF(OR(B69="",E69=""),"",IFERROR(INDEX('Slit to Tube Conversion'!$D:$D,MATCH(B69,'Slit to Tube Conversion'!$C:$C,0))-SUMIFS($E$3:E69,$B$3:B69,B69),""))</f>
        <v/>
      </c>
      <c r="E69" s="253"/>
      <c r="F69" t="str">
        <f t="shared" si="1"/>
        <v/>
      </c>
      <c r="G69" s="198" t="str">
        <f t="shared" si="0"/>
        <v/>
      </c>
      <c r="H69" s="242"/>
      <c r="I69" s="202" t="str">
        <f>IF(OR(B69="",C69=""),"",IFERROR(INDEX('Slit to Tube Conversion'!$H:$H,MATCH(B69,'Slit to Tube Conversion'!$C:$C,0))/INDEX('Slit to Tube Conversion'!$D:$D,MATCH(B69,'Slit to Tube Conversion'!$C:$C,0)),""))</f>
        <v/>
      </c>
      <c r="J69" s="203" t="str">
        <f>IF(OR(B69="",E69="",I69=""),"",I69*E69)</f>
        <v/>
      </c>
      <c r="K69" s="204" t="str">
        <f>IF(B69="","",IF(COUNTIF('Coil to Slit'!$D:$D,B69)&gt;0,"✔ Valid","⚠ Not in Coil to Slit"))</f>
        <v/>
      </c>
      <c r="L69" s="205" t="str">
        <f>IF(OR(G69="",B69=""),"",IF(COUNTIFS($G$3:G69,G69,$B$3:B69,B69)&gt;1,"⚠ DUPLICATE",""))</f>
        <v/>
      </c>
      <c r="M69" s="207" t="str">
        <f>IF(OR(B69="",E69=""),"",IFERROR(IF(E69&gt;INDEX('Slit to Tube Conversion'!$D:$D,MATCH(B69,'Slit to Tube Conversion'!$C:$C,0)),"⚠ EXCEEDS FG ("&amp;INDEX('Slit to Tube Conversion'!$D:$D,MATCH(B69,'Slit to Tube Conversion'!$C:$C,0))&amp;")","✔ OK"),"Not in FG Conversion"))</f>
        <v/>
      </c>
    </row>
    <row r="70" spans="1:13">
      <c r="A70" s="251"/>
      <c r="B70" s="252"/>
      <c r="C70" s="254"/>
      <c r="D70" s="249" t="str">
        <f>IF(OR(B70="",E70=""),"",IFERROR(INDEX('Slit to Tube Conversion'!$D:$D,MATCH(B70,'Slit to Tube Conversion'!$C:$C,0))-SUMIFS($E$3:E70,$B$3:B70,B70),""))</f>
        <v/>
      </c>
      <c r="E70" s="253"/>
      <c r="F70" t="str">
        <f t="shared" si="1"/>
        <v/>
      </c>
      <c r="G70" s="198" t="str">
        <f t="shared" si="0"/>
        <v/>
      </c>
      <c r="H70" s="242"/>
      <c r="I70" s="202" t="str">
        <f>IF(OR(B70="",C70=""),"",IFERROR(INDEX('Slit to Tube Conversion'!$H:$H,MATCH(B70,'Slit to Tube Conversion'!$C:$C,0))/INDEX('Slit to Tube Conversion'!$D:$D,MATCH(B70,'Slit to Tube Conversion'!$C:$C,0)),""))</f>
        <v/>
      </c>
      <c r="J70" s="203" t="str">
        <f>IF(OR(B70="",E70="",I70=""),"",I70*E70)</f>
        <v/>
      </c>
      <c r="K70" s="204" t="str">
        <f>IF(B70="","",IF(COUNTIF('Coil to Slit'!$D:$D,B70)&gt;0,"✔ Valid","⚠ Not in Coil to Slit"))</f>
        <v/>
      </c>
      <c r="L70" s="205" t="str">
        <f>IF(OR(G70="",B70=""),"",IF(COUNTIFS($G$3:G70,G70,$B$3:B70,B70)&gt;1,"⚠ DUPLICATE",""))</f>
        <v/>
      </c>
      <c r="M70" s="207" t="str">
        <f>IF(OR(B70="",E70=""),"",IFERROR(IF(E70&gt;INDEX('Slit to Tube Conversion'!$D:$D,MATCH(B70,'Slit to Tube Conversion'!$C:$C,0)),"⚠ EXCEEDS FG ("&amp;INDEX('Slit to Tube Conversion'!$D:$D,MATCH(B70,'Slit to Tube Conversion'!$C:$C,0))&amp;")","✔ OK"),"Not in FG Conversion"))</f>
        <v/>
      </c>
    </row>
    <row r="71" spans="1:13">
      <c r="A71" s="251"/>
      <c r="B71" s="252"/>
      <c r="C71" s="254"/>
      <c r="D71" s="249" t="str">
        <f>IF(OR(B71="",E71=""),"",IFERROR(INDEX('Slit to Tube Conversion'!$D:$D,MATCH(B71,'Slit to Tube Conversion'!$C:$C,0))-SUMIFS($E$3:E71,$B$3:B71,B71),""))</f>
        <v/>
      </c>
      <c r="E71" s="253"/>
      <c r="F71" t="str">
        <f t="shared" si="1"/>
        <v/>
      </c>
      <c r="G71" s="198" t="str">
        <f t="shared" si="0"/>
        <v/>
      </c>
      <c r="H71" s="242"/>
      <c r="I71" s="202" t="str">
        <f>IF(OR(B71="",C71=""),"",IFERROR(INDEX('Slit to Tube Conversion'!$H:$H,MATCH(B71,'Slit to Tube Conversion'!$C:$C,0))/INDEX('Slit to Tube Conversion'!$D:$D,MATCH(B71,'Slit to Tube Conversion'!$C:$C,0)),""))</f>
        <v/>
      </c>
      <c r="J71" s="203" t="str">
        <f>IF(OR(B71="",E71="",I71=""),"",I71*E71)</f>
        <v/>
      </c>
      <c r="K71" s="204" t="str">
        <f>IF(B71="","",IF(COUNTIF('Coil to Slit'!$D:$D,B71)&gt;0,"✔ Valid","⚠ Not in Coil to Slit"))</f>
        <v/>
      </c>
      <c r="L71" s="205" t="str">
        <f>IF(OR(G71="",B71=""),"",IF(COUNTIFS($G$3:G71,G71,$B$3:B71,B71)&gt;1,"⚠ DUPLICATE",""))</f>
        <v/>
      </c>
      <c r="M71" s="207" t="str">
        <f>IF(OR(B71="",E71=""),"",IFERROR(IF(E71&gt;INDEX('Slit to Tube Conversion'!$D:$D,MATCH(B71,'Slit to Tube Conversion'!$C:$C,0)),"⚠ EXCEEDS FG ("&amp;INDEX('Slit to Tube Conversion'!$D:$D,MATCH(B71,'Slit to Tube Conversion'!$C:$C,0))&amp;")","✔ OK"),"Not in FG Conversion"))</f>
        <v/>
      </c>
    </row>
    <row r="72" spans="1:13">
      <c r="A72" s="251"/>
      <c r="B72" s="252"/>
      <c r="C72" s="254"/>
      <c r="D72" s="249" t="str">
        <f>IF(OR(B72="",E72=""),"",IFERROR(INDEX('Slit to Tube Conversion'!$D:$D,MATCH(B72,'Slit to Tube Conversion'!$C:$C,0))-SUMIFS($E$3:E72,$B$3:B72,B72),""))</f>
        <v/>
      </c>
      <c r="E72" s="253"/>
      <c r="F72" t="str">
        <f t="shared" si="1"/>
        <v/>
      </c>
      <c r="G72" s="198" t="str">
        <f t="shared" si="0"/>
        <v/>
      </c>
      <c r="H72" s="242"/>
      <c r="I72" s="202" t="str">
        <f>IF(OR(B72="",C72=""),"",IFERROR(INDEX('Slit to Tube Conversion'!$H:$H,MATCH(B72,'Slit to Tube Conversion'!$C:$C,0))/INDEX('Slit to Tube Conversion'!$D:$D,MATCH(B72,'Slit to Tube Conversion'!$C:$C,0)),""))</f>
        <v/>
      </c>
      <c r="J72" s="203" t="str">
        <f>IF(OR(B72="",E72="",I72=""),"",I72*E72)</f>
        <v/>
      </c>
      <c r="K72" s="204" t="str">
        <f>IF(B72="","",IF(COUNTIF('Coil to Slit'!$D:$D,B72)&gt;0,"✔ Valid","⚠ Not in Coil to Slit"))</f>
        <v/>
      </c>
      <c r="L72" s="205" t="str">
        <f>IF(OR(G72="",B72=""),"",IF(COUNTIFS($G$3:G72,G72,$B$3:B72,B72)&gt;1,"⚠ DUPLICATE",""))</f>
        <v/>
      </c>
      <c r="M72" s="207" t="str">
        <f>IF(OR(B72="",E72=""),"",IFERROR(IF(E72&gt;INDEX('Slit to Tube Conversion'!$D:$D,MATCH(B72,'Slit to Tube Conversion'!$C:$C,0)),"⚠ EXCEEDS FG ("&amp;INDEX('Slit to Tube Conversion'!$D:$D,MATCH(B72,'Slit to Tube Conversion'!$C:$C,0))&amp;")","✔ OK"),"Not in FG Conversion"))</f>
        <v/>
      </c>
    </row>
    <row r="73" spans="1:13">
      <c r="A73" s="251"/>
      <c r="B73" s="252"/>
      <c r="C73" s="254"/>
      <c r="D73" s="249" t="str">
        <f>IF(OR(B73="",E73=""),"",IFERROR(INDEX('Slit to Tube Conversion'!$D:$D,MATCH(B73,'Slit to Tube Conversion'!$C:$C,0))-SUMIFS($E$3:E73,$B$3:B73,B73),""))</f>
        <v/>
      </c>
      <c r="E73" s="253"/>
      <c r="F73" t="str">
        <f t="shared" si="1"/>
        <v/>
      </c>
      <c r="G73" s="198" t="str">
        <f t="shared" si="0"/>
        <v/>
      </c>
      <c r="H73" s="242"/>
      <c r="I73" s="202" t="str">
        <f>IF(OR(B73="",C73=""),"",IFERROR(INDEX('Slit to Tube Conversion'!$H:$H,MATCH(B73,'Slit to Tube Conversion'!$C:$C,0))/INDEX('Slit to Tube Conversion'!$D:$D,MATCH(B73,'Slit to Tube Conversion'!$C:$C,0)),""))</f>
        <v/>
      </c>
      <c r="J73" s="203" t="str">
        <f>IF(OR(B73="",E73="",I73=""),"",I73*E73)</f>
        <v/>
      </c>
      <c r="K73" s="204" t="str">
        <f>IF(B73="","",IF(COUNTIF('Coil to Slit'!$D:$D,B73)&gt;0,"✔ Valid","⚠ Not in Coil to Slit"))</f>
        <v/>
      </c>
      <c r="L73" s="205" t="str">
        <f>IF(OR(G73="",B73=""),"",IF(COUNTIFS($G$3:G73,G73,$B$3:B73,B73)&gt;1,"⚠ DUPLICATE",""))</f>
        <v/>
      </c>
      <c r="M73" s="207" t="str">
        <f>IF(OR(B73="",E73=""),"",IFERROR(IF(E73&gt;INDEX('Slit to Tube Conversion'!$D:$D,MATCH(B73,'Slit to Tube Conversion'!$C:$C,0)),"⚠ EXCEEDS FG ("&amp;INDEX('Slit to Tube Conversion'!$D:$D,MATCH(B73,'Slit to Tube Conversion'!$C:$C,0))&amp;")","✔ OK"),"Not in FG Conversion"))</f>
        <v/>
      </c>
    </row>
    <row r="74" spans="1:13">
      <c r="A74" s="251"/>
      <c r="B74" s="252"/>
      <c r="C74" s="254"/>
      <c r="D74" s="249" t="str">
        <f>IF(OR(B74="",E74=""),"",IFERROR(INDEX('Slit to Tube Conversion'!$D:$D,MATCH(B74,'Slit to Tube Conversion'!$C:$C,0))-SUMIFS($E$3:E74,$B$3:B74,B74),""))</f>
        <v/>
      </c>
      <c r="E74" s="253"/>
      <c r="F74" t="str">
        <f t="shared" si="1"/>
        <v/>
      </c>
      <c r="G74" s="198" t="str">
        <f t="shared" si="0"/>
        <v/>
      </c>
      <c r="H74" s="242"/>
      <c r="I74" s="202" t="str">
        <f>IF(OR(B74="",C74=""),"",IFERROR(INDEX('Slit to Tube Conversion'!$H:$H,MATCH(B74,'Slit to Tube Conversion'!$C:$C,0))/INDEX('Slit to Tube Conversion'!$D:$D,MATCH(B74,'Slit to Tube Conversion'!$C:$C,0)),""))</f>
        <v/>
      </c>
      <c r="J74" s="203" t="str">
        <f>IF(OR(B74="",E74="",I74=""),"",I74*E74)</f>
        <v/>
      </c>
      <c r="K74" s="204" t="str">
        <f>IF(B74="","",IF(COUNTIF('Coil to Slit'!$D:$D,B74)&gt;0,"✔ Valid","⚠ Not in Coil to Slit"))</f>
        <v/>
      </c>
      <c r="L74" s="205" t="str">
        <f>IF(OR(G74="",B74=""),"",IF(COUNTIFS($G$3:G74,G74,$B$3:B74,B74)&gt;1,"⚠ DUPLICATE",""))</f>
        <v/>
      </c>
      <c r="M74" s="207" t="str">
        <f>IF(OR(B74="",E74=""),"",IFERROR(IF(E74&gt;INDEX('Slit to Tube Conversion'!$D:$D,MATCH(B74,'Slit to Tube Conversion'!$C:$C,0)),"⚠ EXCEEDS FG ("&amp;INDEX('Slit to Tube Conversion'!$D:$D,MATCH(B74,'Slit to Tube Conversion'!$C:$C,0))&amp;")","✔ OK"),"Not in FG Conversion"))</f>
        <v/>
      </c>
    </row>
    <row r="75" spans="1:13">
      <c r="A75" s="251"/>
      <c r="B75" s="252"/>
      <c r="C75" s="254"/>
      <c r="D75" s="249" t="str">
        <f>IF(OR(B75="",E75=""),"",IFERROR(INDEX('Slit to Tube Conversion'!$D:$D,MATCH(B75,'Slit to Tube Conversion'!$C:$C,0))-SUMIFS($E$3:E75,$B$3:B75,B75),""))</f>
        <v/>
      </c>
      <c r="E75" s="253"/>
      <c r="F75" t="str">
        <f t="shared" si="1"/>
        <v/>
      </c>
      <c r="G75" s="198" t="str">
        <f t="shared" si="0"/>
        <v/>
      </c>
      <c r="H75" s="242"/>
      <c r="I75" s="202" t="str">
        <f>IF(OR(B75="",C75=""),"",IFERROR(INDEX('Slit to Tube Conversion'!$H:$H,MATCH(B75,'Slit to Tube Conversion'!$C:$C,0))/INDEX('Slit to Tube Conversion'!$D:$D,MATCH(B75,'Slit to Tube Conversion'!$C:$C,0)),""))</f>
        <v/>
      </c>
      <c r="J75" s="203" t="str">
        <f>IF(OR(B75="",E75="",I75=""),"",I75*E75)</f>
        <v/>
      </c>
      <c r="K75" s="204" t="str">
        <f>IF(B75="","",IF(COUNTIF('Coil to Slit'!$D:$D,B75)&gt;0,"✔ Valid","⚠ Not in Coil to Slit"))</f>
        <v/>
      </c>
      <c r="L75" s="205" t="str">
        <f>IF(OR(G75="",B75=""),"",IF(COUNTIFS($G$3:G75,G75,$B$3:B75,B75)&gt;1,"⚠ DUPLICATE",""))</f>
        <v/>
      </c>
      <c r="M75" s="207" t="str">
        <f>IF(OR(B75="",E75=""),"",IFERROR(IF(E75&gt;INDEX('Slit to Tube Conversion'!$D:$D,MATCH(B75,'Slit to Tube Conversion'!$C:$C,0)),"⚠ EXCEEDS FG ("&amp;INDEX('Slit to Tube Conversion'!$D:$D,MATCH(B75,'Slit to Tube Conversion'!$C:$C,0))&amp;")","✔ OK"),"Not in FG Conversion"))</f>
        <v/>
      </c>
    </row>
    <row r="76" spans="1:13">
      <c r="A76" s="251"/>
      <c r="B76" s="252"/>
      <c r="C76" s="253"/>
      <c r="D76" s="253" t="str">
        <f>IF(OR(B76="",E76=""),"",IFERROR(INDEX('Slit to Tube Conversion'!$D:$D,MATCH(B76,'Slit to Tube Conversion'!$C:$C,0))-SUMIFS($E$3:E76,$B$3:B76,B76),""))</f>
        <v/>
      </c>
      <c r="E76" s="253"/>
      <c r="F76" t="str">
        <f t="shared" si="1"/>
        <v/>
      </c>
      <c r="G76" s="198" t="str">
        <f t="shared" si="0"/>
        <v/>
      </c>
      <c r="H76" s="242"/>
      <c r="I76" s="202" t="str">
        <f>IF(OR(B76="",C76=""),"",IFERROR(INDEX('Slit to Tube Conversion'!$H:$H,MATCH(B76,'Slit to Tube Conversion'!$C:$C,0))/INDEX('Slit to Tube Conversion'!$D:$D,MATCH(B76,'Slit to Tube Conversion'!$C:$C,0)),""))</f>
        <v/>
      </c>
      <c r="J76" s="203" t="str">
        <f>IF(OR(B76="",E76="",I76=""),"",I76*E76)</f>
        <v/>
      </c>
      <c r="K76" s="204" t="str">
        <f>IF(B76="","",IF(COUNTIF('Coil to Slit'!$D:$D,B76)&gt;0,"✔ Valid","⚠ Not in Coil to Slit"))</f>
        <v/>
      </c>
      <c r="L76" s="205" t="str">
        <f>IF(OR(G76="",B76=""),"",IF(COUNTIFS($G$3:G76,G76,$B$3:B76,B76)&gt;1,"⚠ DUPLICATE",""))</f>
        <v/>
      </c>
      <c r="M76" s="207" t="str">
        <f>IF(OR(B76="",E76=""),"",IFERROR(IF(E76&gt;INDEX('Slit to Tube Conversion'!$D:$D,MATCH(B76,'Slit to Tube Conversion'!$C:$C,0)),"⚠ EXCEEDS FG ("&amp;INDEX('Slit to Tube Conversion'!$D:$D,MATCH(B76,'Slit to Tube Conversion'!$C:$C,0))&amp;")","✔ OK"),"Not in FG Conversion"))</f>
        <v/>
      </c>
    </row>
    <row r="77" spans="1:13">
      <c r="A77" s="251"/>
      <c r="B77" s="252"/>
      <c r="C77" s="253"/>
      <c r="D77" s="253" t="str">
        <f>IF(OR(B77="",E77=""),"",IFERROR(INDEX('Slit to Tube Conversion'!$D:$D,MATCH(B77,'Slit to Tube Conversion'!$C:$C,0))-SUMIFS($E$3:E77,$B$3:B77,B77),""))</f>
        <v/>
      </c>
      <c r="E77" s="253"/>
      <c r="F77" t="str">
        <f t="shared" si="1"/>
        <v/>
      </c>
      <c r="G77" s="198" t="str">
        <f t="shared" si="0"/>
        <v/>
      </c>
      <c r="H77" s="242"/>
      <c r="I77" s="202" t="str">
        <f>IF(OR(B77="",C77=""),"",IFERROR(INDEX('Slit to Tube Conversion'!$H:$H,MATCH(B77,'Slit to Tube Conversion'!$C:$C,0))/INDEX('Slit to Tube Conversion'!$D:$D,MATCH(B77,'Slit to Tube Conversion'!$C:$C,0)),""))</f>
        <v/>
      </c>
      <c r="J77" s="203" t="str">
        <f>IF(OR(B77="",E77="",I77=""),"",I77*E77)</f>
        <v/>
      </c>
      <c r="K77" s="204" t="str">
        <f>IF(B77="","",IF(COUNTIF('Coil to Slit'!$D:$D,B77)&gt;0,"✔ Valid","⚠ Not in Coil to Slit"))</f>
        <v/>
      </c>
      <c r="L77" s="205" t="str">
        <f>IF(OR(G77="",B77=""),"",IF(COUNTIFS($G$3:G77,G77,$B$3:B77,B77)&gt;1,"⚠ DUPLICATE",""))</f>
        <v/>
      </c>
      <c r="M77" s="207" t="str">
        <f>IF(OR(B77="",E77=""),"",IFERROR(IF(E77&gt;INDEX('Slit to Tube Conversion'!$D:$D,MATCH(B77,'Slit to Tube Conversion'!$C:$C,0)),"⚠ EXCEEDS FG ("&amp;INDEX('Slit to Tube Conversion'!$D:$D,MATCH(B77,'Slit to Tube Conversion'!$C:$C,0))&amp;")","✔ OK"),"Not in FG Conversion"))</f>
        <v/>
      </c>
    </row>
    <row r="78" spans="1:13">
      <c r="A78" s="251"/>
      <c r="B78" s="252"/>
      <c r="C78" s="253"/>
      <c r="D78" s="253" t="str">
        <f>IF(OR(B78="",E78=""),"",IFERROR(INDEX('Slit to Tube Conversion'!$D:$D,MATCH(B78,'Slit to Tube Conversion'!$C:$C,0))-SUMIFS($E$3:E78,$B$3:B78,B78),""))</f>
        <v/>
      </c>
      <c r="E78" s="253"/>
      <c r="F78" t="str">
        <f t="shared" si="1"/>
        <v/>
      </c>
      <c r="G78" s="198" t="str">
        <f t="shared" si="0"/>
        <v/>
      </c>
      <c r="H78" s="242"/>
      <c r="I78" s="202" t="str">
        <f>IF(OR(B78="",C78=""),"",IFERROR(INDEX('Slit to Tube Conversion'!$H:$H,MATCH(B78,'Slit to Tube Conversion'!$C:$C,0))/INDEX('Slit to Tube Conversion'!$D:$D,MATCH(B78,'Slit to Tube Conversion'!$C:$C,0)),""))</f>
        <v/>
      </c>
      <c r="J78" s="203" t="str">
        <f>IF(OR(B78="",E78="",I78=""),"",I78*E78)</f>
        <v/>
      </c>
      <c r="K78" s="204" t="str">
        <f>IF(B78="","",IF(COUNTIF('Coil to Slit'!$D:$D,B78)&gt;0,"✔ Valid","⚠ Not in Coil to Slit"))</f>
        <v/>
      </c>
      <c r="L78" s="205" t="str">
        <f>IF(OR(G78="",B78=""),"",IF(COUNTIFS($G$3:G78,G78,$B$3:B78,B78)&gt;1,"⚠ DUPLICATE",""))</f>
        <v/>
      </c>
      <c r="M78" s="207" t="str">
        <f>IF(OR(B78="",E78=""),"",IFERROR(IF(E78&gt;INDEX('Slit to Tube Conversion'!$D:$D,MATCH(B78,'Slit to Tube Conversion'!$C:$C,0)),"⚠ EXCEEDS FG ("&amp;INDEX('Slit to Tube Conversion'!$D:$D,MATCH(B78,'Slit to Tube Conversion'!$C:$C,0))&amp;")","✔ OK"),"Not in FG Conversion"))</f>
        <v/>
      </c>
    </row>
    <row r="79" spans="1:13">
      <c r="A79" s="251"/>
      <c r="B79" s="252"/>
      <c r="C79" s="253"/>
      <c r="D79" s="253" t="str">
        <f>IF(OR(B79="",E79=""),"",IFERROR(INDEX('Slit to Tube Conversion'!$D:$D,MATCH(B79,'Slit to Tube Conversion'!$C:$C,0))-SUMIFS($E$3:E79,$B$3:B79,B79),""))</f>
        <v/>
      </c>
      <c r="E79" s="253"/>
      <c r="F79" t="str">
        <f t="shared" si="1"/>
        <v/>
      </c>
      <c r="G79" s="198" t="str">
        <f t="shared" si="0"/>
        <v/>
      </c>
      <c r="H79" s="242"/>
      <c r="I79" s="202" t="str">
        <f>IF(OR(B79="",C79=""),"",IFERROR(INDEX('Slit to Tube Conversion'!$H:$H,MATCH(B79,'Slit to Tube Conversion'!$C:$C,0))/INDEX('Slit to Tube Conversion'!$D:$D,MATCH(B79,'Slit to Tube Conversion'!$C:$C,0)),""))</f>
        <v/>
      </c>
      <c r="J79" s="203" t="str">
        <f>IF(OR(B79="",E79="",I79=""),"",I79*E79)</f>
        <v/>
      </c>
      <c r="K79" s="204" t="str">
        <f>IF(B79="","",IF(COUNTIF('Coil to Slit'!$D:$D,B79)&gt;0,"✔ Valid","⚠ Not in Coil to Slit"))</f>
        <v/>
      </c>
      <c r="L79" s="205" t="str">
        <f>IF(OR(G79="",B79=""),"",IF(COUNTIFS($G$3:G79,G79,$B$3:B79,B79)&gt;1,"⚠ DUPLICATE",""))</f>
        <v/>
      </c>
      <c r="M79" s="207" t="str">
        <f>IF(OR(B79="",E79=""),"",IFERROR(IF(E79&gt;INDEX('Slit to Tube Conversion'!$D:$D,MATCH(B79,'Slit to Tube Conversion'!$C:$C,0)),"⚠ EXCEEDS FG ("&amp;INDEX('Slit to Tube Conversion'!$D:$D,MATCH(B79,'Slit to Tube Conversion'!$C:$C,0))&amp;")","✔ OK"),"Not in FG Conversion"))</f>
        <v/>
      </c>
    </row>
    <row r="80" spans="1:13">
      <c r="A80" s="251"/>
      <c r="B80" s="252"/>
      <c r="C80" s="253"/>
      <c r="D80" s="253" t="str">
        <f>IF(OR(B80="",E80=""),"",IFERROR(INDEX('Slit to Tube Conversion'!$D:$D,MATCH(B80,'Slit to Tube Conversion'!$C:$C,0))-SUMIFS($E$3:E80,$B$3:B80,B80),""))</f>
        <v/>
      </c>
      <c r="E80" s="253"/>
      <c r="F80" t="str">
        <f t="shared" si="1"/>
        <v/>
      </c>
      <c r="G80" s="198" t="str">
        <f t="shared" si="0"/>
        <v/>
      </c>
      <c r="H80" s="242"/>
      <c r="I80" s="202" t="str">
        <f>IF(OR(B80="",C80=""),"",IFERROR(INDEX('Slit to Tube Conversion'!$H:$H,MATCH(B80,'Slit to Tube Conversion'!$C:$C,0))/INDEX('Slit to Tube Conversion'!$D:$D,MATCH(B80,'Slit to Tube Conversion'!$C:$C,0)),""))</f>
        <v/>
      </c>
      <c r="J80" s="203" t="str">
        <f>IF(OR(B80="",E80="",I80=""),"",I80*E80)</f>
        <v/>
      </c>
      <c r="K80" s="204" t="str">
        <f>IF(B80="","",IF(COUNTIF('Coil to Slit'!$D:$D,B80)&gt;0,"✔ Valid","⚠ Not in Coil to Slit"))</f>
        <v/>
      </c>
      <c r="L80" s="205" t="str">
        <f>IF(OR(G80="",B80=""),"",IF(COUNTIFS($G$3:G80,G80,$B$3:B80,B80)&gt;1,"⚠ DUPLICATE",""))</f>
        <v/>
      </c>
      <c r="M80" s="207" t="str">
        <f>IF(OR(B80="",E80=""),"",IFERROR(IF(E80&gt;INDEX('Slit to Tube Conversion'!$D:$D,MATCH(B80,'Slit to Tube Conversion'!$C:$C,0)),"⚠ EXCEEDS FG ("&amp;INDEX('Slit to Tube Conversion'!$D:$D,MATCH(B80,'Slit to Tube Conversion'!$C:$C,0))&amp;")","✔ OK"),"Not in FG Conversion"))</f>
        <v/>
      </c>
    </row>
    <row r="81" spans="1:13">
      <c r="A81" s="251"/>
      <c r="B81" s="252"/>
      <c r="C81" s="253"/>
      <c r="D81" s="253" t="str">
        <f>IF(OR(B81="",E81=""),"",IFERROR(INDEX('Slit to Tube Conversion'!$D:$D,MATCH(B81,'Slit to Tube Conversion'!$C:$C,0))-SUMIFS($E$3:E81,$B$3:B81,B81),""))</f>
        <v/>
      </c>
      <c r="E81" s="253"/>
      <c r="F81" t="str">
        <f t="shared" si="1"/>
        <v/>
      </c>
      <c r="G81" s="198" t="str">
        <f t="shared" si="0"/>
        <v/>
      </c>
      <c r="H81" s="242"/>
      <c r="I81" s="202" t="str">
        <f>IF(OR(B81="",C81=""),"",IFERROR(INDEX('Slit to Tube Conversion'!$H:$H,MATCH(B81,'Slit to Tube Conversion'!$C:$C,0))/INDEX('Slit to Tube Conversion'!$D:$D,MATCH(B81,'Slit to Tube Conversion'!$C:$C,0)),""))</f>
        <v/>
      </c>
      <c r="J81" s="203" t="str">
        <f>IF(OR(B81="",E81="",I81=""),"",I81*E81)</f>
        <v/>
      </c>
      <c r="K81" s="204" t="str">
        <f>IF(B81="","",IF(COUNTIF('Coil to Slit'!$D:$D,B81)&gt;0,"✔ Valid","⚠ Not in Coil to Slit"))</f>
        <v/>
      </c>
      <c r="L81" s="205" t="str">
        <f>IF(OR(G81="",B81=""),"",IF(COUNTIFS($G$3:G81,G81,$B$3:B81,B81)&gt;1,"⚠ DUPLICATE",""))</f>
        <v/>
      </c>
      <c r="M81" s="207" t="str">
        <f>IF(OR(B81="",E81=""),"",IFERROR(IF(E81&gt;INDEX('Slit to Tube Conversion'!$D:$D,MATCH(B81,'Slit to Tube Conversion'!$C:$C,0)),"⚠ EXCEEDS FG ("&amp;INDEX('Slit to Tube Conversion'!$D:$D,MATCH(B81,'Slit to Tube Conversion'!$C:$C,0))&amp;")","✔ OK"),"Not in FG Conversion"))</f>
        <v/>
      </c>
    </row>
    <row r="82" spans="1:13">
      <c r="A82" s="251"/>
      <c r="B82" s="252"/>
      <c r="C82" s="253"/>
      <c r="D82" s="253" t="str">
        <f>IF(OR(B82="",E82=""),"",IFERROR(INDEX('Slit to Tube Conversion'!$D:$D,MATCH(B82,'Slit to Tube Conversion'!$C:$C,0))-SUMIFS($E$3:E82,$B$3:B82,B82),""))</f>
        <v/>
      </c>
      <c r="E82" s="253"/>
      <c r="F82" t="str">
        <f t="shared" si="1"/>
        <v/>
      </c>
      <c r="G82" s="198" t="str">
        <f t="shared" si="0"/>
        <v/>
      </c>
      <c r="H82" s="242"/>
      <c r="I82" s="202" t="str">
        <f>IF(OR(B82="",C82=""),"",IFERROR(INDEX('Slit to Tube Conversion'!$H:$H,MATCH(B82,'Slit to Tube Conversion'!$C:$C,0))/INDEX('Slit to Tube Conversion'!$D:$D,MATCH(B82,'Slit to Tube Conversion'!$C:$C,0)),""))</f>
        <v/>
      </c>
      <c r="J82" s="203" t="str">
        <f>IF(OR(B82="",E82="",I82=""),"",I82*E82)</f>
        <v/>
      </c>
      <c r="K82" s="204" t="str">
        <f>IF(B82="","",IF(COUNTIF('Coil to Slit'!$D:$D,B82)&gt;0,"✔ Valid","⚠ Not in Coil to Slit"))</f>
        <v/>
      </c>
      <c r="L82" s="205" t="str">
        <f>IF(OR(G82="",B82=""),"",IF(COUNTIFS($G$3:G82,G82,$B$3:B82,B82)&gt;1,"⚠ DUPLICATE",""))</f>
        <v/>
      </c>
      <c r="M82" s="207" t="str">
        <f>IF(OR(B82="",E82=""),"",IFERROR(IF(E82&gt;INDEX('Slit to Tube Conversion'!$D:$D,MATCH(B82,'Slit to Tube Conversion'!$C:$C,0)),"⚠ EXCEEDS FG ("&amp;INDEX('Slit to Tube Conversion'!$D:$D,MATCH(B82,'Slit to Tube Conversion'!$C:$C,0))&amp;")","✔ OK"),"Not in FG Conversion"))</f>
        <v/>
      </c>
    </row>
    <row r="83" spans="1:13">
      <c r="A83" s="251"/>
      <c r="B83" s="252"/>
      <c r="C83" s="253"/>
      <c r="D83" s="253" t="str">
        <f>IF(OR(B83="",E83=""),"",IFERROR(INDEX('Slit to Tube Conversion'!$D:$D,MATCH(B83,'Slit to Tube Conversion'!$C:$C,0))-SUMIFS($E$3:E83,$B$3:B83,B83),""))</f>
        <v/>
      </c>
      <c r="E83" s="253"/>
      <c r="F83" t="str">
        <f t="shared" si="1"/>
        <v/>
      </c>
      <c r="G83" s="198" t="str">
        <f t="shared" si="0"/>
        <v/>
      </c>
      <c r="H83" s="242"/>
      <c r="I83" s="202" t="str">
        <f>IF(OR(B83="",C83=""),"",IFERROR(INDEX('Slit to Tube Conversion'!$H:$H,MATCH(B83,'Slit to Tube Conversion'!$C:$C,0))/INDEX('Slit to Tube Conversion'!$D:$D,MATCH(B83,'Slit to Tube Conversion'!$C:$C,0)),""))</f>
        <v/>
      </c>
      <c r="J83" s="203" t="str">
        <f>IF(OR(B83="",E83="",I83=""),"",I83*E83)</f>
        <v/>
      </c>
      <c r="K83" s="204" t="str">
        <f>IF(B83="","",IF(COUNTIF('Coil to Slit'!$D:$D,B83)&gt;0,"✔ Valid","⚠ Not in Coil to Slit"))</f>
        <v/>
      </c>
      <c r="L83" s="205" t="str">
        <f>IF(OR(G83="",B83=""),"",IF(COUNTIFS($G$3:G83,G83,$B$3:B83,B83)&gt;1,"⚠ DUPLICATE",""))</f>
        <v/>
      </c>
      <c r="M83" s="207" t="str">
        <f>IF(OR(B83="",E83=""),"",IFERROR(IF(E83&gt;INDEX('Slit to Tube Conversion'!$D:$D,MATCH(B83,'Slit to Tube Conversion'!$C:$C,0)),"⚠ EXCEEDS FG ("&amp;INDEX('Slit to Tube Conversion'!$D:$D,MATCH(B83,'Slit to Tube Conversion'!$C:$C,0))&amp;")","✔ OK"),"Not in FG Conversion"))</f>
        <v/>
      </c>
    </row>
    <row r="84" spans="1:13">
      <c r="A84" s="251"/>
      <c r="B84" s="252"/>
      <c r="C84" s="253"/>
      <c r="D84" s="253" t="str">
        <f>IF(OR(B84="",E84=""),"",IFERROR(INDEX('Slit to Tube Conversion'!$D:$D,MATCH(B84,'Slit to Tube Conversion'!$C:$C,0))-SUMIFS($E$3:E84,$B$3:B84,B84),""))</f>
        <v/>
      </c>
      <c r="E84" s="253"/>
      <c r="F84" t="str">
        <f t="shared" si="1"/>
        <v/>
      </c>
      <c r="G84" s="198" t="str">
        <f t="shared" si="0"/>
        <v/>
      </c>
      <c r="H84" s="242"/>
      <c r="I84" s="202" t="str">
        <f>IF(OR(B84="",C84=""),"",IFERROR(INDEX('Slit to Tube Conversion'!$H:$H,MATCH(B84,'Slit to Tube Conversion'!$C:$C,0))/INDEX('Slit to Tube Conversion'!$D:$D,MATCH(B84,'Slit to Tube Conversion'!$C:$C,0)),""))</f>
        <v/>
      </c>
      <c r="J84" s="203" t="str">
        <f>IF(OR(B84="",E84="",I84=""),"",I84*E84)</f>
        <v/>
      </c>
      <c r="K84" s="204" t="str">
        <f>IF(B84="","",IF(COUNTIF('Coil to Slit'!$D:$D,B84)&gt;0,"✔ Valid","⚠ Not in Coil to Slit"))</f>
        <v/>
      </c>
      <c r="L84" s="205" t="str">
        <f>IF(OR(G84="",B84=""),"",IF(COUNTIFS($G$3:G84,G84,$B$3:B84,B84)&gt;1,"⚠ DUPLICATE",""))</f>
        <v/>
      </c>
      <c r="M84" s="207" t="str">
        <f>IF(OR(B84="",E84=""),"",IFERROR(IF(E84&gt;INDEX('Slit to Tube Conversion'!$D:$D,MATCH(B84,'Slit to Tube Conversion'!$C:$C,0)),"⚠ EXCEEDS FG ("&amp;INDEX('Slit to Tube Conversion'!$D:$D,MATCH(B84,'Slit to Tube Conversion'!$C:$C,0))&amp;")","✔ OK"),"Not in FG Conversion"))</f>
        <v/>
      </c>
    </row>
    <row r="85" spans="1:13">
      <c r="A85" s="251"/>
      <c r="B85" s="252"/>
      <c r="C85" s="253"/>
      <c r="D85" s="253" t="str">
        <f>IF(OR(B85="",E85=""),"",IFERROR(INDEX('Slit to Tube Conversion'!$D:$D,MATCH(B85,'Slit to Tube Conversion'!$C:$C,0))-SUMIFS($E$3:E85,$B$3:B85,B85),""))</f>
        <v/>
      </c>
      <c r="E85" s="253"/>
      <c r="F85" t="str">
        <f t="shared" si="1"/>
        <v/>
      </c>
      <c r="G85" s="198" t="str">
        <f t="shared" ref="G85:G117" si="2">IF(F85="","","BND-"&amp;F85)</f>
        <v/>
      </c>
      <c r="H85" s="242"/>
      <c r="I85" s="202" t="str">
        <f>IF(OR(B85="",C85=""),"",IFERROR(INDEX('Slit to Tube Conversion'!$H:$H,MATCH(B85,'Slit to Tube Conversion'!$C:$C,0))/INDEX('Slit to Tube Conversion'!$D:$D,MATCH(B85,'Slit to Tube Conversion'!$C:$C,0)),""))</f>
        <v/>
      </c>
      <c r="J85" s="203" t="str">
        <f>IF(OR(B85="",E85="",I85=""),"",I85*E85)</f>
        <v/>
      </c>
      <c r="K85" s="204" t="str">
        <f>IF(B85="","",IF(COUNTIF('Coil to Slit'!$D:$D,B85)&gt;0,"✔ Valid","⚠ Not in Coil to Slit"))</f>
        <v/>
      </c>
      <c r="L85" s="205" t="str">
        <f>IF(OR(G85="",B85=""),"",IF(COUNTIFS($G$3:G85,G85,$B$3:B85,B85)&gt;1,"⚠ DUPLICATE",""))</f>
        <v/>
      </c>
      <c r="M85" s="207" t="str">
        <f>IF(OR(B85="",E85=""),"",IFERROR(IF(E85&gt;INDEX('Slit to Tube Conversion'!$D:$D,MATCH(B85,'Slit to Tube Conversion'!$C:$C,0)),"⚠ EXCEEDS FG ("&amp;INDEX('Slit to Tube Conversion'!$D:$D,MATCH(B85,'Slit to Tube Conversion'!$C:$C,0))&amp;")","✔ OK"),"Not in FG Conversion"))</f>
        <v/>
      </c>
    </row>
    <row r="86" spans="1:13">
      <c r="A86" s="251"/>
      <c r="B86" s="252"/>
      <c r="C86" s="253"/>
      <c r="D86" s="253" t="str">
        <f>IF(OR(B86="",E86=""),"",IFERROR(INDEX('Slit to Tube Conversion'!$D:$D,MATCH(B86,'Slit to Tube Conversion'!$C:$C,0))-SUMIFS($E$3:E86,$B$3:B86,B86),""))</f>
        <v/>
      </c>
      <c r="E86" s="253"/>
      <c r="F86" t="str">
        <f t="shared" si="1"/>
        <v/>
      </c>
      <c r="G86" s="198" t="str">
        <f t="shared" si="2"/>
        <v/>
      </c>
      <c r="H86" s="242"/>
      <c r="I86" s="202" t="str">
        <f>IF(OR(B86="",C86=""),"",IFERROR(INDEX('Slit to Tube Conversion'!$H:$H,MATCH(B86,'Slit to Tube Conversion'!$C:$C,0))/INDEX('Slit to Tube Conversion'!$D:$D,MATCH(B86,'Slit to Tube Conversion'!$C:$C,0)),""))</f>
        <v/>
      </c>
      <c r="J86" s="203" t="str">
        <f>IF(OR(B86="",E86="",I86=""),"",I86*E86)</f>
        <v/>
      </c>
      <c r="K86" s="204" t="str">
        <f>IF(B86="","",IF(COUNTIF('Coil to Slit'!$D:$D,B86)&gt;0,"✔ Valid","⚠ Not in Coil to Slit"))</f>
        <v/>
      </c>
      <c r="L86" s="205" t="str">
        <f>IF(OR(G86="",B86=""),"",IF(COUNTIFS($G$3:G86,G86,$B$3:B86,B86)&gt;1,"⚠ DUPLICATE",""))</f>
        <v/>
      </c>
      <c r="M86" s="207" t="str">
        <f>IF(OR(B86="",E86=""),"",IFERROR(IF(E86&gt;INDEX('Slit to Tube Conversion'!$D:$D,MATCH(B86,'Slit to Tube Conversion'!$C:$C,0)),"⚠ EXCEEDS FG ("&amp;INDEX('Slit to Tube Conversion'!$D:$D,MATCH(B86,'Slit to Tube Conversion'!$C:$C,0))&amp;")","✔ OK"),"Not in FG Conversion"))</f>
        <v/>
      </c>
    </row>
    <row r="87" spans="1:13">
      <c r="A87" s="251"/>
      <c r="B87" s="252"/>
      <c r="C87" s="253"/>
      <c r="D87" s="253" t="str">
        <f>IF(OR(B87="",E87=""),"",IFERROR(INDEX('Slit to Tube Conversion'!$D:$D,MATCH(B87,'Slit to Tube Conversion'!$C:$C,0))-SUMIFS($E$3:E87,$B$3:B87,B87),""))</f>
        <v/>
      </c>
      <c r="E87" s="253"/>
      <c r="F87" t="str">
        <f t="shared" si="1"/>
        <v/>
      </c>
      <c r="G87" s="198" t="str">
        <f t="shared" si="2"/>
        <v/>
      </c>
      <c r="H87" s="242"/>
      <c r="I87" s="202" t="str">
        <f>IF(OR(B87="",C87=""),"",IFERROR(INDEX('Slit to Tube Conversion'!$H:$H,MATCH(B87,'Slit to Tube Conversion'!$C:$C,0))/INDEX('Slit to Tube Conversion'!$D:$D,MATCH(B87,'Slit to Tube Conversion'!$C:$C,0)),""))</f>
        <v/>
      </c>
      <c r="J87" s="203" t="str">
        <f>IF(OR(B87="",E87="",I87=""),"",I87*E87)</f>
        <v/>
      </c>
      <c r="K87" s="204" t="str">
        <f>IF(B87="","",IF(COUNTIF('Coil to Slit'!$D:$D,B87)&gt;0,"✔ Valid","⚠ Not in Coil to Slit"))</f>
        <v/>
      </c>
      <c r="L87" s="205" t="str">
        <f>IF(OR(G87="",B87=""),"",IF(COUNTIFS($G$3:G87,G87,$B$3:B87,B87)&gt;1,"⚠ DUPLICATE",""))</f>
        <v/>
      </c>
      <c r="M87" s="207" t="str">
        <f>IF(OR(B87="",E87=""),"",IFERROR(IF(E87&gt;INDEX('Slit to Tube Conversion'!$D:$D,MATCH(B87,'Slit to Tube Conversion'!$C:$C,0)),"⚠ EXCEEDS FG ("&amp;INDEX('Slit to Tube Conversion'!$D:$D,MATCH(B87,'Slit to Tube Conversion'!$C:$C,0))&amp;")","✔ OK"),"Not in FG Conversion"))</f>
        <v/>
      </c>
    </row>
    <row r="88" spans="1:13">
      <c r="A88" s="251"/>
      <c r="B88" s="252"/>
      <c r="C88" s="253"/>
      <c r="D88" s="253" t="str">
        <f>IF(OR(B88="",E88=""),"",IFERROR(INDEX('Slit to Tube Conversion'!$D:$D,MATCH(B88,'Slit to Tube Conversion'!$C:$C,0))-SUMIFS($E$3:E88,$B$3:B88,B88),""))</f>
        <v/>
      </c>
      <c r="E88" s="253"/>
      <c r="F88" t="str">
        <f t="shared" si="1"/>
        <v/>
      </c>
      <c r="G88" s="198" t="str">
        <f t="shared" si="2"/>
        <v/>
      </c>
      <c r="H88" s="242"/>
      <c r="I88" s="202" t="str">
        <f>IF(OR(B88="",C88=""),"",IFERROR(INDEX('Slit to Tube Conversion'!$H:$H,MATCH(B88,'Slit to Tube Conversion'!$C:$C,0))/INDEX('Slit to Tube Conversion'!$D:$D,MATCH(B88,'Slit to Tube Conversion'!$C:$C,0)),""))</f>
        <v/>
      </c>
      <c r="J88" s="203" t="str">
        <f>IF(OR(B88="",E88="",I88=""),"",I88*E88)</f>
        <v/>
      </c>
      <c r="K88" s="204" t="str">
        <f>IF(B88="","",IF(COUNTIF('Coil to Slit'!$D:$D,B88)&gt;0,"✔ Valid","⚠ Not in Coil to Slit"))</f>
        <v/>
      </c>
      <c r="L88" s="205" t="str">
        <f>IF(OR(G88="",B88=""),"",IF(COUNTIFS($G$3:G88,G88,$B$3:B88,B88)&gt;1,"⚠ DUPLICATE",""))</f>
        <v/>
      </c>
      <c r="M88" s="207" t="str">
        <f>IF(OR(B88="",E88=""),"",IFERROR(IF(E88&gt;INDEX('Slit to Tube Conversion'!$D:$D,MATCH(B88,'Slit to Tube Conversion'!$C:$C,0)),"⚠ EXCEEDS FG ("&amp;INDEX('Slit to Tube Conversion'!$D:$D,MATCH(B88,'Slit to Tube Conversion'!$C:$C,0))&amp;")","✔ OK"),"Not in FG Conversion"))</f>
        <v/>
      </c>
    </row>
    <row r="89" spans="1:13">
      <c r="A89" s="251"/>
      <c r="B89" s="252"/>
      <c r="C89" s="253"/>
      <c r="D89" s="253" t="str">
        <f>IF(OR(B89="",E89=""),"",IFERROR(INDEX('Slit to Tube Conversion'!$D:$D,MATCH(B89,'Slit to Tube Conversion'!$C:$C,0))-SUMIFS($E$3:E89,$B$3:B89,B89),""))</f>
        <v/>
      </c>
      <c r="E89" s="253"/>
      <c r="F89" t="str">
        <f t="shared" si="1"/>
        <v/>
      </c>
      <c r="G89" s="198" t="str">
        <f t="shared" si="2"/>
        <v/>
      </c>
      <c r="H89" s="242"/>
      <c r="I89" s="202" t="str">
        <f>IF(OR(B89="",C89=""),"",IFERROR(INDEX('Slit to Tube Conversion'!$H:$H,MATCH(B89,'Slit to Tube Conversion'!$C:$C,0))/INDEX('Slit to Tube Conversion'!$D:$D,MATCH(B89,'Slit to Tube Conversion'!$C:$C,0)),""))</f>
        <v/>
      </c>
      <c r="J89" s="203" t="str">
        <f>IF(OR(B89="",E89="",I89=""),"",I89*E89)</f>
        <v/>
      </c>
      <c r="K89" s="204" t="str">
        <f>IF(B89="","",IF(COUNTIF('Coil to Slit'!$D:$D,B89)&gt;0,"✔ Valid","⚠ Not in Coil to Slit"))</f>
        <v/>
      </c>
      <c r="L89" s="205" t="str">
        <f>IF(OR(G89="",B89=""),"",IF(COUNTIFS($G$3:G89,G89,$B$3:B89,B89)&gt;1,"⚠ DUPLICATE",""))</f>
        <v/>
      </c>
      <c r="M89" s="207" t="str">
        <f>IF(OR(B89="",E89=""),"",IFERROR(IF(E89&gt;INDEX('Slit to Tube Conversion'!$D:$D,MATCH(B89,'Slit to Tube Conversion'!$C:$C,0)),"⚠ EXCEEDS FG ("&amp;INDEX('Slit to Tube Conversion'!$D:$D,MATCH(B89,'Slit to Tube Conversion'!$C:$C,0))&amp;")","✔ OK"),"Not in FG Conversion"))</f>
        <v/>
      </c>
    </row>
    <row r="90" spans="1:13">
      <c r="A90" s="251"/>
      <c r="B90" s="252"/>
      <c r="C90" s="253"/>
      <c r="D90" s="253" t="str">
        <f>IF(OR(B90="",E90=""),"",IFERROR(INDEX('Slit to Tube Conversion'!$D:$D,MATCH(B90,'Slit to Tube Conversion'!$C:$C,0))-SUMIFS($E$3:E90,$B$3:B90,B90),""))</f>
        <v/>
      </c>
      <c r="E90" s="253"/>
      <c r="F90" t="str">
        <f t="shared" si="1"/>
        <v/>
      </c>
      <c r="G90" s="198" t="str">
        <f t="shared" si="2"/>
        <v/>
      </c>
      <c r="H90" s="242"/>
      <c r="I90" s="202" t="str">
        <f>IF(OR(B90="",C90=""),"",IFERROR(INDEX('Slit to Tube Conversion'!$H:$H,MATCH(B90,'Slit to Tube Conversion'!$C:$C,0))/INDEX('Slit to Tube Conversion'!$D:$D,MATCH(B90,'Slit to Tube Conversion'!$C:$C,0)),""))</f>
        <v/>
      </c>
      <c r="J90" s="203" t="str">
        <f>IF(OR(B90="",E90="",I90=""),"",I90*E90)</f>
        <v/>
      </c>
      <c r="K90" s="204" t="str">
        <f>IF(B90="","",IF(COUNTIF('Coil to Slit'!$D:$D,B90)&gt;0,"✔ Valid","⚠ Not in Coil to Slit"))</f>
        <v/>
      </c>
      <c r="L90" s="205" t="str">
        <f>IF(OR(G90="",B90=""),"",IF(COUNTIFS($G$3:G90,G90,$B$3:B90,B90)&gt;1,"⚠ DUPLICATE",""))</f>
        <v/>
      </c>
      <c r="M90" s="207" t="str">
        <f>IF(OR(B90="",E90=""),"",IFERROR(IF(E90&gt;INDEX('Slit to Tube Conversion'!$D:$D,MATCH(B90,'Slit to Tube Conversion'!$C:$C,0)),"⚠ EXCEEDS FG ("&amp;INDEX('Slit to Tube Conversion'!$D:$D,MATCH(B90,'Slit to Tube Conversion'!$C:$C,0))&amp;")","✔ OK"),"Not in FG Conversion"))</f>
        <v/>
      </c>
    </row>
    <row r="91" spans="1:13">
      <c r="A91" s="251"/>
      <c r="B91" s="252"/>
      <c r="C91" s="253"/>
      <c r="D91" s="253" t="str">
        <f>IF(OR(B91="",E91=""),"",IFERROR(INDEX('Slit to Tube Conversion'!$D:$D,MATCH(B91,'Slit to Tube Conversion'!$C:$C,0))-SUMIFS($E$3:E91,$B$3:B91,B91),""))</f>
        <v/>
      </c>
      <c r="E91" s="253"/>
      <c r="F91" t="str">
        <f t="shared" si="1"/>
        <v/>
      </c>
      <c r="G91" s="198" t="str">
        <f t="shared" si="2"/>
        <v/>
      </c>
      <c r="H91" s="242"/>
      <c r="I91" s="202" t="str">
        <f>IF(OR(B91="",C91=""),"",IFERROR(INDEX('Slit to Tube Conversion'!$H:$H,MATCH(B91,'Slit to Tube Conversion'!$C:$C,0))/INDEX('Slit to Tube Conversion'!$D:$D,MATCH(B91,'Slit to Tube Conversion'!$C:$C,0)),""))</f>
        <v/>
      </c>
      <c r="J91" s="203" t="str">
        <f>IF(OR(B91="",E91="",I91=""),"",I91*E91)</f>
        <v/>
      </c>
      <c r="K91" s="204" t="str">
        <f>IF(B91="","",IF(COUNTIF('Coil to Slit'!$D:$D,B91)&gt;0,"✔ Valid","⚠ Not in Coil to Slit"))</f>
        <v/>
      </c>
      <c r="L91" s="205" t="str">
        <f>IF(OR(G91="",B91=""),"",IF(COUNTIFS($G$3:G91,G91,$B$3:B91,B91)&gt;1,"⚠ DUPLICATE",""))</f>
        <v/>
      </c>
      <c r="M91" s="207" t="str">
        <f>IF(OR(B91="",E91=""),"",IFERROR(IF(E91&gt;INDEX('Slit to Tube Conversion'!$D:$D,MATCH(B91,'Slit to Tube Conversion'!$C:$C,0)),"⚠ EXCEEDS FG ("&amp;INDEX('Slit to Tube Conversion'!$D:$D,MATCH(B91,'Slit to Tube Conversion'!$C:$C,0))&amp;")","✔ OK"),"Not in FG Conversion"))</f>
        <v/>
      </c>
    </row>
    <row r="92" spans="1:13">
      <c r="A92" s="251"/>
      <c r="B92" s="252"/>
      <c r="C92" s="253"/>
      <c r="D92" s="253" t="str">
        <f>IF(OR(B92="",E92=""),"",IFERROR(INDEX('Slit to Tube Conversion'!$D:$D,MATCH(B92,'Slit to Tube Conversion'!$C:$C,0))-SUMIFS($E$3:E92,$B$3:B92,B92),""))</f>
        <v/>
      </c>
      <c r="E92" s="253"/>
      <c r="F92" t="str">
        <f t="shared" ref="F92:F117" si="3">IF(B92="","",F91+1)</f>
        <v/>
      </c>
      <c r="G92" s="198" t="str">
        <f t="shared" si="2"/>
        <v/>
      </c>
      <c r="H92" s="242"/>
      <c r="I92" s="202" t="str">
        <f>IF(OR(B92="",C92=""),"",IFERROR(INDEX('Slit to Tube Conversion'!$H:$H,MATCH(B92,'Slit to Tube Conversion'!$C:$C,0))/INDEX('Slit to Tube Conversion'!$D:$D,MATCH(B92,'Slit to Tube Conversion'!$C:$C,0)),""))</f>
        <v/>
      </c>
      <c r="J92" s="203" t="str">
        <f>IF(OR(B92="",E92="",I92=""),"",I92*E92)</f>
        <v/>
      </c>
      <c r="K92" s="204" t="str">
        <f>IF(B92="","",IF(COUNTIF('Coil to Slit'!$D:$D,B92)&gt;0,"✔ Valid","⚠ Not in Coil to Slit"))</f>
        <v/>
      </c>
      <c r="L92" s="205" t="str">
        <f>IF(OR(G92="",B92=""),"",IF(COUNTIFS($G$3:G92,G92,$B$3:B92,B92)&gt;1,"⚠ DUPLICATE",""))</f>
        <v/>
      </c>
      <c r="M92" s="207" t="str">
        <f>IF(OR(B92="",E92=""),"",IFERROR(IF(E92&gt;INDEX('Slit to Tube Conversion'!$D:$D,MATCH(B92,'Slit to Tube Conversion'!$C:$C,0)),"⚠ EXCEEDS FG ("&amp;INDEX('Slit to Tube Conversion'!$D:$D,MATCH(B92,'Slit to Tube Conversion'!$C:$C,0))&amp;")","✔ OK"),"Not in FG Conversion"))</f>
        <v/>
      </c>
    </row>
    <row r="93" spans="1:13">
      <c r="A93" s="251"/>
      <c r="B93" s="252"/>
      <c r="C93" s="253"/>
      <c r="D93" s="253" t="str">
        <f>IF(OR(B93="",E93=""),"",IFERROR(INDEX('Slit to Tube Conversion'!$D:$D,MATCH(B93,'Slit to Tube Conversion'!$C:$C,0))-SUMIFS($E$3:E93,$B$3:B93,B93),""))</f>
        <v/>
      </c>
      <c r="E93" s="253"/>
      <c r="F93" t="str">
        <f t="shared" si="3"/>
        <v/>
      </c>
      <c r="G93" s="198" t="str">
        <f t="shared" si="2"/>
        <v/>
      </c>
      <c r="H93" s="242"/>
      <c r="I93" s="202" t="str">
        <f>IF(OR(B93="",C93=""),"",IFERROR(INDEX('Slit to Tube Conversion'!$H:$H,MATCH(B93,'Slit to Tube Conversion'!$C:$C,0))/INDEX('Slit to Tube Conversion'!$D:$D,MATCH(B93,'Slit to Tube Conversion'!$C:$C,0)),""))</f>
        <v/>
      </c>
      <c r="J93" s="203" t="str">
        <f>IF(OR(B93="",E93="",I93=""),"",I93*E93)</f>
        <v/>
      </c>
      <c r="K93" s="204" t="str">
        <f>IF(B93="","",IF(COUNTIF('Coil to Slit'!$D:$D,B93)&gt;0,"✔ Valid","⚠ Not in Coil to Slit"))</f>
        <v/>
      </c>
      <c r="L93" s="205" t="str">
        <f>IF(OR(G93="",B93=""),"",IF(COUNTIFS($G$3:G93,G93,$B$3:B93,B93)&gt;1,"⚠ DUPLICATE",""))</f>
        <v/>
      </c>
      <c r="M93" s="207" t="str">
        <f>IF(OR(B93="",E93=""),"",IFERROR(IF(E93&gt;INDEX('Slit to Tube Conversion'!$D:$D,MATCH(B93,'Slit to Tube Conversion'!$C:$C,0)),"⚠ EXCEEDS FG ("&amp;INDEX('Slit to Tube Conversion'!$D:$D,MATCH(B93,'Slit to Tube Conversion'!$C:$C,0))&amp;")","✔ OK"),"Not in FG Conversion"))</f>
        <v/>
      </c>
    </row>
    <row r="94" spans="1:13">
      <c r="A94" s="251"/>
      <c r="B94" s="252"/>
      <c r="C94" s="253"/>
      <c r="D94" s="253" t="str">
        <f>IF(OR(B94="",E94=""),"",IFERROR(INDEX('Slit to Tube Conversion'!$D:$D,MATCH(B94,'Slit to Tube Conversion'!$C:$C,0))-SUMIFS($E$3:E94,$B$3:B94,B94),""))</f>
        <v/>
      </c>
      <c r="E94" s="253"/>
      <c r="F94" t="str">
        <f t="shared" si="3"/>
        <v/>
      </c>
      <c r="G94" s="198" t="str">
        <f t="shared" si="2"/>
        <v/>
      </c>
      <c r="H94" s="242"/>
      <c r="I94" s="202" t="str">
        <f>IF(OR(B94="",C94=""),"",IFERROR(INDEX('Slit to Tube Conversion'!$H:$H,MATCH(B94,'Slit to Tube Conversion'!$C:$C,0))/INDEX('Slit to Tube Conversion'!$D:$D,MATCH(B94,'Slit to Tube Conversion'!$C:$C,0)),""))</f>
        <v/>
      </c>
      <c r="J94" s="203" t="str">
        <f>IF(OR(B94="",E94="",I94=""),"",I94*E94)</f>
        <v/>
      </c>
      <c r="K94" s="204" t="str">
        <f>IF(B94="","",IF(COUNTIF('Coil to Slit'!$D:$D,B94)&gt;0,"✔ Valid","⚠ Not in Coil to Slit"))</f>
        <v/>
      </c>
      <c r="L94" s="205" t="str">
        <f>IF(OR(G94="",B94=""),"",IF(COUNTIFS($G$3:G94,G94,$B$3:B94,B94)&gt;1,"⚠ DUPLICATE",""))</f>
        <v/>
      </c>
      <c r="M94" s="207" t="str">
        <f>IF(OR(B94="",E94=""),"",IFERROR(IF(E94&gt;INDEX('Slit to Tube Conversion'!$D:$D,MATCH(B94,'Slit to Tube Conversion'!$C:$C,0)),"⚠ EXCEEDS FG ("&amp;INDEX('Slit to Tube Conversion'!$D:$D,MATCH(B94,'Slit to Tube Conversion'!$C:$C,0))&amp;")","✔ OK"),"Not in FG Conversion"))</f>
        <v/>
      </c>
    </row>
    <row r="95" spans="1:13">
      <c r="A95" s="251"/>
      <c r="B95" s="252"/>
      <c r="C95" s="253"/>
      <c r="D95" s="253" t="str">
        <f>IF(OR(B95="",E95=""),"",IFERROR(INDEX('Slit to Tube Conversion'!$D:$D,MATCH(B95,'Slit to Tube Conversion'!$C:$C,0))-SUMIFS($E$3:E95,$B$3:B95,B95),""))</f>
        <v/>
      </c>
      <c r="E95" s="253"/>
      <c r="F95" t="str">
        <f t="shared" si="3"/>
        <v/>
      </c>
      <c r="G95" s="198" t="str">
        <f t="shared" si="2"/>
        <v/>
      </c>
      <c r="H95" s="242"/>
      <c r="I95" s="202" t="str">
        <f>IF(OR(B95="",C95=""),"",IFERROR(INDEX('Slit to Tube Conversion'!$H:$H,MATCH(B95,'Slit to Tube Conversion'!$C:$C,0))/INDEX('Slit to Tube Conversion'!$D:$D,MATCH(B95,'Slit to Tube Conversion'!$C:$C,0)),""))</f>
        <v/>
      </c>
      <c r="J95" s="203" t="str">
        <f>IF(OR(B95="",E95="",I95=""),"",I95*E95)</f>
        <v/>
      </c>
      <c r="K95" s="204" t="str">
        <f>IF(B95="","",IF(COUNTIF('Coil to Slit'!$D:$D,B95)&gt;0,"✔ Valid","⚠ Not in Coil to Slit"))</f>
        <v/>
      </c>
      <c r="L95" s="205" t="str">
        <f>IF(OR(G95="",B95=""),"",IF(COUNTIFS($G$3:G95,G95,$B$3:B95,B95)&gt;1,"⚠ DUPLICATE",""))</f>
        <v/>
      </c>
      <c r="M95" s="207" t="str">
        <f>IF(OR(B95="",E95=""),"",IFERROR(IF(E95&gt;INDEX('Slit to Tube Conversion'!$D:$D,MATCH(B95,'Slit to Tube Conversion'!$C:$C,0)),"⚠ EXCEEDS FG ("&amp;INDEX('Slit to Tube Conversion'!$D:$D,MATCH(B95,'Slit to Tube Conversion'!$C:$C,0))&amp;")","✔ OK"),"Not in FG Conversion"))</f>
        <v/>
      </c>
    </row>
    <row r="96" spans="1:13">
      <c r="A96" s="251"/>
      <c r="B96" s="252"/>
      <c r="C96" s="253"/>
      <c r="D96" s="253" t="str">
        <f>IF(OR(B96="",E96=""),"",IFERROR(INDEX('Slit to Tube Conversion'!$D:$D,MATCH(B96,'Slit to Tube Conversion'!$C:$C,0))-SUMIFS($E$3:E96,$B$3:B96,B96),""))</f>
        <v/>
      </c>
      <c r="E96" s="253"/>
      <c r="F96" t="str">
        <f t="shared" si="3"/>
        <v/>
      </c>
      <c r="G96" s="198" t="str">
        <f t="shared" si="2"/>
        <v/>
      </c>
      <c r="H96" s="242"/>
      <c r="I96" s="202" t="str">
        <f>IF(OR(B96="",C96=""),"",IFERROR(INDEX('Slit to Tube Conversion'!$H:$H,MATCH(B96,'Slit to Tube Conversion'!$C:$C,0))/INDEX('Slit to Tube Conversion'!$D:$D,MATCH(B96,'Slit to Tube Conversion'!$C:$C,0)),""))</f>
        <v/>
      </c>
      <c r="J96" s="203" t="str">
        <f>IF(OR(B96="",E96="",I96=""),"",I96*E96)</f>
        <v/>
      </c>
      <c r="K96" s="204" t="str">
        <f>IF(B96="","",IF(COUNTIF('Coil to Slit'!$D:$D,B96)&gt;0,"✔ Valid","⚠ Not in Coil to Slit"))</f>
        <v/>
      </c>
      <c r="L96" s="205" t="str">
        <f>IF(OR(G96="",B96=""),"",IF(COUNTIFS($G$3:G96,G96,$B$3:B96,B96)&gt;1,"⚠ DUPLICATE",""))</f>
        <v/>
      </c>
      <c r="M96" s="207" t="str">
        <f>IF(OR(B96="",E96=""),"",IFERROR(IF(E96&gt;INDEX('Slit to Tube Conversion'!$D:$D,MATCH(B96,'Slit to Tube Conversion'!$C:$C,0)),"⚠ EXCEEDS FG ("&amp;INDEX('Slit to Tube Conversion'!$D:$D,MATCH(B96,'Slit to Tube Conversion'!$C:$C,0))&amp;")","✔ OK"),"Not in FG Conversion"))</f>
        <v/>
      </c>
    </row>
    <row r="97" spans="1:13">
      <c r="A97" s="251"/>
      <c r="B97" s="252"/>
      <c r="C97" s="253"/>
      <c r="D97" s="253" t="str">
        <f>IF(OR(B97="",E97=""),"",IFERROR(INDEX('Slit to Tube Conversion'!$D:$D,MATCH(B97,'Slit to Tube Conversion'!$C:$C,0))-SUMIFS($E$3:E97,$B$3:B97,B97),""))</f>
        <v/>
      </c>
      <c r="E97" s="253"/>
      <c r="F97" t="str">
        <f t="shared" si="3"/>
        <v/>
      </c>
      <c r="G97" s="198" t="str">
        <f t="shared" si="2"/>
        <v/>
      </c>
      <c r="H97" s="242"/>
      <c r="I97" s="202" t="str">
        <f>IF(OR(B97="",C97=""),"",IFERROR(INDEX('Slit to Tube Conversion'!$H:$H,MATCH(B97,'Slit to Tube Conversion'!$C:$C,0))/INDEX('Slit to Tube Conversion'!$D:$D,MATCH(B97,'Slit to Tube Conversion'!$C:$C,0)),""))</f>
        <v/>
      </c>
      <c r="J97" s="203" t="str">
        <f>IF(OR(B97="",E97="",I97=""),"",I97*E97)</f>
        <v/>
      </c>
      <c r="K97" s="204" t="str">
        <f>IF(B97="","",IF(COUNTIF('Coil to Slit'!$D:$D,B97)&gt;0,"✔ Valid","⚠ Not in Coil to Slit"))</f>
        <v/>
      </c>
      <c r="L97" s="205" t="str">
        <f>IF(OR(G97="",B97=""),"",IF(COUNTIFS($G$3:G97,G97,$B$3:B97,B97)&gt;1,"⚠ DUPLICATE",""))</f>
        <v/>
      </c>
      <c r="M97" s="207" t="str">
        <f>IF(OR(B97="",E97=""),"",IFERROR(IF(E97&gt;INDEX('Slit to Tube Conversion'!$D:$D,MATCH(B97,'Slit to Tube Conversion'!$C:$C,0)),"⚠ EXCEEDS FG ("&amp;INDEX('Slit to Tube Conversion'!$D:$D,MATCH(B97,'Slit to Tube Conversion'!$C:$C,0))&amp;")","✔ OK"),"Not in FG Conversion"))</f>
        <v/>
      </c>
    </row>
    <row r="98" spans="1:13">
      <c r="A98" s="251"/>
      <c r="B98" s="252"/>
      <c r="C98" s="253"/>
      <c r="D98" s="253" t="str">
        <f>IF(OR(B98="",E98=""),"",IFERROR(INDEX('Slit to Tube Conversion'!$D:$D,MATCH(B98,'Slit to Tube Conversion'!$C:$C,0))-SUMIFS($E$3:E98,$B$3:B98,B98),""))</f>
        <v/>
      </c>
      <c r="E98" s="253"/>
      <c r="F98" t="str">
        <f t="shared" si="3"/>
        <v/>
      </c>
      <c r="G98" s="198" t="str">
        <f t="shared" si="2"/>
        <v/>
      </c>
      <c r="H98" s="242"/>
      <c r="I98" s="202" t="str">
        <f>IF(OR(B98="",C98=""),"",IFERROR(INDEX('Slit to Tube Conversion'!$H:$H,MATCH(B98,'Slit to Tube Conversion'!$C:$C,0))/INDEX('Slit to Tube Conversion'!$D:$D,MATCH(B98,'Slit to Tube Conversion'!$C:$C,0)),""))</f>
        <v/>
      </c>
      <c r="J98" s="203" t="str">
        <f>IF(OR(B98="",E98="",I98=""),"",I98*E98)</f>
        <v/>
      </c>
      <c r="K98" s="204" t="str">
        <f>IF(B98="","",IF(COUNTIF('Coil to Slit'!$D:$D,B98)&gt;0,"✔ Valid","⚠ Not in Coil to Slit"))</f>
        <v/>
      </c>
      <c r="L98" s="205" t="str">
        <f>IF(OR(G98="",B98=""),"",IF(COUNTIFS($G$3:G98,G98,$B$3:B98,B98)&gt;1,"⚠ DUPLICATE",""))</f>
        <v/>
      </c>
      <c r="M98" s="207" t="str">
        <f>IF(OR(B98="",E98=""),"",IFERROR(IF(E98&gt;INDEX('Slit to Tube Conversion'!$D:$D,MATCH(B98,'Slit to Tube Conversion'!$C:$C,0)),"⚠ EXCEEDS FG ("&amp;INDEX('Slit to Tube Conversion'!$D:$D,MATCH(B98,'Slit to Tube Conversion'!$C:$C,0))&amp;")","✔ OK"),"Not in FG Conversion"))</f>
        <v/>
      </c>
    </row>
    <row r="99" spans="1:13">
      <c r="A99" s="251"/>
      <c r="B99" s="252"/>
      <c r="C99" s="253"/>
      <c r="D99" s="253" t="str">
        <f>IF(OR(B99="",E99=""),"",IFERROR(INDEX('Slit to Tube Conversion'!$D:$D,MATCH(B99,'Slit to Tube Conversion'!$C:$C,0))-SUMIFS($E$3:E99,$B$3:B99,B99),""))</f>
        <v/>
      </c>
      <c r="E99" s="253"/>
      <c r="F99" t="str">
        <f t="shared" si="3"/>
        <v/>
      </c>
      <c r="G99" s="198" t="str">
        <f t="shared" si="2"/>
        <v/>
      </c>
      <c r="H99" s="242"/>
      <c r="I99" s="202" t="str">
        <f>IF(OR(B99="",C99=""),"",IFERROR(INDEX('Slit to Tube Conversion'!$H:$H,MATCH(B99,'Slit to Tube Conversion'!$C:$C,0))/INDEX('Slit to Tube Conversion'!$D:$D,MATCH(B99,'Slit to Tube Conversion'!$C:$C,0)),""))</f>
        <v/>
      </c>
      <c r="J99" s="203" t="str">
        <f>IF(OR(B99="",E99="",I99=""),"",I99*E99)</f>
        <v/>
      </c>
      <c r="K99" s="204" t="str">
        <f>IF(B99="","",IF(COUNTIF('Coil to Slit'!$D:$D,B99)&gt;0,"✔ Valid","⚠ Not in Coil to Slit"))</f>
        <v/>
      </c>
      <c r="L99" s="205" t="str">
        <f>IF(OR(G99="",B99=""),"",IF(COUNTIFS($G$3:G99,G99,$B$3:B99,B99)&gt;1,"⚠ DUPLICATE",""))</f>
        <v/>
      </c>
      <c r="M99" s="207" t="str">
        <f>IF(OR(B99="",E99=""),"",IFERROR(IF(E99&gt;INDEX('Slit to Tube Conversion'!$D:$D,MATCH(B99,'Slit to Tube Conversion'!$C:$C,0)),"⚠ EXCEEDS FG ("&amp;INDEX('Slit to Tube Conversion'!$D:$D,MATCH(B99,'Slit to Tube Conversion'!$C:$C,0))&amp;")","✔ OK"),"Not in FG Conversion"))</f>
        <v/>
      </c>
    </row>
    <row r="100" spans="1:13">
      <c r="A100" s="251"/>
      <c r="B100" s="252"/>
      <c r="C100" s="253"/>
      <c r="D100" s="253" t="str">
        <f>IF(OR(B100="",E100=""),"",IFERROR(INDEX('Slit to Tube Conversion'!$D:$D,MATCH(B100,'Slit to Tube Conversion'!$C:$C,0))-SUMIFS($E$3:E100,$B$3:B100,B100),""))</f>
        <v/>
      </c>
      <c r="E100" s="253"/>
      <c r="F100" t="str">
        <f t="shared" si="3"/>
        <v/>
      </c>
      <c r="G100" s="198" t="str">
        <f t="shared" si="2"/>
        <v/>
      </c>
      <c r="H100" s="242"/>
      <c r="I100" s="202" t="str">
        <f>IF(OR(B100="",C100=""),"",IFERROR(INDEX('Slit to Tube Conversion'!$H:$H,MATCH(B100,'Slit to Tube Conversion'!$C:$C,0))/INDEX('Slit to Tube Conversion'!$D:$D,MATCH(B100,'Slit to Tube Conversion'!$C:$C,0)),""))</f>
        <v/>
      </c>
      <c r="J100" s="203" t="str">
        <f>IF(OR(B100="",E100="",I100=""),"",I100*E100)</f>
        <v/>
      </c>
      <c r="K100" s="204" t="str">
        <f>IF(B100="","",IF(COUNTIF('Coil to Slit'!$D:$D,B100)&gt;0,"✔ Valid","⚠ Not in Coil to Slit"))</f>
        <v/>
      </c>
      <c r="L100" s="205" t="str">
        <f>IF(OR(G100="",B100=""),"",IF(COUNTIFS($G$3:G100,G100,$B$3:B100,B100)&gt;1,"⚠ DUPLICATE",""))</f>
        <v/>
      </c>
      <c r="M100" s="207" t="str">
        <f>IF(OR(B100="",E100=""),"",IFERROR(IF(E100&gt;INDEX('Slit to Tube Conversion'!$D:$D,MATCH(B100,'Slit to Tube Conversion'!$C:$C,0)),"⚠ EXCEEDS FG ("&amp;INDEX('Slit to Tube Conversion'!$D:$D,MATCH(B100,'Slit to Tube Conversion'!$C:$C,0))&amp;")","✔ OK"),"Not in FG Conversion"))</f>
        <v/>
      </c>
    </row>
    <row r="101" spans="1:13">
      <c r="A101" s="251"/>
      <c r="B101" s="252"/>
      <c r="C101" s="253"/>
      <c r="D101" s="253" t="str">
        <f>IF(OR(B101="",E101=""),"",IFERROR(INDEX('Slit to Tube Conversion'!$D:$D,MATCH(B101,'Slit to Tube Conversion'!$C:$C,0))-SUMIFS($E$3:E101,$B$3:B101,B101),""))</f>
        <v/>
      </c>
      <c r="E101" s="253"/>
      <c r="F101" t="str">
        <f t="shared" si="3"/>
        <v/>
      </c>
      <c r="G101" s="198" t="str">
        <f t="shared" si="2"/>
        <v/>
      </c>
      <c r="H101" s="242"/>
      <c r="I101" s="202" t="str">
        <f>IF(OR(B101="",C101=""),"",IFERROR(INDEX('Slit to Tube Conversion'!$H:$H,MATCH(B101,'Slit to Tube Conversion'!$C:$C,0))/INDEX('Slit to Tube Conversion'!$D:$D,MATCH(B101,'Slit to Tube Conversion'!$C:$C,0)),""))</f>
        <v/>
      </c>
      <c r="J101" s="203" t="str">
        <f>IF(OR(B101="",E101="",I101=""),"",I101*E101)</f>
        <v/>
      </c>
      <c r="K101" s="204" t="str">
        <f>IF(B101="","",IF(COUNTIF('Coil to Slit'!$D:$D,B101)&gt;0,"✔ Valid","⚠ Not in Coil to Slit"))</f>
        <v/>
      </c>
      <c r="L101" s="205" t="str">
        <f>IF(OR(G101="",B101=""),"",IF(COUNTIFS($G$3:G101,G101,$B$3:B101,B101)&gt;1,"⚠ DUPLICATE",""))</f>
        <v/>
      </c>
      <c r="M101" s="207" t="str">
        <f>IF(OR(B101="",E101=""),"",IFERROR(IF(E101&gt;INDEX('Slit to Tube Conversion'!$D:$D,MATCH(B101,'Slit to Tube Conversion'!$C:$C,0)),"⚠ EXCEEDS FG ("&amp;INDEX('Slit to Tube Conversion'!$D:$D,MATCH(B101,'Slit to Tube Conversion'!$C:$C,0))&amp;")","✔ OK"),"Not in FG Conversion"))</f>
        <v/>
      </c>
    </row>
    <row r="102" spans="1:13">
      <c r="A102" s="251"/>
      <c r="B102" s="252"/>
      <c r="C102" s="253"/>
      <c r="D102" s="253" t="str">
        <f>IF(OR(B102="",E102=""),"",IFERROR(INDEX('Slit to Tube Conversion'!$D:$D,MATCH(B102,'Slit to Tube Conversion'!$C:$C,0))-SUMIFS($E$3:E102,$B$3:B102,B102),""))</f>
        <v/>
      </c>
      <c r="E102" s="253"/>
      <c r="F102" t="str">
        <f t="shared" si="3"/>
        <v/>
      </c>
      <c r="G102" s="198" t="str">
        <f t="shared" si="2"/>
        <v/>
      </c>
      <c r="H102" s="242"/>
      <c r="I102" s="202" t="str">
        <f>IF(OR(B102="",C102=""),"",IFERROR(INDEX('Slit to Tube Conversion'!$H:$H,MATCH(B102,'Slit to Tube Conversion'!$C:$C,0))/INDEX('Slit to Tube Conversion'!$D:$D,MATCH(B102,'Slit to Tube Conversion'!$C:$C,0)),""))</f>
        <v/>
      </c>
      <c r="J102" s="203" t="str">
        <f>IF(OR(B102="",E102="",I102=""),"",I102*E102)</f>
        <v/>
      </c>
      <c r="K102" s="204" t="str">
        <f>IF(B102="","",IF(COUNTIF('Coil to Slit'!$D:$D,B102)&gt;0,"✔ Valid","⚠ Not in Coil to Slit"))</f>
        <v/>
      </c>
      <c r="L102" s="205" t="str">
        <f>IF(OR(G102="",B102=""),"",IF(COUNTIFS($G$3:G102,G102,$B$3:B102,B102)&gt;1,"⚠ DUPLICATE",""))</f>
        <v/>
      </c>
      <c r="M102" s="207" t="str">
        <f>IF(OR(B102="",E102=""),"",IFERROR(IF(E102&gt;INDEX('Slit to Tube Conversion'!$D:$D,MATCH(B102,'Slit to Tube Conversion'!$C:$C,0)),"⚠ EXCEEDS FG ("&amp;INDEX('Slit to Tube Conversion'!$D:$D,MATCH(B102,'Slit to Tube Conversion'!$C:$C,0))&amp;")","✔ OK"),"Not in FG Conversion"))</f>
        <v/>
      </c>
    </row>
    <row r="103" spans="1:13">
      <c r="A103" s="251"/>
      <c r="B103" s="252"/>
      <c r="C103" s="253"/>
      <c r="D103" s="253" t="str">
        <f>IF(OR(B103="",E103=""),"",IFERROR(INDEX('Slit to Tube Conversion'!$D:$D,MATCH(B103,'Slit to Tube Conversion'!$C:$C,0))-SUMIFS($E$3:E103,$B$3:B103,B103),""))</f>
        <v/>
      </c>
      <c r="E103" s="253"/>
      <c r="F103" t="str">
        <f t="shared" si="3"/>
        <v/>
      </c>
      <c r="G103" s="198" t="str">
        <f t="shared" si="2"/>
        <v/>
      </c>
      <c r="H103" s="242"/>
      <c r="I103" s="202" t="str">
        <f>IF(OR(B103="",C103=""),"",IFERROR(INDEX('Slit to Tube Conversion'!$H:$H,MATCH(B103,'Slit to Tube Conversion'!$C:$C,0))/INDEX('Slit to Tube Conversion'!$D:$D,MATCH(B103,'Slit to Tube Conversion'!$C:$C,0)),""))</f>
        <v/>
      </c>
      <c r="J103" s="203" t="str">
        <f>IF(OR(B103="",E103="",I103=""),"",I103*E103)</f>
        <v/>
      </c>
      <c r="K103" s="204" t="str">
        <f>IF(B103="","",IF(COUNTIF('Coil to Slit'!$D:$D,B103)&gt;0,"✔ Valid","⚠ Not in Coil to Slit"))</f>
        <v/>
      </c>
      <c r="L103" s="205" t="str">
        <f>IF(OR(G103="",B103=""),"",IF(COUNTIFS($G$3:G103,G103,$B$3:B103,B103)&gt;1,"⚠ DUPLICATE",""))</f>
        <v/>
      </c>
      <c r="M103" s="207" t="str">
        <f>IF(OR(B103="",E103=""),"",IFERROR(IF(E103&gt;INDEX('Slit to Tube Conversion'!$D:$D,MATCH(B103,'Slit to Tube Conversion'!$C:$C,0)),"⚠ EXCEEDS FG ("&amp;INDEX('Slit to Tube Conversion'!$D:$D,MATCH(B103,'Slit to Tube Conversion'!$C:$C,0))&amp;")","✔ OK"),"Not in FG Conversion"))</f>
        <v/>
      </c>
    </row>
    <row r="104" spans="1:13">
      <c r="A104" s="251"/>
      <c r="B104" s="252"/>
      <c r="C104" s="253"/>
      <c r="D104" s="253" t="str">
        <f>IF(OR(B104="",E104=""),"",IFERROR(INDEX('Slit to Tube Conversion'!$D:$D,MATCH(B104,'Slit to Tube Conversion'!$C:$C,0))-SUMIFS($E$3:E104,$B$3:B104,B104),""))</f>
        <v/>
      </c>
      <c r="E104" s="253"/>
      <c r="F104" t="str">
        <f t="shared" si="3"/>
        <v/>
      </c>
      <c r="G104" s="198" t="str">
        <f t="shared" si="2"/>
        <v/>
      </c>
      <c r="H104" s="242"/>
      <c r="I104" s="202" t="str">
        <f>IF(OR(B104="",C104=""),"",IFERROR(INDEX('Slit to Tube Conversion'!$H:$H,MATCH(B104,'Slit to Tube Conversion'!$C:$C,0))/INDEX('Slit to Tube Conversion'!$D:$D,MATCH(B104,'Slit to Tube Conversion'!$C:$C,0)),""))</f>
        <v/>
      </c>
      <c r="J104" s="203" t="str">
        <f>IF(OR(B104="",E104="",I104=""),"",I104*E104)</f>
        <v/>
      </c>
      <c r="K104" s="204" t="str">
        <f>IF(B104="","",IF(COUNTIF('Coil to Slit'!$D:$D,B104)&gt;0,"✔ Valid","⚠ Not in Coil to Slit"))</f>
        <v/>
      </c>
      <c r="L104" s="205" t="str">
        <f>IF(OR(G104="",B104=""),"",IF(COUNTIFS($G$3:G104,G104,$B$3:B104,B104)&gt;1,"⚠ DUPLICATE",""))</f>
        <v/>
      </c>
      <c r="M104" s="207" t="str">
        <f>IF(OR(B104="",E104=""),"",IFERROR(IF(E104&gt;INDEX('Slit to Tube Conversion'!$D:$D,MATCH(B104,'Slit to Tube Conversion'!$C:$C,0)),"⚠ EXCEEDS FG ("&amp;INDEX('Slit to Tube Conversion'!$D:$D,MATCH(B104,'Slit to Tube Conversion'!$C:$C,0))&amp;")","✔ OK"),"Not in FG Conversion"))</f>
        <v/>
      </c>
    </row>
    <row r="105" spans="1:13">
      <c r="A105" s="251"/>
      <c r="B105" s="252"/>
      <c r="C105" s="253"/>
      <c r="D105" s="253" t="str">
        <f>IF(OR(B105="",E105=""),"",IFERROR(INDEX('Slit to Tube Conversion'!$D:$D,MATCH(B105,'Slit to Tube Conversion'!$C:$C,0))-SUMIFS($E$3:E105,$B$3:B105,B105),""))</f>
        <v/>
      </c>
      <c r="E105" s="253"/>
      <c r="F105" t="str">
        <f t="shared" si="3"/>
        <v/>
      </c>
      <c r="G105" s="198" t="str">
        <f t="shared" si="2"/>
        <v/>
      </c>
      <c r="H105" s="242"/>
      <c r="I105" s="202" t="str">
        <f>IF(OR(B105="",C105=""),"",IFERROR(INDEX('Slit to Tube Conversion'!$H:$H,MATCH(B105,'Slit to Tube Conversion'!$C:$C,0))/INDEX('Slit to Tube Conversion'!$D:$D,MATCH(B105,'Slit to Tube Conversion'!$C:$C,0)),""))</f>
        <v/>
      </c>
      <c r="J105" s="203" t="str">
        <f>IF(OR(B105="",E105="",I105=""),"",I105*E105)</f>
        <v/>
      </c>
      <c r="K105" s="204" t="str">
        <f>IF(B105="","",IF(COUNTIF('Coil to Slit'!$D:$D,B105)&gt;0,"✔ Valid","⚠ Not in Coil to Slit"))</f>
        <v/>
      </c>
      <c r="L105" s="205" t="str">
        <f>IF(OR(G105="",B105=""),"",IF(COUNTIFS($G$3:G105,G105,$B$3:B105,B105)&gt;1,"⚠ DUPLICATE",""))</f>
        <v/>
      </c>
      <c r="M105" s="207" t="str">
        <f>IF(OR(B105="",E105=""),"",IFERROR(IF(E105&gt;INDEX('Slit to Tube Conversion'!$D:$D,MATCH(B105,'Slit to Tube Conversion'!$C:$C,0)),"⚠ EXCEEDS FG ("&amp;INDEX('Slit to Tube Conversion'!$D:$D,MATCH(B105,'Slit to Tube Conversion'!$C:$C,0))&amp;")","✔ OK"),"Not in FG Conversion"))</f>
        <v/>
      </c>
    </row>
    <row r="106" spans="1:13">
      <c r="A106" s="251"/>
      <c r="B106" s="252"/>
      <c r="C106" s="253"/>
      <c r="D106" s="253" t="str">
        <f>IF(OR(B106="",E106=""),"",IFERROR(INDEX('Slit to Tube Conversion'!$D:$D,MATCH(B106,'Slit to Tube Conversion'!$C:$C,0))-SUMIFS($E$3:E106,$B$3:B106,B106),""))</f>
        <v/>
      </c>
      <c r="E106" s="253"/>
      <c r="F106" t="str">
        <f t="shared" si="3"/>
        <v/>
      </c>
      <c r="G106" s="198" t="str">
        <f t="shared" si="2"/>
        <v/>
      </c>
      <c r="H106" s="242"/>
      <c r="I106" s="202" t="str">
        <f>IF(OR(B106="",C106=""),"",IFERROR(INDEX('Slit to Tube Conversion'!$H:$H,MATCH(B106,'Slit to Tube Conversion'!$C:$C,0))/INDEX('Slit to Tube Conversion'!$D:$D,MATCH(B106,'Slit to Tube Conversion'!$C:$C,0)),""))</f>
        <v/>
      </c>
      <c r="J106" s="203" t="str">
        <f>IF(OR(B106="",E106="",I106=""),"",I106*E106)</f>
        <v/>
      </c>
      <c r="K106" s="204" t="str">
        <f>IF(B106="","",IF(COUNTIF('Coil to Slit'!$D:$D,B106)&gt;0,"✔ Valid","⚠ Not in Coil to Slit"))</f>
        <v/>
      </c>
      <c r="L106" s="205" t="str">
        <f>IF(OR(G106="",B106=""),"",IF(COUNTIFS($G$3:G106,G106,$B$3:B106,B106)&gt;1,"⚠ DUPLICATE",""))</f>
        <v/>
      </c>
      <c r="M106" s="207" t="str">
        <f>IF(OR(B106="",E106=""),"",IFERROR(IF(E106&gt;INDEX('Slit to Tube Conversion'!$D:$D,MATCH(B106,'Slit to Tube Conversion'!$C:$C,0)),"⚠ EXCEEDS FG ("&amp;INDEX('Slit to Tube Conversion'!$D:$D,MATCH(B106,'Slit to Tube Conversion'!$C:$C,0))&amp;")","✔ OK"),"Not in FG Conversion"))</f>
        <v/>
      </c>
    </row>
    <row r="107" spans="1:13">
      <c r="A107" s="251"/>
      <c r="B107" s="252"/>
      <c r="C107" s="253"/>
      <c r="D107" s="253" t="str">
        <f>IF(OR(B107="",E107=""),"",IFERROR(INDEX('Slit to Tube Conversion'!$D:$D,MATCH(B107,'Slit to Tube Conversion'!$C:$C,0))-SUMIFS($E$3:E107,$B$3:B107,B107),""))</f>
        <v/>
      </c>
      <c r="E107" s="253"/>
      <c r="F107" t="str">
        <f t="shared" si="3"/>
        <v/>
      </c>
      <c r="G107" s="198" t="str">
        <f t="shared" si="2"/>
        <v/>
      </c>
      <c r="H107" s="242"/>
      <c r="I107" s="202" t="str">
        <f>IF(OR(B107="",C107=""),"",IFERROR(INDEX('Slit to Tube Conversion'!$H:$H,MATCH(B107,'Slit to Tube Conversion'!$C:$C,0))/INDEX('Slit to Tube Conversion'!$D:$D,MATCH(B107,'Slit to Tube Conversion'!$C:$C,0)),""))</f>
        <v/>
      </c>
      <c r="J107" s="203" t="str">
        <f>IF(OR(B107="",E107="",I107=""),"",I107*E107)</f>
        <v/>
      </c>
      <c r="K107" s="204" t="str">
        <f>IF(B107="","",IF(COUNTIF('Coil to Slit'!$D:$D,B107)&gt;0,"✔ Valid","⚠ Not in Coil to Slit"))</f>
        <v/>
      </c>
      <c r="L107" s="205" t="str">
        <f>IF(OR(G107="",B107=""),"",IF(COUNTIFS($G$3:G107,G107,$B$3:B107,B107)&gt;1,"⚠ DUPLICATE",""))</f>
        <v/>
      </c>
      <c r="M107" s="207" t="str">
        <f>IF(OR(B107="",E107=""),"",IFERROR(IF(E107&gt;INDEX('Slit to Tube Conversion'!$D:$D,MATCH(B107,'Slit to Tube Conversion'!$C:$C,0)),"⚠ EXCEEDS FG ("&amp;INDEX('Slit to Tube Conversion'!$D:$D,MATCH(B107,'Slit to Tube Conversion'!$C:$C,0))&amp;")","✔ OK"),"Not in FG Conversion"))</f>
        <v/>
      </c>
    </row>
    <row r="108" spans="1:13">
      <c r="A108" s="251"/>
      <c r="B108" s="252"/>
      <c r="C108" s="253"/>
      <c r="D108" s="253" t="str">
        <f>IF(OR(B108="",E108=""),"",IFERROR(INDEX('Slit to Tube Conversion'!$D:$D,MATCH(B108,'Slit to Tube Conversion'!$C:$C,0))-SUMIFS($E$3:E108,$B$3:B108,B108),""))</f>
        <v/>
      </c>
      <c r="E108" s="253"/>
      <c r="F108" t="str">
        <f t="shared" si="3"/>
        <v/>
      </c>
      <c r="G108" s="198" t="str">
        <f t="shared" si="2"/>
        <v/>
      </c>
      <c r="H108" s="242"/>
      <c r="I108" s="202" t="str">
        <f>IF(OR(B108="",C108=""),"",IFERROR(INDEX('Slit to Tube Conversion'!$H:$H,MATCH(B108,'Slit to Tube Conversion'!$C:$C,0))/INDEX('Slit to Tube Conversion'!$D:$D,MATCH(B108,'Slit to Tube Conversion'!$C:$C,0)),""))</f>
        <v/>
      </c>
      <c r="J108" s="203" t="str">
        <f>IF(OR(B108="",E108="",I108=""),"",I108*E108)</f>
        <v/>
      </c>
      <c r="K108" s="204" t="str">
        <f>IF(B108="","",IF(COUNTIF('Coil to Slit'!$D:$D,B108)&gt;0,"✔ Valid","⚠ Not in Coil to Slit"))</f>
        <v/>
      </c>
      <c r="L108" s="205" t="str">
        <f>IF(OR(G108="",B108=""),"",IF(COUNTIFS($G$3:G108,G108,$B$3:B108,B108)&gt;1,"⚠ DUPLICATE",""))</f>
        <v/>
      </c>
      <c r="M108" s="207" t="str">
        <f>IF(OR(B108="",E108=""),"",IFERROR(IF(E108&gt;INDEX('Slit to Tube Conversion'!$D:$D,MATCH(B108,'Slit to Tube Conversion'!$C:$C,0)),"⚠ EXCEEDS FG ("&amp;INDEX('Slit to Tube Conversion'!$D:$D,MATCH(B108,'Slit to Tube Conversion'!$C:$C,0))&amp;")","✔ OK"),"Not in FG Conversion"))</f>
        <v/>
      </c>
    </row>
    <row r="109" spans="1:13">
      <c r="A109" s="251"/>
      <c r="B109" s="252"/>
      <c r="C109" s="253"/>
      <c r="D109" s="253" t="str">
        <f>IF(OR(B109="",E109=""),"",IFERROR(INDEX('Slit to Tube Conversion'!$D:$D,MATCH(B109,'Slit to Tube Conversion'!$C:$C,0))-SUMIFS($E$3:E109,$B$3:B109,B109),""))</f>
        <v/>
      </c>
      <c r="E109" s="253"/>
      <c r="F109" t="str">
        <f t="shared" si="3"/>
        <v/>
      </c>
      <c r="G109" s="198" t="str">
        <f t="shared" si="2"/>
        <v/>
      </c>
      <c r="H109" s="242"/>
      <c r="I109" s="202" t="str">
        <f>IF(OR(B109="",C109=""),"",IFERROR(INDEX('Slit to Tube Conversion'!$H:$H,MATCH(B109,'Slit to Tube Conversion'!$C:$C,0))/INDEX('Slit to Tube Conversion'!$D:$D,MATCH(B109,'Slit to Tube Conversion'!$C:$C,0)),""))</f>
        <v/>
      </c>
      <c r="J109" s="203" t="str">
        <f>IF(OR(B109="",E109="",I109=""),"",I109*E109)</f>
        <v/>
      </c>
      <c r="K109" s="204" t="str">
        <f>IF(B109="","",IF(COUNTIF('Coil to Slit'!$D:$D,B109)&gt;0,"✔ Valid","⚠ Not in Coil to Slit"))</f>
        <v/>
      </c>
      <c r="L109" s="205" t="str">
        <f>IF(OR(G109="",B109=""),"",IF(COUNTIFS($G$3:G109,G109,$B$3:B109,B109)&gt;1,"⚠ DUPLICATE",""))</f>
        <v/>
      </c>
      <c r="M109" s="207" t="str">
        <f>IF(OR(B109="",E109=""),"",IFERROR(IF(E109&gt;INDEX('Slit to Tube Conversion'!$D:$D,MATCH(B109,'Slit to Tube Conversion'!$C:$C,0)),"⚠ EXCEEDS FG ("&amp;INDEX('Slit to Tube Conversion'!$D:$D,MATCH(B109,'Slit to Tube Conversion'!$C:$C,0))&amp;")","✔ OK"),"Not in FG Conversion"))</f>
        <v/>
      </c>
    </row>
    <row r="110" spans="1:13">
      <c r="A110" s="251"/>
      <c r="B110" s="252"/>
      <c r="C110" s="253"/>
      <c r="D110" s="253" t="str">
        <f>IF(OR(B110="",E110=""),"",IFERROR(INDEX('Slit to Tube Conversion'!$D:$D,MATCH(B110,'Slit to Tube Conversion'!$C:$C,0))-SUMIFS($E$3:E110,$B$3:B110,B110),""))</f>
        <v/>
      </c>
      <c r="E110" s="253"/>
      <c r="F110" t="str">
        <f t="shared" si="3"/>
        <v/>
      </c>
      <c r="G110" s="198" t="str">
        <f t="shared" si="2"/>
        <v/>
      </c>
      <c r="H110" s="242"/>
      <c r="I110" s="202" t="str">
        <f>IF(OR(B110="",C110=""),"",IFERROR(INDEX('Slit to Tube Conversion'!$H:$H,MATCH(B110,'Slit to Tube Conversion'!$C:$C,0))/INDEX('Slit to Tube Conversion'!$D:$D,MATCH(B110,'Slit to Tube Conversion'!$C:$C,0)),""))</f>
        <v/>
      </c>
      <c r="J110" s="203" t="str">
        <f>IF(OR(B110="",E110="",I110=""),"",I110*E110)</f>
        <v/>
      </c>
      <c r="K110" s="204" t="str">
        <f>IF(B110="","",IF(COUNTIF('Coil to Slit'!$D:$D,B110)&gt;0,"✔ Valid","⚠ Not in Coil to Slit"))</f>
        <v/>
      </c>
      <c r="L110" s="205" t="str">
        <f>IF(OR(G110="",B110=""),"",IF(COUNTIFS($G$3:G110,G110,$B$3:B110,B110)&gt;1,"⚠ DUPLICATE",""))</f>
        <v/>
      </c>
      <c r="M110" s="207" t="str">
        <f>IF(OR(B110="",E110=""),"",IFERROR(IF(E110&gt;INDEX('Slit to Tube Conversion'!$D:$D,MATCH(B110,'Slit to Tube Conversion'!$C:$C,0)),"⚠ EXCEEDS FG ("&amp;INDEX('Slit to Tube Conversion'!$D:$D,MATCH(B110,'Slit to Tube Conversion'!$C:$C,0))&amp;")","✔ OK"),"Not in FG Conversion"))</f>
        <v/>
      </c>
    </row>
    <row r="111" spans="1:13">
      <c r="A111" s="251"/>
      <c r="B111" s="252"/>
      <c r="C111" s="253"/>
      <c r="D111" s="253" t="str">
        <f>IF(OR(B111="",E111=""),"",IFERROR(INDEX('Slit to Tube Conversion'!$D:$D,MATCH(B111,'Slit to Tube Conversion'!$C:$C,0))-SUMIFS($E$3:E111,$B$3:B111,B111),""))</f>
        <v/>
      </c>
      <c r="E111" s="253"/>
      <c r="F111" t="str">
        <f t="shared" si="3"/>
        <v/>
      </c>
      <c r="G111" s="198" t="str">
        <f t="shared" si="2"/>
        <v/>
      </c>
      <c r="H111" s="242"/>
      <c r="I111" s="202" t="str">
        <f>IF(OR(B111="",C111=""),"",IFERROR(INDEX('Slit to Tube Conversion'!$H:$H,MATCH(B111,'Slit to Tube Conversion'!$C:$C,0))/INDEX('Slit to Tube Conversion'!$D:$D,MATCH(B111,'Slit to Tube Conversion'!$C:$C,0)),""))</f>
        <v/>
      </c>
      <c r="J111" s="203" t="str">
        <f>IF(OR(B111="",E111="",I111=""),"",I111*E111)</f>
        <v/>
      </c>
      <c r="K111" s="204" t="str">
        <f>IF(B111="","",IF(COUNTIF('Coil to Slit'!$D:$D,B111)&gt;0,"✔ Valid","⚠ Not in Coil to Slit"))</f>
        <v/>
      </c>
      <c r="L111" s="205" t="str">
        <f>IF(OR(G111="",B111=""),"",IF(COUNTIFS($G$3:G111,G111,$B$3:B111,B111)&gt;1,"⚠ DUPLICATE",""))</f>
        <v/>
      </c>
      <c r="M111" s="207" t="str">
        <f>IF(OR(B111="",E111=""),"",IFERROR(IF(E111&gt;INDEX('Slit to Tube Conversion'!$D:$D,MATCH(B111,'Slit to Tube Conversion'!$C:$C,0)),"⚠ EXCEEDS FG ("&amp;INDEX('Slit to Tube Conversion'!$D:$D,MATCH(B111,'Slit to Tube Conversion'!$C:$C,0))&amp;")","✔ OK"),"Not in FG Conversion"))</f>
        <v/>
      </c>
    </row>
    <row r="112" spans="1:13">
      <c r="A112" s="251"/>
      <c r="B112" s="252"/>
      <c r="C112" s="253"/>
      <c r="D112" s="253" t="str">
        <f>IF(OR(B112="",E112=""),"",IFERROR(INDEX('Slit to Tube Conversion'!$D:$D,MATCH(B112,'Slit to Tube Conversion'!$C:$C,0))-SUMIFS($E$3:E112,$B$3:B112,B112),""))</f>
        <v/>
      </c>
      <c r="E112" s="253"/>
      <c r="F112" t="str">
        <f t="shared" si="3"/>
        <v/>
      </c>
      <c r="G112" s="198" t="str">
        <f t="shared" si="2"/>
        <v/>
      </c>
      <c r="H112" s="242"/>
      <c r="I112" s="202" t="str">
        <f>IF(OR(B112="",C112=""),"",IFERROR(INDEX('Slit to Tube Conversion'!$H:$H,MATCH(B112,'Slit to Tube Conversion'!$C:$C,0))/INDEX('Slit to Tube Conversion'!$D:$D,MATCH(B112,'Slit to Tube Conversion'!$C:$C,0)),""))</f>
        <v/>
      </c>
      <c r="J112" s="203" t="str">
        <f>IF(OR(B112="",E112="",I112=""),"",I112*E112)</f>
        <v/>
      </c>
      <c r="K112" s="204" t="str">
        <f>IF(B112="","",IF(COUNTIF('Coil to Slit'!$D:$D,B112)&gt;0,"✔ Valid","⚠ Not in Coil to Slit"))</f>
        <v/>
      </c>
      <c r="L112" s="205" t="str">
        <f>IF(OR(G112="",B112=""),"",IF(COUNTIFS($G$3:G112,G112,$B$3:B112,B112)&gt;1,"⚠ DUPLICATE",""))</f>
        <v/>
      </c>
      <c r="M112" s="207" t="str">
        <f>IF(OR(B112="",E112=""),"",IFERROR(IF(E112&gt;INDEX('Slit to Tube Conversion'!$D:$D,MATCH(B112,'Slit to Tube Conversion'!$C:$C,0)),"⚠ EXCEEDS FG ("&amp;INDEX('Slit to Tube Conversion'!$D:$D,MATCH(B112,'Slit to Tube Conversion'!$C:$C,0))&amp;")","✔ OK"),"Not in FG Conversion"))</f>
        <v/>
      </c>
    </row>
    <row r="113" spans="1:13">
      <c r="A113" s="251"/>
      <c r="B113" s="252"/>
      <c r="C113" s="253"/>
      <c r="D113" s="253" t="str">
        <f>IF(OR(B113="",E113=""),"",IFERROR(INDEX('Slit to Tube Conversion'!$D:$D,MATCH(B113,'Slit to Tube Conversion'!$C:$C,0))-SUMIFS($E$3:E113,$B$3:B113,B113),""))</f>
        <v/>
      </c>
      <c r="E113" s="253"/>
      <c r="F113" t="str">
        <f t="shared" si="3"/>
        <v/>
      </c>
      <c r="G113" s="198" t="str">
        <f t="shared" si="2"/>
        <v/>
      </c>
      <c r="H113" s="242"/>
      <c r="I113" s="202" t="str">
        <f>IF(OR(B113="",C113=""),"",IFERROR(INDEX('Slit to Tube Conversion'!$H:$H,MATCH(B113,'Slit to Tube Conversion'!$C:$C,0))/INDEX('Slit to Tube Conversion'!$D:$D,MATCH(B113,'Slit to Tube Conversion'!$C:$C,0)),""))</f>
        <v/>
      </c>
      <c r="J113" s="203" t="str">
        <f>IF(OR(B113="",E113="",I113=""),"",I113*E113)</f>
        <v/>
      </c>
      <c r="K113" s="204" t="str">
        <f>IF(B113="","",IF(COUNTIF('Coil to Slit'!$D:$D,B113)&gt;0,"✔ Valid","⚠ Not in Coil to Slit"))</f>
        <v/>
      </c>
      <c r="L113" s="205" t="str">
        <f>IF(OR(G113="",B113=""),"",IF(COUNTIFS($G$3:G113,G113,$B$3:B113,B113)&gt;1,"⚠ DUPLICATE",""))</f>
        <v/>
      </c>
      <c r="M113" s="207" t="str">
        <f>IF(OR(B113="",E113=""),"",IFERROR(IF(E113&gt;INDEX('Slit to Tube Conversion'!$D:$D,MATCH(B113,'Slit to Tube Conversion'!$C:$C,0)),"⚠ EXCEEDS FG ("&amp;INDEX('Slit to Tube Conversion'!$D:$D,MATCH(B113,'Slit to Tube Conversion'!$C:$C,0))&amp;")","✔ OK"),"Not in FG Conversion"))</f>
        <v/>
      </c>
    </row>
    <row r="114" spans="1:13">
      <c r="A114" s="251"/>
      <c r="B114" s="252"/>
      <c r="C114" s="253"/>
      <c r="D114" s="253" t="str">
        <f>IF(OR(B114="",E114=""),"",IFERROR(INDEX('Slit to Tube Conversion'!$D:$D,MATCH(B114,'Slit to Tube Conversion'!$C:$C,0))-SUMIFS($E$3:E114,$B$3:B114,B114),""))</f>
        <v/>
      </c>
      <c r="E114" s="253"/>
      <c r="F114" t="str">
        <f t="shared" si="3"/>
        <v/>
      </c>
      <c r="G114" s="198" t="str">
        <f t="shared" si="2"/>
        <v/>
      </c>
      <c r="H114" s="242"/>
      <c r="I114" s="202" t="str">
        <f>IF(OR(B114="",C114=""),"",IFERROR(INDEX('Slit to Tube Conversion'!$H:$H,MATCH(B114,'Slit to Tube Conversion'!$C:$C,0))/INDEX('Slit to Tube Conversion'!$D:$D,MATCH(B114,'Slit to Tube Conversion'!$C:$C,0)),""))</f>
        <v/>
      </c>
      <c r="J114" s="203" t="str">
        <f>IF(OR(B114="",E114="",I114=""),"",I114*E114)</f>
        <v/>
      </c>
      <c r="K114" s="204" t="str">
        <f>IF(B114="","",IF(COUNTIF('Coil to Slit'!$D:$D,B114)&gt;0,"✔ Valid","⚠ Not in Coil to Slit"))</f>
        <v/>
      </c>
      <c r="L114" s="205" t="str">
        <f>IF(OR(G114="",B114=""),"",IF(COUNTIFS($G$3:G114,G114,$B$3:B114,B114)&gt;1,"⚠ DUPLICATE",""))</f>
        <v/>
      </c>
      <c r="M114" s="207" t="str">
        <f>IF(OR(B114="",E114=""),"",IFERROR(IF(E114&gt;INDEX('Slit to Tube Conversion'!$D:$D,MATCH(B114,'Slit to Tube Conversion'!$C:$C,0)),"⚠ EXCEEDS FG ("&amp;INDEX('Slit to Tube Conversion'!$D:$D,MATCH(B114,'Slit to Tube Conversion'!$C:$C,0))&amp;")","✔ OK"),"Not in FG Conversion"))</f>
        <v/>
      </c>
    </row>
    <row r="115" spans="1:13">
      <c r="A115" s="251"/>
      <c r="B115" s="252"/>
      <c r="C115" s="253"/>
      <c r="D115" s="253" t="str">
        <f>IF(OR(B115="",E115=""),"",IFERROR(INDEX('Slit to Tube Conversion'!$D:$D,MATCH(B115,'Slit to Tube Conversion'!$C:$C,0))-SUMIFS($E$3:E115,$B$3:B115,B115),""))</f>
        <v/>
      </c>
      <c r="E115" s="253"/>
      <c r="F115" t="str">
        <f t="shared" si="3"/>
        <v/>
      </c>
      <c r="G115" s="198" t="str">
        <f t="shared" si="2"/>
        <v/>
      </c>
      <c r="H115" s="242"/>
      <c r="I115" s="202" t="str">
        <f>IF(OR(B115="",C115=""),"",IFERROR(INDEX('Slit to Tube Conversion'!$H:$H,MATCH(B115,'Slit to Tube Conversion'!$C:$C,0))/INDEX('Slit to Tube Conversion'!$D:$D,MATCH(B115,'Slit to Tube Conversion'!$C:$C,0)),""))</f>
        <v/>
      </c>
      <c r="J115" s="203" t="str">
        <f>IF(OR(B115="",E115="",I115=""),"",I115*E115)</f>
        <v/>
      </c>
      <c r="K115" s="204" t="str">
        <f>IF(B115="","",IF(COUNTIF('Coil to Slit'!$D:$D,B115)&gt;0,"✔ Valid","⚠ Not in Coil to Slit"))</f>
        <v/>
      </c>
      <c r="L115" s="205" t="str">
        <f>IF(OR(G115="",B115=""),"",IF(COUNTIFS($G$3:G115,G115,$B$3:B115,B115)&gt;1,"⚠ DUPLICATE",""))</f>
        <v/>
      </c>
      <c r="M115" s="207" t="str">
        <f>IF(OR(B115="",E115=""),"",IFERROR(IF(E115&gt;INDEX('Slit to Tube Conversion'!$D:$D,MATCH(B115,'Slit to Tube Conversion'!$C:$C,0)),"⚠ EXCEEDS FG ("&amp;INDEX('Slit to Tube Conversion'!$D:$D,MATCH(B115,'Slit to Tube Conversion'!$C:$C,0))&amp;")","✔ OK"),"Not in FG Conversion"))</f>
        <v/>
      </c>
    </row>
    <row r="116" spans="1:13">
      <c r="A116" s="251"/>
      <c r="B116" s="252"/>
      <c r="C116" s="253"/>
      <c r="D116" s="253" t="str">
        <f>IF(OR(B116="",E116=""),"",IFERROR(INDEX('Slit to Tube Conversion'!$D:$D,MATCH(B116,'Slit to Tube Conversion'!$C:$C,0))-SUMIFS($E$3:E116,$B$3:B116,B116),""))</f>
        <v/>
      </c>
      <c r="E116" s="253"/>
      <c r="F116" t="str">
        <f t="shared" si="3"/>
        <v/>
      </c>
      <c r="G116" s="198" t="str">
        <f t="shared" si="2"/>
        <v/>
      </c>
      <c r="H116" s="242"/>
      <c r="I116" s="202" t="str">
        <f>IF(OR(B116="",C116=""),"",IFERROR(INDEX('Slit to Tube Conversion'!$H:$H,MATCH(B116,'Slit to Tube Conversion'!$C:$C,0))/INDEX('Slit to Tube Conversion'!$D:$D,MATCH(B116,'Slit to Tube Conversion'!$C:$C,0)),""))</f>
        <v/>
      </c>
      <c r="J116" s="203" t="str">
        <f>IF(OR(B116="",E116="",I116=""),"",I116*E116)</f>
        <v/>
      </c>
      <c r="K116" s="204" t="str">
        <f>IF(B116="","",IF(COUNTIF('Coil to Slit'!$D:$D,B116)&gt;0,"✔ Valid","⚠ Not in Coil to Slit"))</f>
        <v/>
      </c>
      <c r="L116" s="205" t="str">
        <f>IF(OR(G116="",B116=""),"",IF(COUNTIFS($G$3:G116,G116,$B$3:B116,B116)&gt;1,"⚠ DUPLICATE",""))</f>
        <v/>
      </c>
      <c r="M116" s="207" t="str">
        <f>IF(OR(B116="",E116=""),"",IFERROR(IF(E116&gt;INDEX('Slit to Tube Conversion'!$D:$D,MATCH(B116,'Slit to Tube Conversion'!$C:$C,0)),"⚠ EXCEEDS FG ("&amp;INDEX('Slit to Tube Conversion'!$D:$D,MATCH(B116,'Slit to Tube Conversion'!$C:$C,0))&amp;")","✔ OK"),"Not in FG Conversion"))</f>
        <v/>
      </c>
    </row>
    <row r="117" spans="1:13">
      <c r="A117" s="251"/>
      <c r="B117" s="252"/>
      <c r="C117" s="253"/>
      <c r="D117" s="253" t="str">
        <f>IF(OR(B117="",E117=""),"",IFERROR(INDEX('Slit to Tube Conversion'!$D:$D,MATCH(B117,'Slit to Tube Conversion'!$C:$C,0))-SUMIFS($E$3:E117,$B$3:B117,B117),""))</f>
        <v/>
      </c>
      <c r="E117" s="253"/>
      <c r="F117" t="str">
        <f t="shared" si="3"/>
        <v/>
      </c>
      <c r="G117" s="198" t="str">
        <f t="shared" si="2"/>
        <v/>
      </c>
      <c r="H117" s="242"/>
      <c r="I117" s="202" t="str">
        <f>IF(OR(B117="",C117=""),"",IFERROR(INDEX('Slit to Tube Conversion'!$H:$H,MATCH(B117,'Slit to Tube Conversion'!$C:$C,0))/INDEX('Slit to Tube Conversion'!$D:$D,MATCH(B117,'Slit to Tube Conversion'!$C:$C,0)),""))</f>
        <v/>
      </c>
      <c r="J117" s="203" t="str">
        <f>IF(OR(B117="",E117="",I117=""),"",I117*E117)</f>
        <v/>
      </c>
      <c r="K117" s="204" t="str">
        <f>IF(B117="","",IF(COUNTIF('Coil to Slit'!$D:$D,B117)&gt;0,"✔ Valid","⚠ Not in Coil to Slit"))</f>
        <v/>
      </c>
      <c r="L117" s="205" t="str">
        <f>IF(OR(G117="",B117=""),"",IF(COUNTIFS($G$3:G117,G117,$B$3:B117,B117)&gt;1,"⚠ DUPLICATE",""))</f>
        <v/>
      </c>
      <c r="M117" s="207" t="str">
        <f>IF(OR(B117="",E117=""),"",IFERROR(IF(E117&gt;INDEX('Slit to Tube Conversion'!$D:$D,MATCH(B117,'Slit to Tube Conversion'!$C:$C,0)),"⚠ EXCEEDS FG ("&amp;INDEX('Slit to Tube Conversion'!$D:$D,MATCH(B117,'Slit to Tube Conversion'!$C:$C,0))&amp;")","✔ OK"),"Not in FG Conversion"))</f>
        <v/>
      </c>
    </row>
  </sheetData>
  <mergeCells count="1">
    <mergeCell ref="A1:G1"/>
  </mergeCells>
  <conditionalFormatting sqref="K3:K117">
    <cfRule type="containsText" dxfId="9" priority="1" operator="containsText" text="✔">
      <formula>NOT(ISERROR(SEARCH("✔",K3)))</formula>
    </cfRule>
  </conditionalFormatting>
  <conditionalFormatting sqref="K3:K117">
    <cfRule type="containsText" dxfId="8" priority="2" operator="containsText" text="⚠">
      <formula>NOT(ISERROR(SEARCH("⚠",K3)))</formula>
    </cfRule>
  </conditionalFormatting>
  <conditionalFormatting sqref="L3:L117">
    <cfRule type="containsText" dxfId="7" priority="3" operator="containsText" text="⚠">
      <formula>NOT(ISERROR(SEARCH("⚠",L3)))</formula>
    </cfRule>
  </conditionalFormatting>
  <conditionalFormatting sqref="M3:M117">
    <cfRule type="containsText" dxfId="6" priority="4" operator="containsText" text="✔">
      <formula>NOT(ISERROR(SEARCH("✔",M3)))</formula>
    </cfRule>
  </conditionalFormatting>
  <conditionalFormatting sqref="M3:M117">
    <cfRule type="containsText" dxfId="5" priority="5" operator="containsText" text="⚠">
      <formula>NOT(ISERROR(SEARCH("⚠",M3)))</formula>
    </cfRule>
  </conditionalFormatting>
  <dataValidations count="6">
    <dataValidation errorStyle="warning" allowBlank="1" showInputMessage="1" showErrorMessage="1" errorTitle="Bundle ID" error="Please ensure the Bundle ID follows your naming convention." promptTitle="Bundle ID" prompt="Enter the unique Bundle ID (e.g., BDL-001). This identifies the finished bundle of tubes." sqref="G3:H117" xr:uid="{774DC181-AE8D-48A4-93F9-C9EECA785DC5}"/>
    <dataValidation type="list" allowBlank="1" showInputMessage="1" showErrorMessage="1" sqref="B3:B6 B11:B117" xr:uid="{EB6E1DA4-9AA6-483C-857C-442172A530F3}">
      <formula1>BabyCoilIDList</formula1>
    </dataValidation>
    <dataValidation type="list" allowBlank="1" showInputMessage="1" showErrorMessage="1" sqref="C76:C117 D3:D117 C3:C47" xr:uid="{74405FC5-6456-4A01-854D-63FA915872AB}">
      <formula1>MaterialInfoList</formula1>
    </dataValidation>
    <dataValidation type="whole" operator="greaterThanOrEqual" allowBlank="1" showInputMessage="1" showErrorMessage="1" sqref="E3:E117" xr:uid="{C2C6D582-E766-456E-920F-599B5289D00F}">
      <formula1>1</formula1>
    </dataValidation>
    <dataValidation type="list" allowBlank="1" showInputMessage="1" showErrorMessage="1" errorTitle="Invalid SKU" error="Please select a valid Material Info from the SKU Master list." promptTitle="SKU Code" prompt="Select a Material Info from the dropdown." sqref="C48:C75" xr:uid="{87F68DC7-2E29-4814-B6D0-B37A4A393111}">
      <formula1>MaterialInfoList</formula1>
    </dataValidation>
    <dataValidation type="date" errorStyle="warning" operator="greaterThanOrEqual" allowBlank="1" showInputMessage="1" showErrorMessage="1" errorTitle="Date Check" error="The date entered seems unusual. Please verify it is correct." promptTitle="Date of Entry" prompt="Enter the date this bundle entry was recorded (dd-mm-yyyy format)." sqref="A3:A117" xr:uid="{A54EB831-8450-4742-B2EE-61BFBCB95B0D}">
      <formula1>45658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Invalid SKU Code" error="Please select a SKU Code that matches the Baby Coil ID in column D." promptTitle="SKU Code" prompt="Select the SKU Code for this Baby Coil ID." xr:uid="{CE5FD50C-07EC-4EF1-8680-2959250B0100}">
          <x14:formula1>
            <xm:f>Helpers!$F$2:$F$7</xm:f>
          </x14:formula1>
          <xm:sqref>C118:D517</xm:sqref>
        </x14:dataValidation>
        <x14:dataValidation type="list" errorStyle="warning" allowBlank="1" showInputMessage="1" showErrorMessage="1" errorTitle="Invalid Entry" error="Please select a valid Baby Coil ID from the dropdown." promptTitle="Baby Coil ID" prompt="Select a Baby Coil ID from the Coil to Slit sheet" xr:uid="{C6051CFD-E00D-44A6-82ED-EAE98A9FEB8A}">
          <x14:formula1>
            <xm:f>'Coil to Slit'!$D$3:$D$1000</xm:f>
          </x14:formula1>
          <xm:sqref>B7:B10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9123-E480-40AD-AEFB-80A7251C2B19}">
  <dimension ref="A1:O100"/>
  <sheetViews>
    <sheetView showGridLines="0" workbookViewId="0">
      <pane ySplit="2" topLeftCell="A44" activePane="bottomLeft" state="frozen"/>
      <selection pane="bottomLeft" activeCell="D39" sqref="D39"/>
    </sheetView>
  </sheetViews>
  <sheetFormatPr defaultRowHeight="15" outlineLevelCol="1"/>
  <cols>
    <col min="1" max="1" width="24.5703125" customWidth="1"/>
    <col min="2" max="4" width="19.85546875" customWidth="1"/>
    <col min="5" max="5" width="66.7109375" customWidth="1"/>
    <col min="6" max="7" width="23" customWidth="1"/>
    <col min="8" max="9" width="16.85546875" customWidth="1"/>
    <col min="10" max="10" width="17.140625" customWidth="1"/>
    <col min="11" max="11" width="15.28515625" customWidth="1"/>
    <col min="12" max="12" width="14.28515625" customWidth="1"/>
    <col min="13" max="13" width="18.140625" hidden="1" customWidth="1" outlineLevel="1"/>
    <col min="14" max="14" width="22.85546875" hidden="1" customWidth="1" outlineLevel="1"/>
    <col min="15" max="15" width="9.140625" collapsed="1"/>
  </cols>
  <sheetData>
    <row r="1" spans="1:14" ht="27.75" customHeight="1">
      <c r="A1" s="245" t="s">
        <v>76</v>
      </c>
      <c r="B1" s="245"/>
      <c r="C1" s="245"/>
      <c r="D1" s="245"/>
      <c r="E1" s="245"/>
      <c r="F1" s="245"/>
      <c r="G1" s="246" t="s">
        <v>145</v>
      </c>
      <c r="H1" s="246"/>
      <c r="I1" s="246"/>
      <c r="J1" s="246"/>
      <c r="K1" s="246"/>
      <c r="L1" s="247"/>
      <c r="M1" s="5" t="s">
        <v>4</v>
      </c>
      <c r="N1" s="12"/>
    </row>
    <row r="2" spans="1:14" ht="36" customHeight="1">
      <c r="A2" s="144" t="s">
        <v>146</v>
      </c>
      <c r="B2" s="144" t="s">
        <v>147</v>
      </c>
      <c r="C2" s="144" t="s">
        <v>148</v>
      </c>
      <c r="D2" s="144" t="s">
        <v>149</v>
      </c>
      <c r="E2" s="144" t="s">
        <v>77</v>
      </c>
      <c r="F2" s="144" t="s">
        <v>138</v>
      </c>
      <c r="G2" s="148" t="s">
        <v>150</v>
      </c>
      <c r="H2" s="148" t="s">
        <v>151</v>
      </c>
      <c r="I2" s="148" t="s">
        <v>152</v>
      </c>
      <c r="J2" s="148" t="s">
        <v>12</v>
      </c>
      <c r="K2" s="149" t="s">
        <v>13</v>
      </c>
      <c r="L2" s="149" t="s">
        <v>11</v>
      </c>
      <c r="M2" s="112" t="s">
        <v>153</v>
      </c>
      <c r="N2" s="114" t="s">
        <v>154</v>
      </c>
    </row>
    <row r="3" spans="1:14">
      <c r="A3" s="240">
        <v>46112</v>
      </c>
      <c r="B3" s="241" t="s">
        <v>155</v>
      </c>
      <c r="C3" s="241"/>
      <c r="D3" s="237">
        <v>7.04</v>
      </c>
      <c r="E3" s="161" t="str">
        <f>IF(F3="","",IFERROR(INDEX('Bundle Formation'!$C:$C,MATCH(F3,'Bundle Formation'!$G:$G,0)),""))</f>
        <v>MS SHS One Helix IS 4923 YSt 210 Black 38x38x2.80x6000</v>
      </c>
      <c r="F3" s="238" t="s">
        <v>156</v>
      </c>
      <c r="G3">
        <f>IF(F3="","",SUMIF('Bundle Formation'!$G$3:$G$75,F3,'Bundle Formation'!$E$3:$E$75))</f>
        <v>110</v>
      </c>
      <c r="H3" s="87">
        <f>IF(F3="","",SUMIF('Bundle Formation'!$G$3:$G$117,F3,'Bundle Formation'!$J$3:$J$117))</f>
        <v>2.1642948900942045</v>
      </c>
      <c r="I3" s="164">
        <f>IF(OR(D3="",H3=""),"",D3-H3)</f>
        <v>4.8757051099057955</v>
      </c>
      <c r="J3" s="165">
        <f>IF(F3="","",IFERROR(INDEX('Slit to Tube Conversion'!$E:$E,MATCH(INDEX('Bundle Formation'!$B$3:$B$117,MATCH(F3,'Bundle Formation'!$G$3:$G$117,0)),'Slit to Tube Conversion'!$C:$C,0)),""))</f>
        <v>0</v>
      </c>
      <c r="K3" s="47">
        <f>IF(F3="","",IFERROR(INDEX('Slit to Tube Conversion'!$F:$F,MATCH(INDEX('Bundle Formation'!$B$3:$B$117,MATCH(F3,'Bundle Formation'!$G$3:$G$117,0)),'Slit to Tube Conversion'!$C:$C,0)),""))</f>
        <v>147</v>
      </c>
      <c r="L3" s="87">
        <f>IF(F3="","",IFERROR(INDEX('Slit to Tube Conversion'!$G:$G,MATCH(INDEX('Bundle Formation'!$B$3:$B$117,MATCH(F3,'Bundle Formation'!$G$3:$G$117,0)),'Slit to Tube Conversion'!$C:$C,0)),""))</f>
        <v>2.8</v>
      </c>
      <c r="M3" s="166" t="str">
        <f>IF(OR(F3="",D3="",H3=""),"",IF(H3=0,"",IF(D3/H3&lt;0.85,"🔴 CRITICAL",IF(D3/H3&lt;0.9,"🟠 INVESTIGATE",IF(D3/H3&lt;0.95,"🟡 OPTIMIZE","🟢 GOOD")))))</f>
        <v>🟢 GOOD</v>
      </c>
      <c r="N3" s="64" t="str">
        <f>IF(F3="","",IF(COUNTIF(F$3:F3,F3)&gt;1,"⚠ DUPLICATE DISPATCH",""))</f>
        <v/>
      </c>
    </row>
    <row r="4" spans="1:14">
      <c r="A4" s="240">
        <v>46112</v>
      </c>
      <c r="B4" s="241" t="s">
        <v>155</v>
      </c>
      <c r="C4" s="241"/>
      <c r="D4" s="237">
        <v>7.04</v>
      </c>
      <c r="E4" s="161" t="str">
        <f>IF(F4="","",IFERROR(INDEX('Bundle Formation'!$C:$C,MATCH(F4,'Bundle Formation'!$G:$G,0)),""))</f>
        <v>MS SHS One Helix IS 4923 YSt 210 Black 38x38x2.80x6000</v>
      </c>
      <c r="F4" s="239" t="s">
        <v>157</v>
      </c>
      <c r="G4">
        <f>IF(F4="","",SUMIF('Bundle Formation'!$G$3:$G$75,F4,'Bundle Formation'!$E$3:$E$75))</f>
        <v>110</v>
      </c>
      <c r="H4" s="87">
        <f>IF(F4="","",SUMIF('Bundle Formation'!$G$3:$G$117,F4,'Bundle Formation'!$J$3:$J$117))</f>
        <v>2.1642948900942045</v>
      </c>
      <c r="I4" s="164">
        <f t="shared" ref="I4:I67" si="0">IF(OR(D4="",H4=""),"",D4-H4)</f>
        <v>4.8757051099057955</v>
      </c>
      <c r="J4" s="165">
        <f>IF(F4="","",IFERROR(INDEX('Slit to Tube Conversion'!$E:$E,MATCH(INDEX('Bundle Formation'!$B$3:$B$117,MATCH(F4,'Bundle Formation'!$G$3:$G$117,0)),'Slit to Tube Conversion'!$C:$C,0)),""))</f>
        <v>0</v>
      </c>
      <c r="K4" s="47">
        <f>IF(F4="","",IFERROR(INDEX('Slit to Tube Conversion'!$F:$F,MATCH(INDEX('Bundle Formation'!$B$3:$B$117,MATCH(F4,'Bundle Formation'!$G$3:$G$117,0)),'Slit to Tube Conversion'!$C:$C,0)),""))</f>
        <v>147</v>
      </c>
      <c r="L4" s="87">
        <f>IF(F4="","",IFERROR(INDEX('Slit to Tube Conversion'!$G:$G,MATCH(INDEX('Bundle Formation'!$B$3:$B$117,MATCH(F4,'Bundle Formation'!$G$3:$G$117,0)),'Slit to Tube Conversion'!$C:$C,0)),""))</f>
        <v>2.8</v>
      </c>
      <c r="M4" s="166" t="str">
        <f t="shared" ref="M4:M67" si="1">IF(OR(F4="",D4="",H4=""),"",IF(H4=0,"",IF(D4/H4&lt;0.85,"🔴 CRITICAL",IF(D4/H4&lt;0.9,"🟠 INVESTIGATE",IF(D4/H4&lt;0.95,"🟡 OPTIMIZE","🟢 GOOD")))))</f>
        <v>🟢 GOOD</v>
      </c>
      <c r="N4" s="68" t="str">
        <f>IF(F4="","",IF(COUNTIF(F$3:F4,F4)&gt;1,"⚠ DUPLICATE DISPATCH",""))</f>
        <v/>
      </c>
    </row>
    <row r="5" spans="1:14">
      <c r="A5" s="240">
        <v>46112</v>
      </c>
      <c r="B5" s="241" t="s">
        <v>155</v>
      </c>
      <c r="C5" s="241"/>
      <c r="D5" s="237">
        <v>7.04</v>
      </c>
      <c r="E5" s="162"/>
      <c r="F5" s="239" t="s">
        <v>158</v>
      </c>
      <c r="G5">
        <f>IF(F5="","",SUMIF('Bundle Formation'!$G$3:$G$75,F5,'Bundle Formation'!$E$3:$E$75))</f>
        <v>160</v>
      </c>
      <c r="H5" s="87">
        <f>IF(F5="","",SUMIF('Bundle Formation'!$G$3:$G$117,F5,'Bundle Formation'!$J$3:$J$117))</f>
        <v>0</v>
      </c>
      <c r="I5" s="164">
        <f t="shared" si="0"/>
        <v>7.04</v>
      </c>
      <c r="J5" s="165">
        <f>IF(F5="","",IFERROR(INDEX('Slit to Tube Conversion'!$E:$E,MATCH(INDEX('Bundle Formation'!$B$3:$B$117,MATCH(F5,'Bundle Formation'!$G$3:$G$117,0)),'Slit to Tube Conversion'!$C:$C,0)),""))</f>
        <v>0</v>
      </c>
      <c r="K5" s="47">
        <f>IF(F5="","",IFERROR(INDEX('Slit to Tube Conversion'!$F:$F,MATCH(INDEX('Bundle Formation'!$B$3:$B$117,MATCH(F5,'Bundle Formation'!$G$3:$G$117,0)),'Slit to Tube Conversion'!$C:$C,0)),""))</f>
        <v>147</v>
      </c>
      <c r="L5" s="87">
        <f>IF(F5="","",IFERROR(INDEX('Slit to Tube Conversion'!$G:$G,MATCH(INDEX('Bundle Formation'!$B$3:$B$117,MATCH(F5,'Bundle Formation'!$G$3:$G$117,0)),'Slit to Tube Conversion'!$C:$C,0)),""))</f>
        <v>2.8</v>
      </c>
      <c r="M5" s="166" t="str">
        <f t="shared" si="1"/>
        <v/>
      </c>
      <c r="N5" s="68" t="str">
        <f>IF(F5="","",IF(COUNTIF(F$3:F5,F5)&gt;1,"⚠ DUPLICATE DISPATCH",""))</f>
        <v/>
      </c>
    </row>
    <row r="6" spans="1:14">
      <c r="A6" s="240">
        <v>46112</v>
      </c>
      <c r="B6" s="241" t="s">
        <v>155</v>
      </c>
      <c r="C6" s="241"/>
      <c r="D6" s="237">
        <v>7.04</v>
      </c>
      <c r="E6" s="162" t="str">
        <f>IF(F6="","",IFERROR(INDEX('Bundle Formation'!$C:$C,MATCH(F6,'Bundle Formation'!$G:$G,0)),""))</f>
        <v>MS SHS One Helix IS 4923 YSt 210 Black 50x50x2.80x6000</v>
      </c>
      <c r="F6" s="239" t="s">
        <v>159</v>
      </c>
      <c r="G6">
        <f>IF(F6="","",SUMIF('Bundle Formation'!$G$3:$G$75,F6,'Bundle Formation'!$E$3:$E$75))</f>
        <v>80</v>
      </c>
      <c r="H6" s="87">
        <f>IF(F6="","",SUMIF('Bundle Formation'!$G$3:$G$117,F6,'Bundle Formation'!$J$3:$J$117))</f>
        <v>2.0819205148833468</v>
      </c>
      <c r="I6" s="164">
        <f t="shared" si="0"/>
        <v>4.9580794851166532</v>
      </c>
      <c r="J6" s="165">
        <f>IF(F6="","",IFERROR(INDEX('Slit to Tube Conversion'!$E:$E,MATCH(INDEX('Bundle Formation'!$B$3:$B$117,MATCH(F6,'Bundle Formation'!$G$3:$G$117,0)),'Slit to Tube Conversion'!$C:$C,0)),""))</f>
        <v>0</v>
      </c>
      <c r="K6" s="47">
        <f>IF(F6="","",IFERROR(INDEX('Slit to Tube Conversion'!$F:$F,MATCH(INDEX('Bundle Formation'!$B$3:$B$117,MATCH(F6,'Bundle Formation'!$G$3:$G$117,0)),'Slit to Tube Conversion'!$C:$C,0)),""))</f>
        <v>196</v>
      </c>
      <c r="L6" s="87">
        <f>IF(F6="","",IFERROR(INDEX('Slit to Tube Conversion'!$G:$G,MATCH(INDEX('Bundle Formation'!$B$3:$B$117,MATCH(F6,'Bundle Formation'!$G$3:$G$117,0)),'Slit to Tube Conversion'!$C:$C,0)),""))</f>
        <v>2.8</v>
      </c>
      <c r="M6" s="166" t="str">
        <f t="shared" si="1"/>
        <v>🟢 GOOD</v>
      </c>
      <c r="N6" s="68" t="str">
        <f>IF(F6="","",IF(COUNTIF(F$3:F6,F6)&gt;1,"⚠ DUPLICATE DISPATCH",""))</f>
        <v/>
      </c>
    </row>
    <row r="7" spans="1:14">
      <c r="A7" s="240">
        <v>46112</v>
      </c>
      <c r="B7" s="241" t="s">
        <v>155</v>
      </c>
      <c r="C7" s="241"/>
      <c r="D7" s="237">
        <v>7.04</v>
      </c>
      <c r="E7" s="162" t="str">
        <f>IF(F7="","",IFERROR(INDEX('Bundle Formation'!$C:$C,MATCH(F7,'Bundle Formation'!$G:$G,0)),""))</f>
        <v>MS SHS One Helix IS 4923 YSt 210 Black 38x38x2.20x6000</v>
      </c>
      <c r="F7" s="239" t="s">
        <v>160</v>
      </c>
      <c r="G7">
        <f>IF(F7="","",SUMIF('Bundle Formation'!$G$3:$G$75,F7,'Bundle Formation'!$E$3:$E$75))</f>
        <v>144</v>
      </c>
      <c r="H7" s="87">
        <f>IF(F7="","",SUMIF('Bundle Formation'!$G$3:$G$117,F7,'Bundle Formation'!$J$3:$J$117))</f>
        <v>2.2138983607634435</v>
      </c>
      <c r="I7" s="164">
        <f t="shared" si="0"/>
        <v>4.8261016392365566</v>
      </c>
      <c r="J7" s="165">
        <f>IF(F7="","",IFERROR(INDEX('Slit to Tube Conversion'!$E:$E,MATCH(INDEX('Bundle Formation'!$B$3:$B$117,MATCH(F7,'Bundle Formation'!$G$3:$G$117,0)),'Slit to Tube Conversion'!$C:$C,0)),""))</f>
        <v>0</v>
      </c>
      <c r="K7" s="47">
        <f>IF(F7="","",IFERROR(INDEX('Slit to Tube Conversion'!$F:$F,MATCH(INDEX('Bundle Formation'!$B$3:$B$117,MATCH(F7,'Bundle Formation'!$G$3:$G$117,0)),'Slit to Tube Conversion'!$C:$C,0)),""))</f>
        <v>148</v>
      </c>
      <c r="L7" s="87">
        <f>IF(F7="","",IFERROR(INDEX('Slit to Tube Conversion'!$G:$G,MATCH(INDEX('Bundle Formation'!$B$3:$B$117,MATCH(F7,'Bundle Formation'!$G$3:$G$117,0)),'Slit to Tube Conversion'!$C:$C,0)),""))</f>
        <v>2.2000000000000002</v>
      </c>
      <c r="M7" s="166" t="str">
        <f t="shared" si="1"/>
        <v>🟢 GOOD</v>
      </c>
      <c r="N7" s="68" t="str">
        <f>IF(F7="","",IF(COUNTIF(F$3:F7,F7)&gt;1,"⚠ DUPLICATE DISPATCH",""))</f>
        <v/>
      </c>
    </row>
    <row r="8" spans="1:14">
      <c r="A8" s="240">
        <v>46112</v>
      </c>
      <c r="B8" s="241" t="s">
        <v>155</v>
      </c>
      <c r="C8" s="241"/>
      <c r="D8" s="237">
        <v>7.04</v>
      </c>
      <c r="E8" s="162" t="str">
        <f>IF(F8="","",IFERROR(INDEX('Bundle Formation'!$C:$C,MATCH(F8,'Bundle Formation'!$G:$G,0)),""))</f>
        <v>MS SHS One Helix IS 4923 YSt 210 Black 38x38x2.20x6000</v>
      </c>
      <c r="F8" s="239" t="s">
        <v>161</v>
      </c>
      <c r="G8">
        <f>IF(F8="","",SUMIF('Bundle Formation'!$G$3:$G$75,F8,'Bundle Formation'!$E$3:$E$75))</f>
        <v>52</v>
      </c>
      <c r="H8" s="87">
        <f>IF(F8="","",SUMIF('Bundle Formation'!$G$3:$G$117,F8,'Bundle Formation'!$J$3:$J$117))</f>
        <v>0.79946329694235474</v>
      </c>
      <c r="I8" s="164">
        <f t="shared" si="0"/>
        <v>6.2405367030576455</v>
      </c>
      <c r="J8" s="165">
        <f>IF(F8="","",IFERROR(INDEX('Slit to Tube Conversion'!$E:$E,MATCH(INDEX('Bundle Formation'!$B$3:$B$117,MATCH(F8,'Bundle Formation'!$G$3:$G$117,0)),'Slit to Tube Conversion'!$C:$C,0)),""))</f>
        <v>0</v>
      </c>
      <c r="K8" s="47">
        <f>IF(F8="","",IFERROR(INDEX('Slit to Tube Conversion'!$F:$F,MATCH(INDEX('Bundle Formation'!$B$3:$B$117,MATCH(F8,'Bundle Formation'!$G$3:$G$117,0)),'Slit to Tube Conversion'!$C:$C,0)),""))</f>
        <v>148</v>
      </c>
      <c r="L8" s="87">
        <f>IF(F8="","",IFERROR(INDEX('Slit to Tube Conversion'!$G:$G,MATCH(INDEX('Bundle Formation'!$B$3:$B$117,MATCH(F8,'Bundle Formation'!$G$3:$G$117,0)),'Slit to Tube Conversion'!$C:$C,0)),""))</f>
        <v>2.2000000000000002</v>
      </c>
      <c r="M8" s="166" t="str">
        <f t="shared" si="1"/>
        <v>🟢 GOOD</v>
      </c>
      <c r="N8" s="68" t="str">
        <f>IF(F8="","",IF(COUNTIF(F$3:F8,F8)&gt;1,"⚠ DUPLICATE DISPATCH",""))</f>
        <v/>
      </c>
    </row>
    <row r="9" spans="1:14">
      <c r="A9" s="240">
        <v>46112</v>
      </c>
      <c r="B9" s="241" t="s">
        <v>155</v>
      </c>
      <c r="C9" s="241"/>
      <c r="D9" s="237">
        <v>7.04</v>
      </c>
      <c r="E9" s="162" t="str">
        <f>IF(F9="","",IFERROR(INDEX('Bundle Formation'!$C:$C,MATCH(F9,'Bundle Formation'!$G:$G,0)),""))</f>
        <v>MS SHS One Helix IS 4923 YSt 210 Black 50x50x2.20x6000</v>
      </c>
      <c r="F9" s="239" t="s">
        <v>162</v>
      </c>
      <c r="G9">
        <f>IF(F9="","",SUMIF('Bundle Formation'!$G$3:$G$75,F9,'Bundle Formation'!$E$3:$E$75))</f>
        <v>110</v>
      </c>
      <c r="H9" s="87">
        <f>IF(F9="","",SUMIF('Bundle Formation'!$G$3:$G$117,F9,'Bundle Formation'!$J$3:$J$117))</f>
        <v>2.3144984481898048</v>
      </c>
      <c r="I9" s="164">
        <f t="shared" si="0"/>
        <v>4.7255015518101953</v>
      </c>
      <c r="J9" s="165">
        <f>IF(F9="","",IFERROR(INDEX('Slit to Tube Conversion'!$E:$E,MATCH(INDEX('Bundle Formation'!$B$3:$B$117,MATCH(F9,'Bundle Formation'!$G$3:$G$117,0)),'Slit to Tube Conversion'!$C:$C,0)),""))</f>
        <v>0</v>
      </c>
      <c r="K9" s="47">
        <f>IF(F9="","",IFERROR(INDEX('Slit to Tube Conversion'!$F:$F,MATCH(INDEX('Bundle Formation'!$B$3:$B$117,MATCH(F9,'Bundle Formation'!$G$3:$G$117,0)),'Slit to Tube Conversion'!$C:$C,0)),""))</f>
        <v>197</v>
      </c>
      <c r="L9" s="87">
        <f>IF(F9="","",IFERROR(INDEX('Slit to Tube Conversion'!$G:$G,MATCH(INDEX('Bundle Formation'!$B$3:$B$117,MATCH(F9,'Bundle Formation'!$G$3:$G$117,0)),'Slit to Tube Conversion'!$C:$C,0)),""))</f>
        <v>2.2000000000000002</v>
      </c>
      <c r="M9" s="166" t="str">
        <f t="shared" si="1"/>
        <v>🟢 GOOD</v>
      </c>
      <c r="N9" s="68" t="str">
        <f>IF(F9="","",IF(COUNTIF(F$3:F9,F9)&gt;1,"⚠ DUPLICATE DISPATCH",""))</f>
        <v/>
      </c>
    </row>
    <row r="10" spans="1:14">
      <c r="A10" s="240">
        <v>46112</v>
      </c>
      <c r="B10" s="241" t="s">
        <v>155</v>
      </c>
      <c r="C10" s="241"/>
      <c r="D10" s="237">
        <v>7.04</v>
      </c>
      <c r="E10" s="162" t="str">
        <f>IF(F10="","",IFERROR(INDEX('Bundle Formation'!$C:$C,MATCH(F10,'Bundle Formation'!$G:$G,0)),""))</f>
        <v/>
      </c>
      <c r="F10" s="239" t="s">
        <v>163</v>
      </c>
      <c r="G10">
        <f>IF(F10="","",SUMIF('Bundle Formation'!$G$3:$G$75,F10,'Bundle Formation'!$E$3:$E$75))</f>
        <v>0</v>
      </c>
      <c r="H10" s="87">
        <f>IF(F10="","",SUMIF('Bundle Formation'!$G$3:$G$117,F10,'Bundle Formation'!$J$3:$J$117))</f>
        <v>0</v>
      </c>
      <c r="I10" s="164">
        <f t="shared" si="0"/>
        <v>7.04</v>
      </c>
      <c r="J10" s="165" t="str">
        <f>IF(F10="","",IFERROR(INDEX('Slit to Tube Conversion'!$E:$E,MATCH(INDEX('Bundle Formation'!$B$3:$B$117,MATCH(F10,'Bundle Formation'!$G$3:$G$117,0)),'Slit to Tube Conversion'!$C:$C,0)),""))</f>
        <v/>
      </c>
      <c r="K10" s="47" t="str">
        <f>IF(F10="","",IFERROR(INDEX('Slit to Tube Conversion'!$F:$F,MATCH(INDEX('Bundle Formation'!$B$3:$B$117,MATCH(F10,'Bundle Formation'!$G$3:$G$117,0)),'Slit to Tube Conversion'!$C:$C,0)),""))</f>
        <v/>
      </c>
      <c r="L10" s="87" t="str">
        <f>IF(F10="","",IFERROR(INDEX('Slit to Tube Conversion'!$G:$G,MATCH(INDEX('Bundle Formation'!$B$3:$B$117,MATCH(F10,'Bundle Formation'!$G$3:$G$117,0)),'Slit to Tube Conversion'!$C:$C,0)),""))</f>
        <v/>
      </c>
      <c r="M10" s="166" t="str">
        <f t="shared" si="1"/>
        <v/>
      </c>
      <c r="N10" s="68" t="str">
        <f>IF(F10="","",IF(COUNTIF(F$3:F10,F10)&gt;1,"⚠ DUPLICATE DISPATCH",""))</f>
        <v/>
      </c>
    </row>
    <row r="11" spans="1:14">
      <c r="A11" s="240">
        <v>46115</v>
      </c>
      <c r="B11" t="s">
        <v>164</v>
      </c>
      <c r="D11" s="237">
        <v>13.72</v>
      </c>
      <c r="E11" s="162" t="str">
        <f>IF(F11="","",IFERROR(INDEX('Bundle Formation'!$C:$C,MATCH(F11,'Bundle Formation'!$G:$G,0)),""))</f>
        <v>MS SHS One Helix IS 4923 YSt 210 Black 38x38x2.20x6000</v>
      </c>
      <c r="F11" s="239" t="s">
        <v>165</v>
      </c>
      <c r="G11">
        <f>IF(F11="","",SUMIF('Bundle Formation'!$G$3:$G$75,F11,'Bundle Formation'!$E$3:$E$75))</f>
        <v>144</v>
      </c>
      <c r="H11" s="87">
        <f>IF(F11="","",SUMIF('Bundle Formation'!$G$3:$G$117,F11,'Bundle Formation'!$J$3:$J$117))</f>
        <v>2.2138983607634439</v>
      </c>
      <c r="I11" s="164">
        <f t="shared" si="0"/>
        <v>11.506101639236556</v>
      </c>
      <c r="J11" s="165">
        <f>IF(F11="","",IFERROR(INDEX('Slit to Tube Conversion'!$E:$E,MATCH(INDEX('Bundle Formation'!$B$3:$B$117,MATCH(F11,'Bundle Formation'!$G$3:$G$117,0)),'Slit to Tube Conversion'!$C:$C,0)),""))</f>
        <v>0</v>
      </c>
      <c r="K11" s="47">
        <f>IF(F11="","",IFERROR(INDEX('Slit to Tube Conversion'!$F:$F,MATCH(INDEX('Bundle Formation'!$B$3:$B$117,MATCH(F11,'Bundle Formation'!$G$3:$G$117,0)),'Slit to Tube Conversion'!$C:$C,0)),""))</f>
        <v>148</v>
      </c>
      <c r="L11" s="87">
        <f>IF(F11="","",IFERROR(INDEX('Slit to Tube Conversion'!$G:$G,MATCH(INDEX('Bundle Formation'!$B$3:$B$117,MATCH(F11,'Bundle Formation'!$G$3:$G$117,0)),'Slit to Tube Conversion'!$C:$C,0)),""))</f>
        <v>2.2000000000000002</v>
      </c>
      <c r="M11" s="166" t="str">
        <f t="shared" si="1"/>
        <v>🟢 GOOD</v>
      </c>
      <c r="N11" s="68" t="str">
        <f>IF(F11="","",IF(COUNTIF(F$3:F11,F11)&gt;1,"⚠ DUPLICATE DISPATCH",""))</f>
        <v/>
      </c>
    </row>
    <row r="12" spans="1:14">
      <c r="A12" s="240">
        <v>46115</v>
      </c>
      <c r="B12" t="s">
        <v>164</v>
      </c>
      <c r="D12" s="237">
        <v>13.72</v>
      </c>
      <c r="E12" s="162" t="str">
        <f>IF(F12="","",IFERROR(INDEX('Bundle Formation'!$C:$C,MATCH(F12,'Bundle Formation'!$G:$G,0)),""))</f>
        <v>MS SHS One Helix IS 4923 YSt 210 Black 38x38x2.20x6000</v>
      </c>
      <c r="F12" s="239" t="s">
        <v>166</v>
      </c>
      <c r="G12">
        <f>IF(F12="","",SUMIF('Bundle Formation'!$G$3:$G$75,F12,'Bundle Formation'!$E$3:$E$75))</f>
        <v>144</v>
      </c>
      <c r="H12" s="87">
        <f>IF(F12="","",SUMIF('Bundle Formation'!$G$3:$G$117,F12,'Bundle Formation'!$J$3:$J$117))</f>
        <v>2.2240538578311662</v>
      </c>
      <c r="I12" s="164">
        <f t="shared" si="0"/>
        <v>11.495946142168835</v>
      </c>
      <c r="J12" s="165">
        <f>IF(F12="","",IFERROR(INDEX('Slit to Tube Conversion'!$E:$E,MATCH(INDEX('Bundle Formation'!$B$3:$B$117,MATCH(F12,'Bundle Formation'!$G$3:$G$117,0)),'Slit to Tube Conversion'!$C:$C,0)),""))</f>
        <v>0</v>
      </c>
      <c r="K12" s="47">
        <f>IF(F12="","",IFERROR(INDEX('Slit to Tube Conversion'!$F:$F,MATCH(INDEX('Bundle Formation'!$B$3:$B$117,MATCH(F12,'Bundle Formation'!$G$3:$G$117,0)),'Slit to Tube Conversion'!$C:$C,0)),""))</f>
        <v>148</v>
      </c>
      <c r="L12" s="87">
        <f>IF(F12="","",IFERROR(INDEX('Slit to Tube Conversion'!$G:$G,MATCH(INDEX('Bundle Formation'!$B$3:$B$117,MATCH(F12,'Bundle Formation'!$G$3:$G$117,0)),'Slit to Tube Conversion'!$C:$C,0)),""))</f>
        <v>2.2000000000000002</v>
      </c>
      <c r="M12" s="166" t="str">
        <f t="shared" si="1"/>
        <v>🟢 GOOD</v>
      </c>
      <c r="N12" s="68" t="str">
        <f>IF(F12="","",IF(COUNTIF(F$3:F12,F12)&gt;1,"⚠ DUPLICATE DISPATCH",""))</f>
        <v/>
      </c>
    </row>
    <row r="13" spans="1:14" ht="21.75" customHeight="1">
      <c r="A13" s="240">
        <v>46115</v>
      </c>
      <c r="B13" t="s">
        <v>164</v>
      </c>
      <c r="D13" s="237">
        <v>13.72</v>
      </c>
      <c r="E13" s="162" t="str">
        <f>IF(F13="","",IFERROR(INDEX('Bundle Formation'!$C:$C,MATCH(F13,'Bundle Formation'!$G:$G,0)),""))</f>
        <v>MS SHS One Helix IS 4923 YSt 210 Black 50x50x2.20x6000</v>
      </c>
      <c r="F13" s="239" t="s">
        <v>167</v>
      </c>
      <c r="G13">
        <f>IF(F13="","",SUMIF('Bundle Formation'!$G$3:$G$75,F13,'Bundle Formation'!$E$3:$E$75))</f>
        <v>110</v>
      </c>
      <c r="H13" s="87">
        <f>IF(F13="","",SUMIF('Bundle Formation'!$G$3:$G$117,F13,'Bundle Formation'!$J$3:$J$117))</f>
        <v>2.3144984481898048</v>
      </c>
      <c r="I13" s="164">
        <f t="shared" si="0"/>
        <v>11.405501551810197</v>
      </c>
      <c r="J13" s="165">
        <f>IF(F13="","",IFERROR(INDEX('Slit to Tube Conversion'!$E:$E,MATCH(INDEX('Bundle Formation'!$B$3:$B$117,MATCH(F13,'Bundle Formation'!$G$3:$G$117,0)),'Slit to Tube Conversion'!$C:$C,0)),""))</f>
        <v>0</v>
      </c>
      <c r="K13" s="47">
        <f>IF(F13="","",IFERROR(INDEX('Slit to Tube Conversion'!$F:$F,MATCH(INDEX('Bundle Formation'!$B$3:$B$117,MATCH(F13,'Bundle Formation'!$G$3:$G$117,0)),'Slit to Tube Conversion'!$C:$C,0)),""))</f>
        <v>197</v>
      </c>
      <c r="L13" s="87">
        <f>IF(F13="","",IFERROR(INDEX('Slit to Tube Conversion'!$G:$G,MATCH(INDEX('Bundle Formation'!$B$3:$B$117,MATCH(F13,'Bundle Formation'!$G$3:$G$117,0)),'Slit to Tube Conversion'!$C:$C,0)),""))</f>
        <v>2.2000000000000002</v>
      </c>
      <c r="M13" s="166" t="str">
        <f t="shared" si="1"/>
        <v>🟢 GOOD</v>
      </c>
      <c r="N13" s="68" t="str">
        <f>IF(F13="","",IF(COUNTIF(F$3:F13,F13)&gt;1,"⚠ DUPLICATE DISPATCH",""))</f>
        <v/>
      </c>
    </row>
    <row r="14" spans="1:14" ht="21.75" customHeight="1">
      <c r="A14" s="240">
        <v>46115</v>
      </c>
      <c r="B14" t="s">
        <v>164</v>
      </c>
      <c r="D14" s="237">
        <v>13.72</v>
      </c>
      <c r="E14" s="162" t="str">
        <f>IF(F14="","",IFERROR(INDEX('Bundle Formation'!$C:$C,MATCH(F14,'Bundle Formation'!$G:$G,0)),""))</f>
        <v>MS SHS One Helix IS 4923 YSt 210 Black 38x38x2.20x6000</v>
      </c>
      <c r="F14" s="239" t="s">
        <v>168</v>
      </c>
      <c r="G14">
        <f>IF(F14="","",SUMIF('Bundle Formation'!$G$3:$G$75,F14,'Bundle Formation'!$E$3:$E$75))</f>
        <v>144</v>
      </c>
      <c r="H14" s="87">
        <f>IF(F14="","",SUMIF('Bundle Formation'!$G$3:$G$117,F14,'Bundle Formation'!$J$3:$J$117))</f>
        <v>2.2167193321711443</v>
      </c>
      <c r="I14" s="164">
        <f t="shared" si="0"/>
        <v>11.503280667828857</v>
      </c>
      <c r="J14" s="165">
        <f>IF(F14="","",IFERROR(INDEX('Slit to Tube Conversion'!$E:$E,MATCH(INDEX('Bundle Formation'!$B$3:$B$117,MATCH(F14,'Bundle Formation'!$G$3:$G$117,0)),'Slit to Tube Conversion'!$C:$C,0)),""))</f>
        <v>0</v>
      </c>
      <c r="K14" s="47">
        <f>IF(F14="","",IFERROR(INDEX('Slit to Tube Conversion'!$F:$F,MATCH(INDEX('Bundle Formation'!$B$3:$B$117,MATCH(F14,'Bundle Formation'!$G$3:$G$117,0)),'Slit to Tube Conversion'!$C:$C,0)),""))</f>
        <v>148</v>
      </c>
      <c r="L14" s="87">
        <f>IF(F14="","",IFERROR(INDEX('Slit to Tube Conversion'!$G:$G,MATCH(INDEX('Bundle Formation'!$B$3:$B$117,MATCH(F14,'Bundle Formation'!$G$3:$G$117,0)),'Slit to Tube Conversion'!$C:$C,0)),""))</f>
        <v>2.2000000000000002</v>
      </c>
      <c r="M14" s="166" t="str">
        <f t="shared" si="1"/>
        <v>🟢 GOOD</v>
      </c>
      <c r="N14" s="68" t="str">
        <f>IF(F14="","",IF(COUNTIF(F$3:F14,F14)&gt;1,"⚠ DUPLICATE DISPATCH",""))</f>
        <v/>
      </c>
    </row>
    <row r="15" spans="1:14" ht="21.75" customHeight="1">
      <c r="A15" s="240">
        <v>46115</v>
      </c>
      <c r="B15" t="s">
        <v>164</v>
      </c>
      <c r="D15" s="237">
        <v>13.72</v>
      </c>
      <c r="E15" s="162" t="str">
        <f>IF(F15="","",IFERROR(INDEX('Bundle Formation'!$C:$C,MATCH(F15,'Bundle Formation'!$G:$G,0)),""))</f>
        <v>MS SHS One Helix IS 4923 YSt 210 Black 38x38x2.20x6000</v>
      </c>
      <c r="F15" s="239" t="s">
        <v>169</v>
      </c>
      <c r="G15">
        <f>IF(F15="","",SUMIF('Bundle Formation'!$G$3:$G$75,F15,'Bundle Formation'!$E$3:$E$75))</f>
        <v>144</v>
      </c>
      <c r="H15" s="87">
        <f>IF(F15="","",SUMIF('Bundle Formation'!$G$3:$G$117,F15,'Bundle Formation'!$J$3:$J$117))</f>
        <v>2.2138983607634439</v>
      </c>
      <c r="I15" s="164">
        <f t="shared" si="0"/>
        <v>11.506101639236556</v>
      </c>
      <c r="J15" s="165">
        <f>IF(F15="","",IFERROR(INDEX('Slit to Tube Conversion'!$E:$E,MATCH(INDEX('Bundle Formation'!$B$3:$B$117,MATCH(F15,'Bundle Formation'!$G$3:$G$117,0)),'Slit to Tube Conversion'!$C:$C,0)),""))</f>
        <v>0</v>
      </c>
      <c r="K15" s="47">
        <f>IF(F15="","",IFERROR(INDEX('Slit to Tube Conversion'!$F:$F,MATCH(INDEX('Bundle Formation'!$B$3:$B$117,MATCH(F15,'Bundle Formation'!$G$3:$G$117,0)),'Slit to Tube Conversion'!$C:$C,0)),""))</f>
        <v>148</v>
      </c>
      <c r="L15" s="87">
        <f>IF(F15="","",IFERROR(INDEX('Slit to Tube Conversion'!$G:$G,MATCH(INDEX('Bundle Formation'!$B$3:$B$117,MATCH(F15,'Bundle Formation'!$G$3:$G$117,0)),'Slit to Tube Conversion'!$C:$C,0)),""))</f>
        <v>2.2000000000000002</v>
      </c>
      <c r="M15" s="166" t="str">
        <f t="shared" si="1"/>
        <v>🟢 GOOD</v>
      </c>
      <c r="N15" s="68" t="str">
        <f>IF(F15="","",IF(COUNTIF(F$3:F15,F15)&gt;1,"⚠ DUPLICATE DISPATCH",""))</f>
        <v/>
      </c>
    </row>
    <row r="16" spans="1:14" ht="21.75" customHeight="1">
      <c r="A16" s="240">
        <v>46115</v>
      </c>
      <c r="B16" t="s">
        <v>164</v>
      </c>
      <c r="D16" s="237">
        <v>13.72</v>
      </c>
      <c r="E16" s="162" t="str">
        <f>IF(F16="","",IFERROR(INDEX('Bundle Formation'!$C:$C,MATCH(F16,'Bundle Formation'!$G:$G,0)),""))</f>
        <v/>
      </c>
      <c r="F16" s="239" t="s">
        <v>170</v>
      </c>
      <c r="G16">
        <f>IF(F16="","",SUMIF('Bundle Formation'!$G$3:$G$75,F16,'Bundle Formation'!$E$3:$E$75))</f>
        <v>0</v>
      </c>
      <c r="H16" s="87">
        <f>IF(F16="","",SUMIF('Bundle Formation'!$G$3:$G$117,F16,'Bundle Formation'!$J$3:$J$117))</f>
        <v>0</v>
      </c>
      <c r="I16" s="164">
        <f t="shared" si="0"/>
        <v>13.72</v>
      </c>
      <c r="J16" s="165" t="str">
        <f>IF(F16="","",IFERROR(INDEX('Slit to Tube Conversion'!$E:$E,MATCH(INDEX('Bundle Formation'!$B$3:$B$117,MATCH(F16,'Bundle Formation'!$G$3:$G$117,0)),'Slit to Tube Conversion'!$C:$C,0)),""))</f>
        <v/>
      </c>
      <c r="K16" s="47" t="str">
        <f>IF(F16="","",IFERROR(INDEX('Slit to Tube Conversion'!$F:$F,MATCH(INDEX('Bundle Formation'!$B$3:$B$117,MATCH(F16,'Bundle Formation'!$G$3:$G$117,0)),'Slit to Tube Conversion'!$C:$C,0)),""))</f>
        <v/>
      </c>
      <c r="L16" s="87" t="str">
        <f>IF(F16="","",IFERROR(INDEX('Slit to Tube Conversion'!$G:$G,MATCH(INDEX('Bundle Formation'!$B$3:$B$117,MATCH(F16,'Bundle Formation'!$G$3:$G$117,0)),'Slit to Tube Conversion'!$C:$C,0)),""))</f>
        <v/>
      </c>
      <c r="M16" s="166" t="str">
        <f t="shared" si="1"/>
        <v/>
      </c>
      <c r="N16" s="68" t="str">
        <f>IF(F16="","",IF(COUNTIF(F$3:F16,F16)&gt;1,"⚠ DUPLICATE DISPATCH",""))</f>
        <v/>
      </c>
    </row>
    <row r="17" spans="1:14" ht="21.75" customHeight="1">
      <c r="A17" s="240">
        <v>46115</v>
      </c>
      <c r="B17" t="s">
        <v>164</v>
      </c>
      <c r="D17" s="237">
        <v>13.72</v>
      </c>
      <c r="E17" s="162" t="str">
        <f>IF(F17="","",IFERROR(INDEX('Bundle Formation'!$C:$C,MATCH(F17,'Bundle Formation'!$G:$G,0)),""))</f>
        <v>MS SHS One Helix IS 4923 YSt 210 Black 50x50x2.50x6000</v>
      </c>
      <c r="F17" s="239" t="s">
        <v>171</v>
      </c>
      <c r="G17">
        <f>IF(F17="","",SUMIF('Bundle Formation'!$G$3:$G$75,F17,'Bundle Formation'!$E$3:$E$75))</f>
        <v>90</v>
      </c>
      <c r="H17" s="87">
        <f>IF(F17="","",SUMIF('Bundle Formation'!$G$3:$G$117,F17,'Bundle Formation'!$J$3:$J$117))</f>
        <v>2.1470894281914892</v>
      </c>
      <c r="I17" s="164">
        <f t="shared" si="0"/>
        <v>11.572910571808512</v>
      </c>
      <c r="J17" s="165">
        <f>IF(F17="","",IFERROR(INDEX('Slit to Tube Conversion'!$E:$E,MATCH(INDEX('Bundle Formation'!$B$3:$B$117,MATCH(F17,'Bundle Formation'!$G$3:$G$117,0)),'Slit to Tube Conversion'!$C:$C,0)),""))</f>
        <v>0</v>
      </c>
      <c r="K17" s="47">
        <f>IF(F17="","",IFERROR(INDEX('Slit to Tube Conversion'!$F:$F,MATCH(INDEX('Bundle Formation'!$B$3:$B$117,MATCH(F17,'Bundle Formation'!$G$3:$G$117,0)),'Slit to Tube Conversion'!$C:$C,0)),""))</f>
        <v>196</v>
      </c>
      <c r="L17" s="87">
        <f>IF(F17="","",IFERROR(INDEX('Slit to Tube Conversion'!$G:$G,MATCH(INDEX('Bundle Formation'!$B$3:$B$117,MATCH(F17,'Bundle Formation'!$G$3:$G$117,0)),'Slit to Tube Conversion'!$C:$C,0)),""))</f>
        <v>2.5</v>
      </c>
      <c r="M17" s="166" t="str">
        <f t="shared" si="1"/>
        <v>🟢 GOOD</v>
      </c>
      <c r="N17" s="68" t="str">
        <f>IF(F17="","",IF(COUNTIF(F$3:F17,F17)&gt;1,"⚠ DUPLICATE DISPATCH",""))</f>
        <v/>
      </c>
    </row>
    <row r="18" spans="1:14" ht="21.75" customHeight="1">
      <c r="A18" s="240">
        <v>46115</v>
      </c>
      <c r="B18" t="s">
        <v>164</v>
      </c>
      <c r="D18" s="237">
        <v>13.72</v>
      </c>
      <c r="E18" s="162" t="str">
        <f>IF(F18="","",IFERROR(INDEX('Bundle Formation'!$C:$C,MATCH(F18,'Bundle Formation'!$G:$G,0)),""))</f>
        <v>MS SHS One Helix IS 4923 YSt 210 Black 50x50x2.50x6000</v>
      </c>
      <c r="F18" s="239" t="s">
        <v>172</v>
      </c>
      <c r="G18">
        <f>IF(F18="","",SUMIF('Bundle Formation'!$G$3:$G$75,F18,'Bundle Formation'!$E$3:$E$75))</f>
        <v>90</v>
      </c>
      <c r="H18" s="87">
        <f>IF(F18="","",SUMIF('Bundle Formation'!$G$3:$G$117,F18,'Bundle Formation'!$J$3:$J$117))</f>
        <v>2.1205821513002365</v>
      </c>
      <c r="I18" s="164">
        <f t="shared" si="0"/>
        <v>11.599417848699764</v>
      </c>
      <c r="J18" s="165">
        <f>IF(F18="","",IFERROR(INDEX('Slit to Tube Conversion'!$E:$E,MATCH(INDEX('Bundle Formation'!$B$3:$B$117,MATCH(F18,'Bundle Formation'!$G$3:$G$117,0)),'Slit to Tube Conversion'!$C:$C,0)),""))</f>
        <v>0</v>
      </c>
      <c r="K18" s="47">
        <f>IF(F18="","",IFERROR(INDEX('Slit to Tube Conversion'!$F:$F,MATCH(INDEX('Bundle Formation'!$B$3:$B$117,MATCH(F18,'Bundle Formation'!$G$3:$G$117,0)),'Slit to Tube Conversion'!$C:$C,0)),""))</f>
        <v>196</v>
      </c>
      <c r="L18" s="87">
        <f>IF(F18="","",IFERROR(INDEX('Slit to Tube Conversion'!$G:$G,MATCH(INDEX('Bundle Formation'!$B$3:$B$117,MATCH(F18,'Bundle Formation'!$G$3:$G$117,0)),'Slit to Tube Conversion'!$C:$C,0)),""))</f>
        <v>2.5</v>
      </c>
      <c r="M18" s="166" t="str">
        <f t="shared" si="1"/>
        <v>🟢 GOOD</v>
      </c>
      <c r="N18" s="68" t="str">
        <f>IF(F18="","",IF(COUNTIF(F$3:F18,F18)&gt;1,"⚠ DUPLICATE DISPATCH",""))</f>
        <v/>
      </c>
    </row>
    <row r="19" spans="1:14" ht="21.75" customHeight="1">
      <c r="A19" s="240">
        <v>46115</v>
      </c>
      <c r="B19" t="s">
        <v>164</v>
      </c>
      <c r="D19" s="237">
        <v>13.72</v>
      </c>
      <c r="E19" s="162" t="str">
        <f>IF(F19="","",IFERROR(INDEX('Bundle Formation'!$C:$C,MATCH(F19,'Bundle Formation'!$G:$G,0)),""))</f>
        <v>MS SHS One Helix IS 4923 YSt 210 Black 50x50x2.80x6000</v>
      </c>
      <c r="F19" s="239" t="s">
        <v>173</v>
      </c>
      <c r="G19">
        <f>IF(F19="","",SUMIF('Bundle Formation'!$G$3:$G$75,F19,'Bundle Formation'!$E$3:$E$75))</f>
        <v>80</v>
      </c>
      <c r="H19" s="87">
        <f>IF(F19="","",SUMIF('Bundle Formation'!$G$3:$G$117,F19,'Bundle Formation'!$J$3:$J$117))</f>
        <v>2.0819205148833468</v>
      </c>
      <c r="I19" s="164">
        <f t="shared" si="0"/>
        <v>11.638079485116654</v>
      </c>
      <c r="J19" s="165">
        <f>IF(F19="","",IFERROR(INDEX('Slit to Tube Conversion'!$E:$E,MATCH(INDEX('Bundle Formation'!$B$3:$B$117,MATCH(F19,'Bundle Formation'!$G$3:$G$117,0)),'Slit to Tube Conversion'!$C:$C,0)),""))</f>
        <v>0</v>
      </c>
      <c r="K19" s="47">
        <f>IF(F19="","",IFERROR(INDEX('Slit to Tube Conversion'!$F:$F,MATCH(INDEX('Bundle Formation'!$B$3:$B$117,MATCH(F19,'Bundle Formation'!$G$3:$G$117,0)),'Slit to Tube Conversion'!$C:$C,0)),""))</f>
        <v>196</v>
      </c>
      <c r="L19" s="87">
        <f>IF(F19="","",IFERROR(INDEX('Slit to Tube Conversion'!$G:$G,MATCH(INDEX('Bundle Formation'!$B$3:$B$117,MATCH(F19,'Bundle Formation'!$G$3:$G$117,0)),'Slit to Tube Conversion'!$C:$C,0)),""))</f>
        <v>2.8</v>
      </c>
      <c r="M19" s="166" t="str">
        <f t="shared" si="1"/>
        <v>🟢 GOOD</v>
      </c>
      <c r="N19" s="68" t="str">
        <f>IF(F19="","",IF(COUNTIF(F$3:F19,F19)&gt;1,"⚠ DUPLICATE DISPATCH",""))</f>
        <v/>
      </c>
    </row>
    <row r="20" spans="1:14" ht="21.75" customHeight="1">
      <c r="A20" s="240">
        <v>46115</v>
      </c>
      <c r="B20" t="s">
        <v>164</v>
      </c>
      <c r="D20" s="237">
        <v>13.72</v>
      </c>
      <c r="E20" s="162" t="str">
        <f>IF(F20="","",IFERROR(INDEX('Bundle Formation'!$C:$C,MATCH(F20,'Bundle Formation'!$G:$G,0)),""))</f>
        <v>MS SHS One Helix IS 4923 YSt 210 Black 50x50x2.80x6000</v>
      </c>
      <c r="F20" s="239" t="s">
        <v>174</v>
      </c>
      <c r="G20">
        <f>IF(F20="","",SUMIF('Bundle Formation'!$G$3:$G$75,F20,'Bundle Formation'!$E$3:$E$75))</f>
        <v>80</v>
      </c>
      <c r="H20" s="87">
        <f>IF(F20="","",SUMIF('Bundle Formation'!$G$3:$G$117,F20,'Bundle Formation'!$J$3:$J$117))</f>
        <v>2.0819205148833468</v>
      </c>
      <c r="I20" s="164">
        <f t="shared" si="0"/>
        <v>11.638079485116654</v>
      </c>
      <c r="J20" s="165">
        <f>IF(F20="","",IFERROR(INDEX('Slit to Tube Conversion'!$E:$E,MATCH(INDEX('Bundle Formation'!$B$3:$B$117,MATCH(F20,'Bundle Formation'!$G$3:$G$117,0)),'Slit to Tube Conversion'!$C:$C,0)),""))</f>
        <v>0</v>
      </c>
      <c r="K20" s="47">
        <f>IF(F20="","",IFERROR(INDEX('Slit to Tube Conversion'!$F:$F,MATCH(INDEX('Bundle Formation'!$B$3:$B$117,MATCH(F20,'Bundle Formation'!$G$3:$G$117,0)),'Slit to Tube Conversion'!$C:$C,0)),""))</f>
        <v>196</v>
      </c>
      <c r="L20" s="87">
        <f>IF(F20="","",IFERROR(INDEX('Slit to Tube Conversion'!$G:$G,MATCH(INDEX('Bundle Formation'!$B$3:$B$117,MATCH(F20,'Bundle Formation'!$G$3:$G$117,0)),'Slit to Tube Conversion'!$C:$C,0)),""))</f>
        <v>2.8</v>
      </c>
      <c r="M20" s="166" t="str">
        <f t="shared" si="1"/>
        <v>🟢 GOOD</v>
      </c>
      <c r="N20" s="68" t="str">
        <f>IF(F20="","",IF(COUNTIF(F$3:F20,F20)&gt;1,"⚠ DUPLICATE DISPATCH",""))</f>
        <v/>
      </c>
    </row>
    <row r="21" spans="1:14" ht="21.75" customHeight="1">
      <c r="A21" s="240">
        <v>46115</v>
      </c>
      <c r="B21" t="s">
        <v>164</v>
      </c>
      <c r="D21" s="237">
        <v>13.72</v>
      </c>
      <c r="E21" s="162" t="str">
        <f>IF(F21="","",IFERROR(INDEX('Bundle Formation'!$C:$C,MATCH(F21,'Bundle Formation'!$G:$G,0)),""))</f>
        <v>MS SHS One Helix IS 4923 YSt 210 Black 50x50x2.50x6000</v>
      </c>
      <c r="F21" s="239" t="s">
        <v>175</v>
      </c>
      <c r="G21">
        <f>IF(F21="","",SUMIF('Bundle Formation'!$G$3:$G$75,F21,'Bundle Formation'!$E$3:$E$75))</f>
        <v>90</v>
      </c>
      <c r="H21" s="87">
        <f>IF(F21="","",SUMIF('Bundle Formation'!$G$3:$G$117,F21,'Bundle Formation'!$J$3:$J$117))</f>
        <v>2.1353084162398215</v>
      </c>
      <c r="I21" s="164">
        <f t="shared" si="0"/>
        <v>11.584691583760179</v>
      </c>
      <c r="J21" s="165">
        <f>IF(F21="","",IFERROR(INDEX('Slit to Tube Conversion'!$E:$E,MATCH(INDEX('Bundle Formation'!$B$3:$B$117,MATCH(F21,'Bundle Formation'!$G$3:$G$117,0)),'Slit to Tube Conversion'!$C:$C,0)),""))</f>
        <v>0</v>
      </c>
      <c r="K21" s="47">
        <f>IF(F21="","",IFERROR(INDEX('Slit to Tube Conversion'!$F:$F,MATCH(INDEX('Bundle Formation'!$B$3:$B$117,MATCH(F21,'Bundle Formation'!$G$3:$G$117,0)),'Slit to Tube Conversion'!$C:$C,0)),""))</f>
        <v>196</v>
      </c>
      <c r="L21" s="87">
        <f>IF(F21="","",IFERROR(INDEX('Slit to Tube Conversion'!$G:$G,MATCH(INDEX('Bundle Formation'!$B$3:$B$117,MATCH(F21,'Bundle Formation'!$G$3:$G$117,0)),'Slit to Tube Conversion'!$C:$C,0)),""))</f>
        <v>2.5</v>
      </c>
      <c r="M21" s="166" t="str">
        <f t="shared" si="1"/>
        <v>🟢 GOOD</v>
      </c>
      <c r="N21" s="68" t="str">
        <f>IF(F21="","",IF(COUNTIF(F$3:F21,F21)&gt;1,"⚠ DUPLICATE DISPATCH",""))</f>
        <v/>
      </c>
    </row>
    <row r="22" spans="1:14" ht="21.75" customHeight="1">
      <c r="A22" s="240">
        <v>46115</v>
      </c>
      <c r="B22" t="s">
        <v>164</v>
      </c>
      <c r="D22" s="237">
        <v>13.72</v>
      </c>
      <c r="E22" s="162" t="str">
        <f>IF(F22="","",IFERROR(INDEX('Bundle Formation'!$C:$C,MATCH(F22,'Bundle Formation'!$G:$G,0)),""))</f>
        <v>MS SHS One Helix IS 4923 YSt 210 Black 38x38x2.20x6000</v>
      </c>
      <c r="F22" s="239" t="s">
        <v>176</v>
      </c>
      <c r="G22">
        <f>IF(F22="","",SUMIF('Bundle Formation'!$G$3:$G$75,F22,'Bundle Formation'!$E$3:$E$75))</f>
        <v>144</v>
      </c>
      <c r="H22" s="87">
        <f>IF(F22="","",SUMIF('Bundle Formation'!$G$3:$G$117,F22,'Bundle Formation'!$J$3:$J$117))</f>
        <v>2.2138983607634439</v>
      </c>
      <c r="I22" s="164">
        <f t="shared" si="0"/>
        <v>11.506101639236556</v>
      </c>
      <c r="J22" s="165">
        <f>IF(F22="","",IFERROR(INDEX('Slit to Tube Conversion'!$E:$E,MATCH(INDEX('Bundle Formation'!$B$3:$B$117,MATCH(F22,'Bundle Formation'!$G$3:$G$117,0)),'Slit to Tube Conversion'!$C:$C,0)),""))</f>
        <v>0</v>
      </c>
      <c r="K22" s="47">
        <f>IF(F22="","",IFERROR(INDEX('Slit to Tube Conversion'!$F:$F,MATCH(INDEX('Bundle Formation'!$B$3:$B$117,MATCH(F22,'Bundle Formation'!$G$3:$G$117,0)),'Slit to Tube Conversion'!$C:$C,0)),""))</f>
        <v>148</v>
      </c>
      <c r="L22" s="87">
        <f>IF(F22="","",IFERROR(INDEX('Slit to Tube Conversion'!$G:$G,MATCH(INDEX('Bundle Formation'!$B$3:$B$117,MATCH(F22,'Bundle Formation'!$G$3:$G$117,0)),'Slit to Tube Conversion'!$C:$C,0)),""))</f>
        <v>2.2000000000000002</v>
      </c>
      <c r="M22" s="166" t="str">
        <f t="shared" si="1"/>
        <v>🟢 GOOD</v>
      </c>
      <c r="N22" s="68" t="str">
        <f>IF(F22="","",IF(COUNTIF(F$3:F22,F22)&gt;1,"⚠ DUPLICATE DISPATCH",""))</f>
        <v/>
      </c>
    </row>
    <row r="23" spans="1:14" ht="21.75" customHeight="1">
      <c r="A23" s="240">
        <v>46115</v>
      </c>
      <c r="B23" t="s">
        <v>164</v>
      </c>
      <c r="D23" s="237">
        <v>13.72</v>
      </c>
      <c r="E23" s="162" t="str">
        <f>IF(F23="","",IFERROR(INDEX('Bundle Formation'!$C:$C,MATCH(F23,'Bundle Formation'!$G:$G,0)),""))</f>
        <v>MS SHS One Helix IS 4923 YSt 210 Black 38x38x2.80x6000</v>
      </c>
      <c r="F23" s="239" t="s">
        <v>177</v>
      </c>
      <c r="G23">
        <f>IF(F23="","",SUMIF('Bundle Formation'!$G$3:$G$75,F23,'Bundle Formation'!$E$3:$E$75))</f>
        <v>110</v>
      </c>
      <c r="H23" s="87">
        <f>IF(F23="","",SUMIF('Bundle Formation'!$G$3:$G$117,F23,'Bundle Formation'!$J$3:$J$117))</f>
        <v>2.1148135810539017</v>
      </c>
      <c r="I23" s="164">
        <f t="shared" si="0"/>
        <v>11.605186418946099</v>
      </c>
      <c r="J23" s="165">
        <f>IF(F23="","",IFERROR(INDEX('Slit to Tube Conversion'!$E:$E,MATCH(INDEX('Bundle Formation'!$B$3:$B$117,MATCH(F23,'Bundle Formation'!$G$3:$G$117,0)),'Slit to Tube Conversion'!$C:$C,0)),""))</f>
        <v>0</v>
      </c>
      <c r="K23" s="47">
        <f>IF(F23="","",IFERROR(INDEX('Slit to Tube Conversion'!$F:$F,MATCH(INDEX('Bundle Formation'!$B$3:$B$117,MATCH(F23,'Bundle Formation'!$G$3:$G$117,0)),'Slit to Tube Conversion'!$C:$C,0)),""))</f>
        <v>147</v>
      </c>
      <c r="L23" s="87">
        <f>IF(F23="","",IFERROR(INDEX('Slit to Tube Conversion'!$G:$G,MATCH(INDEX('Bundle Formation'!$B$3:$B$117,MATCH(F23,'Bundle Formation'!$G$3:$G$117,0)),'Slit to Tube Conversion'!$C:$C,0)),""))</f>
        <v>2.8</v>
      </c>
      <c r="M23" s="166" t="str">
        <f t="shared" si="1"/>
        <v>🟢 GOOD</v>
      </c>
      <c r="N23" s="68" t="str">
        <f>IF(F23="","",IF(COUNTIF(F$3:F23,F23)&gt;1,"⚠ DUPLICATE DISPATCH",""))</f>
        <v/>
      </c>
    </row>
    <row r="24" spans="1:14" ht="21.75" customHeight="1">
      <c r="A24" s="240">
        <v>46115</v>
      </c>
      <c r="B24" t="s">
        <v>164</v>
      </c>
      <c r="D24" s="237">
        <v>13.72</v>
      </c>
      <c r="E24" s="162" t="str">
        <f>IF(F24="","",IFERROR(INDEX('Bundle Formation'!$C:$C,MATCH(F24,'Bundle Formation'!$G:$G,0)),""))</f>
        <v>MS SHS One Helix IS 4923 YSt 210 Black 38x38x2.80x6000</v>
      </c>
      <c r="F24" s="239" t="s">
        <v>178</v>
      </c>
      <c r="G24">
        <f>IF(F24="","",SUMIF('Bundle Formation'!$G$3:$G$75,F24,'Bundle Formation'!$E$3:$E$75))</f>
        <v>110</v>
      </c>
      <c r="H24" s="87">
        <f>IF(F24="","",SUMIF('Bundle Formation'!$G$3:$G$117,F24,'Bundle Formation'!$J$3:$J$117))</f>
        <v>0</v>
      </c>
      <c r="I24" s="164">
        <f t="shared" si="0"/>
        <v>13.72</v>
      </c>
      <c r="J24" s="165">
        <f>IF(F24="","",IFERROR(INDEX('Slit to Tube Conversion'!$E:$E,MATCH(INDEX('Bundle Formation'!$B$3:$B$117,MATCH(F24,'Bundle Formation'!$G$3:$G$117,0)),'Slit to Tube Conversion'!$C:$C,0)),""))</f>
        <v>0</v>
      </c>
      <c r="K24" s="47">
        <f>IF(F24="","",IFERROR(INDEX('Slit to Tube Conversion'!$F:$F,MATCH(INDEX('Bundle Formation'!$B$3:$B$117,MATCH(F24,'Bundle Formation'!$G$3:$G$117,0)),'Slit to Tube Conversion'!$C:$C,0)),""))</f>
        <v>147</v>
      </c>
      <c r="L24" s="87">
        <f>IF(F24="","",IFERROR(INDEX('Slit to Tube Conversion'!$G:$G,MATCH(INDEX('Bundle Formation'!$B$3:$B$117,MATCH(F24,'Bundle Formation'!$G$3:$G$117,0)),'Slit to Tube Conversion'!$C:$C,0)),""))</f>
        <v>2.8</v>
      </c>
      <c r="M24" s="166" t="str">
        <f t="shared" si="1"/>
        <v/>
      </c>
      <c r="N24" s="68" t="str">
        <f>IF(F24="","",IF(COUNTIF(F$3:F24,F24)&gt;1,"⚠ DUPLICATE DISPATCH",""))</f>
        <v/>
      </c>
    </row>
    <row r="25" spans="1:14" ht="21.75" customHeight="1">
      <c r="A25" s="240">
        <v>46115</v>
      </c>
      <c r="B25" t="s">
        <v>164</v>
      </c>
      <c r="D25" s="237">
        <v>13.72</v>
      </c>
      <c r="E25" s="162" t="str">
        <f>IF(F25="","",IFERROR(INDEX('Bundle Formation'!$C:$C,MATCH(F25,'Bundle Formation'!$G:$G,0)),""))</f>
        <v>MS SHS One Helix IS 4923 YSt 210 Black 38x38x2.80x6000</v>
      </c>
      <c r="F25" s="239" t="s">
        <v>179</v>
      </c>
      <c r="G25">
        <f>IF(F25="","",SUMIF('Bundle Formation'!$G$3:$G$75,F25,'Bundle Formation'!$E$3:$E$75))</f>
        <v>110</v>
      </c>
      <c r="H25" s="87">
        <f>IF(F25="","",SUMIF('Bundle Formation'!$G$3:$G$117,F25,'Bundle Formation'!$J$3:$J$117))</f>
        <v>0</v>
      </c>
      <c r="I25" s="164">
        <f t="shared" si="0"/>
        <v>13.72</v>
      </c>
      <c r="J25" s="165">
        <f>IF(F25="","",IFERROR(INDEX('Slit to Tube Conversion'!$E:$E,MATCH(INDEX('Bundle Formation'!$B$3:$B$117,MATCH(F25,'Bundle Formation'!$G$3:$G$117,0)),'Slit to Tube Conversion'!$C:$C,0)),""))</f>
        <v>0</v>
      </c>
      <c r="K25" s="47">
        <f>IF(F25="","",IFERROR(INDEX('Slit to Tube Conversion'!$F:$F,MATCH(INDEX('Bundle Formation'!$B$3:$B$117,MATCH(F25,'Bundle Formation'!$G$3:$G$117,0)),'Slit to Tube Conversion'!$C:$C,0)),""))</f>
        <v>147</v>
      </c>
      <c r="L25" s="87">
        <f>IF(F25="","",IFERROR(INDEX('Slit to Tube Conversion'!$G:$G,MATCH(INDEX('Bundle Formation'!$B$3:$B$117,MATCH(F25,'Bundle Formation'!$G$3:$G$117,0)),'Slit to Tube Conversion'!$C:$C,0)),""))</f>
        <v>2.8</v>
      </c>
      <c r="M25" s="166" t="str">
        <f t="shared" si="1"/>
        <v/>
      </c>
      <c r="N25" s="68" t="str">
        <f>IF(F25="","",IF(COUNTIF(F$3:F25,F25)&gt;1,"⚠ DUPLICATE DISPATCH",""))</f>
        <v/>
      </c>
    </row>
    <row r="26" spans="1:14" ht="21.75" customHeight="1">
      <c r="A26" s="240">
        <v>46115</v>
      </c>
      <c r="B26" t="s">
        <v>164</v>
      </c>
      <c r="D26" s="237">
        <v>13.72</v>
      </c>
      <c r="E26" s="162" t="str">
        <f>IF(F26="","",IFERROR(INDEX('Bundle Formation'!$C:$C,MATCH(F26,'Bundle Formation'!$G:$G,0)),""))</f>
        <v>MS SHS One Helix IS 4923 YSt 210 Black 50x50x2.80x6000</v>
      </c>
      <c r="F26" s="239" t="s">
        <v>180</v>
      </c>
      <c r="G26">
        <f>IF(F26="","",SUMIF('Bundle Formation'!$G$3:$G$75,F26,'Bundle Formation'!$E$3:$E$75))</f>
        <v>80</v>
      </c>
      <c r="H26" s="87">
        <f>IF(F26="","",SUMIF('Bundle Formation'!$G$3:$G$117,F26,'Bundle Formation'!$J$3:$J$117))</f>
        <v>0.26024006436041835</v>
      </c>
      <c r="I26" s="164">
        <f t="shared" si="0"/>
        <v>13.459759935639582</v>
      </c>
      <c r="J26" s="165">
        <f>IF(F26="","",IFERROR(INDEX('Slit to Tube Conversion'!$E:$E,MATCH(INDEX('Bundle Formation'!$B$3:$B$117,MATCH(F26,'Bundle Formation'!$G$3:$G$117,0)),'Slit to Tube Conversion'!$C:$C,0)),""))</f>
        <v>0</v>
      </c>
      <c r="K26" s="47">
        <f>IF(F26="","",IFERROR(INDEX('Slit to Tube Conversion'!$F:$F,MATCH(INDEX('Bundle Formation'!$B$3:$B$117,MATCH(F26,'Bundle Formation'!$G$3:$G$117,0)),'Slit to Tube Conversion'!$C:$C,0)),""))</f>
        <v>196</v>
      </c>
      <c r="L26" s="87">
        <f>IF(F26="","",IFERROR(INDEX('Slit to Tube Conversion'!$G:$G,MATCH(INDEX('Bundle Formation'!$B$3:$B$117,MATCH(F26,'Bundle Formation'!$G$3:$G$117,0)),'Slit to Tube Conversion'!$C:$C,0)),""))</f>
        <v>2.8</v>
      </c>
      <c r="M26" s="166" t="str">
        <f t="shared" si="1"/>
        <v>🟢 GOOD</v>
      </c>
      <c r="N26" s="68" t="str">
        <f>IF(F26="","",IF(COUNTIF(F$3:F26,F26)&gt;1,"⚠ DUPLICATE DISPATCH",""))</f>
        <v/>
      </c>
    </row>
    <row r="27" spans="1:14" ht="21.75" customHeight="1">
      <c r="A27" s="240">
        <v>46115</v>
      </c>
      <c r="B27" t="s">
        <v>164</v>
      </c>
      <c r="D27" s="237">
        <v>13.72</v>
      </c>
      <c r="E27" s="162" t="str">
        <f>IF(F27="","",IFERROR(INDEX('Bundle Formation'!$C:$C,MATCH(F27,'Bundle Formation'!$G:$G,0)),""))</f>
        <v>MS SHS One Helix IS 4923 YSt 210 Black 50x50x2.80x6000</v>
      </c>
      <c r="F27" s="239" t="s">
        <v>181</v>
      </c>
      <c r="G27">
        <f>IF(F27="","",SUMIF('Bundle Formation'!$G$3:$G$75,F27,'Bundle Formation'!$E$3:$E$75))</f>
        <v>80</v>
      </c>
      <c r="H27" s="87">
        <f>IF(F27="","",SUMIF('Bundle Formation'!$G$3:$G$117,F27,'Bundle Formation'!$J$3:$J$117))</f>
        <v>2.1121956556717616</v>
      </c>
      <c r="I27" s="164">
        <f t="shared" si="0"/>
        <v>11.607804344328239</v>
      </c>
      <c r="J27" s="165">
        <f>IF(F27="","",IFERROR(INDEX('Slit to Tube Conversion'!$E:$E,MATCH(INDEX('Bundle Formation'!$B$3:$B$117,MATCH(F27,'Bundle Formation'!$G$3:$G$117,0)),'Slit to Tube Conversion'!$C:$C,0)),""))</f>
        <v>0</v>
      </c>
      <c r="K27" s="47">
        <f>IF(F27="","",IFERROR(INDEX('Slit to Tube Conversion'!$F:$F,MATCH(INDEX('Bundle Formation'!$B$3:$B$117,MATCH(F27,'Bundle Formation'!$G$3:$G$117,0)),'Slit to Tube Conversion'!$C:$C,0)),""))</f>
        <v>196</v>
      </c>
      <c r="L27" s="87">
        <f>IF(F27="","",IFERROR(INDEX('Slit to Tube Conversion'!$G:$G,MATCH(INDEX('Bundle Formation'!$B$3:$B$117,MATCH(F27,'Bundle Formation'!$G$3:$G$117,0)),'Slit to Tube Conversion'!$C:$C,0)),""))</f>
        <v>2.8</v>
      </c>
      <c r="M27" s="166" t="str">
        <f t="shared" si="1"/>
        <v>🟢 GOOD</v>
      </c>
      <c r="N27" s="68" t="str">
        <f>IF(F27="","",IF(COUNTIF(F$3:F27,F27)&gt;1,"⚠ DUPLICATE DISPATCH",""))</f>
        <v/>
      </c>
    </row>
    <row r="28" spans="1:14" ht="21.75" customHeight="1">
      <c r="A28" s="240">
        <v>46115</v>
      </c>
      <c r="B28" t="s">
        <v>164</v>
      </c>
      <c r="D28" s="237">
        <v>13.72</v>
      </c>
      <c r="E28" s="162" t="str">
        <f>IF(F28="","",IFERROR(INDEX('Bundle Formation'!$C:$C,MATCH(F28,'Bundle Formation'!$G:$G,0)),""))</f>
        <v>MS SHS One Helix IS 4923 YSt 210 Black 38x38x2.50x6000</v>
      </c>
      <c r="F28" s="239" t="s">
        <v>182</v>
      </c>
      <c r="G28">
        <f>IF(F28="","",SUMIF('Bundle Formation'!$G$3:$G$75,F28,'Bundle Formation'!$E$3:$E$75))</f>
        <v>120</v>
      </c>
      <c r="H28" s="87">
        <f>IF(F28="","",SUMIF('Bundle Formation'!$G$3:$G$117,F28,'Bundle Formation'!$J$3:$J$117))</f>
        <v>2.1337534690101756</v>
      </c>
      <c r="I28" s="164">
        <f t="shared" si="0"/>
        <v>11.586246530989825</v>
      </c>
      <c r="J28" s="165">
        <f>IF(F28="","",IFERROR(INDEX('Slit to Tube Conversion'!$E:$E,MATCH(INDEX('Bundle Formation'!$B$3:$B$117,MATCH(F28,'Bundle Formation'!$G$3:$G$117,0)),'Slit to Tube Conversion'!$C:$C,0)),""))</f>
        <v>0</v>
      </c>
      <c r="K28" s="47">
        <f>IF(F28="","",IFERROR(INDEX('Slit to Tube Conversion'!$F:$F,MATCH(INDEX('Bundle Formation'!$B$3:$B$117,MATCH(F28,'Bundle Formation'!$G$3:$G$117,0)),'Slit to Tube Conversion'!$C:$C,0)),""))</f>
        <v>147</v>
      </c>
      <c r="L28" s="87">
        <f>IF(F28="","",IFERROR(INDEX('Slit to Tube Conversion'!$G:$G,MATCH(INDEX('Bundle Formation'!$B$3:$B$117,MATCH(F28,'Bundle Formation'!$G$3:$G$117,0)),'Slit to Tube Conversion'!$C:$C,0)),""))</f>
        <v>2.5</v>
      </c>
      <c r="M28" s="166" t="str">
        <f t="shared" si="1"/>
        <v>🟢 GOOD</v>
      </c>
      <c r="N28" s="68" t="str">
        <f>IF(F28="","",IF(COUNTIF(F$3:F28,F28)&gt;1,"⚠ DUPLICATE DISPATCH",""))</f>
        <v/>
      </c>
    </row>
    <row r="29" spans="1:14" ht="21.75" customHeight="1">
      <c r="A29" s="240">
        <v>46115</v>
      </c>
      <c r="B29" t="s">
        <v>164</v>
      </c>
      <c r="D29" s="237">
        <v>13.72</v>
      </c>
      <c r="E29" s="162" t="str">
        <f>IF(F29="","",IFERROR(INDEX('Bundle Formation'!$C:$C,MATCH(F29,'Bundle Formation'!$G:$G,0)),""))</f>
        <v>MS SHS One Helix IS 4923 YSt 210 Black 38x38x2.50x6000</v>
      </c>
      <c r="F29" s="239" t="s">
        <v>183</v>
      </c>
      <c r="G29">
        <f>IF(F29="","",SUMIF('Bundle Formation'!$G$3:$G$75,F29,'Bundle Formation'!$E$3:$E$75))</f>
        <v>120</v>
      </c>
      <c r="H29" s="87">
        <f>IF(F29="","",SUMIF('Bundle Formation'!$G$3:$G$117,F29,'Bundle Formation'!$J$3:$J$117))</f>
        <v>0</v>
      </c>
      <c r="I29" s="164">
        <f t="shared" si="0"/>
        <v>13.72</v>
      </c>
      <c r="J29" s="165">
        <f>IF(F29="","",IFERROR(INDEX('Slit to Tube Conversion'!$E:$E,MATCH(INDEX('Bundle Formation'!$B$3:$B$117,MATCH(F29,'Bundle Formation'!$G$3:$G$117,0)),'Slit to Tube Conversion'!$C:$C,0)),""))</f>
        <v>0</v>
      </c>
      <c r="K29" s="47">
        <f>IF(F29="","",IFERROR(INDEX('Slit to Tube Conversion'!$F:$F,MATCH(INDEX('Bundle Formation'!$B$3:$B$117,MATCH(F29,'Bundle Formation'!$G$3:$G$117,0)),'Slit to Tube Conversion'!$C:$C,0)),""))</f>
        <v>147</v>
      </c>
      <c r="L29" s="87">
        <f>IF(F29="","",IFERROR(INDEX('Slit to Tube Conversion'!$G:$G,MATCH(INDEX('Bundle Formation'!$B$3:$B$117,MATCH(F29,'Bundle Formation'!$G$3:$G$117,0)),'Slit to Tube Conversion'!$C:$C,0)),""))</f>
        <v>2.5</v>
      </c>
      <c r="M29" s="166" t="str">
        <f t="shared" si="1"/>
        <v/>
      </c>
      <c r="N29" s="68" t="str">
        <f>IF(F29="","",IF(COUNTIF(F$3:F29,F29)&gt;1,"⚠ DUPLICATE DISPATCH",""))</f>
        <v/>
      </c>
    </row>
    <row r="30" spans="1:14" ht="21.75" customHeight="1">
      <c r="A30" s="240">
        <v>46115</v>
      </c>
      <c r="B30" t="s">
        <v>164</v>
      </c>
      <c r="D30" s="237">
        <v>13.72</v>
      </c>
      <c r="E30" s="162" t="str">
        <f>IF(F30="","",IFERROR(INDEX('Bundle Formation'!$C:$C,MATCH(F30,'Bundle Formation'!$G:$G,0)),""))</f>
        <v>MS SHS One Helix IS 4923 YSt 210 Black 50x50x2.50x6000</v>
      </c>
      <c r="F30" s="239" t="s">
        <v>184</v>
      </c>
      <c r="G30">
        <f>IF(F30="","",SUMIF('Bundle Formation'!$G$3:$G$75,F30,'Bundle Formation'!$E$3:$E$75))</f>
        <v>90</v>
      </c>
      <c r="H30" s="87">
        <f>IF(F30="","",SUMIF('Bundle Formation'!$G$3:$G$117,F30,'Bundle Formation'!$J$3:$J$117))</f>
        <v>2.1470894281914892</v>
      </c>
      <c r="I30" s="164">
        <f t="shared" si="0"/>
        <v>11.572910571808512</v>
      </c>
      <c r="J30" s="165">
        <f>IF(F30="","",IFERROR(INDEX('Slit to Tube Conversion'!$E:$E,MATCH(INDEX('Bundle Formation'!$B$3:$B$117,MATCH(F30,'Bundle Formation'!$G$3:$G$117,0)),'Slit to Tube Conversion'!$C:$C,0)),""))</f>
        <v>0</v>
      </c>
      <c r="K30" s="47">
        <f>IF(F30="","",IFERROR(INDEX('Slit to Tube Conversion'!$F:$F,MATCH(INDEX('Bundle Formation'!$B$3:$B$117,MATCH(F30,'Bundle Formation'!$G$3:$G$117,0)),'Slit to Tube Conversion'!$C:$C,0)),""))</f>
        <v>196</v>
      </c>
      <c r="L30" s="87">
        <f>IF(F30="","",IFERROR(INDEX('Slit to Tube Conversion'!$G:$G,MATCH(INDEX('Bundle Formation'!$B$3:$B$117,MATCH(F30,'Bundle Formation'!$G$3:$G$117,0)),'Slit to Tube Conversion'!$C:$C,0)),""))</f>
        <v>2.5</v>
      </c>
      <c r="M30" s="166" t="str">
        <f t="shared" si="1"/>
        <v>🟢 GOOD</v>
      </c>
      <c r="N30" s="68" t="str">
        <f>IF(F30="","",IF(COUNTIF(F$3:F30,F30)&gt;1,"⚠ DUPLICATE DISPATCH",""))</f>
        <v/>
      </c>
    </row>
    <row r="31" spans="1:14" ht="21.75" customHeight="1">
      <c r="A31" s="240">
        <v>46115</v>
      </c>
      <c r="B31" t="s">
        <v>164</v>
      </c>
      <c r="D31" s="237">
        <v>13.72</v>
      </c>
      <c r="E31" s="162" t="str">
        <f>IF(F31="","",IFERROR(INDEX('Bundle Formation'!$C:$C,MATCH(F31,'Bundle Formation'!$G:$G,0)),""))</f>
        <v>MS SHS One Helix IS 4923 YSt 210 Black 38x38x2.80x6000</v>
      </c>
      <c r="F31" s="239" t="s">
        <v>157</v>
      </c>
      <c r="G31">
        <f>IF(F31="","",SUMIF('Bundle Formation'!$G$3:$G$75,F31,'Bundle Formation'!$E$3:$E$75))</f>
        <v>110</v>
      </c>
      <c r="H31" s="87">
        <f>IF(F31="","",SUMIF('Bundle Formation'!$G$3:$G$117,F31,'Bundle Formation'!$J$3:$J$117))</f>
        <v>2.1642948900942045</v>
      </c>
      <c r="I31" s="164">
        <f t="shared" si="0"/>
        <v>11.555705109905796</v>
      </c>
      <c r="J31" s="165">
        <f>IF(F31="","",IFERROR(INDEX('Slit to Tube Conversion'!$E:$E,MATCH(INDEX('Bundle Formation'!$B$3:$B$117,MATCH(F31,'Bundle Formation'!$G$3:$G$117,0)),'Slit to Tube Conversion'!$C:$C,0)),""))</f>
        <v>0</v>
      </c>
      <c r="K31" s="47">
        <f>IF(F31="","",IFERROR(INDEX('Slit to Tube Conversion'!$F:$F,MATCH(INDEX('Bundle Formation'!$B$3:$B$117,MATCH(F31,'Bundle Formation'!$G$3:$G$117,0)),'Slit to Tube Conversion'!$C:$C,0)),""))</f>
        <v>147</v>
      </c>
      <c r="L31" s="87">
        <f>IF(F31="","",IFERROR(INDEX('Slit to Tube Conversion'!$G:$G,MATCH(INDEX('Bundle Formation'!$B$3:$B$117,MATCH(F31,'Bundle Formation'!$G$3:$G$117,0)),'Slit to Tube Conversion'!$C:$C,0)),""))</f>
        <v>2.8</v>
      </c>
      <c r="M31" s="166" t="str">
        <f t="shared" si="1"/>
        <v>🟢 GOOD</v>
      </c>
      <c r="N31" s="68" t="str">
        <f>IF(F31="","",IF(COUNTIF(F$3:F31,F31)&gt;1,"⚠ DUPLICATE DISPATCH",""))</f>
        <v>⚠ DUPLICATE DISPATCH</v>
      </c>
    </row>
    <row r="32" spans="1:14" ht="21.75" customHeight="1">
      <c r="A32" s="240">
        <v>46115</v>
      </c>
      <c r="B32" t="s">
        <v>164</v>
      </c>
      <c r="D32" s="237">
        <v>13.72</v>
      </c>
      <c r="E32" s="162" t="str">
        <f>IF(F32="","",IFERROR(INDEX('Bundle Formation'!$C:$C,MATCH(F32,'Bundle Formation'!$G:$G,0)),""))</f>
        <v>MS SHS One Helix IS 4923 YSt 210 Black 38x38x2.80x6000</v>
      </c>
      <c r="F32" s="239" t="s">
        <v>185</v>
      </c>
      <c r="G32">
        <f>IF(F32="","",SUMIF('Bundle Formation'!$G$3:$G$75,F32,'Bundle Formation'!$E$3:$E$75))</f>
        <v>110</v>
      </c>
      <c r="H32" s="87">
        <f>IF(F32="","",SUMIF('Bundle Formation'!$G$3:$G$117,F32,'Bundle Formation'!$J$3:$J$117))</f>
        <v>2.1299410029498524</v>
      </c>
      <c r="I32" s="164">
        <f t="shared" si="0"/>
        <v>11.590058997050148</v>
      </c>
      <c r="J32" s="165">
        <f>IF(F32="","",IFERROR(INDEX('Slit to Tube Conversion'!$E:$E,MATCH(INDEX('Bundle Formation'!$B$3:$B$117,MATCH(F32,'Bundle Formation'!$G$3:$G$117,0)),'Slit to Tube Conversion'!$C:$C,0)),""))</f>
        <v>0</v>
      </c>
      <c r="K32" s="47">
        <f>IF(F32="","",IFERROR(INDEX('Slit to Tube Conversion'!$F:$F,MATCH(INDEX('Bundle Formation'!$B$3:$B$117,MATCH(F32,'Bundle Formation'!$G$3:$G$117,0)),'Slit to Tube Conversion'!$C:$C,0)),""))</f>
        <v>147</v>
      </c>
      <c r="L32" s="87">
        <f>IF(F32="","",IFERROR(INDEX('Slit to Tube Conversion'!$G:$G,MATCH(INDEX('Bundle Formation'!$B$3:$B$117,MATCH(F32,'Bundle Formation'!$G$3:$G$117,0)),'Slit to Tube Conversion'!$C:$C,0)),""))</f>
        <v>2.8</v>
      </c>
      <c r="M32" s="166" t="str">
        <f t="shared" si="1"/>
        <v>🟢 GOOD</v>
      </c>
      <c r="N32" s="68" t="str">
        <f>IF(F32="","",IF(COUNTIF(F$3:F32,F32)&gt;1,"⚠ DUPLICATE DISPATCH",""))</f>
        <v/>
      </c>
    </row>
    <row r="33" spans="1:14" ht="21.75" customHeight="1">
      <c r="A33" s="240">
        <v>46115</v>
      </c>
      <c r="B33" t="s">
        <v>164</v>
      </c>
      <c r="D33" s="237">
        <v>13.72</v>
      </c>
      <c r="E33" s="162" t="str">
        <f>IF(F33="","",IFERROR(INDEX('Bundle Formation'!$C:$C,MATCH(F33,'Bundle Formation'!$G:$G,0)),""))</f>
        <v>MS SHS One Helix IS 4923 YSt 210 Black 38x38x2.80x6000</v>
      </c>
      <c r="F33" s="239" t="s">
        <v>186</v>
      </c>
      <c r="G33">
        <f>IF(F33="","",SUMIF('Bundle Formation'!$G$3:$G$75,F33,'Bundle Formation'!$E$3:$E$75))</f>
        <v>110</v>
      </c>
      <c r="H33" s="87">
        <f>IF(F33="","",SUMIF('Bundle Formation'!$G$3:$G$117,F33,'Bundle Formation'!$J$3:$J$117))</f>
        <v>1.4867230239340303</v>
      </c>
      <c r="I33" s="164">
        <f t="shared" si="0"/>
        <v>12.233276976065969</v>
      </c>
      <c r="J33" s="165">
        <f>IF(F33="","",IFERROR(INDEX('Slit to Tube Conversion'!$E:$E,MATCH(INDEX('Bundle Formation'!$B$3:$B$117,MATCH(F33,'Bundle Formation'!$G$3:$G$117,0)),'Slit to Tube Conversion'!$C:$C,0)),""))</f>
        <v>0</v>
      </c>
      <c r="K33" s="47">
        <f>IF(F33="","",IFERROR(INDEX('Slit to Tube Conversion'!$F:$F,MATCH(INDEX('Bundle Formation'!$B$3:$B$117,MATCH(F33,'Bundle Formation'!$G$3:$G$117,0)),'Slit to Tube Conversion'!$C:$C,0)),""))</f>
        <v>147</v>
      </c>
      <c r="L33" s="87">
        <f>IF(F33="","",IFERROR(INDEX('Slit to Tube Conversion'!$G:$G,MATCH(INDEX('Bundle Formation'!$B$3:$B$117,MATCH(F33,'Bundle Formation'!$G$3:$G$117,0)),'Slit to Tube Conversion'!$C:$C,0)),""))</f>
        <v>2.8</v>
      </c>
      <c r="M33" s="166" t="str">
        <f t="shared" si="1"/>
        <v>🟢 GOOD</v>
      </c>
      <c r="N33" s="68" t="str">
        <f>IF(F33="","",IF(COUNTIF(F$3:F33,F33)&gt;1,"⚠ DUPLICATE DISPATCH",""))</f>
        <v/>
      </c>
    </row>
    <row r="34" spans="1:14" ht="21.75" customHeight="1">
      <c r="A34" s="240">
        <v>46115</v>
      </c>
      <c r="B34" t="s">
        <v>164</v>
      </c>
      <c r="D34" s="237">
        <v>13.72</v>
      </c>
      <c r="E34" s="162" t="str">
        <f>IF(F34="","",IFERROR(INDEX('Bundle Formation'!$C:$C,MATCH(F34,'Bundle Formation'!$G:$G,0)),""))</f>
        <v>MS SHS One Helix IS 4923 YSt 210 Black 38x38x2.80x6000</v>
      </c>
      <c r="F34" s="239" t="s">
        <v>187</v>
      </c>
      <c r="G34">
        <f>IF(F34="","",SUMIF('Bundle Formation'!$G$3:$G$75,F34,'Bundle Formation'!$E$3:$E$75))</f>
        <v>110</v>
      </c>
      <c r="H34" s="87">
        <f>IF(F34="","",SUMIF('Bundle Formation'!$G$3:$G$117,F34,'Bundle Formation'!$J$3:$J$117))</f>
        <v>0</v>
      </c>
      <c r="I34" s="164">
        <f t="shared" si="0"/>
        <v>13.72</v>
      </c>
      <c r="J34" s="165">
        <f>IF(F34="","",IFERROR(INDEX('Slit to Tube Conversion'!$E:$E,MATCH(INDEX('Bundle Formation'!$B$3:$B$117,MATCH(F34,'Bundle Formation'!$G$3:$G$117,0)),'Slit to Tube Conversion'!$C:$C,0)),""))</f>
        <v>0</v>
      </c>
      <c r="K34" s="47">
        <f>IF(F34="","",IFERROR(INDEX('Slit to Tube Conversion'!$F:$F,MATCH(INDEX('Bundle Formation'!$B$3:$B$117,MATCH(F34,'Bundle Formation'!$G$3:$G$117,0)),'Slit to Tube Conversion'!$C:$C,0)),""))</f>
        <v>147</v>
      </c>
      <c r="L34" s="87">
        <f>IF(F34="","",IFERROR(INDEX('Slit to Tube Conversion'!$G:$G,MATCH(INDEX('Bundle Formation'!$B$3:$B$117,MATCH(F34,'Bundle Formation'!$G$3:$G$117,0)),'Slit to Tube Conversion'!$C:$C,0)),""))</f>
        <v>2.8</v>
      </c>
      <c r="M34" s="166" t="str">
        <f t="shared" si="1"/>
        <v/>
      </c>
      <c r="N34" s="68" t="str">
        <f>IF(F34="","",IF(COUNTIF(F$3:F34,F34)&gt;1,"⚠ DUPLICATE DISPATCH",""))</f>
        <v/>
      </c>
    </row>
    <row r="35" spans="1:14" ht="21.75" customHeight="1">
      <c r="A35" s="240">
        <v>46115</v>
      </c>
      <c r="B35" t="s">
        <v>164</v>
      </c>
      <c r="D35" s="237">
        <v>13.72</v>
      </c>
      <c r="E35" s="162" t="str">
        <f>IF(F35="","",IFERROR(INDEX('Bundle Formation'!$C:$C,MATCH(F35,'Bundle Formation'!$G:$G,0)),""))</f>
        <v>MS SHS One Helix IS 4923 YSt 210 Black 38x38x2.80x6000</v>
      </c>
      <c r="F35" s="239" t="s">
        <v>188</v>
      </c>
      <c r="G35">
        <f>IF(F35="","",SUMIF('Bundle Formation'!$G$3:$G$75,F35,'Bundle Formation'!$E$3:$E$75))</f>
        <v>112</v>
      </c>
      <c r="H35" s="87">
        <f>IF(F35="","",SUMIF('Bundle Formation'!$G$3:$G$117,F35,'Bundle Formation'!$J$3:$J$117))</f>
        <v>0</v>
      </c>
      <c r="I35" s="164">
        <f t="shared" si="0"/>
        <v>13.72</v>
      </c>
      <c r="J35" s="165">
        <f>IF(F35="","",IFERROR(INDEX('Slit to Tube Conversion'!$E:$E,MATCH(INDEX('Bundle Formation'!$B$3:$B$117,MATCH(F35,'Bundle Formation'!$G$3:$G$117,0)),'Slit to Tube Conversion'!$C:$C,0)),""))</f>
        <v>0</v>
      </c>
      <c r="K35" s="47">
        <f>IF(F35="","",IFERROR(INDEX('Slit to Tube Conversion'!$F:$F,MATCH(INDEX('Bundle Formation'!$B$3:$B$117,MATCH(F35,'Bundle Formation'!$G$3:$G$117,0)),'Slit to Tube Conversion'!$C:$C,0)),""))</f>
        <v>147</v>
      </c>
      <c r="L35" s="87">
        <f>IF(F35="","",IFERROR(INDEX('Slit to Tube Conversion'!$G:$G,MATCH(INDEX('Bundle Formation'!$B$3:$B$117,MATCH(F35,'Bundle Formation'!$G$3:$G$117,0)),'Slit to Tube Conversion'!$C:$C,0)),""))</f>
        <v>2.8</v>
      </c>
      <c r="M35" s="166" t="str">
        <f t="shared" si="1"/>
        <v/>
      </c>
      <c r="N35" s="68" t="str">
        <f>IF(F35="","",IF(COUNTIF(F$3:F35,F35)&gt;1,"⚠ DUPLICATE DISPATCH",""))</f>
        <v/>
      </c>
    </row>
    <row r="36" spans="1:14" ht="21.75" customHeight="1">
      <c r="A36" s="240">
        <v>46115</v>
      </c>
      <c r="B36" t="s">
        <v>164</v>
      </c>
      <c r="D36" s="237">
        <v>13.72</v>
      </c>
      <c r="E36" s="162" t="str">
        <f>IF(F36="","",IFERROR(INDEX('Bundle Formation'!$C:$C,MATCH(F36,'Bundle Formation'!$G:$G,0)),""))</f>
        <v>MS SHS One Helix IS 4923 YSt 210 Black 50x50x2.80x6000</v>
      </c>
      <c r="F36" s="239" t="s">
        <v>189</v>
      </c>
      <c r="G36">
        <f>IF(F36="","",SUMIF('Bundle Formation'!$G$3:$G$75,F36,'Bundle Formation'!$E$3:$E$75))</f>
        <v>80</v>
      </c>
      <c r="H36" s="87">
        <f>IF(F36="","",SUMIF('Bundle Formation'!$G$3:$G$117,F36,'Bundle Formation'!$J$3:$J$117))</f>
        <v>0</v>
      </c>
      <c r="I36" s="164">
        <f t="shared" si="0"/>
        <v>13.72</v>
      </c>
      <c r="J36" s="165">
        <f>IF(F36="","",IFERROR(INDEX('Slit to Tube Conversion'!$E:$E,MATCH(INDEX('Bundle Formation'!$B$3:$B$117,MATCH(F36,'Bundle Formation'!$G$3:$G$117,0)),'Slit to Tube Conversion'!$C:$C,0)),""))</f>
        <v>0</v>
      </c>
      <c r="K36" s="47">
        <f>IF(F36="","",IFERROR(INDEX('Slit to Tube Conversion'!$F:$F,MATCH(INDEX('Bundle Formation'!$B$3:$B$117,MATCH(F36,'Bundle Formation'!$G$3:$G$117,0)),'Slit to Tube Conversion'!$C:$C,0)),""))</f>
        <v>196</v>
      </c>
      <c r="L36" s="87">
        <f>IF(F36="","",IFERROR(INDEX('Slit to Tube Conversion'!$G:$G,MATCH(INDEX('Bundle Formation'!$B$3:$B$117,MATCH(F36,'Bundle Formation'!$G$3:$G$117,0)),'Slit to Tube Conversion'!$C:$C,0)),""))</f>
        <v>2.8</v>
      </c>
      <c r="M36" s="166" t="str">
        <f t="shared" si="1"/>
        <v/>
      </c>
      <c r="N36" s="68" t="str">
        <f>IF(F36="","",IF(COUNTIF(F$3:F36,F36)&gt;1,"⚠ DUPLICATE DISPATCH",""))</f>
        <v/>
      </c>
    </row>
    <row r="37" spans="1:14" ht="21.75" customHeight="1">
      <c r="A37" s="240">
        <v>46115</v>
      </c>
      <c r="B37" t="s">
        <v>164</v>
      </c>
      <c r="D37" s="237">
        <v>13.72</v>
      </c>
      <c r="E37" s="162" t="str">
        <f>IF(F37="","",IFERROR(INDEX('Bundle Formation'!$C:$C,MATCH(F37,'Bundle Formation'!$G:$G,0)),""))</f>
        <v>MS SHS One Helix IS 4923 YSt 210 Black 38x38x2.50x6000</v>
      </c>
      <c r="F37" s="239" t="s">
        <v>190</v>
      </c>
      <c r="G37">
        <f>IF(F37="","",SUMIF('Bundle Formation'!$G$3:$G$75,F37,'Bundle Formation'!$E$3:$E$75))</f>
        <v>132</v>
      </c>
      <c r="H37" s="87">
        <f>IF(F37="","",SUMIF('Bundle Formation'!$G$3:$G$117,F37,'Bundle Formation'!$J$3:$J$117))</f>
        <v>2.3471288159111934</v>
      </c>
      <c r="I37" s="164">
        <f t="shared" si="0"/>
        <v>11.372871184088808</v>
      </c>
      <c r="J37" s="165">
        <f>IF(F37="","",IFERROR(INDEX('Slit to Tube Conversion'!$E:$E,MATCH(INDEX('Bundle Formation'!$B$3:$B$117,MATCH(F37,'Bundle Formation'!$G$3:$G$117,0)),'Slit to Tube Conversion'!$C:$C,0)),""))</f>
        <v>0</v>
      </c>
      <c r="K37" s="47">
        <f>IF(F37="","",IFERROR(INDEX('Slit to Tube Conversion'!$F:$F,MATCH(INDEX('Bundle Formation'!$B$3:$B$117,MATCH(F37,'Bundle Formation'!$G$3:$G$117,0)),'Slit to Tube Conversion'!$C:$C,0)),""))</f>
        <v>147</v>
      </c>
      <c r="L37" s="87">
        <f>IF(F37="","",IFERROR(INDEX('Slit to Tube Conversion'!$G:$G,MATCH(INDEX('Bundle Formation'!$B$3:$B$117,MATCH(F37,'Bundle Formation'!$G$3:$G$117,0)),'Slit to Tube Conversion'!$C:$C,0)),""))</f>
        <v>2.5</v>
      </c>
      <c r="M37" s="166" t="str">
        <f t="shared" si="1"/>
        <v>🟢 GOOD</v>
      </c>
      <c r="N37" s="68" t="str">
        <f>IF(F37="","",IF(COUNTIF(F$3:F37,F37)&gt;1,"⚠ DUPLICATE DISPATCH",""))</f>
        <v/>
      </c>
    </row>
    <row r="38" spans="1:14" ht="21.75" customHeight="1">
      <c r="A38" s="240">
        <v>46115</v>
      </c>
      <c r="B38" t="s">
        <v>164</v>
      </c>
      <c r="D38" s="237">
        <v>13.72</v>
      </c>
      <c r="E38" s="162" t="str">
        <f>IF(F38="","",IFERROR(INDEX('Bundle Formation'!$C:$C,MATCH(F38,'Bundle Formation'!$G:$G,0)),""))</f>
        <v>MS SHS One Helix IS 4923 YSt 210 Black 38x38x2.50x6000</v>
      </c>
      <c r="F38" s="239" t="s">
        <v>191</v>
      </c>
      <c r="G38">
        <f>IF(F38="","",SUMIF('Bundle Formation'!$G$3:$G$75,F38,'Bundle Formation'!$E$3:$E$75))</f>
        <v>120</v>
      </c>
      <c r="H38" s="87">
        <f>IF(F38="","",SUMIF('Bundle Formation'!$G$3:$G$117,F38,'Bundle Formation'!$J$3:$J$117))</f>
        <v>1.244689523589269</v>
      </c>
      <c r="I38" s="164">
        <f t="shared" si="0"/>
        <v>12.475310476410732</v>
      </c>
      <c r="J38" s="165">
        <f>IF(F38="","",IFERROR(INDEX('Slit to Tube Conversion'!$E:$E,MATCH(INDEX('Bundle Formation'!$B$3:$B$117,MATCH(F38,'Bundle Formation'!$G$3:$G$117,0)),'Slit to Tube Conversion'!$C:$C,0)),""))</f>
        <v>0</v>
      </c>
      <c r="K38" s="47">
        <f>IF(F38="","",IFERROR(INDEX('Slit to Tube Conversion'!$F:$F,MATCH(INDEX('Bundle Formation'!$B$3:$B$117,MATCH(F38,'Bundle Formation'!$G$3:$G$117,0)),'Slit to Tube Conversion'!$C:$C,0)),""))</f>
        <v>147</v>
      </c>
      <c r="L38" s="87">
        <f>IF(F38="","",IFERROR(INDEX('Slit to Tube Conversion'!$G:$G,MATCH(INDEX('Bundle Formation'!$B$3:$B$117,MATCH(F38,'Bundle Formation'!$G$3:$G$117,0)),'Slit to Tube Conversion'!$C:$C,0)),""))</f>
        <v>2.5</v>
      </c>
      <c r="M38" s="166" t="str">
        <f t="shared" si="1"/>
        <v>🟢 GOOD</v>
      </c>
      <c r="N38" s="68" t="str">
        <f>IF(F38="","",IF(COUNTIF(F$3:F38,F38)&gt;1,"⚠ DUPLICATE DISPATCH",""))</f>
        <v/>
      </c>
    </row>
    <row r="39" spans="1:14" ht="21.75" customHeight="1">
      <c r="A39" s="240">
        <v>46115</v>
      </c>
      <c r="B39" t="s">
        <v>164</v>
      </c>
      <c r="D39" s="237">
        <v>13.72</v>
      </c>
      <c r="E39" s="162" t="str">
        <f>IF(F39="","",IFERROR(INDEX('Bundle Formation'!$C:$C,MATCH(F39,'Bundle Formation'!$G:$G,0)),""))</f>
        <v>MS SHS One Helix IS 4923 YSt 210 Black 38x38x2.50x6000</v>
      </c>
      <c r="F39" s="239" t="s">
        <v>192</v>
      </c>
      <c r="G39">
        <f>IF(F39="","",SUMIF('Bundle Formation'!$G$3:$G$75,F39,'Bundle Formation'!$E$3:$E$75))</f>
        <v>120</v>
      </c>
      <c r="H39" s="87">
        <f>IF(F39="","",SUMIF('Bundle Formation'!$G$3:$G$117,F39,'Bundle Formation'!$J$3:$J$117))</f>
        <v>2.1075724448505415</v>
      </c>
      <c r="I39" s="164">
        <f t="shared" si="0"/>
        <v>11.612427555149459</v>
      </c>
      <c r="J39" s="165">
        <f>IF(F39="","",IFERROR(INDEX('Slit to Tube Conversion'!$E:$E,MATCH(INDEX('Bundle Formation'!$B$3:$B$117,MATCH(F39,'Bundle Formation'!$G$3:$G$117,0)),'Slit to Tube Conversion'!$C:$C,0)),""))</f>
        <v>0</v>
      </c>
      <c r="K39" s="47">
        <f>IF(F39="","",IFERROR(INDEX('Slit to Tube Conversion'!$F:$F,MATCH(INDEX('Bundle Formation'!$B$3:$B$117,MATCH(F39,'Bundle Formation'!$G$3:$G$117,0)),'Slit to Tube Conversion'!$C:$C,0)),""))</f>
        <v>147</v>
      </c>
      <c r="L39" s="87">
        <f>IF(F39="","",IFERROR(INDEX('Slit to Tube Conversion'!$G:$G,MATCH(INDEX('Bundle Formation'!$B$3:$B$117,MATCH(F39,'Bundle Formation'!$G$3:$G$117,0)),'Slit to Tube Conversion'!$C:$C,0)),""))</f>
        <v>2.5</v>
      </c>
      <c r="M39" s="166" t="str">
        <f t="shared" si="1"/>
        <v>🟢 GOOD</v>
      </c>
      <c r="N39" s="68" t="str">
        <f>IF(F39="","",IF(COUNTIF(F$3:F39,F39)&gt;1,"⚠ DUPLICATE DISPATCH",""))</f>
        <v/>
      </c>
    </row>
    <row r="40" spans="1:14" ht="21.75" customHeight="1">
      <c r="A40" s="240">
        <v>46115</v>
      </c>
      <c r="B40" t="s">
        <v>164</v>
      </c>
      <c r="D40" s="237">
        <v>13.72</v>
      </c>
      <c r="E40" s="162" t="str">
        <f>IF(F40="","",IFERROR(INDEX('Bundle Formation'!$C:$C,MATCH(F40,'Bundle Formation'!$G:$G,0)),""))</f>
        <v>MS SHS One Helix IS 4923 YSt 210 Black 50x50x2.50x6000</v>
      </c>
      <c r="F40" s="239" t="s">
        <v>193</v>
      </c>
      <c r="G40">
        <f>IF(F40="","",SUMIF('Bundle Formation'!$G$3:$G$75,F40,'Bundle Formation'!$E$3:$E$75))</f>
        <v>90</v>
      </c>
      <c r="H40" s="87">
        <f>IF(F40="","",SUMIF('Bundle Formation'!$G$3:$G$117,F40,'Bundle Formation'!$J$3:$J$117))</f>
        <v>2.1470894281914892</v>
      </c>
      <c r="I40" s="164">
        <f t="shared" si="0"/>
        <v>11.572910571808512</v>
      </c>
      <c r="J40" s="165">
        <f>IF(F40="","",IFERROR(INDEX('Slit to Tube Conversion'!$E:$E,MATCH(INDEX('Bundle Formation'!$B$3:$B$117,MATCH(F40,'Bundle Formation'!$G$3:$G$117,0)),'Slit to Tube Conversion'!$C:$C,0)),""))</f>
        <v>0</v>
      </c>
      <c r="K40" s="47">
        <f>IF(F40="","",IFERROR(INDEX('Slit to Tube Conversion'!$F:$F,MATCH(INDEX('Bundle Formation'!$B$3:$B$117,MATCH(F40,'Bundle Formation'!$G$3:$G$117,0)),'Slit to Tube Conversion'!$C:$C,0)),""))</f>
        <v>196</v>
      </c>
      <c r="L40" s="87">
        <f>IF(F40="","",IFERROR(INDEX('Slit to Tube Conversion'!$G:$G,MATCH(INDEX('Bundle Formation'!$B$3:$B$117,MATCH(F40,'Bundle Formation'!$G$3:$G$117,0)),'Slit to Tube Conversion'!$C:$C,0)),""))</f>
        <v>2.5</v>
      </c>
      <c r="M40" s="166" t="str">
        <f t="shared" si="1"/>
        <v>🟢 GOOD</v>
      </c>
      <c r="N40" s="68" t="str">
        <f>IF(F40="","",IF(COUNTIF(F$3:F40,F40)&gt;1,"⚠ DUPLICATE DISPATCH",""))</f>
        <v/>
      </c>
    </row>
    <row r="41" spans="1:14" ht="21.75" customHeight="1">
      <c r="A41" s="240"/>
      <c r="B41" s="241"/>
      <c r="C41" s="241"/>
      <c r="D41" s="237"/>
      <c r="E41" s="162" t="str">
        <f>IF(F41="","",IFERROR(INDEX('Bundle Formation'!$C:$C,MATCH(F41,'Bundle Formation'!$G:$G,0)),""))</f>
        <v/>
      </c>
      <c r="F41" s="239"/>
      <c r="G41" t="str">
        <f>IF(F41="","",SUMIF('Bundle Formation'!$G$3:$G$75,F41,'Bundle Formation'!$E$3:$E$75))</f>
        <v/>
      </c>
      <c r="H41" s="87" t="str">
        <f>IF(F41="","",SUMIF('Bundle Formation'!$G$3:$G$117,F41,'Bundle Formation'!$J$3:$J$117))</f>
        <v/>
      </c>
      <c r="I41" s="164" t="str">
        <f t="shared" si="0"/>
        <v/>
      </c>
      <c r="J41" s="165" t="str">
        <f>IF(F41="","",IFERROR(INDEX('Slit to Tube Conversion'!$E:$E,MATCH(INDEX('Bundle Formation'!$B$3:$B$117,MATCH(F41,'Bundle Formation'!$G$3:$G$117,0)),'Slit to Tube Conversion'!$C:$C,0)),""))</f>
        <v/>
      </c>
      <c r="K41" s="47" t="str">
        <f>IF(F41="","",IFERROR(INDEX('Slit to Tube Conversion'!$F:$F,MATCH(INDEX('Bundle Formation'!$B$3:$B$117,MATCH(F41,'Bundle Formation'!$G$3:$G$117,0)),'Slit to Tube Conversion'!$C:$C,0)),""))</f>
        <v/>
      </c>
      <c r="L41" s="87" t="str">
        <f>IF(F41="","",IFERROR(INDEX('Slit to Tube Conversion'!$G:$G,MATCH(INDEX('Bundle Formation'!$B$3:$B$117,MATCH(F41,'Bundle Formation'!$G$3:$G$117,0)),'Slit to Tube Conversion'!$C:$C,0)),""))</f>
        <v/>
      </c>
      <c r="M41" s="166" t="str">
        <f t="shared" si="1"/>
        <v/>
      </c>
      <c r="N41" s="68" t="str">
        <f>IF(F41="","",IF(COUNTIF(F$3:F41,F41)&gt;1,"⚠ DUPLICATE DISPATCH",""))</f>
        <v/>
      </c>
    </row>
    <row r="42" spans="1:14" ht="21.75" customHeight="1">
      <c r="A42" s="240"/>
      <c r="B42" s="241"/>
      <c r="C42" s="241"/>
      <c r="D42" s="237"/>
      <c r="E42" s="162" t="str">
        <f>IF(F42="","",IFERROR(INDEX('Bundle Formation'!$C:$C,MATCH(F42,'Bundle Formation'!$G:$G,0)),""))</f>
        <v/>
      </c>
      <c r="F42" s="239"/>
      <c r="G42" t="str">
        <f>IF(F42="","",SUMIF('Bundle Formation'!$G$3:$G$75,F42,'Bundle Formation'!$E$3:$E$75))</f>
        <v/>
      </c>
      <c r="H42" s="87" t="str">
        <f>IF(F42="","",SUMIF('Bundle Formation'!$G$3:$G$117,F42,'Bundle Formation'!$J$3:$J$117))</f>
        <v/>
      </c>
      <c r="I42" s="164" t="str">
        <f t="shared" si="0"/>
        <v/>
      </c>
      <c r="J42" s="165" t="str">
        <f>IF(F42="","",IFERROR(INDEX('Slit to Tube Conversion'!$E:$E,MATCH(INDEX('Bundle Formation'!$B$3:$B$117,MATCH(F42,'Bundle Formation'!$G$3:$G$117,0)),'Slit to Tube Conversion'!$C:$C,0)),""))</f>
        <v/>
      </c>
      <c r="K42" s="47" t="str">
        <f>IF(F42="","",IFERROR(INDEX('Slit to Tube Conversion'!$F:$F,MATCH(INDEX('Bundle Formation'!$B$3:$B$117,MATCH(F42,'Bundle Formation'!$G$3:$G$117,0)),'Slit to Tube Conversion'!$C:$C,0)),""))</f>
        <v/>
      </c>
      <c r="L42" s="87" t="str">
        <f>IF(F42="","",IFERROR(INDEX('Slit to Tube Conversion'!$G:$G,MATCH(INDEX('Bundle Formation'!$B$3:$B$117,MATCH(F42,'Bundle Formation'!$G$3:$G$117,0)),'Slit to Tube Conversion'!$C:$C,0)),""))</f>
        <v/>
      </c>
      <c r="M42" s="166" t="str">
        <f t="shared" si="1"/>
        <v/>
      </c>
      <c r="N42" s="68" t="str">
        <f>IF(F42="","",IF(COUNTIF(F$3:F42,F42)&gt;1,"⚠ DUPLICATE DISPATCH",""))</f>
        <v/>
      </c>
    </row>
    <row r="43" spans="1:14" ht="21.75" customHeight="1">
      <c r="A43" s="240"/>
      <c r="B43" s="241"/>
      <c r="C43" s="241"/>
      <c r="D43" s="237"/>
      <c r="E43" s="162" t="str">
        <f>IF(F43="","",IFERROR(INDEX('Bundle Formation'!$C:$C,MATCH(F43,'Bundle Formation'!$G:$G,0)),""))</f>
        <v/>
      </c>
      <c r="F43" s="239"/>
      <c r="G43" t="str">
        <f>IF(F43="","",SUMIF('Bundle Formation'!$G$3:$G$75,F43,'Bundle Formation'!$E$3:$E$75))</f>
        <v/>
      </c>
      <c r="H43" s="87" t="str">
        <f>IF(F43="","",SUMIF('Bundle Formation'!$G$3:$G$117,F43,'Bundle Formation'!$J$3:$J$117))</f>
        <v/>
      </c>
      <c r="I43" s="164" t="str">
        <f t="shared" si="0"/>
        <v/>
      </c>
      <c r="J43" s="165" t="str">
        <f>IF(F43="","",IFERROR(INDEX('Slit to Tube Conversion'!$E:$E,MATCH(INDEX('Bundle Formation'!$B$3:$B$117,MATCH(F43,'Bundle Formation'!$G$3:$G$117,0)),'Slit to Tube Conversion'!$C:$C,0)),""))</f>
        <v/>
      </c>
      <c r="K43" s="47" t="str">
        <f>IF(F43="","",IFERROR(INDEX('Slit to Tube Conversion'!$F:$F,MATCH(INDEX('Bundle Formation'!$B$3:$B$117,MATCH(F43,'Bundle Formation'!$G$3:$G$117,0)),'Slit to Tube Conversion'!$C:$C,0)),""))</f>
        <v/>
      </c>
      <c r="L43" s="87" t="str">
        <f>IF(F43="","",IFERROR(INDEX('Slit to Tube Conversion'!$G:$G,MATCH(INDEX('Bundle Formation'!$B$3:$B$117,MATCH(F43,'Bundle Formation'!$G$3:$G$117,0)),'Slit to Tube Conversion'!$C:$C,0)),""))</f>
        <v/>
      </c>
      <c r="M43" s="166" t="str">
        <f t="shared" si="1"/>
        <v/>
      </c>
      <c r="N43" s="68" t="str">
        <f>IF(F43="","",IF(COUNTIF(F$3:F43,F43)&gt;1,"⚠ DUPLICATE DISPATCH",""))</f>
        <v/>
      </c>
    </row>
    <row r="44" spans="1:14" ht="21.75" customHeight="1">
      <c r="A44" s="240"/>
      <c r="B44" s="241"/>
      <c r="C44" s="241"/>
      <c r="D44" s="237"/>
      <c r="E44" s="162" t="str">
        <f>IF(F44="","",IFERROR(INDEX('Bundle Formation'!$C:$C,MATCH(F44,'Bundle Formation'!$G:$G,0)),""))</f>
        <v/>
      </c>
      <c r="F44" s="239"/>
      <c r="G44" t="str">
        <f>IF(F44="","",SUMIF('Bundle Formation'!$G$3:$G$75,F44,'Bundle Formation'!$E$3:$E$75))</f>
        <v/>
      </c>
      <c r="H44" s="87" t="str">
        <f>IF(F44="","",SUMIF('Bundle Formation'!$G$3:$G$117,F44,'Bundle Formation'!$J$3:$J$117))</f>
        <v/>
      </c>
      <c r="I44" s="164" t="str">
        <f t="shared" si="0"/>
        <v/>
      </c>
      <c r="J44" s="165" t="str">
        <f>IF(F44="","",IFERROR(INDEX('Slit to Tube Conversion'!$E:$E,MATCH(INDEX('Bundle Formation'!$B$3:$B$117,MATCH(F44,'Bundle Formation'!$G$3:$G$117,0)),'Slit to Tube Conversion'!$C:$C,0)),""))</f>
        <v/>
      </c>
      <c r="K44" s="47" t="str">
        <f>IF(F44="","",IFERROR(INDEX('Slit to Tube Conversion'!$F:$F,MATCH(INDEX('Bundle Formation'!$B$3:$B$117,MATCH(F44,'Bundle Formation'!$G$3:$G$117,0)),'Slit to Tube Conversion'!$C:$C,0)),""))</f>
        <v/>
      </c>
      <c r="L44" s="87" t="str">
        <f>IF(F44="","",IFERROR(INDEX('Slit to Tube Conversion'!$G:$G,MATCH(INDEX('Bundle Formation'!$B$3:$B$117,MATCH(F44,'Bundle Formation'!$G$3:$G$117,0)),'Slit to Tube Conversion'!$C:$C,0)),""))</f>
        <v/>
      </c>
      <c r="M44" s="166" t="str">
        <f t="shared" si="1"/>
        <v/>
      </c>
      <c r="N44" s="68" t="str">
        <f>IF(F44="","",IF(COUNTIF(F$3:F44,F44)&gt;1,"⚠ DUPLICATE DISPATCH",""))</f>
        <v/>
      </c>
    </row>
    <row r="45" spans="1:14" ht="21.75" customHeight="1">
      <c r="A45" s="240"/>
      <c r="B45" s="241"/>
      <c r="C45" s="241"/>
      <c r="D45" s="237"/>
      <c r="E45" s="162" t="str">
        <f>IF(F45="","",IFERROR(INDEX('Bundle Formation'!$C:$C,MATCH(F45,'Bundle Formation'!$G:$G,0)),""))</f>
        <v/>
      </c>
      <c r="F45" s="239"/>
      <c r="G45" t="str">
        <f>IF(F45="","",SUMIF('Bundle Formation'!$G$3:$G$75,F45,'Bundle Formation'!$E$3:$E$75))</f>
        <v/>
      </c>
      <c r="H45" s="87" t="str">
        <f>IF(F45="","",SUMIF('Bundle Formation'!$G$3:$G$117,F45,'Bundle Formation'!$J$3:$J$117))</f>
        <v/>
      </c>
      <c r="I45" s="164" t="str">
        <f t="shared" si="0"/>
        <v/>
      </c>
      <c r="J45" s="165" t="str">
        <f>IF(F45="","",IFERROR(INDEX('Slit to Tube Conversion'!$E:$E,MATCH(INDEX('Bundle Formation'!$B$3:$B$117,MATCH(F45,'Bundle Formation'!$G$3:$G$117,0)),'Slit to Tube Conversion'!$C:$C,0)),""))</f>
        <v/>
      </c>
      <c r="K45" s="47" t="str">
        <f>IF(F45="","",IFERROR(INDEX('Slit to Tube Conversion'!$F:$F,MATCH(INDEX('Bundle Formation'!$B$3:$B$117,MATCH(F45,'Bundle Formation'!$G$3:$G$117,0)),'Slit to Tube Conversion'!$C:$C,0)),""))</f>
        <v/>
      </c>
      <c r="L45" s="87" t="str">
        <f>IF(F45="","",IFERROR(INDEX('Slit to Tube Conversion'!$G:$G,MATCH(INDEX('Bundle Formation'!$B$3:$B$117,MATCH(F45,'Bundle Formation'!$G$3:$G$117,0)),'Slit to Tube Conversion'!$C:$C,0)),""))</f>
        <v/>
      </c>
      <c r="M45" s="166" t="str">
        <f t="shared" si="1"/>
        <v/>
      </c>
      <c r="N45" s="68" t="str">
        <f>IF(F45="","",IF(COUNTIF(F$3:F45,F45)&gt;1,"⚠ DUPLICATE DISPATCH",""))</f>
        <v/>
      </c>
    </row>
    <row r="46" spans="1:14" ht="21.75" customHeight="1">
      <c r="A46" s="240"/>
      <c r="B46" s="241"/>
      <c r="C46" s="241"/>
      <c r="D46" s="237"/>
      <c r="E46" s="162" t="str">
        <f>IF(F46="","",IFERROR(INDEX('Bundle Formation'!$C:$C,MATCH(F46,'Bundle Formation'!$G:$G,0)),""))</f>
        <v/>
      </c>
      <c r="F46" s="239"/>
      <c r="G46" t="str">
        <f>IF(F46="","",SUMIF('Bundle Formation'!$G$3:$G$75,F46,'Bundle Formation'!$E$3:$E$75))</f>
        <v/>
      </c>
      <c r="H46" s="87" t="str">
        <f>IF(F46="","",SUMIF('Bundle Formation'!$G$3:$G$117,F46,'Bundle Formation'!$J$3:$J$117))</f>
        <v/>
      </c>
      <c r="I46" s="164" t="str">
        <f t="shared" si="0"/>
        <v/>
      </c>
      <c r="J46" s="165" t="str">
        <f>IF(F46="","",IFERROR(INDEX('Slit to Tube Conversion'!$E:$E,MATCH(INDEX('Bundle Formation'!$B$3:$B$117,MATCH(F46,'Bundle Formation'!$G$3:$G$117,0)),'Slit to Tube Conversion'!$C:$C,0)),""))</f>
        <v/>
      </c>
      <c r="K46" s="47" t="str">
        <f>IF(F46="","",IFERROR(INDEX('Slit to Tube Conversion'!$F:$F,MATCH(INDEX('Bundle Formation'!$B$3:$B$117,MATCH(F46,'Bundle Formation'!$G$3:$G$117,0)),'Slit to Tube Conversion'!$C:$C,0)),""))</f>
        <v/>
      </c>
      <c r="L46" s="87" t="str">
        <f>IF(F46="","",IFERROR(INDEX('Slit to Tube Conversion'!$G:$G,MATCH(INDEX('Bundle Formation'!$B$3:$B$117,MATCH(F46,'Bundle Formation'!$G$3:$G$117,0)),'Slit to Tube Conversion'!$C:$C,0)),""))</f>
        <v/>
      </c>
      <c r="M46" s="166" t="str">
        <f t="shared" si="1"/>
        <v/>
      </c>
      <c r="N46" s="68" t="str">
        <f>IF(F46="","",IF(COUNTIF(F$3:F46,F46)&gt;1,"⚠ DUPLICATE DISPATCH",""))</f>
        <v/>
      </c>
    </row>
    <row r="47" spans="1:14" ht="21.75" customHeight="1">
      <c r="A47" s="240"/>
      <c r="B47" s="241"/>
      <c r="C47" s="241"/>
      <c r="D47" s="237"/>
      <c r="E47" s="162" t="str">
        <f>IF(F47="","",IFERROR(INDEX('Bundle Formation'!$C:$C,MATCH(F47,'Bundle Formation'!$G:$G,0)),""))</f>
        <v/>
      </c>
      <c r="F47" s="239"/>
      <c r="G47" t="str">
        <f>IF(F47="","",SUMIF('Bundle Formation'!$G$3:$G$75,F47,'Bundle Formation'!$E$3:$E$75))</f>
        <v/>
      </c>
      <c r="H47" s="87" t="str">
        <f>IF(F47="","",SUMIF('Bundle Formation'!$G$3:$G$117,F47,'Bundle Formation'!$J$3:$J$117))</f>
        <v/>
      </c>
      <c r="I47" s="164" t="str">
        <f t="shared" si="0"/>
        <v/>
      </c>
      <c r="J47" s="165" t="str">
        <f>IF(F47="","",IFERROR(INDEX('Slit to Tube Conversion'!$E:$E,MATCH(INDEX('Bundle Formation'!$B$3:$B$117,MATCH(F47,'Bundle Formation'!$G$3:$G$117,0)),'Slit to Tube Conversion'!$C:$C,0)),""))</f>
        <v/>
      </c>
      <c r="K47" s="47" t="str">
        <f>IF(F47="","",IFERROR(INDEX('Slit to Tube Conversion'!$F:$F,MATCH(INDEX('Bundle Formation'!$B$3:$B$117,MATCH(F47,'Bundle Formation'!$G$3:$G$117,0)),'Slit to Tube Conversion'!$C:$C,0)),""))</f>
        <v/>
      </c>
      <c r="L47" s="87" t="str">
        <f>IF(F47="","",IFERROR(INDEX('Slit to Tube Conversion'!$G:$G,MATCH(INDEX('Bundle Formation'!$B$3:$B$117,MATCH(F47,'Bundle Formation'!$G$3:$G$117,0)),'Slit to Tube Conversion'!$C:$C,0)),""))</f>
        <v/>
      </c>
      <c r="M47" s="166" t="str">
        <f t="shared" si="1"/>
        <v/>
      </c>
      <c r="N47" s="68" t="str">
        <f>IF(F47="","",IF(COUNTIF(F$3:F47,F47)&gt;1,"⚠ DUPLICATE DISPATCH",""))</f>
        <v/>
      </c>
    </row>
    <row r="48" spans="1:14" ht="21.75" customHeight="1">
      <c r="A48" s="240"/>
      <c r="B48" s="241"/>
      <c r="C48" s="241"/>
      <c r="D48" s="237"/>
      <c r="E48" s="162" t="str">
        <f>IF(F48="","",IFERROR(INDEX('Bundle Formation'!$C:$C,MATCH(F48,'Bundle Formation'!$G:$G,0)),""))</f>
        <v/>
      </c>
      <c r="F48" s="239"/>
      <c r="G48" t="str">
        <f>IF(F48="","",SUMIF('Bundle Formation'!$G$3:$G$75,F48,'Bundle Formation'!$E$3:$E$75))</f>
        <v/>
      </c>
      <c r="H48" s="87" t="str">
        <f>IF(F48="","",SUMIF('Bundle Formation'!$G$3:$G$117,F48,'Bundle Formation'!$J$3:$J$117))</f>
        <v/>
      </c>
      <c r="I48" s="164" t="str">
        <f t="shared" si="0"/>
        <v/>
      </c>
      <c r="J48" s="165" t="str">
        <f>IF(F48="","",IFERROR(INDEX('Slit to Tube Conversion'!$E:$E,MATCH(INDEX('Bundle Formation'!$B$3:$B$117,MATCH(F48,'Bundle Formation'!$G$3:$G$117,0)),'Slit to Tube Conversion'!$C:$C,0)),""))</f>
        <v/>
      </c>
      <c r="K48" s="47" t="str">
        <f>IF(F48="","",IFERROR(INDEX('Slit to Tube Conversion'!$F:$F,MATCH(INDEX('Bundle Formation'!$B$3:$B$117,MATCH(F48,'Bundle Formation'!$G$3:$G$117,0)),'Slit to Tube Conversion'!$C:$C,0)),""))</f>
        <v/>
      </c>
      <c r="L48" s="87" t="str">
        <f>IF(F48="","",IFERROR(INDEX('Slit to Tube Conversion'!$G:$G,MATCH(INDEX('Bundle Formation'!$B$3:$B$117,MATCH(F48,'Bundle Formation'!$G$3:$G$117,0)),'Slit to Tube Conversion'!$C:$C,0)),""))</f>
        <v/>
      </c>
      <c r="M48" s="166" t="str">
        <f t="shared" si="1"/>
        <v/>
      </c>
      <c r="N48" s="68" t="str">
        <f>IF(F48="","",IF(COUNTIF(F$3:F48,F48)&gt;1,"⚠ DUPLICATE DISPATCH",""))</f>
        <v/>
      </c>
    </row>
    <row r="49" spans="1:14" ht="21.75" customHeight="1">
      <c r="A49" s="240"/>
      <c r="B49" s="241"/>
      <c r="C49" s="241"/>
      <c r="D49" s="237"/>
      <c r="E49" s="162" t="str">
        <f>IF(F49="","",IFERROR(INDEX('Bundle Formation'!$C:$C,MATCH(F49,'Bundle Formation'!$G:$G,0)),""))</f>
        <v/>
      </c>
      <c r="F49" s="239"/>
      <c r="G49" t="str">
        <f>IF(F49="","",SUMIF('Bundle Formation'!$G$3:$G$75,F49,'Bundle Formation'!$E$3:$E$75))</f>
        <v/>
      </c>
      <c r="H49" s="87" t="str">
        <f>IF(F49="","",SUMIF('Bundle Formation'!$G$3:$G$117,F49,'Bundle Formation'!$J$3:$J$117))</f>
        <v/>
      </c>
      <c r="I49" s="164" t="str">
        <f t="shared" si="0"/>
        <v/>
      </c>
      <c r="J49" s="165" t="str">
        <f>IF(F49="","",IFERROR(INDEX('Slit to Tube Conversion'!$E:$E,MATCH(INDEX('Bundle Formation'!$B$3:$B$117,MATCH(F49,'Bundle Formation'!$G$3:$G$117,0)),'Slit to Tube Conversion'!$C:$C,0)),""))</f>
        <v/>
      </c>
      <c r="K49" s="47" t="str">
        <f>IF(F49="","",IFERROR(INDEX('Slit to Tube Conversion'!$F:$F,MATCH(INDEX('Bundle Formation'!$B$3:$B$117,MATCH(F49,'Bundle Formation'!$G$3:$G$117,0)),'Slit to Tube Conversion'!$C:$C,0)),""))</f>
        <v/>
      </c>
      <c r="L49" s="87" t="str">
        <f>IF(F49="","",IFERROR(INDEX('Slit to Tube Conversion'!$G:$G,MATCH(INDEX('Bundle Formation'!$B$3:$B$117,MATCH(F49,'Bundle Formation'!$G$3:$G$117,0)),'Slit to Tube Conversion'!$C:$C,0)),""))</f>
        <v/>
      </c>
      <c r="M49" s="166" t="str">
        <f t="shared" si="1"/>
        <v/>
      </c>
      <c r="N49" s="68" t="str">
        <f>IF(F49="","",IF(COUNTIF(F$3:F49,F49)&gt;1,"⚠ DUPLICATE DISPATCH",""))</f>
        <v/>
      </c>
    </row>
    <row r="50" spans="1:14" ht="21.75" customHeight="1">
      <c r="A50" s="240"/>
      <c r="B50" s="241"/>
      <c r="C50" s="241"/>
      <c r="D50" s="237"/>
      <c r="E50" s="162" t="str">
        <f>IF(F50="","",IFERROR(INDEX('Bundle Formation'!$C:$C,MATCH(F50,'Bundle Formation'!$G:$G,0)),""))</f>
        <v/>
      </c>
      <c r="F50" s="239"/>
      <c r="G50" t="str">
        <f>IF(F50="","",SUMIF('Bundle Formation'!$G$3:$G$75,F50,'Bundle Formation'!$E$3:$E$75))</f>
        <v/>
      </c>
      <c r="H50" s="87" t="str">
        <f>IF(F50="","",SUMIF('Bundle Formation'!$G$3:$G$117,F50,'Bundle Formation'!$J$3:$J$117))</f>
        <v/>
      </c>
      <c r="I50" s="164" t="str">
        <f t="shared" si="0"/>
        <v/>
      </c>
      <c r="J50" s="165" t="str">
        <f>IF(F50="","",IFERROR(INDEX('Slit to Tube Conversion'!$E:$E,MATCH(INDEX('Bundle Formation'!$B$3:$B$117,MATCH(F50,'Bundle Formation'!$G$3:$G$117,0)),'Slit to Tube Conversion'!$C:$C,0)),""))</f>
        <v/>
      </c>
      <c r="K50" s="47" t="str">
        <f>IF(F50="","",IFERROR(INDEX('Slit to Tube Conversion'!$F:$F,MATCH(INDEX('Bundle Formation'!$B$3:$B$117,MATCH(F50,'Bundle Formation'!$G$3:$G$117,0)),'Slit to Tube Conversion'!$C:$C,0)),""))</f>
        <v/>
      </c>
      <c r="L50" s="87" t="str">
        <f>IF(F50="","",IFERROR(INDEX('Slit to Tube Conversion'!$G:$G,MATCH(INDEX('Bundle Formation'!$B$3:$B$117,MATCH(F50,'Bundle Formation'!$G$3:$G$117,0)),'Slit to Tube Conversion'!$C:$C,0)),""))</f>
        <v/>
      </c>
      <c r="M50" s="166" t="str">
        <f t="shared" si="1"/>
        <v/>
      </c>
      <c r="N50" s="68" t="str">
        <f>IF(F50="","",IF(COUNTIF(F$3:F50,F50)&gt;1,"⚠ DUPLICATE DISPATCH",""))</f>
        <v/>
      </c>
    </row>
    <row r="51" spans="1:14" ht="21.75" customHeight="1">
      <c r="A51" s="240"/>
      <c r="B51" s="241"/>
      <c r="C51" s="241"/>
      <c r="D51" s="237"/>
      <c r="E51" s="162" t="str">
        <f>IF(F51="","",IFERROR(INDEX('Bundle Formation'!$C:$C,MATCH(F51,'Bundle Formation'!$G:$G,0)),""))</f>
        <v/>
      </c>
      <c r="F51" s="239"/>
      <c r="G51" t="str">
        <f>IF(F51="","",SUMIF('Bundle Formation'!$G$3:$G$75,F51,'Bundle Formation'!$E$3:$E$75))</f>
        <v/>
      </c>
      <c r="H51" s="87" t="str">
        <f>IF(F51="","",SUMIF('Bundle Formation'!$G$3:$G$117,F51,'Bundle Formation'!$J$3:$J$117))</f>
        <v/>
      </c>
      <c r="I51" s="164" t="str">
        <f t="shared" si="0"/>
        <v/>
      </c>
      <c r="J51" s="165" t="str">
        <f>IF(F51="","",IFERROR(INDEX('Slit to Tube Conversion'!$E:$E,MATCH(INDEX('Bundle Formation'!$B$3:$B$117,MATCH(F51,'Bundle Formation'!$G$3:$G$117,0)),'Slit to Tube Conversion'!$C:$C,0)),""))</f>
        <v/>
      </c>
      <c r="K51" s="47" t="str">
        <f>IF(F51="","",IFERROR(INDEX('Slit to Tube Conversion'!$F:$F,MATCH(INDEX('Bundle Formation'!$B$3:$B$117,MATCH(F51,'Bundle Formation'!$G$3:$G$117,0)),'Slit to Tube Conversion'!$C:$C,0)),""))</f>
        <v/>
      </c>
      <c r="L51" s="87" t="str">
        <f>IF(F51="","",IFERROR(INDEX('Slit to Tube Conversion'!$G:$G,MATCH(INDEX('Bundle Formation'!$B$3:$B$117,MATCH(F51,'Bundle Formation'!$G$3:$G$117,0)),'Slit to Tube Conversion'!$C:$C,0)),""))</f>
        <v/>
      </c>
      <c r="M51" s="166" t="str">
        <f t="shared" si="1"/>
        <v/>
      </c>
      <c r="N51" s="68" t="str">
        <f>IF(F51="","",IF(COUNTIF(F$3:F51,F51)&gt;1,"⚠ DUPLICATE DISPATCH",""))</f>
        <v/>
      </c>
    </row>
    <row r="52" spans="1:14" ht="21.75" customHeight="1">
      <c r="A52" s="240"/>
      <c r="B52" s="241"/>
      <c r="C52" s="241"/>
      <c r="D52" s="237"/>
      <c r="E52" s="162" t="str">
        <f>IF(F52="","",IFERROR(INDEX('Bundle Formation'!$C:$C,MATCH(F52,'Bundle Formation'!$G:$G,0)),""))</f>
        <v/>
      </c>
      <c r="F52" s="239"/>
      <c r="G52" t="str">
        <f>IF(F52="","",SUMIF('Bundle Formation'!$G$3:$G$75,F52,'Bundle Formation'!$E$3:$E$75))</f>
        <v/>
      </c>
      <c r="H52" s="87" t="str">
        <f>IF(F52="","",SUMIF('Bundle Formation'!$G$3:$G$117,F52,'Bundle Formation'!$J$3:$J$117))</f>
        <v/>
      </c>
      <c r="I52" s="164" t="str">
        <f t="shared" si="0"/>
        <v/>
      </c>
      <c r="J52" s="165" t="str">
        <f>IF(F52="","",IFERROR(INDEX('Slit to Tube Conversion'!$E:$E,MATCH(INDEX('Bundle Formation'!$B$3:$B$117,MATCH(F52,'Bundle Formation'!$G$3:$G$117,0)),'Slit to Tube Conversion'!$C:$C,0)),""))</f>
        <v/>
      </c>
      <c r="K52" s="47" t="str">
        <f>IF(F52="","",IFERROR(INDEX('Slit to Tube Conversion'!$F:$F,MATCH(INDEX('Bundle Formation'!$B$3:$B$117,MATCH(F52,'Bundle Formation'!$G$3:$G$117,0)),'Slit to Tube Conversion'!$C:$C,0)),""))</f>
        <v/>
      </c>
      <c r="L52" s="87" t="str">
        <f>IF(F52="","",IFERROR(INDEX('Slit to Tube Conversion'!$G:$G,MATCH(INDEX('Bundle Formation'!$B$3:$B$117,MATCH(F52,'Bundle Formation'!$G$3:$G$117,0)),'Slit to Tube Conversion'!$C:$C,0)),""))</f>
        <v/>
      </c>
      <c r="M52" s="166" t="str">
        <f t="shared" si="1"/>
        <v/>
      </c>
      <c r="N52" s="68" t="str">
        <f>IF(F52="","",IF(COUNTIF(F$3:F52,F52)&gt;1,"⚠ DUPLICATE DISPATCH",""))</f>
        <v/>
      </c>
    </row>
    <row r="53" spans="1:14" ht="21.75" customHeight="1">
      <c r="A53" s="240"/>
      <c r="B53" s="241"/>
      <c r="C53" s="241"/>
      <c r="D53" s="237"/>
      <c r="E53" s="162" t="str">
        <f>IF(F53="","",IFERROR(INDEX('Bundle Formation'!$C:$C,MATCH(F53,'Bundle Formation'!$G:$G,0)),""))</f>
        <v/>
      </c>
      <c r="F53" s="239"/>
      <c r="G53" t="str">
        <f>IF(F53="","",SUMIF('Bundle Formation'!$G$3:$G$75,F53,'Bundle Formation'!$E$3:$E$75))</f>
        <v/>
      </c>
      <c r="H53" s="87" t="str">
        <f>IF(F53="","",SUMIF('Bundle Formation'!$G$3:$G$117,F53,'Bundle Formation'!$J$3:$J$117))</f>
        <v/>
      </c>
      <c r="I53" s="164" t="str">
        <f t="shared" si="0"/>
        <v/>
      </c>
      <c r="J53" s="165" t="str">
        <f>IF(F53="","",IFERROR(INDEX('Slit to Tube Conversion'!$E:$E,MATCH(INDEX('Bundle Formation'!$B$3:$B$117,MATCH(F53,'Bundle Formation'!$G$3:$G$117,0)),'Slit to Tube Conversion'!$C:$C,0)),""))</f>
        <v/>
      </c>
      <c r="K53" s="47" t="str">
        <f>IF(F53="","",IFERROR(INDEX('Slit to Tube Conversion'!$F:$F,MATCH(INDEX('Bundle Formation'!$B$3:$B$117,MATCH(F53,'Bundle Formation'!$G$3:$G$117,0)),'Slit to Tube Conversion'!$C:$C,0)),""))</f>
        <v/>
      </c>
      <c r="L53" s="87" t="str">
        <f>IF(F53="","",IFERROR(INDEX('Slit to Tube Conversion'!$G:$G,MATCH(INDEX('Bundle Formation'!$B$3:$B$117,MATCH(F53,'Bundle Formation'!$G$3:$G$117,0)),'Slit to Tube Conversion'!$C:$C,0)),""))</f>
        <v/>
      </c>
      <c r="M53" s="166" t="str">
        <f t="shared" si="1"/>
        <v/>
      </c>
      <c r="N53" s="68" t="str">
        <f>IF(F53="","",IF(COUNTIF(F$3:F53,F53)&gt;1,"⚠ DUPLICATE DISPATCH",""))</f>
        <v/>
      </c>
    </row>
    <row r="54" spans="1:14" ht="21.75" customHeight="1">
      <c r="A54" s="240"/>
      <c r="B54" s="241"/>
      <c r="C54" s="241"/>
      <c r="D54" s="237"/>
      <c r="E54" s="162" t="str">
        <f>IF(F54="","",IFERROR(INDEX('Bundle Formation'!$C:$C,MATCH(F54,'Bundle Formation'!$G:$G,0)),""))</f>
        <v/>
      </c>
      <c r="F54" s="239"/>
      <c r="G54" t="str">
        <f>IF(F54="","",SUMIF('Bundle Formation'!$G$3:$G$75,F54,'Bundle Formation'!$E$3:$E$75))</f>
        <v/>
      </c>
      <c r="H54" s="87" t="str">
        <f>IF(F54="","",SUMIF('Bundle Formation'!$G$3:$G$117,F54,'Bundle Formation'!$J$3:$J$117))</f>
        <v/>
      </c>
      <c r="I54" s="164" t="str">
        <f t="shared" si="0"/>
        <v/>
      </c>
      <c r="J54" s="165" t="str">
        <f>IF(F54="","",IFERROR(INDEX('Slit to Tube Conversion'!$E:$E,MATCH(INDEX('Bundle Formation'!$B$3:$B$117,MATCH(F54,'Bundle Formation'!$G$3:$G$117,0)),'Slit to Tube Conversion'!$C:$C,0)),""))</f>
        <v/>
      </c>
      <c r="K54" s="47" t="str">
        <f>IF(F54="","",IFERROR(INDEX('Slit to Tube Conversion'!$F:$F,MATCH(INDEX('Bundle Formation'!$B$3:$B$117,MATCH(F54,'Bundle Formation'!$G$3:$G$117,0)),'Slit to Tube Conversion'!$C:$C,0)),""))</f>
        <v/>
      </c>
      <c r="L54" s="87" t="str">
        <f>IF(F54="","",IFERROR(INDEX('Slit to Tube Conversion'!$G:$G,MATCH(INDEX('Bundle Formation'!$B$3:$B$117,MATCH(F54,'Bundle Formation'!$G$3:$G$117,0)),'Slit to Tube Conversion'!$C:$C,0)),""))</f>
        <v/>
      </c>
      <c r="M54" s="166" t="str">
        <f t="shared" si="1"/>
        <v/>
      </c>
      <c r="N54" s="68" t="str">
        <f>IF(F54="","",IF(COUNTIF(F$3:F54,F54)&gt;1,"⚠ DUPLICATE DISPATCH",""))</f>
        <v/>
      </c>
    </row>
    <row r="55" spans="1:14" ht="21.75" customHeight="1">
      <c r="A55" s="240"/>
      <c r="B55" s="241"/>
      <c r="C55" s="241"/>
      <c r="D55" s="237"/>
      <c r="E55" s="162" t="str">
        <f>IF(F55="","",IFERROR(INDEX('Bundle Formation'!$C:$C,MATCH(F55,'Bundle Formation'!$G:$G,0)),""))</f>
        <v/>
      </c>
      <c r="F55" s="239"/>
      <c r="G55" t="str">
        <f>IF(F55="","",SUMIF('Bundle Formation'!$G$3:$G$75,F55,'Bundle Formation'!$E$3:$E$75))</f>
        <v/>
      </c>
      <c r="H55" s="87" t="str">
        <f>IF(F55="","",SUMIF('Bundle Formation'!$G$3:$G$117,F55,'Bundle Formation'!$J$3:$J$117))</f>
        <v/>
      </c>
      <c r="I55" s="164" t="str">
        <f t="shared" si="0"/>
        <v/>
      </c>
      <c r="J55" s="165" t="str">
        <f>IF(F55="","",IFERROR(INDEX('Slit to Tube Conversion'!$E:$E,MATCH(INDEX('Bundle Formation'!$B$3:$B$117,MATCH(F55,'Bundle Formation'!$G$3:$G$117,0)),'Slit to Tube Conversion'!$C:$C,0)),""))</f>
        <v/>
      </c>
      <c r="K55" s="47" t="str">
        <f>IF(F55="","",IFERROR(INDEX('Slit to Tube Conversion'!$F:$F,MATCH(INDEX('Bundle Formation'!$B$3:$B$117,MATCH(F55,'Bundle Formation'!$G$3:$G$117,0)),'Slit to Tube Conversion'!$C:$C,0)),""))</f>
        <v/>
      </c>
      <c r="L55" s="87" t="str">
        <f>IF(F55="","",IFERROR(INDEX('Slit to Tube Conversion'!$G:$G,MATCH(INDEX('Bundle Formation'!$B$3:$B$117,MATCH(F55,'Bundle Formation'!$G$3:$G$117,0)),'Slit to Tube Conversion'!$C:$C,0)),""))</f>
        <v/>
      </c>
      <c r="M55" s="166" t="str">
        <f t="shared" si="1"/>
        <v/>
      </c>
      <c r="N55" s="68" t="str">
        <f>IF(F55="","",IF(COUNTIF(F$3:F55,F55)&gt;1,"⚠ DUPLICATE DISPATCH",""))</f>
        <v/>
      </c>
    </row>
    <row r="56" spans="1:14" ht="21.75" customHeight="1">
      <c r="A56" s="240"/>
      <c r="B56" s="241"/>
      <c r="C56" s="241"/>
      <c r="D56" s="237"/>
      <c r="E56" s="162" t="str">
        <f>IF(F56="","",IFERROR(INDEX('Bundle Formation'!$C:$C,MATCH(F56,'Bundle Formation'!$G:$G,0)),""))</f>
        <v/>
      </c>
      <c r="F56" s="239"/>
      <c r="G56" t="str">
        <f>IF(F56="","",SUMIF('Bundle Formation'!$G$3:$G$75,F56,'Bundle Formation'!$E$3:$E$75))</f>
        <v/>
      </c>
      <c r="H56" s="87" t="str">
        <f>IF(F56="","",SUMIF('Bundle Formation'!$G$3:$G$117,F56,'Bundle Formation'!$J$3:$J$117))</f>
        <v/>
      </c>
      <c r="I56" s="164" t="str">
        <f t="shared" si="0"/>
        <v/>
      </c>
      <c r="J56" s="165" t="str">
        <f>IF(F56="","",IFERROR(INDEX('Slit to Tube Conversion'!$E:$E,MATCH(INDEX('Bundle Formation'!$B$3:$B$117,MATCH(F56,'Bundle Formation'!$G$3:$G$117,0)),'Slit to Tube Conversion'!$C:$C,0)),""))</f>
        <v/>
      </c>
      <c r="K56" s="47" t="str">
        <f>IF(F56="","",IFERROR(INDEX('Slit to Tube Conversion'!$F:$F,MATCH(INDEX('Bundle Formation'!$B$3:$B$117,MATCH(F56,'Bundle Formation'!$G$3:$G$117,0)),'Slit to Tube Conversion'!$C:$C,0)),""))</f>
        <v/>
      </c>
      <c r="L56" s="87" t="str">
        <f>IF(F56="","",IFERROR(INDEX('Slit to Tube Conversion'!$G:$G,MATCH(INDEX('Bundle Formation'!$B$3:$B$117,MATCH(F56,'Bundle Formation'!$G$3:$G$117,0)),'Slit to Tube Conversion'!$C:$C,0)),""))</f>
        <v/>
      </c>
      <c r="M56" s="166" t="str">
        <f t="shared" si="1"/>
        <v/>
      </c>
      <c r="N56" s="68" t="str">
        <f>IF(F56="","",IF(COUNTIF(F$3:F56,F56)&gt;1,"⚠ DUPLICATE DISPATCH",""))</f>
        <v/>
      </c>
    </row>
    <row r="57" spans="1:14" ht="21.75" customHeight="1">
      <c r="E57" s="162" t="str">
        <f>IF(F57="","",IFERROR(INDEX('Bundle Formation'!$C:$C,MATCH(F57,'Bundle Formation'!$G:$G,0)),""))</f>
        <v/>
      </c>
      <c r="F57" s="100"/>
      <c r="G57" t="str">
        <f>IF(F57="","",SUMIF('Bundle Formation'!$G$3:$G$75,F57,'Bundle Formation'!$E$3:$E$75))</f>
        <v/>
      </c>
      <c r="H57" s="87" t="str">
        <f>IF(F57="","",SUMIF('Bundle Formation'!$G$3:$G$117,F57,'Bundle Formation'!$J$3:$J$117))</f>
        <v/>
      </c>
      <c r="I57" s="164" t="str">
        <f t="shared" si="0"/>
        <v/>
      </c>
      <c r="J57" s="165" t="str">
        <f>IF(F57="","",IFERROR(INDEX('Slit to Tube Conversion'!$E:$E,MATCH(INDEX('Bundle Formation'!$B$3:$B$117,MATCH(F57,'Bundle Formation'!$G$3:$G$117,0)),'Slit to Tube Conversion'!$C:$C,0)),""))</f>
        <v/>
      </c>
      <c r="K57" s="47" t="str">
        <f>IF(F57="","",IFERROR(INDEX('Slit to Tube Conversion'!$F:$F,MATCH(INDEX('Bundle Formation'!$B$3:$B$117,MATCH(F57,'Bundle Formation'!$G$3:$G$117,0)),'Slit to Tube Conversion'!$C:$C,0)),""))</f>
        <v/>
      </c>
      <c r="L57" s="87" t="str">
        <f>IF(F57="","",IFERROR(INDEX('Slit to Tube Conversion'!$G:$G,MATCH(INDEX('Bundle Formation'!$B$3:$B$117,MATCH(F57,'Bundle Formation'!$G$3:$G$117,0)),'Slit to Tube Conversion'!$C:$C,0)),""))</f>
        <v/>
      </c>
      <c r="M57" s="166" t="str">
        <f t="shared" si="1"/>
        <v/>
      </c>
      <c r="N57" s="68" t="str">
        <f>IF(F57="","",IF(COUNTIF(F$3:F57,F57)&gt;1,"⚠ DUPLICATE DISPATCH",""))</f>
        <v/>
      </c>
    </row>
    <row r="58" spans="1:14" ht="21.75" customHeight="1">
      <c r="E58" s="162" t="str">
        <f>IF(F58="","",IFERROR(INDEX('Bundle Formation'!$C:$C,MATCH(F58,'Bundle Formation'!$G:$G,0)),""))</f>
        <v/>
      </c>
      <c r="F58" s="100"/>
      <c r="G58" t="str">
        <f>IF(F58="","",SUMIF('Bundle Formation'!$G$3:$G$75,F58,'Bundle Formation'!$E$3:$E$75))</f>
        <v/>
      </c>
      <c r="H58" s="87" t="str">
        <f>IF(F58="","",SUMIF('Bundle Formation'!$G$3:$G$117,F58,'Bundle Formation'!$J$3:$J$117))</f>
        <v/>
      </c>
      <c r="I58" s="164" t="str">
        <f t="shared" si="0"/>
        <v/>
      </c>
      <c r="J58" s="165" t="str">
        <f>IF(F58="","",IFERROR(INDEX('Slit to Tube Conversion'!$E:$E,MATCH(INDEX('Bundle Formation'!$B$3:$B$117,MATCH(F58,'Bundle Formation'!$G$3:$G$117,0)),'Slit to Tube Conversion'!$C:$C,0)),""))</f>
        <v/>
      </c>
      <c r="K58" s="47" t="str">
        <f>IF(F58="","",IFERROR(INDEX('Slit to Tube Conversion'!$F:$F,MATCH(INDEX('Bundle Formation'!$B$3:$B$117,MATCH(F58,'Bundle Formation'!$G$3:$G$117,0)),'Slit to Tube Conversion'!$C:$C,0)),""))</f>
        <v/>
      </c>
      <c r="L58" s="87" t="str">
        <f>IF(F58="","",IFERROR(INDEX('Slit to Tube Conversion'!$G:$G,MATCH(INDEX('Bundle Formation'!$B$3:$B$117,MATCH(F58,'Bundle Formation'!$G$3:$G$117,0)),'Slit to Tube Conversion'!$C:$C,0)),""))</f>
        <v/>
      </c>
      <c r="M58" s="166" t="str">
        <f t="shared" si="1"/>
        <v/>
      </c>
      <c r="N58" s="68" t="str">
        <f>IF(F58="","",IF(COUNTIF(F$3:F58,F58)&gt;1,"⚠ DUPLICATE DISPATCH",""))</f>
        <v/>
      </c>
    </row>
    <row r="59" spans="1:14" ht="21.75" customHeight="1">
      <c r="E59" s="162" t="str">
        <f>IF(F59="","",IFERROR(INDEX('Bundle Formation'!$C:$C,MATCH(F59,'Bundle Formation'!$G:$G,0)),""))</f>
        <v/>
      </c>
      <c r="F59" s="100"/>
      <c r="G59" t="str">
        <f>IF(F59="","",SUMIF('Bundle Formation'!$G$3:$G$75,F59,'Bundle Formation'!$E$3:$E$75))</f>
        <v/>
      </c>
      <c r="H59" s="87" t="str">
        <f>IF(F59="","",SUMIF('Bundle Formation'!$G$3:$G$117,F59,'Bundle Formation'!$J$3:$J$117))</f>
        <v/>
      </c>
      <c r="I59" s="164" t="str">
        <f t="shared" si="0"/>
        <v/>
      </c>
      <c r="J59" s="165" t="str">
        <f>IF(F59="","",IFERROR(INDEX('Slit to Tube Conversion'!$E:$E,MATCH(INDEX('Bundle Formation'!$B$3:$B$117,MATCH(F59,'Bundle Formation'!$G$3:$G$117,0)),'Slit to Tube Conversion'!$C:$C,0)),""))</f>
        <v/>
      </c>
      <c r="K59" s="47" t="str">
        <f>IF(F59="","",IFERROR(INDEX('Slit to Tube Conversion'!$F:$F,MATCH(INDEX('Bundle Formation'!$B$3:$B$117,MATCH(F59,'Bundle Formation'!$G$3:$G$117,0)),'Slit to Tube Conversion'!$C:$C,0)),""))</f>
        <v/>
      </c>
      <c r="L59" s="87" t="str">
        <f>IF(F59="","",IFERROR(INDEX('Slit to Tube Conversion'!$G:$G,MATCH(INDEX('Bundle Formation'!$B$3:$B$117,MATCH(F59,'Bundle Formation'!$G$3:$G$117,0)),'Slit to Tube Conversion'!$C:$C,0)),""))</f>
        <v/>
      </c>
      <c r="M59" s="166" t="str">
        <f t="shared" si="1"/>
        <v/>
      </c>
      <c r="N59" s="68" t="str">
        <f>IF(F59="","",IF(COUNTIF(F$3:F59,F59)&gt;1,"⚠ DUPLICATE DISPATCH",""))</f>
        <v/>
      </c>
    </row>
    <row r="60" spans="1:14" ht="21.75" customHeight="1">
      <c r="E60" s="162" t="str">
        <f>IF(F60="","",IFERROR(INDEX('Bundle Formation'!$C:$C,MATCH(F60,'Bundle Formation'!$G:$G,0)),""))</f>
        <v/>
      </c>
      <c r="F60" s="100"/>
      <c r="G60" t="str">
        <f>IF(F60="","",SUMIF('Bundle Formation'!$G$3:$G$75,F60,'Bundle Formation'!$E$3:$E$75))</f>
        <v/>
      </c>
      <c r="H60" s="87" t="str">
        <f>IF(F60="","",SUMIF('Bundle Formation'!$G$3:$G$117,F60,'Bundle Formation'!$J$3:$J$117))</f>
        <v/>
      </c>
      <c r="I60" s="164" t="str">
        <f t="shared" si="0"/>
        <v/>
      </c>
      <c r="J60" s="165" t="str">
        <f>IF(F60="","",IFERROR(INDEX('Slit to Tube Conversion'!$E:$E,MATCH(INDEX('Bundle Formation'!$B$3:$B$117,MATCH(F60,'Bundle Formation'!$G$3:$G$117,0)),'Slit to Tube Conversion'!$C:$C,0)),""))</f>
        <v/>
      </c>
      <c r="K60" s="47" t="str">
        <f>IF(F60="","",IFERROR(INDEX('Slit to Tube Conversion'!$F:$F,MATCH(INDEX('Bundle Formation'!$B$3:$B$117,MATCH(F60,'Bundle Formation'!$G$3:$G$117,0)),'Slit to Tube Conversion'!$C:$C,0)),""))</f>
        <v/>
      </c>
      <c r="L60" s="87" t="str">
        <f>IF(F60="","",IFERROR(INDEX('Slit to Tube Conversion'!$G:$G,MATCH(INDEX('Bundle Formation'!$B$3:$B$117,MATCH(F60,'Bundle Formation'!$G$3:$G$117,0)),'Slit to Tube Conversion'!$C:$C,0)),""))</f>
        <v/>
      </c>
      <c r="M60" s="166" t="str">
        <f t="shared" si="1"/>
        <v/>
      </c>
      <c r="N60" s="68" t="str">
        <f>IF(F60="","",IF(COUNTIF(F$3:F60,F60)&gt;1,"⚠ DUPLICATE DISPATCH",""))</f>
        <v/>
      </c>
    </row>
    <row r="61" spans="1:14" ht="21.75" customHeight="1">
      <c r="E61" s="162" t="str">
        <f>IF(F61="","",IFERROR(INDEX('Bundle Formation'!$C:$C,MATCH(F61,'Bundle Formation'!$G:$G,0)),""))</f>
        <v/>
      </c>
      <c r="F61" s="100"/>
      <c r="G61" t="str">
        <f>IF(F61="","",SUMIF('Bundle Formation'!$G$3:$G$75,F61,'Bundle Formation'!$E$3:$E$75))</f>
        <v/>
      </c>
      <c r="H61" s="87" t="str">
        <f>IF(F61="","",SUMIF('Bundle Formation'!$G$3:$G$117,F61,'Bundle Formation'!$J$3:$J$117))</f>
        <v/>
      </c>
      <c r="I61" s="164" t="str">
        <f t="shared" si="0"/>
        <v/>
      </c>
      <c r="J61" s="165" t="str">
        <f>IF(F61="","",IFERROR(INDEX('Slit to Tube Conversion'!$E:$E,MATCH(INDEX('Bundle Formation'!$B$3:$B$117,MATCH(F61,'Bundle Formation'!$G$3:$G$117,0)),'Slit to Tube Conversion'!$C:$C,0)),""))</f>
        <v/>
      </c>
      <c r="K61" s="47" t="str">
        <f>IF(F61="","",IFERROR(INDEX('Slit to Tube Conversion'!$F:$F,MATCH(INDEX('Bundle Formation'!$B$3:$B$117,MATCH(F61,'Bundle Formation'!$G$3:$G$117,0)),'Slit to Tube Conversion'!$C:$C,0)),""))</f>
        <v/>
      </c>
      <c r="L61" s="87" t="str">
        <f>IF(F61="","",IFERROR(INDEX('Slit to Tube Conversion'!$G:$G,MATCH(INDEX('Bundle Formation'!$B$3:$B$117,MATCH(F61,'Bundle Formation'!$G$3:$G$117,0)),'Slit to Tube Conversion'!$C:$C,0)),""))</f>
        <v/>
      </c>
      <c r="M61" s="166" t="str">
        <f t="shared" si="1"/>
        <v/>
      </c>
      <c r="N61" s="68" t="str">
        <f>IF(F61="","",IF(COUNTIF(F$3:F61,F61)&gt;1,"⚠ DUPLICATE DISPATCH",""))</f>
        <v/>
      </c>
    </row>
    <row r="62" spans="1:14" ht="21.75" customHeight="1">
      <c r="E62" s="162" t="str">
        <f>IF(F62="","",IFERROR(INDEX('Bundle Formation'!$C:$C,MATCH(F62,'Bundle Formation'!$G:$G,0)),""))</f>
        <v/>
      </c>
      <c r="F62" s="100"/>
      <c r="G62" t="str">
        <f>IF(F62="","",SUMIF('Bundle Formation'!$G$3:$G$75,F62,'Bundle Formation'!$E$3:$E$75))</f>
        <v/>
      </c>
      <c r="H62" s="87" t="str">
        <f>IF(F62="","",SUMIF('Bundle Formation'!$G$3:$G$117,F62,'Bundle Formation'!$J$3:$J$117))</f>
        <v/>
      </c>
      <c r="I62" s="164" t="str">
        <f t="shared" si="0"/>
        <v/>
      </c>
      <c r="J62" s="165" t="str">
        <f>IF(F62="","",IFERROR(INDEX('Slit to Tube Conversion'!$E:$E,MATCH(INDEX('Bundle Formation'!$B$3:$B$117,MATCH(F62,'Bundle Formation'!$G$3:$G$117,0)),'Slit to Tube Conversion'!$C:$C,0)),""))</f>
        <v/>
      </c>
      <c r="K62" s="47" t="str">
        <f>IF(F62="","",IFERROR(INDEX('Slit to Tube Conversion'!$F:$F,MATCH(INDEX('Bundle Formation'!$B$3:$B$117,MATCH(F62,'Bundle Formation'!$G$3:$G$117,0)),'Slit to Tube Conversion'!$C:$C,0)),""))</f>
        <v/>
      </c>
      <c r="L62" s="87" t="str">
        <f>IF(F62="","",IFERROR(INDEX('Slit to Tube Conversion'!$G:$G,MATCH(INDEX('Bundle Formation'!$B$3:$B$117,MATCH(F62,'Bundle Formation'!$G$3:$G$117,0)),'Slit to Tube Conversion'!$C:$C,0)),""))</f>
        <v/>
      </c>
      <c r="M62" s="166" t="str">
        <f t="shared" si="1"/>
        <v/>
      </c>
      <c r="N62" s="68" t="str">
        <f>IF(F62="","",IF(COUNTIF(F$3:F62,F62)&gt;1,"⚠ DUPLICATE DISPATCH",""))</f>
        <v/>
      </c>
    </row>
    <row r="63" spans="1:14" ht="21.75" customHeight="1">
      <c r="E63" s="162" t="str">
        <f>IF(F63="","",IFERROR(INDEX('Bundle Formation'!$C:$C,MATCH(F63,'Bundle Formation'!$G:$G,0)),""))</f>
        <v/>
      </c>
      <c r="F63" s="100"/>
      <c r="G63" t="str">
        <f>IF(F63="","",SUMIF('Bundle Formation'!$G$3:$G$75,F63,'Bundle Formation'!$E$3:$E$75))</f>
        <v/>
      </c>
      <c r="H63" s="87" t="str">
        <f>IF(F63="","",SUMIF('Bundle Formation'!$G$3:$G$117,F63,'Bundle Formation'!$J$3:$J$117))</f>
        <v/>
      </c>
      <c r="I63" s="164" t="str">
        <f t="shared" si="0"/>
        <v/>
      </c>
      <c r="J63" s="165" t="str">
        <f>IF(F63="","",IFERROR(INDEX('Slit to Tube Conversion'!$E:$E,MATCH(INDEX('Bundle Formation'!$B$3:$B$117,MATCH(F63,'Bundle Formation'!$G$3:$G$117,0)),'Slit to Tube Conversion'!$C:$C,0)),""))</f>
        <v/>
      </c>
      <c r="K63" s="47" t="str">
        <f>IF(F63="","",IFERROR(INDEX('Slit to Tube Conversion'!$F:$F,MATCH(INDEX('Bundle Formation'!$B$3:$B$117,MATCH(F63,'Bundle Formation'!$G$3:$G$117,0)),'Slit to Tube Conversion'!$C:$C,0)),""))</f>
        <v/>
      </c>
      <c r="L63" s="87" t="str">
        <f>IF(F63="","",IFERROR(INDEX('Slit to Tube Conversion'!$G:$G,MATCH(INDEX('Bundle Formation'!$B$3:$B$117,MATCH(F63,'Bundle Formation'!$G$3:$G$117,0)),'Slit to Tube Conversion'!$C:$C,0)),""))</f>
        <v/>
      </c>
      <c r="M63" s="166" t="str">
        <f t="shared" si="1"/>
        <v/>
      </c>
      <c r="N63" s="68" t="str">
        <f>IF(F63="","",IF(COUNTIF(F$3:F63,F63)&gt;1,"⚠ DUPLICATE DISPATCH",""))</f>
        <v/>
      </c>
    </row>
    <row r="64" spans="1:14" ht="21.75" customHeight="1">
      <c r="E64" s="162" t="str">
        <f>IF(F64="","",IFERROR(INDEX('Bundle Formation'!$C:$C,MATCH(F64,'Bundle Formation'!$G:$G,0)),""))</f>
        <v/>
      </c>
      <c r="F64" s="100"/>
      <c r="G64" t="str">
        <f>IF(F64="","",SUMIF('Bundle Formation'!$G$3:$G$75,F64,'Bundle Formation'!$E$3:$E$75))</f>
        <v/>
      </c>
      <c r="H64" s="87" t="str">
        <f>IF(F64="","",SUMIF('Bundle Formation'!$G$3:$G$117,F64,'Bundle Formation'!$J$3:$J$117))</f>
        <v/>
      </c>
      <c r="I64" s="164" t="str">
        <f t="shared" si="0"/>
        <v/>
      </c>
      <c r="J64" s="165" t="str">
        <f>IF(F64="","",IFERROR(INDEX('Slit to Tube Conversion'!$E:$E,MATCH(INDEX('Bundle Formation'!$B$3:$B$117,MATCH(F64,'Bundle Formation'!$G$3:$G$117,0)),'Slit to Tube Conversion'!$C:$C,0)),""))</f>
        <v/>
      </c>
      <c r="K64" s="47" t="str">
        <f>IF(F64="","",IFERROR(INDEX('Slit to Tube Conversion'!$F:$F,MATCH(INDEX('Bundle Formation'!$B$3:$B$117,MATCH(F64,'Bundle Formation'!$G$3:$G$117,0)),'Slit to Tube Conversion'!$C:$C,0)),""))</f>
        <v/>
      </c>
      <c r="L64" s="87" t="str">
        <f>IF(F64="","",IFERROR(INDEX('Slit to Tube Conversion'!$G:$G,MATCH(INDEX('Bundle Formation'!$B$3:$B$117,MATCH(F64,'Bundle Formation'!$G$3:$G$117,0)),'Slit to Tube Conversion'!$C:$C,0)),""))</f>
        <v/>
      </c>
      <c r="M64" s="166" t="str">
        <f t="shared" si="1"/>
        <v/>
      </c>
      <c r="N64" s="68" t="str">
        <f>IF(F64="","",IF(COUNTIF(F$3:F64,F64)&gt;1,"⚠ DUPLICATE DISPATCH",""))</f>
        <v/>
      </c>
    </row>
    <row r="65" spans="5:14" ht="21.75" customHeight="1">
      <c r="E65" s="162" t="str">
        <f>IF(F65="","",IFERROR(INDEX('Bundle Formation'!$C:$C,MATCH(F65,'Bundle Formation'!$G:$G,0)),""))</f>
        <v/>
      </c>
      <c r="F65" s="100"/>
      <c r="G65" t="str">
        <f>IF(F65="","",SUMIF('Bundle Formation'!$G$3:$G$75,F65,'Bundle Formation'!$E$3:$E$75))</f>
        <v/>
      </c>
      <c r="H65" s="87" t="str">
        <f>IF(F65="","",SUMIF('Bundle Formation'!$G$3:$G$117,F65,'Bundle Formation'!$J$3:$J$117))</f>
        <v/>
      </c>
      <c r="I65" s="164" t="str">
        <f t="shared" si="0"/>
        <v/>
      </c>
      <c r="J65" s="165" t="str">
        <f>IF(F65="","",IFERROR(INDEX('Slit to Tube Conversion'!$E:$E,MATCH(INDEX('Bundle Formation'!$B$3:$B$117,MATCH(F65,'Bundle Formation'!$G$3:$G$117,0)),'Slit to Tube Conversion'!$C:$C,0)),""))</f>
        <v/>
      </c>
      <c r="K65" s="47" t="str">
        <f>IF(F65="","",IFERROR(INDEX('Slit to Tube Conversion'!$F:$F,MATCH(INDEX('Bundle Formation'!$B$3:$B$117,MATCH(F65,'Bundle Formation'!$G$3:$G$117,0)),'Slit to Tube Conversion'!$C:$C,0)),""))</f>
        <v/>
      </c>
      <c r="L65" s="87" t="str">
        <f>IF(F65="","",IFERROR(INDEX('Slit to Tube Conversion'!$G:$G,MATCH(INDEX('Bundle Formation'!$B$3:$B$117,MATCH(F65,'Bundle Formation'!$G$3:$G$117,0)),'Slit to Tube Conversion'!$C:$C,0)),""))</f>
        <v/>
      </c>
      <c r="M65" s="166" t="str">
        <f t="shared" si="1"/>
        <v/>
      </c>
      <c r="N65" s="68" t="str">
        <f>IF(F65="","",IF(COUNTIF(F$3:F65,F65)&gt;1,"⚠ DUPLICATE DISPATCH",""))</f>
        <v/>
      </c>
    </row>
    <row r="66" spans="5:14" ht="21.75" customHeight="1">
      <c r="E66" s="162" t="str">
        <f>IF(F66="","",IFERROR(INDEX('Bundle Formation'!$C:$C,MATCH(F66,'Bundle Formation'!$G:$G,0)),""))</f>
        <v/>
      </c>
      <c r="F66" s="100"/>
      <c r="G66" t="str">
        <f>IF(F66="","",SUMIF('Bundle Formation'!$G$3:$G$75,F66,'Bundle Formation'!$E$3:$E$75))</f>
        <v/>
      </c>
      <c r="H66" s="87" t="str">
        <f>IF(F66="","",SUMIF('Bundle Formation'!$G$3:$G$117,F66,'Bundle Formation'!$J$3:$J$117))</f>
        <v/>
      </c>
      <c r="I66" s="164" t="str">
        <f t="shared" si="0"/>
        <v/>
      </c>
      <c r="J66" s="165" t="str">
        <f>IF(F66="","",IFERROR(INDEX('Slit to Tube Conversion'!$E:$E,MATCH(INDEX('Bundle Formation'!$B$3:$B$117,MATCH(F66,'Bundle Formation'!$G$3:$G$117,0)),'Slit to Tube Conversion'!$C:$C,0)),""))</f>
        <v/>
      </c>
      <c r="K66" s="47" t="str">
        <f>IF(F66="","",IFERROR(INDEX('Slit to Tube Conversion'!$F:$F,MATCH(INDEX('Bundle Formation'!$B$3:$B$117,MATCH(F66,'Bundle Formation'!$G$3:$G$117,0)),'Slit to Tube Conversion'!$C:$C,0)),""))</f>
        <v/>
      </c>
      <c r="L66" s="87" t="str">
        <f>IF(F66="","",IFERROR(INDEX('Slit to Tube Conversion'!$G:$G,MATCH(INDEX('Bundle Formation'!$B$3:$B$117,MATCH(F66,'Bundle Formation'!$G$3:$G$117,0)),'Slit to Tube Conversion'!$C:$C,0)),""))</f>
        <v/>
      </c>
      <c r="M66" s="166" t="str">
        <f t="shared" si="1"/>
        <v/>
      </c>
      <c r="N66" s="68" t="str">
        <f>IF(F66="","",IF(COUNTIF(F$3:F66,F66)&gt;1,"⚠ DUPLICATE DISPATCH",""))</f>
        <v/>
      </c>
    </row>
    <row r="67" spans="5:14" ht="21.75" customHeight="1">
      <c r="E67" s="162" t="str">
        <f>IF(F67="","",IFERROR(INDEX('Bundle Formation'!$C:$C,MATCH(F67,'Bundle Formation'!$G:$G,0)),""))</f>
        <v/>
      </c>
      <c r="F67" s="100"/>
      <c r="G67" t="str">
        <f>IF(F67="","",SUMIF('Bundle Formation'!$G$3:$G$75,F67,'Bundle Formation'!$E$3:$E$75))</f>
        <v/>
      </c>
      <c r="H67" s="87" t="str">
        <f>IF(F67="","",SUMIF('Bundle Formation'!$G$3:$G$117,F67,'Bundle Formation'!$J$3:$J$117))</f>
        <v/>
      </c>
      <c r="I67" s="164" t="str">
        <f t="shared" si="0"/>
        <v/>
      </c>
      <c r="J67" s="165" t="str">
        <f>IF(F67="","",IFERROR(INDEX('Slit to Tube Conversion'!$E:$E,MATCH(INDEX('Bundle Formation'!$B$3:$B$117,MATCH(F67,'Bundle Formation'!$G$3:$G$117,0)),'Slit to Tube Conversion'!$C:$C,0)),""))</f>
        <v/>
      </c>
      <c r="K67" s="47" t="str">
        <f>IF(F67="","",IFERROR(INDEX('Slit to Tube Conversion'!$F:$F,MATCH(INDEX('Bundle Formation'!$B$3:$B$117,MATCH(F67,'Bundle Formation'!$G$3:$G$117,0)),'Slit to Tube Conversion'!$C:$C,0)),""))</f>
        <v/>
      </c>
      <c r="L67" s="87" t="str">
        <f>IF(F67="","",IFERROR(INDEX('Slit to Tube Conversion'!$G:$G,MATCH(INDEX('Bundle Formation'!$B$3:$B$117,MATCH(F67,'Bundle Formation'!$G$3:$G$117,0)),'Slit to Tube Conversion'!$C:$C,0)),""))</f>
        <v/>
      </c>
      <c r="M67" s="166" t="str">
        <f t="shared" si="1"/>
        <v/>
      </c>
      <c r="N67" s="68" t="str">
        <f>IF(F67="","",IF(COUNTIF(F$3:F67,F67)&gt;1,"⚠ DUPLICATE DISPATCH",""))</f>
        <v/>
      </c>
    </row>
    <row r="68" spans="5:14" ht="21.75" customHeight="1">
      <c r="E68" s="162" t="str">
        <f>IF(F68="","",IFERROR(INDEX('Bundle Formation'!$C:$C,MATCH(F68,'Bundle Formation'!$G:$G,0)),""))</f>
        <v/>
      </c>
      <c r="F68" s="100"/>
      <c r="G68" t="str">
        <f>IF(F68="","",SUMIF('Bundle Formation'!$G$3:$G$75,F68,'Bundle Formation'!$E$3:$E$75))</f>
        <v/>
      </c>
      <c r="H68" s="87" t="str">
        <f>IF(F68="","",SUMIF('Bundle Formation'!$G$3:$G$117,F68,'Bundle Formation'!$J$3:$J$117))</f>
        <v/>
      </c>
      <c r="I68" s="164" t="str">
        <f t="shared" ref="I68:I100" si="2">IF(OR(D68="",H68=""),"",D68-H68)</f>
        <v/>
      </c>
      <c r="J68" s="165" t="str">
        <f>IF(F68="","",IFERROR(INDEX('Slit to Tube Conversion'!$E:$E,MATCH(INDEX('Bundle Formation'!$B$3:$B$117,MATCH(F68,'Bundle Formation'!$G$3:$G$117,0)),'Slit to Tube Conversion'!$C:$C,0)),""))</f>
        <v/>
      </c>
      <c r="K68" s="47" t="str">
        <f>IF(F68="","",IFERROR(INDEX('Slit to Tube Conversion'!$F:$F,MATCH(INDEX('Bundle Formation'!$B$3:$B$117,MATCH(F68,'Bundle Formation'!$G$3:$G$117,0)),'Slit to Tube Conversion'!$C:$C,0)),""))</f>
        <v/>
      </c>
      <c r="L68" s="87" t="str">
        <f>IF(F68="","",IFERROR(INDEX('Slit to Tube Conversion'!$G:$G,MATCH(INDEX('Bundle Formation'!$B$3:$B$117,MATCH(F68,'Bundle Formation'!$G$3:$G$117,0)),'Slit to Tube Conversion'!$C:$C,0)),""))</f>
        <v/>
      </c>
      <c r="M68" s="166" t="str">
        <f t="shared" ref="M68:M100" si="3">IF(OR(F68="",D68="",H68=""),"",IF(H68=0,"",IF(D68/H68&lt;0.85,"🔴 CRITICAL",IF(D68/H68&lt;0.9,"🟠 INVESTIGATE",IF(D68/H68&lt;0.95,"🟡 OPTIMIZE","🟢 GOOD")))))</f>
        <v/>
      </c>
      <c r="N68" s="68" t="str">
        <f>IF(F68="","",IF(COUNTIF(F$3:F68,F68)&gt;1,"⚠ DUPLICATE DISPATCH",""))</f>
        <v/>
      </c>
    </row>
    <row r="69" spans="5:14" ht="21.75" customHeight="1">
      <c r="E69" s="162" t="str">
        <f>IF(F69="","",IFERROR(INDEX('Bundle Formation'!$C:$C,MATCH(F69,'Bundle Formation'!$G:$G,0)),""))</f>
        <v/>
      </c>
      <c r="F69" s="100"/>
      <c r="G69" t="str">
        <f>IF(F69="","",SUMIF('Bundle Formation'!$G$3:$G$75,F69,'Bundle Formation'!$E$3:$E$75))</f>
        <v/>
      </c>
      <c r="H69" s="87" t="str">
        <f>IF(F69="","",SUMIF('Bundle Formation'!$G$3:$G$117,F69,'Bundle Formation'!$J$3:$J$117))</f>
        <v/>
      </c>
      <c r="I69" s="164" t="str">
        <f t="shared" si="2"/>
        <v/>
      </c>
      <c r="J69" s="165" t="str">
        <f>IF(F69="","",IFERROR(INDEX('Slit to Tube Conversion'!$E:$E,MATCH(INDEX('Bundle Formation'!$B$3:$B$117,MATCH(F69,'Bundle Formation'!$G$3:$G$117,0)),'Slit to Tube Conversion'!$C:$C,0)),""))</f>
        <v/>
      </c>
      <c r="K69" s="47" t="str">
        <f>IF(F69="","",IFERROR(INDEX('Slit to Tube Conversion'!$F:$F,MATCH(INDEX('Bundle Formation'!$B$3:$B$117,MATCH(F69,'Bundle Formation'!$G$3:$G$117,0)),'Slit to Tube Conversion'!$C:$C,0)),""))</f>
        <v/>
      </c>
      <c r="L69" s="87" t="str">
        <f>IF(F69="","",IFERROR(INDEX('Slit to Tube Conversion'!$G:$G,MATCH(INDEX('Bundle Formation'!$B$3:$B$117,MATCH(F69,'Bundle Formation'!$G$3:$G$117,0)),'Slit to Tube Conversion'!$C:$C,0)),""))</f>
        <v/>
      </c>
      <c r="M69" s="166" t="str">
        <f t="shared" si="3"/>
        <v/>
      </c>
      <c r="N69" s="68" t="str">
        <f>IF(F69="","",IF(COUNTIF(F$3:F69,F69)&gt;1,"⚠ DUPLICATE DISPATCH",""))</f>
        <v/>
      </c>
    </row>
    <row r="70" spans="5:14" ht="21.75" customHeight="1">
      <c r="E70" s="162" t="str">
        <f>IF(F70="","",IFERROR(INDEX('Bundle Formation'!$C:$C,MATCH(F70,'Bundle Formation'!$G:$G,0)),""))</f>
        <v/>
      </c>
      <c r="F70" s="100"/>
      <c r="G70" t="str">
        <f>IF(F70="","",SUMIF('Bundle Formation'!$G$3:$G$75,F70,'Bundle Formation'!$E$3:$E$75))</f>
        <v/>
      </c>
      <c r="H70" s="87" t="str">
        <f>IF(F70="","",SUMIF('Bundle Formation'!$G$3:$G$117,F70,'Bundle Formation'!$J$3:$J$117))</f>
        <v/>
      </c>
      <c r="I70" s="164" t="str">
        <f t="shared" si="2"/>
        <v/>
      </c>
      <c r="J70" s="165" t="str">
        <f>IF(F70="","",IFERROR(INDEX('Slit to Tube Conversion'!$E:$E,MATCH(INDEX('Bundle Formation'!$B$3:$B$117,MATCH(F70,'Bundle Formation'!$G$3:$G$117,0)),'Slit to Tube Conversion'!$C:$C,0)),""))</f>
        <v/>
      </c>
      <c r="K70" s="47" t="str">
        <f>IF(F70="","",IFERROR(INDEX('Slit to Tube Conversion'!$F:$F,MATCH(INDEX('Bundle Formation'!$B$3:$B$117,MATCH(F70,'Bundle Formation'!$G$3:$G$117,0)),'Slit to Tube Conversion'!$C:$C,0)),""))</f>
        <v/>
      </c>
      <c r="L70" s="87" t="str">
        <f>IF(F70="","",IFERROR(INDEX('Slit to Tube Conversion'!$G:$G,MATCH(INDEX('Bundle Formation'!$B$3:$B$117,MATCH(F70,'Bundle Formation'!$G$3:$G$117,0)),'Slit to Tube Conversion'!$C:$C,0)),""))</f>
        <v/>
      </c>
      <c r="M70" s="166" t="str">
        <f t="shared" si="3"/>
        <v/>
      </c>
      <c r="N70" s="68" t="str">
        <f>IF(F70="","",IF(COUNTIF(F$3:F70,F70)&gt;1,"⚠ DUPLICATE DISPATCH",""))</f>
        <v/>
      </c>
    </row>
    <row r="71" spans="5:14" ht="21.75" customHeight="1">
      <c r="E71" s="162" t="str">
        <f>IF(F71="","",IFERROR(INDEX('Bundle Formation'!$C:$C,MATCH(F71,'Bundle Formation'!$G:$G,0)),""))</f>
        <v/>
      </c>
      <c r="F71" s="100"/>
      <c r="G71" t="str">
        <f>IF(F71="","",SUMIF('Bundle Formation'!$G$3:$G$75,F71,'Bundle Formation'!$E$3:$E$75))</f>
        <v/>
      </c>
      <c r="H71" s="87" t="str">
        <f>IF(F71="","",SUMIF('Bundle Formation'!$G$3:$G$117,F71,'Bundle Formation'!$J$3:$J$117))</f>
        <v/>
      </c>
      <c r="I71" s="164" t="str">
        <f t="shared" si="2"/>
        <v/>
      </c>
      <c r="J71" s="165" t="str">
        <f>IF(F71="","",IFERROR(INDEX('Slit to Tube Conversion'!$E:$E,MATCH(INDEX('Bundle Formation'!$B$3:$B$117,MATCH(F71,'Bundle Formation'!$G$3:$G$117,0)),'Slit to Tube Conversion'!$C:$C,0)),""))</f>
        <v/>
      </c>
      <c r="K71" s="47" t="str">
        <f>IF(F71="","",IFERROR(INDEX('Slit to Tube Conversion'!$F:$F,MATCH(INDEX('Bundle Formation'!$B$3:$B$117,MATCH(F71,'Bundle Formation'!$G$3:$G$117,0)),'Slit to Tube Conversion'!$C:$C,0)),""))</f>
        <v/>
      </c>
      <c r="L71" s="87" t="str">
        <f>IF(F71="","",IFERROR(INDEX('Slit to Tube Conversion'!$G:$G,MATCH(INDEX('Bundle Formation'!$B$3:$B$117,MATCH(F71,'Bundle Formation'!$G$3:$G$117,0)),'Slit to Tube Conversion'!$C:$C,0)),""))</f>
        <v/>
      </c>
      <c r="M71" s="166" t="str">
        <f t="shared" si="3"/>
        <v/>
      </c>
      <c r="N71" s="68" t="str">
        <f>IF(F71="","",IF(COUNTIF(F$3:F71,F71)&gt;1,"⚠ DUPLICATE DISPATCH",""))</f>
        <v/>
      </c>
    </row>
    <row r="72" spans="5:14" ht="21.75" customHeight="1">
      <c r="E72" s="162" t="str">
        <f>IF(F72="","",IFERROR(INDEX('Bundle Formation'!$C:$C,MATCH(F72,'Bundle Formation'!$G:$G,0)),""))</f>
        <v/>
      </c>
      <c r="F72" s="100"/>
      <c r="G72" t="str">
        <f>IF(F72="","",SUMIF('Bundle Formation'!$G$3:$G$75,F72,'Bundle Formation'!$E$3:$E$75))</f>
        <v/>
      </c>
      <c r="H72" s="87" t="str">
        <f>IF(F72="","",SUMIF('Bundle Formation'!$G$3:$G$117,F72,'Bundle Formation'!$J$3:$J$117))</f>
        <v/>
      </c>
      <c r="I72" s="164" t="str">
        <f t="shared" si="2"/>
        <v/>
      </c>
      <c r="J72" s="165" t="str">
        <f>IF(F72="","",IFERROR(INDEX('Slit to Tube Conversion'!$E:$E,MATCH(INDEX('Bundle Formation'!$B$3:$B$117,MATCH(F72,'Bundle Formation'!$G$3:$G$117,0)),'Slit to Tube Conversion'!$C:$C,0)),""))</f>
        <v/>
      </c>
      <c r="K72" s="47" t="str">
        <f>IF(F72="","",IFERROR(INDEX('Slit to Tube Conversion'!$F:$F,MATCH(INDEX('Bundle Formation'!$B$3:$B$117,MATCH(F72,'Bundle Formation'!$G$3:$G$117,0)),'Slit to Tube Conversion'!$C:$C,0)),""))</f>
        <v/>
      </c>
      <c r="L72" s="87" t="str">
        <f>IF(F72="","",IFERROR(INDEX('Slit to Tube Conversion'!$G:$G,MATCH(INDEX('Bundle Formation'!$B$3:$B$117,MATCH(F72,'Bundle Formation'!$G$3:$G$117,0)),'Slit to Tube Conversion'!$C:$C,0)),""))</f>
        <v/>
      </c>
      <c r="M72" s="166" t="str">
        <f t="shared" si="3"/>
        <v/>
      </c>
      <c r="N72" s="68" t="str">
        <f>IF(F72="","",IF(COUNTIF(F$3:F72,F72)&gt;1,"⚠ DUPLICATE DISPATCH",""))</f>
        <v/>
      </c>
    </row>
    <row r="73" spans="5:14" ht="21.75" customHeight="1">
      <c r="E73" s="162" t="str">
        <f>IF(F73="","",IFERROR(INDEX('Bundle Formation'!$C:$C,MATCH(F73,'Bundle Formation'!$G:$G,0)),""))</f>
        <v/>
      </c>
      <c r="F73" s="100"/>
      <c r="G73" t="str">
        <f>IF(F73="","",SUMIF('Bundle Formation'!$G$3:$G$75,F73,'Bundle Formation'!$E$3:$E$75))</f>
        <v/>
      </c>
      <c r="H73" s="87" t="str">
        <f>IF(F73="","",SUMIF('Bundle Formation'!$G$3:$G$117,F73,'Bundle Formation'!$J$3:$J$117))</f>
        <v/>
      </c>
      <c r="I73" s="164" t="str">
        <f t="shared" si="2"/>
        <v/>
      </c>
      <c r="J73" s="165" t="str">
        <f>IF(F73="","",IFERROR(INDEX('Slit to Tube Conversion'!$E:$E,MATCH(INDEX('Bundle Formation'!$B$3:$B$117,MATCH(F73,'Bundle Formation'!$G$3:$G$117,0)),'Slit to Tube Conversion'!$C:$C,0)),""))</f>
        <v/>
      </c>
      <c r="K73" s="47" t="str">
        <f>IF(F73="","",IFERROR(INDEX('Slit to Tube Conversion'!$F:$F,MATCH(INDEX('Bundle Formation'!$B$3:$B$117,MATCH(F73,'Bundle Formation'!$G$3:$G$117,0)),'Slit to Tube Conversion'!$C:$C,0)),""))</f>
        <v/>
      </c>
      <c r="L73" s="87" t="str">
        <f>IF(F73="","",IFERROR(INDEX('Slit to Tube Conversion'!$G:$G,MATCH(INDEX('Bundle Formation'!$B$3:$B$117,MATCH(F73,'Bundle Formation'!$G$3:$G$117,0)),'Slit to Tube Conversion'!$C:$C,0)),""))</f>
        <v/>
      </c>
      <c r="M73" s="166" t="str">
        <f t="shared" si="3"/>
        <v/>
      </c>
      <c r="N73" s="68" t="str">
        <f>IF(F73="","",IF(COUNTIF(F$3:F73,F73)&gt;1,"⚠ DUPLICATE DISPATCH",""))</f>
        <v/>
      </c>
    </row>
    <row r="74" spans="5:14" ht="21.75" customHeight="1">
      <c r="E74" s="162" t="str">
        <f>IF(F74="","",IFERROR(INDEX('Bundle Formation'!$C:$C,MATCH(F74,'Bundle Formation'!$G:$G,0)),""))</f>
        <v/>
      </c>
      <c r="F74" s="100"/>
      <c r="G74" t="str">
        <f>IF(F74="","",SUMIF('Bundle Formation'!$G$3:$G$75,F74,'Bundle Formation'!$E$3:$E$75))</f>
        <v/>
      </c>
      <c r="H74" s="87" t="str">
        <f>IF(F74="","",SUMIF('Bundle Formation'!$G$3:$G$117,F74,'Bundle Formation'!$J$3:$J$117))</f>
        <v/>
      </c>
      <c r="I74" s="164" t="str">
        <f t="shared" si="2"/>
        <v/>
      </c>
      <c r="J74" s="165" t="str">
        <f>IF(F74="","",IFERROR(INDEX('Slit to Tube Conversion'!$E:$E,MATCH(INDEX('Bundle Formation'!$B$3:$B$117,MATCH(F74,'Bundle Formation'!$G$3:$G$117,0)),'Slit to Tube Conversion'!$C:$C,0)),""))</f>
        <v/>
      </c>
      <c r="K74" s="47" t="str">
        <f>IF(F74="","",IFERROR(INDEX('Slit to Tube Conversion'!$F:$F,MATCH(INDEX('Bundle Formation'!$B$3:$B$117,MATCH(F74,'Bundle Formation'!$G$3:$G$117,0)),'Slit to Tube Conversion'!$C:$C,0)),""))</f>
        <v/>
      </c>
      <c r="L74" s="87" t="str">
        <f>IF(F74="","",IFERROR(INDEX('Slit to Tube Conversion'!$G:$G,MATCH(INDEX('Bundle Formation'!$B$3:$B$117,MATCH(F74,'Bundle Formation'!$G$3:$G$117,0)),'Slit to Tube Conversion'!$C:$C,0)),""))</f>
        <v/>
      </c>
      <c r="M74" s="166" t="str">
        <f t="shared" si="3"/>
        <v/>
      </c>
      <c r="N74" s="68" t="str">
        <f>IF(F74="","",IF(COUNTIF(F$3:F74,F74)&gt;1,"⚠ DUPLICATE DISPATCH",""))</f>
        <v/>
      </c>
    </row>
    <row r="75" spans="5:14" ht="21.75" customHeight="1">
      <c r="E75" s="162" t="str">
        <f>IF(F75="","",IFERROR(INDEX('Bundle Formation'!$C:$C,MATCH(F75,'Bundle Formation'!$G:$G,0)),""))</f>
        <v/>
      </c>
      <c r="F75" s="100"/>
      <c r="G75" t="str">
        <f>IF(F75="","",SUMIF('Bundle Formation'!$G$3:$G$75,F75,'Bundle Formation'!$E$3:$E$75))</f>
        <v/>
      </c>
      <c r="H75" s="87" t="str">
        <f>IF(F75="","",SUMIF('Bundle Formation'!$G$3:$G$117,F75,'Bundle Formation'!$J$3:$J$117))</f>
        <v/>
      </c>
      <c r="I75" s="164" t="str">
        <f t="shared" si="2"/>
        <v/>
      </c>
      <c r="J75" s="165" t="str">
        <f>IF(F75="","",IFERROR(INDEX('Slit to Tube Conversion'!$E:$E,MATCH(INDEX('Bundle Formation'!$B$3:$B$117,MATCH(F75,'Bundle Formation'!$G$3:$G$117,0)),'Slit to Tube Conversion'!$C:$C,0)),""))</f>
        <v/>
      </c>
      <c r="K75" s="47" t="str">
        <f>IF(F75="","",IFERROR(INDEX('Slit to Tube Conversion'!$F:$F,MATCH(INDEX('Bundle Formation'!$B$3:$B$117,MATCH(F75,'Bundle Formation'!$G$3:$G$117,0)),'Slit to Tube Conversion'!$C:$C,0)),""))</f>
        <v/>
      </c>
      <c r="L75" s="87" t="str">
        <f>IF(F75="","",IFERROR(INDEX('Slit to Tube Conversion'!$G:$G,MATCH(INDEX('Bundle Formation'!$B$3:$B$117,MATCH(F75,'Bundle Formation'!$G$3:$G$117,0)),'Slit to Tube Conversion'!$C:$C,0)),""))</f>
        <v/>
      </c>
      <c r="M75" s="166" t="str">
        <f t="shared" si="3"/>
        <v/>
      </c>
      <c r="N75" s="68" t="str">
        <f>IF(F75="","",IF(COUNTIF(F$3:F75,F75)&gt;1,"⚠ DUPLICATE DISPATCH",""))</f>
        <v/>
      </c>
    </row>
    <row r="76" spans="5:14" ht="21.75" customHeight="1">
      <c r="E76" s="162" t="str">
        <f>IF(F76="","",IFERROR(INDEX('Bundle Formation'!$C:$C,MATCH(F76,'Bundle Formation'!$G:$G,0)),""))</f>
        <v/>
      </c>
      <c r="F76" s="100"/>
      <c r="G76" t="str">
        <f>IF(F76="","",SUMIF('Bundle Formation'!$G$3:$G$75,F76,'Bundle Formation'!$E$3:$E$75))</f>
        <v/>
      </c>
      <c r="H76" s="87" t="str">
        <f>IF(F76="","",SUMIF('Bundle Formation'!$G$3:$G$117,F76,'Bundle Formation'!$J$3:$J$117))</f>
        <v/>
      </c>
      <c r="I76" s="164" t="str">
        <f t="shared" si="2"/>
        <v/>
      </c>
      <c r="J76" s="165" t="str">
        <f>IF(F76="","",IFERROR(INDEX('Slit to Tube Conversion'!$E:$E,MATCH(INDEX('Bundle Formation'!$B$3:$B$117,MATCH(F76,'Bundle Formation'!$G$3:$G$117,0)),'Slit to Tube Conversion'!$C:$C,0)),""))</f>
        <v/>
      </c>
      <c r="K76" s="47" t="str">
        <f>IF(F76="","",IFERROR(INDEX('Slit to Tube Conversion'!$F:$F,MATCH(INDEX('Bundle Formation'!$B$3:$B$117,MATCH(F76,'Bundle Formation'!$G$3:$G$117,0)),'Slit to Tube Conversion'!$C:$C,0)),""))</f>
        <v/>
      </c>
      <c r="L76" s="87" t="str">
        <f>IF(F76="","",IFERROR(INDEX('Slit to Tube Conversion'!$G:$G,MATCH(INDEX('Bundle Formation'!$B$3:$B$117,MATCH(F76,'Bundle Formation'!$G$3:$G$117,0)),'Slit to Tube Conversion'!$C:$C,0)),""))</f>
        <v/>
      </c>
      <c r="M76" s="166" t="str">
        <f t="shared" si="3"/>
        <v/>
      </c>
      <c r="N76" s="68" t="str">
        <f>IF(F76="","",IF(COUNTIF(F$3:F76,F76)&gt;1,"⚠ DUPLICATE DISPATCH",""))</f>
        <v/>
      </c>
    </row>
    <row r="77" spans="5:14" ht="21.75" customHeight="1">
      <c r="E77" s="162" t="str">
        <f>IF(F77="","",IFERROR(INDEX('Bundle Formation'!$C:$C,MATCH(F77,'Bundle Formation'!$G:$G,0)),""))</f>
        <v/>
      </c>
      <c r="F77" s="100"/>
      <c r="G77" t="str">
        <f>IF(F77="","",SUMIF('Bundle Formation'!$G$3:$G$75,F77,'Bundle Formation'!$E$3:$E$75))</f>
        <v/>
      </c>
      <c r="H77" s="87" t="str">
        <f>IF(F77="","",SUMIF('Bundle Formation'!$G$3:$G$117,F77,'Bundle Formation'!$J$3:$J$117))</f>
        <v/>
      </c>
      <c r="I77" s="164" t="str">
        <f t="shared" si="2"/>
        <v/>
      </c>
      <c r="J77" s="165" t="str">
        <f>IF(F77="","",IFERROR(INDEX('Slit to Tube Conversion'!$E:$E,MATCH(INDEX('Bundle Formation'!$B$3:$B$117,MATCH(F77,'Bundle Formation'!$G$3:$G$117,0)),'Slit to Tube Conversion'!$C:$C,0)),""))</f>
        <v/>
      </c>
      <c r="K77" s="47" t="str">
        <f>IF(F77="","",IFERROR(INDEX('Slit to Tube Conversion'!$F:$F,MATCH(INDEX('Bundle Formation'!$B$3:$B$117,MATCH(F77,'Bundle Formation'!$G$3:$G$117,0)),'Slit to Tube Conversion'!$C:$C,0)),""))</f>
        <v/>
      </c>
      <c r="L77" s="87" t="str">
        <f>IF(F77="","",IFERROR(INDEX('Slit to Tube Conversion'!$G:$G,MATCH(INDEX('Bundle Formation'!$B$3:$B$117,MATCH(F77,'Bundle Formation'!$G$3:$G$117,0)),'Slit to Tube Conversion'!$C:$C,0)),""))</f>
        <v/>
      </c>
      <c r="M77" s="166" t="str">
        <f t="shared" si="3"/>
        <v/>
      </c>
      <c r="N77" s="68" t="str">
        <f>IF(F77="","",IF(COUNTIF(F$3:F77,F77)&gt;1,"⚠ DUPLICATE DISPATCH",""))</f>
        <v/>
      </c>
    </row>
    <row r="78" spans="5:14" ht="21.75" customHeight="1">
      <c r="E78" s="162" t="str">
        <f>IF(F78="","",IFERROR(INDEX('Bundle Formation'!$C:$C,MATCH(F78,'Bundle Formation'!$G:$G,0)),""))</f>
        <v/>
      </c>
      <c r="F78" s="100"/>
      <c r="G78" t="str">
        <f>IF(F78="","",SUMIF('Bundle Formation'!$G$3:$G$75,F78,'Bundle Formation'!$E$3:$E$75))</f>
        <v/>
      </c>
      <c r="H78" s="87" t="str">
        <f>IF(F78="","",SUMIF('Bundle Formation'!$G$3:$G$117,F78,'Bundle Formation'!$J$3:$J$117))</f>
        <v/>
      </c>
      <c r="I78" s="164" t="str">
        <f t="shared" si="2"/>
        <v/>
      </c>
      <c r="J78" s="165" t="str">
        <f>IF(F78="","",IFERROR(INDEX('Slit to Tube Conversion'!$E:$E,MATCH(INDEX('Bundle Formation'!$B$3:$B$117,MATCH(F78,'Bundle Formation'!$G$3:$G$117,0)),'Slit to Tube Conversion'!$C:$C,0)),""))</f>
        <v/>
      </c>
      <c r="K78" s="47" t="str">
        <f>IF(F78="","",IFERROR(INDEX('Slit to Tube Conversion'!$F:$F,MATCH(INDEX('Bundle Formation'!$B$3:$B$117,MATCH(F78,'Bundle Formation'!$G$3:$G$117,0)),'Slit to Tube Conversion'!$C:$C,0)),""))</f>
        <v/>
      </c>
      <c r="L78" s="87" t="str">
        <f>IF(F78="","",IFERROR(INDEX('Slit to Tube Conversion'!$G:$G,MATCH(INDEX('Bundle Formation'!$B$3:$B$117,MATCH(F78,'Bundle Formation'!$G$3:$G$117,0)),'Slit to Tube Conversion'!$C:$C,0)),""))</f>
        <v/>
      </c>
      <c r="M78" s="166" t="str">
        <f t="shared" si="3"/>
        <v/>
      </c>
      <c r="N78" s="68" t="str">
        <f>IF(F78="","",IF(COUNTIF(F$3:F78,F78)&gt;1,"⚠ DUPLICATE DISPATCH",""))</f>
        <v/>
      </c>
    </row>
    <row r="79" spans="5:14" ht="21.75" customHeight="1">
      <c r="E79" s="162" t="str">
        <f>IF(F79="","",IFERROR(INDEX('Bundle Formation'!$C:$C,MATCH(F79,'Bundle Formation'!$G:$G,0)),""))</f>
        <v/>
      </c>
      <c r="F79" s="100"/>
      <c r="G79" t="str">
        <f>IF(F79="","",SUMIF('Bundle Formation'!$G$3:$G$75,F79,'Bundle Formation'!$E$3:$E$75))</f>
        <v/>
      </c>
      <c r="H79" s="87" t="str">
        <f>IF(F79="","",SUMIF('Bundle Formation'!$G$3:$G$117,F79,'Bundle Formation'!$J$3:$J$117))</f>
        <v/>
      </c>
      <c r="I79" s="164" t="str">
        <f t="shared" si="2"/>
        <v/>
      </c>
      <c r="J79" s="165" t="str">
        <f>IF(F79="","",IFERROR(INDEX('Slit to Tube Conversion'!$E:$E,MATCH(INDEX('Bundle Formation'!$B$3:$B$117,MATCH(F79,'Bundle Formation'!$G$3:$G$117,0)),'Slit to Tube Conversion'!$C:$C,0)),""))</f>
        <v/>
      </c>
      <c r="K79" s="47" t="str">
        <f>IF(F79="","",IFERROR(INDEX('Slit to Tube Conversion'!$F:$F,MATCH(INDEX('Bundle Formation'!$B$3:$B$117,MATCH(F79,'Bundle Formation'!$G$3:$G$117,0)),'Slit to Tube Conversion'!$C:$C,0)),""))</f>
        <v/>
      </c>
      <c r="L79" s="87" t="str">
        <f>IF(F79="","",IFERROR(INDEX('Slit to Tube Conversion'!$G:$G,MATCH(INDEX('Bundle Formation'!$B$3:$B$117,MATCH(F79,'Bundle Formation'!$G$3:$G$117,0)),'Slit to Tube Conversion'!$C:$C,0)),""))</f>
        <v/>
      </c>
      <c r="M79" s="166" t="str">
        <f t="shared" si="3"/>
        <v/>
      </c>
      <c r="N79" s="68" t="str">
        <f>IF(F79="","",IF(COUNTIF(F$3:F79,F79)&gt;1,"⚠ DUPLICATE DISPATCH",""))</f>
        <v/>
      </c>
    </row>
    <row r="80" spans="5:14" ht="21.75" customHeight="1">
      <c r="E80" s="162" t="str">
        <f>IF(F80="","",IFERROR(INDEX('Bundle Formation'!$C:$C,MATCH(F80,'Bundle Formation'!$G:$G,0)),""))</f>
        <v/>
      </c>
      <c r="F80" s="100"/>
      <c r="G80" t="str">
        <f>IF(F80="","",SUMIF('Bundle Formation'!$G$3:$G$75,F80,'Bundle Formation'!$E$3:$E$75))</f>
        <v/>
      </c>
      <c r="H80" s="87" t="str">
        <f>IF(F80="","",SUMIF('Bundle Formation'!$G$3:$G$117,F80,'Bundle Formation'!$J$3:$J$117))</f>
        <v/>
      </c>
      <c r="I80" s="164" t="str">
        <f t="shared" si="2"/>
        <v/>
      </c>
      <c r="J80" s="165" t="str">
        <f>IF(F80="","",IFERROR(INDEX('Slit to Tube Conversion'!$E:$E,MATCH(INDEX('Bundle Formation'!$B$3:$B$117,MATCH(F80,'Bundle Formation'!$G$3:$G$117,0)),'Slit to Tube Conversion'!$C:$C,0)),""))</f>
        <v/>
      </c>
      <c r="K80" s="47" t="str">
        <f>IF(F80="","",IFERROR(INDEX('Slit to Tube Conversion'!$F:$F,MATCH(INDEX('Bundle Formation'!$B$3:$B$117,MATCH(F80,'Bundle Formation'!$G$3:$G$117,0)),'Slit to Tube Conversion'!$C:$C,0)),""))</f>
        <v/>
      </c>
      <c r="L80" s="87" t="str">
        <f>IF(F80="","",IFERROR(INDEX('Slit to Tube Conversion'!$G:$G,MATCH(INDEX('Bundle Formation'!$B$3:$B$117,MATCH(F80,'Bundle Formation'!$G$3:$G$117,0)),'Slit to Tube Conversion'!$C:$C,0)),""))</f>
        <v/>
      </c>
      <c r="M80" s="166" t="str">
        <f t="shared" si="3"/>
        <v/>
      </c>
      <c r="N80" s="68" t="str">
        <f>IF(F80="","",IF(COUNTIF(F$3:F80,F80)&gt;1,"⚠ DUPLICATE DISPATCH",""))</f>
        <v/>
      </c>
    </row>
    <row r="81" spans="5:14" ht="21.75" customHeight="1">
      <c r="E81" s="162" t="str">
        <f>IF(F81="","",IFERROR(INDEX('Bundle Formation'!$C:$C,MATCH(F81,'Bundle Formation'!$G:$G,0)),""))</f>
        <v/>
      </c>
      <c r="F81" s="100"/>
      <c r="G81" t="str">
        <f>IF(F81="","",SUMIF('Bundle Formation'!$G$3:$G$75,F81,'Bundle Formation'!$E$3:$E$75))</f>
        <v/>
      </c>
      <c r="H81" s="87" t="str">
        <f>IF(F81="","",SUMIF('Bundle Formation'!$G$3:$G$117,F81,'Bundle Formation'!$J$3:$J$117))</f>
        <v/>
      </c>
      <c r="I81" s="164" t="str">
        <f t="shared" si="2"/>
        <v/>
      </c>
      <c r="J81" s="165" t="str">
        <f>IF(F81="","",IFERROR(INDEX('Slit to Tube Conversion'!$E:$E,MATCH(INDEX('Bundle Formation'!$B$3:$B$117,MATCH(F81,'Bundle Formation'!$G$3:$G$117,0)),'Slit to Tube Conversion'!$C:$C,0)),""))</f>
        <v/>
      </c>
      <c r="K81" s="47" t="str">
        <f>IF(F81="","",IFERROR(INDEX('Slit to Tube Conversion'!$F:$F,MATCH(INDEX('Bundle Formation'!$B$3:$B$117,MATCH(F81,'Bundle Formation'!$G$3:$G$117,0)),'Slit to Tube Conversion'!$C:$C,0)),""))</f>
        <v/>
      </c>
      <c r="L81" s="87" t="str">
        <f>IF(F81="","",IFERROR(INDEX('Slit to Tube Conversion'!$G:$G,MATCH(INDEX('Bundle Formation'!$B$3:$B$117,MATCH(F81,'Bundle Formation'!$G$3:$G$117,0)),'Slit to Tube Conversion'!$C:$C,0)),""))</f>
        <v/>
      </c>
      <c r="M81" s="166" t="str">
        <f t="shared" si="3"/>
        <v/>
      </c>
      <c r="N81" s="68" t="str">
        <f>IF(F81="","",IF(COUNTIF(F$3:F81,F81)&gt;1,"⚠ DUPLICATE DISPATCH",""))</f>
        <v/>
      </c>
    </row>
    <row r="82" spans="5:14" ht="21.75" customHeight="1">
      <c r="E82" s="162" t="str">
        <f>IF(F82="","",IFERROR(INDEX('Bundle Formation'!$C:$C,MATCH(F82,'Bundle Formation'!$G:$G,0)),""))</f>
        <v/>
      </c>
      <c r="F82" s="100"/>
      <c r="G82" t="str">
        <f>IF(F82="","",SUMIF('Bundle Formation'!$G$3:$G$75,F82,'Bundle Formation'!$E$3:$E$75))</f>
        <v/>
      </c>
      <c r="H82" s="87" t="str">
        <f>IF(F82="","",SUMIF('Bundle Formation'!$G$3:$G$117,F82,'Bundle Formation'!$J$3:$J$117))</f>
        <v/>
      </c>
      <c r="I82" s="164" t="str">
        <f t="shared" si="2"/>
        <v/>
      </c>
      <c r="J82" s="165" t="str">
        <f>IF(F82="","",IFERROR(INDEX('Slit to Tube Conversion'!$E:$E,MATCH(INDEX('Bundle Formation'!$B$3:$B$117,MATCH(F82,'Bundle Formation'!$G$3:$G$117,0)),'Slit to Tube Conversion'!$C:$C,0)),""))</f>
        <v/>
      </c>
      <c r="K82" s="47" t="str">
        <f>IF(F82="","",IFERROR(INDEX('Slit to Tube Conversion'!$F:$F,MATCH(INDEX('Bundle Formation'!$B$3:$B$117,MATCH(F82,'Bundle Formation'!$G$3:$G$117,0)),'Slit to Tube Conversion'!$C:$C,0)),""))</f>
        <v/>
      </c>
      <c r="L82" s="87" t="str">
        <f>IF(F82="","",IFERROR(INDEX('Slit to Tube Conversion'!$G:$G,MATCH(INDEX('Bundle Formation'!$B$3:$B$117,MATCH(F82,'Bundle Formation'!$G$3:$G$117,0)),'Slit to Tube Conversion'!$C:$C,0)),""))</f>
        <v/>
      </c>
      <c r="M82" s="166" t="str">
        <f t="shared" si="3"/>
        <v/>
      </c>
      <c r="N82" s="68" t="str">
        <f>IF(F82="","",IF(COUNTIF(F$3:F82,F82)&gt;1,"⚠ DUPLICATE DISPATCH",""))</f>
        <v/>
      </c>
    </row>
    <row r="83" spans="5:14" ht="21.75" customHeight="1">
      <c r="E83" s="162" t="str">
        <f>IF(F83="","",IFERROR(INDEX('Bundle Formation'!$C:$C,MATCH(F83,'Bundle Formation'!$G:$G,0)),""))</f>
        <v/>
      </c>
      <c r="F83" s="100"/>
      <c r="G83" t="str">
        <f>IF(F83="","",SUMIF('Bundle Formation'!$G$3:$G$75,F83,'Bundle Formation'!$E$3:$E$75))</f>
        <v/>
      </c>
      <c r="H83" s="87" t="str">
        <f>IF(F83="","",SUMIF('Bundle Formation'!$G$3:$G$117,F83,'Bundle Formation'!$J$3:$J$117))</f>
        <v/>
      </c>
      <c r="I83" s="164" t="str">
        <f t="shared" si="2"/>
        <v/>
      </c>
      <c r="J83" s="165" t="str">
        <f>IF(F83="","",IFERROR(INDEX('Slit to Tube Conversion'!$E:$E,MATCH(INDEX('Bundle Formation'!$B$3:$B$117,MATCH(F83,'Bundle Formation'!$G$3:$G$117,0)),'Slit to Tube Conversion'!$C:$C,0)),""))</f>
        <v/>
      </c>
      <c r="K83" s="47" t="str">
        <f>IF(F83="","",IFERROR(INDEX('Slit to Tube Conversion'!$F:$F,MATCH(INDEX('Bundle Formation'!$B$3:$B$117,MATCH(F83,'Bundle Formation'!$G$3:$G$117,0)),'Slit to Tube Conversion'!$C:$C,0)),""))</f>
        <v/>
      </c>
      <c r="L83" s="87" t="str">
        <f>IF(F83="","",IFERROR(INDEX('Slit to Tube Conversion'!$G:$G,MATCH(INDEX('Bundle Formation'!$B$3:$B$117,MATCH(F83,'Bundle Formation'!$G$3:$G$117,0)),'Slit to Tube Conversion'!$C:$C,0)),""))</f>
        <v/>
      </c>
      <c r="M83" s="166" t="str">
        <f t="shared" si="3"/>
        <v/>
      </c>
      <c r="N83" s="68" t="str">
        <f>IF(F83="","",IF(COUNTIF(F$3:F83,F83)&gt;1,"⚠ DUPLICATE DISPATCH",""))</f>
        <v/>
      </c>
    </row>
    <row r="84" spans="5:14" ht="21.75" customHeight="1">
      <c r="E84" s="162" t="str">
        <f>IF(F84="","",IFERROR(INDEX('Bundle Formation'!$C:$C,MATCH(F84,'Bundle Formation'!$G:$G,0)),""))</f>
        <v/>
      </c>
      <c r="F84" s="100"/>
      <c r="G84" t="str">
        <f>IF(F84="","",SUMIF('Bundle Formation'!$G$3:$G$75,F84,'Bundle Formation'!$E$3:$E$75))</f>
        <v/>
      </c>
      <c r="H84" s="87" t="str">
        <f>IF(F84="","",SUMIF('Bundle Formation'!$G$3:$G$117,F84,'Bundle Formation'!$J$3:$J$117))</f>
        <v/>
      </c>
      <c r="I84" s="164" t="str">
        <f t="shared" si="2"/>
        <v/>
      </c>
      <c r="J84" s="165" t="str">
        <f>IF(F84="","",IFERROR(INDEX('Slit to Tube Conversion'!$E:$E,MATCH(INDEX('Bundle Formation'!$B$3:$B$117,MATCH(F84,'Bundle Formation'!$G$3:$G$117,0)),'Slit to Tube Conversion'!$C:$C,0)),""))</f>
        <v/>
      </c>
      <c r="K84" s="47" t="str">
        <f>IF(F84="","",IFERROR(INDEX('Slit to Tube Conversion'!$F:$F,MATCH(INDEX('Bundle Formation'!$B$3:$B$117,MATCH(F84,'Bundle Formation'!$G$3:$G$117,0)),'Slit to Tube Conversion'!$C:$C,0)),""))</f>
        <v/>
      </c>
      <c r="L84" s="87" t="str">
        <f>IF(F84="","",IFERROR(INDEX('Slit to Tube Conversion'!$G:$G,MATCH(INDEX('Bundle Formation'!$B$3:$B$117,MATCH(F84,'Bundle Formation'!$G$3:$G$117,0)),'Slit to Tube Conversion'!$C:$C,0)),""))</f>
        <v/>
      </c>
      <c r="M84" s="166" t="str">
        <f t="shared" si="3"/>
        <v/>
      </c>
      <c r="N84" s="68" t="str">
        <f>IF(F84="","",IF(COUNTIF(F$3:F84,F84)&gt;1,"⚠ DUPLICATE DISPATCH",""))</f>
        <v/>
      </c>
    </row>
    <row r="85" spans="5:14" ht="21.75" customHeight="1">
      <c r="E85" s="162" t="str">
        <f>IF(F85="","",IFERROR(INDEX('Bundle Formation'!$C:$C,MATCH(F85,'Bundle Formation'!$G:$G,0)),""))</f>
        <v/>
      </c>
      <c r="F85" s="100"/>
      <c r="G85" t="str">
        <f>IF(F85="","",SUMIF('Bundle Formation'!$G$3:$G$75,F85,'Bundle Formation'!$E$3:$E$75))</f>
        <v/>
      </c>
      <c r="H85" s="87" t="str">
        <f>IF(F85="","",SUMIF('Bundle Formation'!$G$3:$G$117,F85,'Bundle Formation'!$J$3:$J$117))</f>
        <v/>
      </c>
      <c r="I85" s="164" t="str">
        <f t="shared" si="2"/>
        <v/>
      </c>
      <c r="J85" s="165" t="str">
        <f>IF(F85="","",IFERROR(INDEX('Slit to Tube Conversion'!$E:$E,MATCH(INDEX('Bundle Formation'!$B$3:$B$117,MATCH(F85,'Bundle Formation'!$G$3:$G$117,0)),'Slit to Tube Conversion'!$C:$C,0)),""))</f>
        <v/>
      </c>
      <c r="K85" s="47" t="str">
        <f>IF(F85="","",IFERROR(INDEX('Slit to Tube Conversion'!$F:$F,MATCH(INDEX('Bundle Formation'!$B$3:$B$117,MATCH(F85,'Bundle Formation'!$G$3:$G$117,0)),'Slit to Tube Conversion'!$C:$C,0)),""))</f>
        <v/>
      </c>
      <c r="L85" s="87" t="str">
        <f>IF(F85="","",IFERROR(INDEX('Slit to Tube Conversion'!$G:$G,MATCH(INDEX('Bundle Formation'!$B$3:$B$117,MATCH(F85,'Bundle Formation'!$G$3:$G$117,0)),'Slit to Tube Conversion'!$C:$C,0)),""))</f>
        <v/>
      </c>
      <c r="M85" s="166" t="str">
        <f t="shared" si="3"/>
        <v/>
      </c>
      <c r="N85" s="68" t="str">
        <f>IF(F85="","",IF(COUNTIF(F$3:F85,F85)&gt;1,"⚠ DUPLICATE DISPATCH",""))</f>
        <v/>
      </c>
    </row>
    <row r="86" spans="5:14" ht="21.75" customHeight="1">
      <c r="E86" s="162" t="str">
        <f>IF(F86="","",IFERROR(INDEX('Bundle Formation'!$C:$C,MATCH(F86,'Bundle Formation'!$G:$G,0)),""))</f>
        <v/>
      </c>
      <c r="F86" s="100"/>
      <c r="G86" t="str">
        <f>IF(F86="","",SUMIF('Bundle Formation'!$G$3:$G$75,F86,'Bundle Formation'!$E$3:$E$75))</f>
        <v/>
      </c>
      <c r="H86" s="87" t="str">
        <f>IF(F86="","",SUMIF('Bundle Formation'!$G$3:$G$117,F86,'Bundle Formation'!$J$3:$J$117))</f>
        <v/>
      </c>
      <c r="I86" s="164" t="str">
        <f t="shared" si="2"/>
        <v/>
      </c>
      <c r="J86" s="165" t="str">
        <f>IF(F86="","",IFERROR(INDEX('Slit to Tube Conversion'!$E:$E,MATCH(INDEX('Bundle Formation'!$B$3:$B$117,MATCH(F86,'Bundle Formation'!$G$3:$G$117,0)),'Slit to Tube Conversion'!$C:$C,0)),""))</f>
        <v/>
      </c>
      <c r="K86" s="47" t="str">
        <f>IF(F86="","",IFERROR(INDEX('Slit to Tube Conversion'!$F:$F,MATCH(INDEX('Bundle Formation'!$B$3:$B$117,MATCH(F86,'Bundle Formation'!$G$3:$G$117,0)),'Slit to Tube Conversion'!$C:$C,0)),""))</f>
        <v/>
      </c>
      <c r="L86" s="87" t="str">
        <f>IF(F86="","",IFERROR(INDEX('Slit to Tube Conversion'!$G:$G,MATCH(INDEX('Bundle Formation'!$B$3:$B$117,MATCH(F86,'Bundle Formation'!$G$3:$G$117,0)),'Slit to Tube Conversion'!$C:$C,0)),""))</f>
        <v/>
      </c>
      <c r="M86" s="166" t="str">
        <f t="shared" si="3"/>
        <v/>
      </c>
      <c r="N86" s="68" t="str">
        <f>IF(F86="","",IF(COUNTIF(F$3:F86,F86)&gt;1,"⚠ DUPLICATE DISPATCH",""))</f>
        <v/>
      </c>
    </row>
    <row r="87" spans="5:14" ht="21.75" customHeight="1">
      <c r="E87" s="162" t="str">
        <f>IF(F87="","",IFERROR(INDEX('Bundle Formation'!$C:$C,MATCH(F87,'Bundle Formation'!$G:$G,0)),""))</f>
        <v/>
      </c>
      <c r="F87" s="100"/>
      <c r="G87" t="str">
        <f>IF(F87="","",SUMIF('Bundle Formation'!$G$3:$G$75,F87,'Bundle Formation'!$E$3:$E$75))</f>
        <v/>
      </c>
      <c r="H87" s="87" t="str">
        <f>IF(F87="","",SUMIF('Bundle Formation'!$G$3:$G$117,F87,'Bundle Formation'!$J$3:$J$117))</f>
        <v/>
      </c>
      <c r="I87" s="164" t="str">
        <f t="shared" si="2"/>
        <v/>
      </c>
      <c r="J87" s="165" t="str">
        <f>IF(F87="","",IFERROR(INDEX('Slit to Tube Conversion'!$E:$E,MATCH(INDEX('Bundle Formation'!$B$3:$B$117,MATCH(F87,'Bundle Formation'!$G$3:$G$117,0)),'Slit to Tube Conversion'!$C:$C,0)),""))</f>
        <v/>
      </c>
      <c r="K87" s="47" t="str">
        <f>IF(F87="","",IFERROR(INDEX('Slit to Tube Conversion'!$F:$F,MATCH(INDEX('Bundle Formation'!$B$3:$B$117,MATCH(F87,'Bundle Formation'!$G$3:$G$117,0)),'Slit to Tube Conversion'!$C:$C,0)),""))</f>
        <v/>
      </c>
      <c r="L87" s="87" t="str">
        <f>IF(F87="","",IFERROR(INDEX('Slit to Tube Conversion'!$G:$G,MATCH(INDEX('Bundle Formation'!$B$3:$B$117,MATCH(F87,'Bundle Formation'!$G$3:$G$117,0)),'Slit to Tube Conversion'!$C:$C,0)),""))</f>
        <v/>
      </c>
      <c r="M87" s="166" t="str">
        <f t="shared" si="3"/>
        <v/>
      </c>
      <c r="N87" s="68" t="str">
        <f>IF(F87="","",IF(COUNTIF(F$3:F87,F87)&gt;1,"⚠ DUPLICATE DISPATCH",""))</f>
        <v/>
      </c>
    </row>
    <row r="88" spans="5:14" ht="21.75" customHeight="1">
      <c r="E88" s="162" t="str">
        <f>IF(F88="","",IFERROR(INDEX('Bundle Formation'!$C:$C,MATCH(F88,'Bundle Formation'!$G:$G,0)),""))</f>
        <v/>
      </c>
      <c r="F88" s="100"/>
      <c r="G88" t="str">
        <f>IF(F88="","",SUMIF('Bundle Formation'!$G$3:$G$75,F88,'Bundle Formation'!$E$3:$E$75))</f>
        <v/>
      </c>
      <c r="H88" s="87" t="str">
        <f>IF(F88="","",SUMIF('Bundle Formation'!$G$3:$G$117,F88,'Bundle Formation'!$J$3:$J$117))</f>
        <v/>
      </c>
      <c r="I88" s="164" t="str">
        <f t="shared" si="2"/>
        <v/>
      </c>
      <c r="J88" s="165" t="str">
        <f>IF(F88="","",IFERROR(INDEX('Slit to Tube Conversion'!$E:$E,MATCH(INDEX('Bundle Formation'!$B$3:$B$117,MATCH(F88,'Bundle Formation'!$G$3:$G$117,0)),'Slit to Tube Conversion'!$C:$C,0)),""))</f>
        <v/>
      </c>
      <c r="K88" s="47" t="str">
        <f>IF(F88="","",IFERROR(INDEX('Slit to Tube Conversion'!$F:$F,MATCH(INDEX('Bundle Formation'!$B$3:$B$117,MATCH(F88,'Bundle Formation'!$G$3:$G$117,0)),'Slit to Tube Conversion'!$C:$C,0)),""))</f>
        <v/>
      </c>
      <c r="L88" s="87" t="str">
        <f>IF(F88="","",IFERROR(INDEX('Slit to Tube Conversion'!$G:$G,MATCH(INDEX('Bundle Formation'!$B$3:$B$117,MATCH(F88,'Bundle Formation'!$G$3:$G$117,0)),'Slit to Tube Conversion'!$C:$C,0)),""))</f>
        <v/>
      </c>
      <c r="M88" s="166" t="str">
        <f t="shared" si="3"/>
        <v/>
      </c>
      <c r="N88" s="68" t="str">
        <f>IF(F88="","",IF(COUNTIF(F$3:F88,F88)&gt;1,"⚠ DUPLICATE DISPATCH",""))</f>
        <v/>
      </c>
    </row>
    <row r="89" spans="5:14" ht="21.75" customHeight="1">
      <c r="E89" s="162" t="str">
        <f>IF(F89="","",IFERROR(INDEX('Bundle Formation'!$C:$C,MATCH(F89,'Bundle Formation'!$G:$G,0)),""))</f>
        <v/>
      </c>
      <c r="F89" s="100"/>
      <c r="G89" t="str">
        <f>IF(F89="","",SUMIF('Bundle Formation'!$G$3:$G$75,F89,'Bundle Formation'!$E$3:$E$75))</f>
        <v/>
      </c>
      <c r="H89" s="87" t="str">
        <f>IF(F89="","",SUMIF('Bundle Formation'!$G$3:$G$117,F89,'Bundle Formation'!$J$3:$J$117))</f>
        <v/>
      </c>
      <c r="I89" s="164" t="str">
        <f t="shared" si="2"/>
        <v/>
      </c>
      <c r="J89" s="165" t="str">
        <f>IF(F89="","",IFERROR(INDEX('Slit to Tube Conversion'!$E:$E,MATCH(INDEX('Bundle Formation'!$B$3:$B$117,MATCH(F89,'Bundle Formation'!$G$3:$G$117,0)),'Slit to Tube Conversion'!$C:$C,0)),""))</f>
        <v/>
      </c>
      <c r="K89" s="47" t="str">
        <f>IF(F89="","",IFERROR(INDEX('Slit to Tube Conversion'!$F:$F,MATCH(INDEX('Bundle Formation'!$B$3:$B$117,MATCH(F89,'Bundle Formation'!$G$3:$G$117,0)),'Slit to Tube Conversion'!$C:$C,0)),""))</f>
        <v/>
      </c>
      <c r="L89" s="87" t="str">
        <f>IF(F89="","",IFERROR(INDEX('Slit to Tube Conversion'!$G:$G,MATCH(INDEX('Bundle Formation'!$B$3:$B$117,MATCH(F89,'Bundle Formation'!$G$3:$G$117,0)),'Slit to Tube Conversion'!$C:$C,0)),""))</f>
        <v/>
      </c>
      <c r="M89" s="166" t="str">
        <f t="shared" si="3"/>
        <v/>
      </c>
      <c r="N89" s="68" t="str">
        <f>IF(F89="","",IF(COUNTIF(F$3:F89,F89)&gt;1,"⚠ DUPLICATE DISPATCH",""))</f>
        <v/>
      </c>
    </row>
    <row r="90" spans="5:14" ht="21.75" customHeight="1">
      <c r="E90" s="162" t="str">
        <f>IF(F90="","",IFERROR(INDEX('Bundle Formation'!$C:$C,MATCH(F90,'Bundle Formation'!$G:$G,0)),""))</f>
        <v/>
      </c>
      <c r="F90" s="100"/>
      <c r="G90" t="str">
        <f>IF(F90="","",SUMIF('Bundle Formation'!$G$3:$G$75,F90,'Bundle Formation'!$E$3:$E$75))</f>
        <v/>
      </c>
      <c r="H90" s="87" t="str">
        <f>IF(F90="","",SUMIF('Bundle Formation'!$G$3:$G$117,F90,'Bundle Formation'!$J$3:$J$117))</f>
        <v/>
      </c>
      <c r="I90" s="164" t="str">
        <f t="shared" si="2"/>
        <v/>
      </c>
      <c r="J90" s="165" t="str">
        <f>IF(F90="","",IFERROR(INDEX('Slit to Tube Conversion'!$E:$E,MATCH(INDEX('Bundle Formation'!$B$3:$B$117,MATCH(F90,'Bundle Formation'!$G$3:$G$117,0)),'Slit to Tube Conversion'!$C:$C,0)),""))</f>
        <v/>
      </c>
      <c r="K90" s="47" t="str">
        <f>IF(F90="","",IFERROR(INDEX('Slit to Tube Conversion'!$F:$F,MATCH(INDEX('Bundle Formation'!$B$3:$B$117,MATCH(F90,'Bundle Formation'!$G$3:$G$117,0)),'Slit to Tube Conversion'!$C:$C,0)),""))</f>
        <v/>
      </c>
      <c r="L90" s="87" t="str">
        <f>IF(F90="","",IFERROR(INDEX('Slit to Tube Conversion'!$G:$G,MATCH(INDEX('Bundle Formation'!$B$3:$B$117,MATCH(F90,'Bundle Formation'!$G$3:$G$117,0)),'Slit to Tube Conversion'!$C:$C,0)),""))</f>
        <v/>
      </c>
      <c r="M90" s="166" t="str">
        <f t="shared" si="3"/>
        <v/>
      </c>
      <c r="N90" s="68" t="str">
        <f>IF(F90="","",IF(COUNTIF(F$3:F90,F90)&gt;1,"⚠ DUPLICATE DISPATCH",""))</f>
        <v/>
      </c>
    </row>
    <row r="91" spans="5:14" ht="21.75" customHeight="1">
      <c r="E91" s="162" t="str">
        <f>IF(F91="","",IFERROR(INDEX('Bundle Formation'!$C:$C,MATCH(F91,'Bundle Formation'!$G:$G,0)),""))</f>
        <v/>
      </c>
      <c r="F91" s="100"/>
      <c r="G91" t="str">
        <f>IF(F91="","",SUMIF('Bundle Formation'!$G$3:$G$75,F91,'Bundle Formation'!$E$3:$E$75))</f>
        <v/>
      </c>
      <c r="H91" s="87" t="str">
        <f>IF(F91="","",SUMIF('Bundle Formation'!$G$3:$G$117,F91,'Bundle Formation'!$J$3:$J$117))</f>
        <v/>
      </c>
      <c r="I91" s="164" t="str">
        <f t="shared" si="2"/>
        <v/>
      </c>
      <c r="J91" s="165" t="str">
        <f>IF(F91="","",IFERROR(INDEX('Slit to Tube Conversion'!$E:$E,MATCH(INDEX('Bundle Formation'!$B$3:$B$117,MATCH(F91,'Bundle Formation'!$G$3:$G$117,0)),'Slit to Tube Conversion'!$C:$C,0)),""))</f>
        <v/>
      </c>
      <c r="K91" s="47" t="str">
        <f>IF(F91="","",IFERROR(INDEX('Slit to Tube Conversion'!$F:$F,MATCH(INDEX('Bundle Formation'!$B$3:$B$117,MATCH(F91,'Bundle Formation'!$G$3:$G$117,0)),'Slit to Tube Conversion'!$C:$C,0)),""))</f>
        <v/>
      </c>
      <c r="L91" s="87" t="str">
        <f>IF(F91="","",IFERROR(INDEX('Slit to Tube Conversion'!$G:$G,MATCH(INDEX('Bundle Formation'!$B$3:$B$117,MATCH(F91,'Bundle Formation'!$G$3:$G$117,0)),'Slit to Tube Conversion'!$C:$C,0)),""))</f>
        <v/>
      </c>
      <c r="M91" s="166" t="str">
        <f t="shared" si="3"/>
        <v/>
      </c>
      <c r="N91" s="68" t="str">
        <f>IF(F91="","",IF(COUNTIF(F$3:F91,F91)&gt;1,"⚠ DUPLICATE DISPATCH",""))</f>
        <v/>
      </c>
    </row>
    <row r="92" spans="5:14" ht="21.75" customHeight="1">
      <c r="E92" s="162" t="str">
        <f>IF(F92="","",IFERROR(INDEX('Bundle Formation'!$C:$C,MATCH(F92,'Bundle Formation'!$G:$G,0)),""))</f>
        <v/>
      </c>
      <c r="F92" s="100"/>
      <c r="G92" t="str">
        <f>IF(F92="","",SUMIF('Bundle Formation'!$G$3:$G$75,F92,'Bundle Formation'!$E$3:$E$75))</f>
        <v/>
      </c>
      <c r="H92" s="87" t="str">
        <f>IF(F92="","",SUMIF('Bundle Formation'!$G$3:$G$117,F92,'Bundle Formation'!$J$3:$J$117))</f>
        <v/>
      </c>
      <c r="I92" s="164" t="str">
        <f t="shared" si="2"/>
        <v/>
      </c>
      <c r="J92" s="165" t="str">
        <f>IF(F92="","",IFERROR(INDEX('Slit to Tube Conversion'!$E:$E,MATCH(INDEX('Bundle Formation'!$B$3:$B$117,MATCH(F92,'Bundle Formation'!$G$3:$G$117,0)),'Slit to Tube Conversion'!$C:$C,0)),""))</f>
        <v/>
      </c>
      <c r="K92" s="47" t="str">
        <f>IF(F92="","",IFERROR(INDEX('Slit to Tube Conversion'!$F:$F,MATCH(INDEX('Bundle Formation'!$B$3:$B$117,MATCH(F92,'Bundle Formation'!$G$3:$G$117,0)),'Slit to Tube Conversion'!$C:$C,0)),""))</f>
        <v/>
      </c>
      <c r="L92" s="87" t="str">
        <f>IF(F92="","",IFERROR(INDEX('Slit to Tube Conversion'!$G:$G,MATCH(INDEX('Bundle Formation'!$B$3:$B$117,MATCH(F92,'Bundle Formation'!$G$3:$G$117,0)),'Slit to Tube Conversion'!$C:$C,0)),""))</f>
        <v/>
      </c>
      <c r="M92" s="166" t="str">
        <f t="shared" si="3"/>
        <v/>
      </c>
      <c r="N92" s="68" t="str">
        <f>IF(F92="","",IF(COUNTIF(F$3:F92,F92)&gt;1,"⚠ DUPLICATE DISPATCH",""))</f>
        <v/>
      </c>
    </row>
    <row r="93" spans="5:14" ht="21.75" customHeight="1">
      <c r="E93" s="162" t="str">
        <f>IF(F93="","",IFERROR(INDEX('Bundle Formation'!$C:$C,MATCH(F93,'Bundle Formation'!$G:$G,0)),""))</f>
        <v/>
      </c>
      <c r="F93" s="100"/>
      <c r="G93" t="str">
        <f>IF(F93="","",SUMIF('Bundle Formation'!$G$3:$G$75,F93,'Bundle Formation'!$E$3:$E$75))</f>
        <v/>
      </c>
      <c r="H93" s="87" t="str">
        <f>IF(F93="","",SUMIF('Bundle Formation'!$G$3:$G$117,F93,'Bundle Formation'!$J$3:$J$117))</f>
        <v/>
      </c>
      <c r="I93" s="164" t="str">
        <f t="shared" si="2"/>
        <v/>
      </c>
      <c r="J93" s="165" t="str">
        <f>IF(F93="","",IFERROR(INDEX('Slit to Tube Conversion'!$E:$E,MATCH(INDEX('Bundle Formation'!$B$3:$B$117,MATCH(F93,'Bundle Formation'!$G$3:$G$117,0)),'Slit to Tube Conversion'!$C:$C,0)),""))</f>
        <v/>
      </c>
      <c r="K93" s="47" t="str">
        <f>IF(F93="","",IFERROR(INDEX('Slit to Tube Conversion'!$F:$F,MATCH(INDEX('Bundle Formation'!$B$3:$B$117,MATCH(F93,'Bundle Formation'!$G$3:$G$117,0)),'Slit to Tube Conversion'!$C:$C,0)),""))</f>
        <v/>
      </c>
      <c r="L93" s="87" t="str">
        <f>IF(F93="","",IFERROR(INDEX('Slit to Tube Conversion'!$G:$G,MATCH(INDEX('Bundle Formation'!$B$3:$B$117,MATCH(F93,'Bundle Formation'!$G$3:$G$117,0)),'Slit to Tube Conversion'!$C:$C,0)),""))</f>
        <v/>
      </c>
      <c r="M93" s="166" t="str">
        <f t="shared" si="3"/>
        <v/>
      </c>
      <c r="N93" s="68" t="str">
        <f>IF(F93="","",IF(COUNTIF(F$3:F93,F93)&gt;1,"⚠ DUPLICATE DISPATCH",""))</f>
        <v/>
      </c>
    </row>
    <row r="94" spans="5:14" ht="21.75" customHeight="1">
      <c r="E94" s="162" t="str">
        <f>IF(F94="","",IFERROR(INDEX('Bundle Formation'!$C:$C,MATCH(F94,'Bundle Formation'!$G:$G,0)),""))</f>
        <v/>
      </c>
      <c r="F94" s="100"/>
      <c r="G94" t="str">
        <f>IF(F94="","",SUMIF('Bundle Formation'!$G$3:$G$75,F94,'Bundle Formation'!$E$3:$E$75))</f>
        <v/>
      </c>
      <c r="H94" s="87" t="str">
        <f>IF(F94="","",SUMIF('Bundle Formation'!$G$3:$G$117,F94,'Bundle Formation'!$J$3:$J$117))</f>
        <v/>
      </c>
      <c r="I94" s="164" t="str">
        <f t="shared" si="2"/>
        <v/>
      </c>
      <c r="J94" s="165" t="str">
        <f>IF(F94="","",IFERROR(INDEX('Slit to Tube Conversion'!$E:$E,MATCH(INDEX('Bundle Formation'!$B$3:$B$117,MATCH(F94,'Bundle Formation'!$G$3:$G$117,0)),'Slit to Tube Conversion'!$C:$C,0)),""))</f>
        <v/>
      </c>
      <c r="K94" s="47" t="str">
        <f>IF(F94="","",IFERROR(INDEX('Slit to Tube Conversion'!$F:$F,MATCH(INDEX('Bundle Formation'!$B$3:$B$117,MATCH(F94,'Bundle Formation'!$G$3:$G$117,0)),'Slit to Tube Conversion'!$C:$C,0)),""))</f>
        <v/>
      </c>
      <c r="L94" s="87" t="str">
        <f>IF(F94="","",IFERROR(INDEX('Slit to Tube Conversion'!$G:$G,MATCH(INDEX('Bundle Formation'!$B$3:$B$117,MATCH(F94,'Bundle Formation'!$G$3:$G$117,0)),'Slit to Tube Conversion'!$C:$C,0)),""))</f>
        <v/>
      </c>
      <c r="M94" s="166" t="str">
        <f t="shared" si="3"/>
        <v/>
      </c>
      <c r="N94" s="68" t="str">
        <f>IF(F94="","",IF(COUNTIF(F$3:F94,F94)&gt;1,"⚠ DUPLICATE DISPATCH",""))</f>
        <v/>
      </c>
    </row>
    <row r="95" spans="5:14" ht="21.75" customHeight="1">
      <c r="E95" s="162" t="str">
        <f>IF(F95="","",IFERROR(INDEX('Bundle Formation'!$C:$C,MATCH(F95,'Bundle Formation'!$G:$G,0)),""))</f>
        <v/>
      </c>
      <c r="F95" s="100"/>
      <c r="G95" t="str">
        <f>IF(F95="","",SUMIF('Bundle Formation'!$G$3:$G$75,F95,'Bundle Formation'!$E$3:$E$75))</f>
        <v/>
      </c>
      <c r="H95" s="87" t="str">
        <f>IF(F95="","",SUMIF('Bundle Formation'!$G$3:$G$117,F95,'Bundle Formation'!$J$3:$J$117))</f>
        <v/>
      </c>
      <c r="I95" s="164" t="str">
        <f t="shared" si="2"/>
        <v/>
      </c>
      <c r="J95" s="165" t="str">
        <f>IF(F95="","",IFERROR(INDEX('Slit to Tube Conversion'!$E:$E,MATCH(INDEX('Bundle Formation'!$B$3:$B$117,MATCH(F95,'Bundle Formation'!$G$3:$G$117,0)),'Slit to Tube Conversion'!$C:$C,0)),""))</f>
        <v/>
      </c>
      <c r="K95" s="47" t="str">
        <f>IF(F95="","",IFERROR(INDEX('Slit to Tube Conversion'!$F:$F,MATCH(INDEX('Bundle Formation'!$B$3:$B$117,MATCH(F95,'Bundle Formation'!$G$3:$G$117,0)),'Slit to Tube Conversion'!$C:$C,0)),""))</f>
        <v/>
      </c>
      <c r="L95" s="87" t="str">
        <f>IF(F95="","",IFERROR(INDEX('Slit to Tube Conversion'!$G:$G,MATCH(INDEX('Bundle Formation'!$B$3:$B$117,MATCH(F95,'Bundle Formation'!$G$3:$G$117,0)),'Slit to Tube Conversion'!$C:$C,0)),""))</f>
        <v/>
      </c>
      <c r="M95" s="166" t="str">
        <f t="shared" si="3"/>
        <v/>
      </c>
      <c r="N95" s="68" t="str">
        <f>IF(F95="","",IF(COUNTIF(F$3:F95,F95)&gt;1,"⚠ DUPLICATE DISPATCH",""))</f>
        <v/>
      </c>
    </row>
    <row r="96" spans="5:14" ht="21.75" customHeight="1">
      <c r="E96" s="162" t="str">
        <f>IF(F96="","",IFERROR(INDEX('Bundle Formation'!$C:$C,MATCH(F96,'Bundle Formation'!$G:$G,0)),""))</f>
        <v/>
      </c>
      <c r="F96" s="100"/>
      <c r="G96" t="str">
        <f>IF(F96="","",SUMIF('Bundle Formation'!$G$3:$G$75,F96,'Bundle Formation'!$E$3:$E$75))</f>
        <v/>
      </c>
      <c r="H96" s="87" t="str">
        <f>IF(F96="","",SUMIF('Bundle Formation'!$G$3:$G$117,F96,'Bundle Formation'!$J$3:$J$117))</f>
        <v/>
      </c>
      <c r="I96" s="164" t="str">
        <f t="shared" si="2"/>
        <v/>
      </c>
      <c r="J96" s="165" t="str">
        <f>IF(F96="","",IFERROR(INDEX('Slit to Tube Conversion'!$E:$E,MATCH(INDEX('Bundle Formation'!$B$3:$B$117,MATCH(F96,'Bundle Formation'!$G$3:$G$117,0)),'Slit to Tube Conversion'!$C:$C,0)),""))</f>
        <v/>
      </c>
      <c r="K96" s="47" t="str">
        <f>IF(F96="","",IFERROR(INDEX('Slit to Tube Conversion'!$F:$F,MATCH(INDEX('Bundle Formation'!$B$3:$B$117,MATCH(F96,'Bundle Formation'!$G$3:$G$117,0)),'Slit to Tube Conversion'!$C:$C,0)),""))</f>
        <v/>
      </c>
      <c r="L96" s="87" t="str">
        <f>IF(F96="","",IFERROR(INDEX('Slit to Tube Conversion'!$G:$G,MATCH(INDEX('Bundle Formation'!$B$3:$B$117,MATCH(F96,'Bundle Formation'!$G$3:$G$117,0)),'Slit to Tube Conversion'!$C:$C,0)),""))</f>
        <v/>
      </c>
      <c r="M96" s="166" t="str">
        <f t="shared" si="3"/>
        <v/>
      </c>
      <c r="N96" s="68" t="str">
        <f>IF(F96="","",IF(COUNTIF(F$3:F96,F96)&gt;1,"⚠ DUPLICATE DISPATCH",""))</f>
        <v/>
      </c>
    </row>
    <row r="97" spans="5:14" ht="21.75" customHeight="1">
      <c r="E97" s="162" t="str">
        <f>IF(F97="","",IFERROR(INDEX('Bundle Formation'!$C:$C,MATCH(F97,'Bundle Formation'!$G:$G,0)),""))</f>
        <v/>
      </c>
      <c r="F97" s="100"/>
      <c r="G97" t="str">
        <f>IF(F97="","",SUMIF('Bundle Formation'!$G$3:$G$75,F97,'Bundle Formation'!$E$3:$E$75))</f>
        <v/>
      </c>
      <c r="H97" s="87" t="str">
        <f>IF(F97="","",SUMIF('Bundle Formation'!$G$3:$G$117,F97,'Bundle Formation'!$J$3:$J$117))</f>
        <v/>
      </c>
      <c r="I97" s="164" t="str">
        <f t="shared" si="2"/>
        <v/>
      </c>
      <c r="J97" s="165" t="str">
        <f>IF(F97="","",IFERROR(INDEX('Slit to Tube Conversion'!$E:$E,MATCH(INDEX('Bundle Formation'!$B$3:$B$117,MATCH(F97,'Bundle Formation'!$G$3:$G$117,0)),'Slit to Tube Conversion'!$C:$C,0)),""))</f>
        <v/>
      </c>
      <c r="K97" s="47" t="str">
        <f>IF(F97="","",IFERROR(INDEX('Slit to Tube Conversion'!$F:$F,MATCH(INDEX('Bundle Formation'!$B$3:$B$117,MATCH(F97,'Bundle Formation'!$G$3:$G$117,0)),'Slit to Tube Conversion'!$C:$C,0)),""))</f>
        <v/>
      </c>
      <c r="L97" s="87" t="str">
        <f>IF(F97="","",IFERROR(INDEX('Slit to Tube Conversion'!$G:$G,MATCH(INDEX('Bundle Formation'!$B$3:$B$117,MATCH(F97,'Bundle Formation'!$G$3:$G$117,0)),'Slit to Tube Conversion'!$C:$C,0)),""))</f>
        <v/>
      </c>
      <c r="M97" s="166" t="str">
        <f t="shared" si="3"/>
        <v/>
      </c>
      <c r="N97" s="68" t="str">
        <f>IF(F97="","",IF(COUNTIF(F$3:F97,F97)&gt;1,"⚠ DUPLICATE DISPATCH",""))</f>
        <v/>
      </c>
    </row>
    <row r="98" spans="5:14" ht="21.75" customHeight="1">
      <c r="E98" s="162" t="str">
        <f>IF(F98="","",IFERROR(INDEX('Bundle Formation'!$C:$C,MATCH(F98,'Bundle Formation'!$G:$G,0)),""))</f>
        <v/>
      </c>
      <c r="F98" s="100"/>
      <c r="G98" t="str">
        <f>IF(F98="","",SUMIF('Bundle Formation'!$G$3:$G$75,F98,'Bundle Formation'!$E$3:$E$75))</f>
        <v/>
      </c>
      <c r="H98" s="87" t="str">
        <f>IF(F98="","",SUMIF('Bundle Formation'!$G$3:$G$117,F98,'Bundle Formation'!$J$3:$J$117))</f>
        <v/>
      </c>
      <c r="I98" s="164" t="str">
        <f t="shared" si="2"/>
        <v/>
      </c>
      <c r="J98" s="165" t="str">
        <f>IF(F98="","",IFERROR(INDEX('Slit to Tube Conversion'!$E:$E,MATCH(INDEX('Bundle Formation'!$B$3:$B$117,MATCH(F98,'Bundle Formation'!$G$3:$G$117,0)),'Slit to Tube Conversion'!$C:$C,0)),""))</f>
        <v/>
      </c>
      <c r="K98" s="47" t="str">
        <f>IF(F98="","",IFERROR(INDEX('Slit to Tube Conversion'!$F:$F,MATCH(INDEX('Bundle Formation'!$B$3:$B$117,MATCH(F98,'Bundle Formation'!$G$3:$G$117,0)),'Slit to Tube Conversion'!$C:$C,0)),""))</f>
        <v/>
      </c>
      <c r="L98" s="87" t="str">
        <f>IF(F98="","",IFERROR(INDEX('Slit to Tube Conversion'!$G:$G,MATCH(INDEX('Bundle Formation'!$B$3:$B$117,MATCH(F98,'Bundle Formation'!$G$3:$G$117,0)),'Slit to Tube Conversion'!$C:$C,0)),""))</f>
        <v/>
      </c>
      <c r="M98" s="166" t="str">
        <f t="shared" si="3"/>
        <v/>
      </c>
      <c r="N98" s="68" t="str">
        <f>IF(F98="","",IF(COUNTIF(F$3:F98,F98)&gt;1,"⚠ DUPLICATE DISPATCH",""))</f>
        <v/>
      </c>
    </row>
    <row r="99" spans="5:14" ht="21.75" customHeight="1">
      <c r="E99" s="162" t="str">
        <f>IF(F99="","",IFERROR(INDEX('Bundle Formation'!$C:$C,MATCH(F99,'Bundle Formation'!$G:$G,0)),""))</f>
        <v/>
      </c>
      <c r="F99" s="100"/>
      <c r="G99" t="str">
        <f>IF(F99="","",SUMIF('Bundle Formation'!$G$3:$G$75,F99,'Bundle Formation'!$E$3:$E$75))</f>
        <v/>
      </c>
      <c r="H99" s="87" t="str">
        <f>IF(F99="","",SUMIF('Bundle Formation'!$G$3:$G$117,F99,'Bundle Formation'!$J$3:$J$117))</f>
        <v/>
      </c>
      <c r="I99" s="164" t="str">
        <f t="shared" si="2"/>
        <v/>
      </c>
      <c r="J99" s="165" t="str">
        <f>IF(F99="","",IFERROR(INDEX('Slit to Tube Conversion'!$E:$E,MATCH(INDEX('Bundle Formation'!$B$3:$B$117,MATCH(F99,'Bundle Formation'!$G$3:$G$117,0)),'Slit to Tube Conversion'!$C:$C,0)),""))</f>
        <v/>
      </c>
      <c r="K99" s="47" t="str">
        <f>IF(F99="","",IFERROR(INDEX('Slit to Tube Conversion'!$F:$F,MATCH(INDEX('Bundle Formation'!$B$3:$B$117,MATCH(F99,'Bundle Formation'!$G$3:$G$117,0)),'Slit to Tube Conversion'!$C:$C,0)),""))</f>
        <v/>
      </c>
      <c r="L99" s="87" t="str">
        <f>IF(F99="","",IFERROR(INDEX('Slit to Tube Conversion'!$G:$G,MATCH(INDEX('Bundle Formation'!$B$3:$B$117,MATCH(F99,'Bundle Formation'!$G$3:$G$117,0)),'Slit to Tube Conversion'!$C:$C,0)),""))</f>
        <v/>
      </c>
      <c r="M99" s="166" t="str">
        <f t="shared" si="3"/>
        <v/>
      </c>
      <c r="N99" s="68" t="str">
        <f>IF(F99="","",IF(COUNTIF(F$3:F99,F99)&gt;1,"⚠ DUPLICATE DISPATCH",""))</f>
        <v/>
      </c>
    </row>
    <row r="100" spans="5:14" ht="21.75" customHeight="1">
      <c r="E100" s="163" t="str">
        <f>IF(F100="","",IFERROR(INDEX('Bundle Formation'!$C:$C,MATCH(F100,'Bundle Formation'!$G:$G,0)),""))</f>
        <v/>
      </c>
      <c r="F100" s="160"/>
      <c r="G100" t="str">
        <f>IF(F100="","",SUMIF('Bundle Formation'!$G$3:$G$75,F100,'Bundle Formation'!$E$3:$E$75))</f>
        <v/>
      </c>
      <c r="H100" s="87" t="str">
        <f>IF(F100="","",SUMIF('Bundle Formation'!$G$3:$G$117,F100,'Bundle Formation'!$J$3:$J$117))</f>
        <v/>
      </c>
      <c r="I100" s="164" t="str">
        <f t="shared" si="2"/>
        <v/>
      </c>
      <c r="J100" s="165" t="str">
        <f>IF(F100="","",IFERROR(INDEX('Slit to Tube Conversion'!$E:$E,MATCH(INDEX('Bundle Formation'!$B$3:$B$117,MATCH(F100,'Bundle Formation'!$G$3:$G$117,0)),'Slit to Tube Conversion'!$C:$C,0)),""))</f>
        <v/>
      </c>
      <c r="K100" s="47" t="str">
        <f>IF(F100="","",IFERROR(INDEX('Slit to Tube Conversion'!$F:$F,MATCH(INDEX('Bundle Formation'!$B$3:$B$117,MATCH(F100,'Bundle Formation'!$G$3:$G$117,0)),'Slit to Tube Conversion'!$C:$C,0)),""))</f>
        <v/>
      </c>
      <c r="L100" s="87" t="str">
        <f>IF(F100="","",IFERROR(INDEX('Slit to Tube Conversion'!$G:$G,MATCH(INDEX('Bundle Formation'!$B$3:$B$117,MATCH(F100,'Bundle Formation'!$G$3:$G$117,0)),'Slit to Tube Conversion'!$C:$C,0)),""))</f>
        <v/>
      </c>
      <c r="M100" s="166" t="str">
        <f t="shared" si="3"/>
        <v/>
      </c>
      <c r="N100" s="167" t="str">
        <f>IF(F100="","",IF(COUNTIF(F$3:F100,F100)&gt;1,"⚠ DUPLICATE DISPATCH",""))</f>
        <v/>
      </c>
    </row>
  </sheetData>
  <conditionalFormatting sqref="M3:M100">
    <cfRule type="containsText" dxfId="4" priority="19" operator="containsText" text="GOOD">
      <formula>NOT(ISERROR(SEARCH("GOOD",M3)))</formula>
    </cfRule>
  </conditionalFormatting>
  <conditionalFormatting sqref="M3:M100">
    <cfRule type="containsText" dxfId="3" priority="20" operator="containsText" text="OPTIMIZE">
      <formula>NOT(ISERROR(SEARCH("OPTIMIZE",M3)))</formula>
    </cfRule>
  </conditionalFormatting>
  <conditionalFormatting sqref="M3:M100">
    <cfRule type="containsText" dxfId="2" priority="21" operator="containsText" text="INVESTIGATE">
      <formula>NOT(ISERROR(SEARCH("INVESTIGATE",M3)))</formula>
    </cfRule>
  </conditionalFormatting>
  <conditionalFormatting sqref="M3:M100">
    <cfRule type="containsText" dxfId="1" priority="22" operator="containsText" text="CRITICAL">
      <formula>NOT(ISERROR(SEARCH("CRITICAL",M3)))</formula>
    </cfRule>
  </conditionalFormatting>
  <conditionalFormatting sqref="N3:N100">
    <cfRule type="containsText" dxfId="0" priority="23" operator="containsText" text="DUPLICATE">
      <formula>NOT(ISERROR(SEARCH("DUPLICATE",N3)))</formula>
    </cfRule>
  </conditionalFormatting>
  <dataValidations count="7">
    <dataValidation type="list" allowBlank="1" showInputMessage="1" showErrorMessage="1" errorTitle="Invalid Bundle ID" error="Please select a valid Bundle ID from the dropdown." sqref="H101:H1000" xr:uid="{0E83CD33-338B-4045-9BEF-61128ECE114D}">
      <formula1>BundleIDList</formula1>
    </dataValidation>
    <dataValidation type="custom" allowBlank="1" showInputMessage="1" promptTitle="Thickness (mm)" prompt="Auto: Pulled from 'FG Conversion' using Bundle ID. Do not edit." sqref="J3:J100" xr:uid="{5AADE372-20C0-458C-8789-C8EA91E6618D}">
      <formula1>TRUE</formula1>
    </dataValidation>
    <dataValidation type="custom" allowBlank="1" showInputMessage="1" promptTitle="Length (mm)" prompt="Auto: Pulled from 'FG Conversion' using Bundle ID. Do not edit." sqref="K3:K100" xr:uid="{20EB3D0C-684F-4CAD-9668-F45BFF1F08C6}">
      <formula1>TRUE</formula1>
    </dataValidation>
    <dataValidation type="custom" allowBlank="1" showInputMessage="1" promptTitle="Width (mm)" prompt="Auto: Pulled from 'FG Conversion' using Bundle ID. Do not edit." sqref="L3:L100" xr:uid="{5DC595E1-C510-4216-B5CE-D7DC59EB3F64}">
      <formula1>TRUE</formula1>
    </dataValidation>
    <dataValidation type="custom" allowBlank="1" showInputMessage="1" promptTitle="Yield Flag" prompt="Auto: 🟢 GOOD (≥95%) | 🟡 OPTIMIZE (90-95%) | 🟠 INVESTIGATE (85-90%) | 🔴 CRITICAL (&lt;85%)" sqref="M3:M100" xr:uid="{153BA725-3702-430C-A4F1-6F2BA56F070B}">
      <formula1>TRUE</formula1>
    </dataValidation>
    <dataValidation type="custom" allowBlank="1" showInputMessage="1" promptTitle="Duplicate Bundle Check" prompt="Auto: Flags ⚠ DUPLICATE DISPATCH if same Bundle ID dispatched more than once." sqref="N3:N100" xr:uid="{EBE89AD7-8140-4F97-9596-C84483BDD846}">
      <formula1>TRUE</formula1>
    </dataValidation>
    <dataValidation type="date" errorStyle="warning" operator="greaterThanOrEqual" allowBlank="1" showInputMessage="1" showErrorMessage="1" errorTitle="Check Date" error="Please enter a valid date on or after 01/01/2025" promptTitle="Date of Dispatch" prompt="Enter dispatch date (dd-mm-yyyy)" sqref="A3:A56" xr:uid="{CCC747B2-2954-4D7F-87CB-FBB1C6CF7CB1}">
      <formula1>45658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undle ID" error="This Bundle ID may not be in the available list. It could already be dispatched or not yet formed." promptTitle="Bundle ID" prompt="Select an available Bundle ID from the dropdown." xr:uid="{1719C75A-BCD2-45CF-B98F-0A3F5B2F71AF}">
          <x14:formula1>
            <xm:f>Helpers!$AA$2:$AA$60</xm:f>
          </x14:formula1>
          <xm:sqref>F3:F100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976C-498D-4592-832E-A80CAF734A9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387B-3053-469B-B3B1-BE7CEC795928}">
  <dimension ref="A1:K233"/>
  <sheetViews>
    <sheetView workbookViewId="0">
      <selection activeCell="B5" sqref="B5"/>
    </sheetView>
  </sheetViews>
  <sheetFormatPr defaultRowHeight="15"/>
  <cols>
    <col min="1" max="1" width="15" bestFit="1" customWidth="1"/>
    <col min="2" max="2" width="21.140625" bestFit="1" customWidth="1"/>
    <col min="3" max="3" width="57.85546875" bestFit="1" customWidth="1"/>
    <col min="4" max="4" width="16.42578125" bestFit="1" customWidth="1"/>
    <col min="5" max="5" width="17.5703125" bestFit="1" customWidth="1"/>
    <col min="6" max="6" width="12.28515625" bestFit="1" customWidth="1"/>
    <col min="7" max="7" width="9.42578125" bestFit="1" customWidth="1"/>
    <col min="8" max="8" width="15.5703125" bestFit="1" customWidth="1"/>
    <col min="9" max="9" width="19.140625" bestFit="1" customWidth="1"/>
    <col min="10" max="10" width="9.85546875" bestFit="1" customWidth="1"/>
    <col min="11" max="11" width="9.5703125" bestFit="1" customWidth="1"/>
  </cols>
  <sheetData>
    <row r="1" spans="1:11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</row>
    <row r="2" spans="1:11">
      <c r="A2" t="s">
        <v>205</v>
      </c>
      <c r="B2" t="s">
        <v>206</v>
      </c>
      <c r="C2" t="s">
        <v>207</v>
      </c>
      <c r="D2">
        <v>25</v>
      </c>
      <c r="E2">
        <v>25</v>
      </c>
      <c r="F2">
        <v>2.5</v>
      </c>
      <c r="G2">
        <v>6000</v>
      </c>
      <c r="J2">
        <v>72080000</v>
      </c>
      <c r="K2" t="s">
        <v>208</v>
      </c>
    </row>
    <row r="3" spans="1:11">
      <c r="A3" t="s">
        <v>205</v>
      </c>
      <c r="B3" t="s">
        <v>209</v>
      </c>
      <c r="C3" t="s">
        <v>210</v>
      </c>
      <c r="D3">
        <v>25</v>
      </c>
      <c r="E3">
        <v>25</v>
      </c>
      <c r="F3">
        <v>1.6</v>
      </c>
      <c r="G3">
        <v>6000</v>
      </c>
      <c r="J3">
        <v>72080000</v>
      </c>
      <c r="K3" t="s">
        <v>208</v>
      </c>
    </row>
    <row r="4" spans="1:11">
      <c r="A4" t="s">
        <v>205</v>
      </c>
      <c r="B4" t="s">
        <v>211</v>
      </c>
      <c r="C4" t="s">
        <v>212</v>
      </c>
      <c r="D4">
        <v>25</v>
      </c>
      <c r="E4">
        <v>25</v>
      </c>
      <c r="F4">
        <v>2.2000000000000002</v>
      </c>
      <c r="G4">
        <v>6000</v>
      </c>
      <c r="J4">
        <v>72080000</v>
      </c>
      <c r="K4" t="s">
        <v>208</v>
      </c>
    </row>
    <row r="5" spans="1:11">
      <c r="A5" t="s">
        <v>205</v>
      </c>
      <c r="B5" t="s">
        <v>213</v>
      </c>
      <c r="C5" t="s">
        <v>95</v>
      </c>
      <c r="D5">
        <v>38</v>
      </c>
      <c r="E5">
        <v>38</v>
      </c>
      <c r="F5">
        <v>2.5</v>
      </c>
      <c r="G5">
        <v>6000</v>
      </c>
      <c r="J5">
        <v>72080000</v>
      </c>
      <c r="K5" t="s">
        <v>208</v>
      </c>
    </row>
    <row r="6" spans="1:11">
      <c r="A6" t="s">
        <v>205</v>
      </c>
      <c r="B6" t="s">
        <v>214</v>
      </c>
      <c r="C6" t="s">
        <v>215</v>
      </c>
      <c r="D6">
        <v>12.5</v>
      </c>
      <c r="E6">
        <v>12.5</v>
      </c>
      <c r="F6">
        <v>1</v>
      </c>
      <c r="G6">
        <v>6000</v>
      </c>
      <c r="J6">
        <v>72080000</v>
      </c>
      <c r="K6" t="s">
        <v>208</v>
      </c>
    </row>
    <row r="7" spans="1:11">
      <c r="A7" t="s">
        <v>205</v>
      </c>
      <c r="B7" t="s">
        <v>216</v>
      </c>
      <c r="C7" t="s">
        <v>217</v>
      </c>
      <c r="D7">
        <v>12.5</v>
      </c>
      <c r="E7">
        <v>12.5</v>
      </c>
      <c r="F7">
        <v>1.2</v>
      </c>
      <c r="G7">
        <v>6000</v>
      </c>
      <c r="J7">
        <v>72080000</v>
      </c>
      <c r="K7" t="s">
        <v>208</v>
      </c>
    </row>
    <row r="8" spans="1:11">
      <c r="A8" t="s">
        <v>205</v>
      </c>
      <c r="B8" t="s">
        <v>218</v>
      </c>
      <c r="C8" t="s">
        <v>219</v>
      </c>
      <c r="D8">
        <v>12.5</v>
      </c>
      <c r="E8">
        <v>12.5</v>
      </c>
      <c r="F8">
        <v>1.6</v>
      </c>
      <c r="G8">
        <v>6000</v>
      </c>
      <c r="J8">
        <v>72080000</v>
      </c>
      <c r="K8" t="s">
        <v>208</v>
      </c>
    </row>
    <row r="9" spans="1:11">
      <c r="A9" t="s">
        <v>205</v>
      </c>
      <c r="B9" t="s">
        <v>220</v>
      </c>
      <c r="C9" t="s">
        <v>221</v>
      </c>
      <c r="D9">
        <v>15</v>
      </c>
      <c r="E9">
        <v>15</v>
      </c>
      <c r="F9">
        <v>1.2</v>
      </c>
      <c r="G9">
        <v>6000</v>
      </c>
      <c r="J9">
        <v>72080000</v>
      </c>
      <c r="K9" t="s">
        <v>208</v>
      </c>
    </row>
    <row r="10" spans="1:11">
      <c r="A10" t="s">
        <v>205</v>
      </c>
      <c r="B10" t="s">
        <v>222</v>
      </c>
      <c r="C10" t="s">
        <v>223</v>
      </c>
      <c r="D10">
        <v>15</v>
      </c>
      <c r="E10">
        <v>15</v>
      </c>
      <c r="F10">
        <v>1.6</v>
      </c>
      <c r="G10">
        <v>6000</v>
      </c>
      <c r="J10">
        <v>72080000</v>
      </c>
      <c r="K10" t="s">
        <v>208</v>
      </c>
    </row>
    <row r="11" spans="1:11">
      <c r="A11" t="s">
        <v>205</v>
      </c>
      <c r="B11" t="s">
        <v>224</v>
      </c>
      <c r="C11" t="s">
        <v>225</v>
      </c>
      <c r="D11">
        <v>20</v>
      </c>
      <c r="E11">
        <v>20</v>
      </c>
      <c r="F11">
        <v>1.2</v>
      </c>
      <c r="G11">
        <v>6000</v>
      </c>
      <c r="J11">
        <v>72080000</v>
      </c>
      <c r="K11" t="s">
        <v>208</v>
      </c>
    </row>
    <row r="12" spans="1:11">
      <c r="A12" t="s">
        <v>205</v>
      </c>
      <c r="B12" t="s">
        <v>226</v>
      </c>
      <c r="C12" t="s">
        <v>227</v>
      </c>
      <c r="D12">
        <v>20</v>
      </c>
      <c r="E12">
        <v>20</v>
      </c>
      <c r="F12">
        <v>1.6</v>
      </c>
      <c r="G12">
        <v>6000</v>
      </c>
      <c r="J12">
        <v>72080000</v>
      </c>
      <c r="K12" t="s">
        <v>208</v>
      </c>
    </row>
    <row r="13" spans="1:11">
      <c r="A13" t="s">
        <v>205</v>
      </c>
      <c r="B13" t="s">
        <v>228</v>
      </c>
      <c r="C13" t="s">
        <v>229</v>
      </c>
      <c r="D13">
        <v>20</v>
      </c>
      <c r="E13">
        <v>20</v>
      </c>
      <c r="F13">
        <v>1.8</v>
      </c>
      <c r="G13">
        <v>6000</v>
      </c>
      <c r="J13">
        <v>72080000</v>
      </c>
      <c r="K13" t="s">
        <v>208</v>
      </c>
    </row>
    <row r="14" spans="1:11">
      <c r="A14" t="s">
        <v>205</v>
      </c>
      <c r="B14" t="s">
        <v>230</v>
      </c>
      <c r="C14" t="s">
        <v>231</v>
      </c>
      <c r="D14">
        <v>20</v>
      </c>
      <c r="E14">
        <v>20</v>
      </c>
      <c r="F14">
        <v>2</v>
      </c>
      <c r="G14">
        <v>6000</v>
      </c>
      <c r="J14">
        <v>72080000</v>
      </c>
      <c r="K14" t="s">
        <v>208</v>
      </c>
    </row>
    <row r="15" spans="1:11">
      <c r="A15" t="s">
        <v>205</v>
      </c>
      <c r="B15" t="s">
        <v>232</v>
      </c>
      <c r="C15" t="s">
        <v>233</v>
      </c>
      <c r="D15">
        <v>20</v>
      </c>
      <c r="E15">
        <v>20</v>
      </c>
      <c r="F15">
        <v>2.2000000000000002</v>
      </c>
      <c r="G15">
        <v>6000</v>
      </c>
      <c r="J15">
        <v>72080000</v>
      </c>
      <c r="K15" t="s">
        <v>208</v>
      </c>
    </row>
    <row r="16" spans="1:11">
      <c r="A16" t="s">
        <v>205</v>
      </c>
      <c r="B16" t="s">
        <v>234</v>
      </c>
      <c r="C16" t="s">
        <v>235</v>
      </c>
      <c r="D16">
        <v>25</v>
      </c>
      <c r="E16">
        <v>25</v>
      </c>
      <c r="F16">
        <v>1</v>
      </c>
      <c r="G16">
        <v>6000</v>
      </c>
      <c r="J16">
        <v>72080000</v>
      </c>
      <c r="K16" t="s">
        <v>208</v>
      </c>
    </row>
    <row r="17" spans="1:11">
      <c r="A17" t="s">
        <v>205</v>
      </c>
      <c r="B17" t="s">
        <v>236</v>
      </c>
      <c r="C17" t="s">
        <v>237</v>
      </c>
      <c r="D17">
        <v>25</v>
      </c>
      <c r="E17">
        <v>25</v>
      </c>
      <c r="F17">
        <v>1.2</v>
      </c>
      <c r="G17">
        <v>6000</v>
      </c>
      <c r="J17">
        <v>72080000</v>
      </c>
      <c r="K17" t="s">
        <v>208</v>
      </c>
    </row>
    <row r="18" spans="1:11">
      <c r="A18" t="s">
        <v>205</v>
      </c>
      <c r="B18" t="s">
        <v>238</v>
      </c>
      <c r="C18" t="s">
        <v>239</v>
      </c>
      <c r="D18">
        <v>25</v>
      </c>
      <c r="E18">
        <v>25</v>
      </c>
      <c r="F18">
        <v>1.8</v>
      </c>
      <c r="G18">
        <v>6000</v>
      </c>
      <c r="J18">
        <v>72080000</v>
      </c>
      <c r="K18" t="s">
        <v>208</v>
      </c>
    </row>
    <row r="19" spans="1:11">
      <c r="A19" t="s">
        <v>205</v>
      </c>
      <c r="B19" t="s">
        <v>240</v>
      </c>
      <c r="C19" t="s">
        <v>241</v>
      </c>
      <c r="D19">
        <v>25</v>
      </c>
      <c r="E19">
        <v>25</v>
      </c>
      <c r="F19">
        <v>2</v>
      </c>
      <c r="G19">
        <v>6000</v>
      </c>
      <c r="J19">
        <v>72080000</v>
      </c>
      <c r="K19" t="s">
        <v>208</v>
      </c>
    </row>
    <row r="20" spans="1:11">
      <c r="A20" t="s">
        <v>205</v>
      </c>
      <c r="B20" t="s">
        <v>242</v>
      </c>
      <c r="C20" t="s">
        <v>243</v>
      </c>
      <c r="D20">
        <v>25</v>
      </c>
      <c r="E20">
        <v>25</v>
      </c>
      <c r="F20">
        <v>2.9</v>
      </c>
      <c r="G20">
        <v>6000</v>
      </c>
      <c r="J20">
        <v>72080000</v>
      </c>
      <c r="K20" t="s">
        <v>208</v>
      </c>
    </row>
    <row r="21" spans="1:11">
      <c r="A21" t="s">
        <v>205</v>
      </c>
      <c r="B21" t="s">
        <v>244</v>
      </c>
      <c r="C21" t="s">
        <v>245</v>
      </c>
      <c r="D21">
        <v>32</v>
      </c>
      <c r="E21">
        <v>32</v>
      </c>
      <c r="F21">
        <v>1.6</v>
      </c>
      <c r="G21">
        <v>6000</v>
      </c>
      <c r="J21">
        <v>72080000</v>
      </c>
      <c r="K21" t="s">
        <v>208</v>
      </c>
    </row>
    <row r="22" spans="1:11">
      <c r="A22" t="s">
        <v>205</v>
      </c>
      <c r="B22" t="s">
        <v>246</v>
      </c>
      <c r="C22" t="s">
        <v>247</v>
      </c>
      <c r="D22">
        <v>32</v>
      </c>
      <c r="E22">
        <v>32</v>
      </c>
      <c r="F22">
        <v>2</v>
      </c>
      <c r="G22">
        <v>6000</v>
      </c>
      <c r="J22">
        <v>72080000</v>
      </c>
      <c r="K22" t="s">
        <v>208</v>
      </c>
    </row>
    <row r="23" spans="1:11">
      <c r="A23" t="s">
        <v>205</v>
      </c>
      <c r="B23" t="s">
        <v>248</v>
      </c>
      <c r="C23" t="s">
        <v>249</v>
      </c>
      <c r="D23">
        <v>32</v>
      </c>
      <c r="E23">
        <v>32</v>
      </c>
      <c r="F23">
        <v>2.2000000000000002</v>
      </c>
      <c r="G23">
        <v>6000</v>
      </c>
      <c r="J23">
        <v>72080000</v>
      </c>
      <c r="K23" t="s">
        <v>208</v>
      </c>
    </row>
    <row r="24" spans="1:11">
      <c r="A24" t="s">
        <v>205</v>
      </c>
      <c r="B24" t="s">
        <v>250</v>
      </c>
      <c r="C24" t="s">
        <v>251</v>
      </c>
      <c r="D24">
        <v>32</v>
      </c>
      <c r="E24">
        <v>32</v>
      </c>
      <c r="F24">
        <v>2.5</v>
      </c>
      <c r="G24">
        <v>6000</v>
      </c>
      <c r="J24">
        <v>72080000</v>
      </c>
      <c r="K24" t="s">
        <v>208</v>
      </c>
    </row>
    <row r="25" spans="1:11">
      <c r="A25" t="s">
        <v>205</v>
      </c>
      <c r="B25" t="s">
        <v>252</v>
      </c>
      <c r="C25" t="s">
        <v>253</v>
      </c>
      <c r="D25">
        <v>38</v>
      </c>
      <c r="E25">
        <v>38</v>
      </c>
      <c r="F25">
        <v>1.2</v>
      </c>
      <c r="G25">
        <v>6000</v>
      </c>
      <c r="J25">
        <v>72080000</v>
      </c>
      <c r="K25" t="s">
        <v>208</v>
      </c>
    </row>
    <row r="26" spans="1:11">
      <c r="A26" t="s">
        <v>205</v>
      </c>
      <c r="B26" t="s">
        <v>254</v>
      </c>
      <c r="C26" t="s">
        <v>255</v>
      </c>
      <c r="D26">
        <v>38</v>
      </c>
      <c r="E26">
        <v>38</v>
      </c>
      <c r="F26">
        <v>1.6</v>
      </c>
      <c r="G26">
        <v>6000</v>
      </c>
      <c r="J26">
        <v>72080000</v>
      </c>
      <c r="K26" t="s">
        <v>208</v>
      </c>
    </row>
    <row r="27" spans="1:11">
      <c r="A27" t="s">
        <v>205</v>
      </c>
      <c r="B27" t="s">
        <v>256</v>
      </c>
      <c r="C27" t="s">
        <v>257</v>
      </c>
      <c r="D27">
        <v>38</v>
      </c>
      <c r="E27">
        <v>38</v>
      </c>
      <c r="F27">
        <v>1.8</v>
      </c>
      <c r="G27">
        <v>6000</v>
      </c>
      <c r="J27">
        <v>72080000</v>
      </c>
      <c r="K27" t="s">
        <v>208</v>
      </c>
    </row>
    <row r="28" spans="1:11">
      <c r="A28" t="s">
        <v>205</v>
      </c>
      <c r="B28" t="s">
        <v>258</v>
      </c>
      <c r="C28" t="s">
        <v>259</v>
      </c>
      <c r="D28">
        <v>38</v>
      </c>
      <c r="E28">
        <v>38</v>
      </c>
      <c r="F28">
        <v>2</v>
      </c>
      <c r="G28">
        <v>6000</v>
      </c>
      <c r="J28">
        <v>72080000</v>
      </c>
      <c r="K28" t="s">
        <v>208</v>
      </c>
    </row>
    <row r="29" spans="1:11">
      <c r="A29" t="s">
        <v>205</v>
      </c>
      <c r="B29" t="s">
        <v>260</v>
      </c>
      <c r="C29" t="s">
        <v>112</v>
      </c>
      <c r="D29">
        <v>38</v>
      </c>
      <c r="E29">
        <v>38</v>
      </c>
      <c r="F29">
        <v>2.2000000000000002</v>
      </c>
      <c r="G29">
        <v>6000</v>
      </c>
      <c r="J29">
        <v>72080000</v>
      </c>
      <c r="K29" t="s">
        <v>208</v>
      </c>
    </row>
    <row r="30" spans="1:11">
      <c r="A30" t="s">
        <v>205</v>
      </c>
      <c r="B30" t="s">
        <v>261</v>
      </c>
      <c r="C30" t="s">
        <v>262</v>
      </c>
      <c r="D30">
        <v>38</v>
      </c>
      <c r="E30">
        <v>38</v>
      </c>
      <c r="F30">
        <v>2.9</v>
      </c>
      <c r="G30">
        <v>6000</v>
      </c>
      <c r="J30">
        <v>72080000</v>
      </c>
      <c r="K30" t="s">
        <v>208</v>
      </c>
    </row>
    <row r="31" spans="1:11">
      <c r="A31" t="s">
        <v>205</v>
      </c>
      <c r="B31" t="s">
        <v>263</v>
      </c>
      <c r="C31" t="s">
        <v>264</v>
      </c>
      <c r="D31">
        <v>40</v>
      </c>
      <c r="E31">
        <v>40</v>
      </c>
      <c r="F31">
        <v>1.2</v>
      </c>
      <c r="G31">
        <v>6000</v>
      </c>
      <c r="J31">
        <v>72080000</v>
      </c>
      <c r="K31" t="s">
        <v>208</v>
      </c>
    </row>
    <row r="32" spans="1:11">
      <c r="A32" t="s">
        <v>205</v>
      </c>
      <c r="B32" t="s">
        <v>265</v>
      </c>
      <c r="C32" t="s">
        <v>266</v>
      </c>
      <c r="D32">
        <v>40</v>
      </c>
      <c r="E32">
        <v>40</v>
      </c>
      <c r="F32">
        <v>1.6</v>
      </c>
      <c r="G32">
        <v>6000</v>
      </c>
      <c r="J32">
        <v>72080000</v>
      </c>
      <c r="K32" t="s">
        <v>208</v>
      </c>
    </row>
    <row r="33" spans="1:11">
      <c r="A33" t="s">
        <v>205</v>
      </c>
      <c r="B33" t="s">
        <v>267</v>
      </c>
      <c r="C33" t="s">
        <v>268</v>
      </c>
      <c r="D33">
        <v>40</v>
      </c>
      <c r="E33">
        <v>40</v>
      </c>
      <c r="F33">
        <v>1.8</v>
      </c>
      <c r="G33">
        <v>6000</v>
      </c>
      <c r="J33">
        <v>72080000</v>
      </c>
      <c r="K33" t="s">
        <v>208</v>
      </c>
    </row>
    <row r="34" spans="1:11">
      <c r="A34" t="s">
        <v>205</v>
      </c>
      <c r="B34" t="s">
        <v>269</v>
      </c>
      <c r="C34" t="s">
        <v>270</v>
      </c>
      <c r="D34">
        <v>40</v>
      </c>
      <c r="E34">
        <v>40</v>
      </c>
      <c r="F34">
        <v>2</v>
      </c>
      <c r="G34">
        <v>6000</v>
      </c>
      <c r="J34">
        <v>72080000</v>
      </c>
      <c r="K34" t="s">
        <v>208</v>
      </c>
    </row>
    <row r="35" spans="1:11">
      <c r="A35" t="s">
        <v>205</v>
      </c>
      <c r="B35" t="s">
        <v>271</v>
      </c>
      <c r="C35" t="s">
        <v>272</v>
      </c>
      <c r="D35">
        <v>40</v>
      </c>
      <c r="E35">
        <v>40</v>
      </c>
      <c r="F35">
        <v>2.2000000000000002</v>
      </c>
      <c r="G35">
        <v>6000</v>
      </c>
      <c r="J35">
        <v>72080000</v>
      </c>
      <c r="K35" t="s">
        <v>208</v>
      </c>
    </row>
    <row r="36" spans="1:11">
      <c r="A36" t="s">
        <v>205</v>
      </c>
      <c r="B36" t="s">
        <v>273</v>
      </c>
      <c r="C36" t="s">
        <v>274</v>
      </c>
      <c r="D36">
        <v>40</v>
      </c>
      <c r="E36">
        <v>40</v>
      </c>
      <c r="F36">
        <v>2.5</v>
      </c>
      <c r="G36">
        <v>6000</v>
      </c>
      <c r="J36">
        <v>72080000</v>
      </c>
      <c r="K36" t="s">
        <v>208</v>
      </c>
    </row>
    <row r="37" spans="1:11">
      <c r="A37" t="s">
        <v>205</v>
      </c>
      <c r="B37" t="s">
        <v>275</v>
      </c>
      <c r="C37" t="s">
        <v>276</v>
      </c>
      <c r="D37">
        <v>40</v>
      </c>
      <c r="E37">
        <v>40</v>
      </c>
      <c r="F37">
        <v>2.9</v>
      </c>
      <c r="G37">
        <v>6000</v>
      </c>
      <c r="J37">
        <v>72080000</v>
      </c>
      <c r="K37" t="s">
        <v>208</v>
      </c>
    </row>
    <row r="38" spans="1:11">
      <c r="A38" t="s">
        <v>205</v>
      </c>
      <c r="B38" t="s">
        <v>277</v>
      </c>
      <c r="C38" t="s">
        <v>278</v>
      </c>
      <c r="D38">
        <v>40</v>
      </c>
      <c r="E38">
        <v>40</v>
      </c>
      <c r="F38">
        <v>3.2</v>
      </c>
      <c r="G38">
        <v>6000</v>
      </c>
      <c r="J38">
        <v>72080000</v>
      </c>
      <c r="K38" t="s">
        <v>208</v>
      </c>
    </row>
    <row r="39" spans="1:11">
      <c r="A39" t="s">
        <v>205</v>
      </c>
      <c r="B39" t="s">
        <v>279</v>
      </c>
      <c r="C39" t="s">
        <v>280</v>
      </c>
      <c r="D39">
        <v>40</v>
      </c>
      <c r="E39">
        <v>40</v>
      </c>
      <c r="F39">
        <v>4</v>
      </c>
      <c r="G39">
        <v>6000</v>
      </c>
      <c r="J39">
        <v>72080000</v>
      </c>
      <c r="K39" t="s">
        <v>208</v>
      </c>
    </row>
    <row r="40" spans="1:11">
      <c r="A40" t="s">
        <v>205</v>
      </c>
      <c r="B40" t="s">
        <v>281</v>
      </c>
      <c r="C40" t="s">
        <v>282</v>
      </c>
      <c r="D40">
        <v>50</v>
      </c>
      <c r="E40">
        <v>50</v>
      </c>
      <c r="F40">
        <v>1.2</v>
      </c>
      <c r="G40">
        <v>6000</v>
      </c>
      <c r="J40">
        <v>72080000</v>
      </c>
      <c r="K40" t="s">
        <v>208</v>
      </c>
    </row>
    <row r="41" spans="1:11">
      <c r="A41" t="s">
        <v>205</v>
      </c>
      <c r="B41" t="s">
        <v>283</v>
      </c>
      <c r="C41" t="s">
        <v>284</v>
      </c>
      <c r="D41">
        <v>50</v>
      </c>
      <c r="E41">
        <v>50</v>
      </c>
      <c r="F41">
        <v>1.6</v>
      </c>
      <c r="G41">
        <v>6000</v>
      </c>
      <c r="J41">
        <v>72080000</v>
      </c>
      <c r="K41" t="s">
        <v>208</v>
      </c>
    </row>
    <row r="42" spans="1:11">
      <c r="A42" t="s">
        <v>205</v>
      </c>
      <c r="B42" t="s">
        <v>285</v>
      </c>
      <c r="C42" t="s">
        <v>286</v>
      </c>
      <c r="D42">
        <v>50</v>
      </c>
      <c r="E42">
        <v>50</v>
      </c>
      <c r="F42">
        <v>1.8</v>
      </c>
      <c r="G42">
        <v>6000</v>
      </c>
      <c r="J42">
        <v>72080000</v>
      </c>
      <c r="K42" t="s">
        <v>208</v>
      </c>
    </row>
    <row r="43" spans="1:11">
      <c r="A43" t="s">
        <v>205</v>
      </c>
      <c r="B43" t="s">
        <v>287</v>
      </c>
      <c r="C43" t="s">
        <v>118</v>
      </c>
      <c r="D43">
        <v>50</v>
      </c>
      <c r="E43">
        <v>50</v>
      </c>
      <c r="F43">
        <v>2</v>
      </c>
      <c r="G43">
        <v>6000</v>
      </c>
      <c r="J43">
        <v>72080000</v>
      </c>
      <c r="K43" t="s">
        <v>208</v>
      </c>
    </row>
    <row r="44" spans="1:11">
      <c r="A44" t="s">
        <v>205</v>
      </c>
      <c r="B44" t="s">
        <v>288</v>
      </c>
      <c r="C44" t="s">
        <v>109</v>
      </c>
      <c r="D44">
        <v>50</v>
      </c>
      <c r="E44">
        <v>50</v>
      </c>
      <c r="F44">
        <v>2.2000000000000002</v>
      </c>
      <c r="G44">
        <v>6000</v>
      </c>
      <c r="J44">
        <v>72080000</v>
      </c>
      <c r="K44" t="s">
        <v>208</v>
      </c>
    </row>
    <row r="45" spans="1:11">
      <c r="A45" t="s">
        <v>205</v>
      </c>
      <c r="B45" t="s">
        <v>289</v>
      </c>
      <c r="C45" t="s">
        <v>100</v>
      </c>
      <c r="D45">
        <v>50</v>
      </c>
      <c r="E45">
        <v>50</v>
      </c>
      <c r="F45">
        <v>2.5</v>
      </c>
      <c r="G45">
        <v>6000</v>
      </c>
      <c r="J45">
        <v>72080000</v>
      </c>
      <c r="K45" t="s">
        <v>208</v>
      </c>
    </row>
    <row r="46" spans="1:11">
      <c r="A46" t="s">
        <v>205</v>
      </c>
      <c r="B46" t="s">
        <v>290</v>
      </c>
      <c r="C46" t="s">
        <v>291</v>
      </c>
      <c r="D46">
        <v>50</v>
      </c>
      <c r="E46">
        <v>50</v>
      </c>
      <c r="F46">
        <v>2.9</v>
      </c>
      <c r="G46">
        <v>6000</v>
      </c>
      <c r="J46">
        <v>72080000</v>
      </c>
      <c r="K46" t="s">
        <v>208</v>
      </c>
    </row>
    <row r="47" spans="1:11">
      <c r="A47" t="s">
        <v>205</v>
      </c>
      <c r="B47" t="s">
        <v>292</v>
      </c>
      <c r="C47" t="s">
        <v>293</v>
      </c>
      <c r="D47">
        <v>50</v>
      </c>
      <c r="E47">
        <v>50</v>
      </c>
      <c r="F47">
        <v>3.6</v>
      </c>
      <c r="G47">
        <v>6000</v>
      </c>
      <c r="J47">
        <v>72080000</v>
      </c>
      <c r="K47" t="s">
        <v>208</v>
      </c>
    </row>
    <row r="48" spans="1:11">
      <c r="A48" t="s">
        <v>205</v>
      </c>
      <c r="B48" t="s">
        <v>294</v>
      </c>
      <c r="C48" t="s">
        <v>295</v>
      </c>
      <c r="D48">
        <v>50</v>
      </c>
      <c r="E48">
        <v>50</v>
      </c>
      <c r="F48">
        <v>4</v>
      </c>
      <c r="G48">
        <v>6000</v>
      </c>
      <c r="J48">
        <v>72080000</v>
      </c>
      <c r="K48" t="s">
        <v>208</v>
      </c>
    </row>
    <row r="49" spans="1:11">
      <c r="A49" t="s">
        <v>205</v>
      </c>
      <c r="B49" t="s">
        <v>296</v>
      </c>
      <c r="C49" t="s">
        <v>297</v>
      </c>
      <c r="D49">
        <v>50</v>
      </c>
      <c r="E49">
        <v>50</v>
      </c>
      <c r="F49">
        <v>4.8</v>
      </c>
      <c r="G49">
        <v>6000</v>
      </c>
      <c r="J49">
        <v>72080000</v>
      </c>
      <c r="K49" t="s">
        <v>208</v>
      </c>
    </row>
    <row r="50" spans="1:11">
      <c r="A50" t="s">
        <v>205</v>
      </c>
      <c r="B50" t="s">
        <v>298</v>
      </c>
      <c r="C50" t="s">
        <v>299</v>
      </c>
      <c r="D50">
        <v>60</v>
      </c>
      <c r="E50">
        <v>60</v>
      </c>
      <c r="F50">
        <v>1.8</v>
      </c>
      <c r="G50">
        <v>6000</v>
      </c>
      <c r="J50">
        <v>72080000</v>
      </c>
      <c r="K50" t="s">
        <v>208</v>
      </c>
    </row>
    <row r="51" spans="1:11">
      <c r="A51" t="s">
        <v>205</v>
      </c>
      <c r="B51" t="s">
        <v>300</v>
      </c>
      <c r="C51" t="s">
        <v>301</v>
      </c>
      <c r="D51">
        <v>60</v>
      </c>
      <c r="E51">
        <v>60</v>
      </c>
      <c r="F51">
        <v>2</v>
      </c>
      <c r="G51">
        <v>6000</v>
      </c>
      <c r="J51">
        <v>72080000</v>
      </c>
      <c r="K51" t="s">
        <v>208</v>
      </c>
    </row>
    <row r="52" spans="1:11">
      <c r="A52" t="s">
        <v>205</v>
      </c>
      <c r="B52" t="s">
        <v>302</v>
      </c>
      <c r="C52" t="s">
        <v>303</v>
      </c>
      <c r="D52">
        <v>60</v>
      </c>
      <c r="E52">
        <v>60</v>
      </c>
      <c r="F52">
        <v>2.2000000000000002</v>
      </c>
      <c r="G52">
        <v>6000</v>
      </c>
      <c r="J52">
        <v>72080000</v>
      </c>
      <c r="K52" t="s">
        <v>208</v>
      </c>
    </row>
    <row r="53" spans="1:11">
      <c r="A53" t="s">
        <v>205</v>
      </c>
      <c r="B53" t="s">
        <v>304</v>
      </c>
      <c r="C53" t="s">
        <v>305</v>
      </c>
      <c r="D53">
        <v>60</v>
      </c>
      <c r="E53">
        <v>60</v>
      </c>
      <c r="F53">
        <v>2.5</v>
      </c>
      <c r="G53">
        <v>6000</v>
      </c>
      <c r="J53">
        <v>72080000</v>
      </c>
      <c r="K53" t="s">
        <v>208</v>
      </c>
    </row>
    <row r="54" spans="1:11">
      <c r="A54" t="s">
        <v>205</v>
      </c>
      <c r="B54" t="s">
        <v>306</v>
      </c>
      <c r="C54" t="s">
        <v>307</v>
      </c>
      <c r="D54">
        <v>60</v>
      </c>
      <c r="E54">
        <v>60</v>
      </c>
      <c r="F54">
        <v>2.9</v>
      </c>
      <c r="G54">
        <v>6000</v>
      </c>
      <c r="J54">
        <v>72080000</v>
      </c>
      <c r="K54" t="s">
        <v>208</v>
      </c>
    </row>
    <row r="55" spans="1:11">
      <c r="A55" t="s">
        <v>205</v>
      </c>
      <c r="B55" t="s">
        <v>308</v>
      </c>
      <c r="C55" t="s">
        <v>309</v>
      </c>
      <c r="D55">
        <v>72</v>
      </c>
      <c r="E55">
        <v>72</v>
      </c>
      <c r="F55">
        <v>1.6</v>
      </c>
      <c r="G55">
        <v>6000</v>
      </c>
      <c r="J55">
        <v>72080000</v>
      </c>
      <c r="K55" t="s">
        <v>208</v>
      </c>
    </row>
    <row r="56" spans="1:11">
      <c r="A56" t="s">
        <v>205</v>
      </c>
      <c r="B56" t="s">
        <v>310</v>
      </c>
      <c r="C56" t="s">
        <v>311</v>
      </c>
      <c r="D56">
        <v>72</v>
      </c>
      <c r="E56">
        <v>72</v>
      </c>
      <c r="F56">
        <v>1.8</v>
      </c>
      <c r="G56">
        <v>6000</v>
      </c>
      <c r="J56">
        <v>72080000</v>
      </c>
      <c r="K56" t="s">
        <v>208</v>
      </c>
    </row>
    <row r="57" spans="1:11">
      <c r="A57" t="s">
        <v>205</v>
      </c>
      <c r="B57" t="s">
        <v>312</v>
      </c>
      <c r="C57" t="s">
        <v>313</v>
      </c>
      <c r="D57">
        <v>72</v>
      </c>
      <c r="E57">
        <v>72</v>
      </c>
      <c r="F57">
        <v>2</v>
      </c>
      <c r="G57">
        <v>6000</v>
      </c>
      <c r="J57">
        <v>72080000</v>
      </c>
      <c r="K57" t="s">
        <v>208</v>
      </c>
    </row>
    <row r="58" spans="1:11">
      <c r="A58" t="s">
        <v>205</v>
      </c>
      <c r="B58" t="s">
        <v>314</v>
      </c>
      <c r="C58" t="s">
        <v>315</v>
      </c>
      <c r="D58">
        <v>72</v>
      </c>
      <c r="E58">
        <v>72</v>
      </c>
      <c r="F58">
        <v>2.2000000000000002</v>
      </c>
      <c r="G58">
        <v>6000</v>
      </c>
      <c r="J58">
        <v>72080000</v>
      </c>
      <c r="K58" t="s">
        <v>208</v>
      </c>
    </row>
    <row r="59" spans="1:11">
      <c r="A59" t="s">
        <v>205</v>
      </c>
      <c r="B59" t="s">
        <v>316</v>
      </c>
      <c r="C59" t="s">
        <v>317</v>
      </c>
      <c r="D59">
        <v>72</v>
      </c>
      <c r="E59">
        <v>72</v>
      </c>
      <c r="F59">
        <v>2.5</v>
      </c>
      <c r="G59">
        <v>6000</v>
      </c>
      <c r="J59">
        <v>72080000</v>
      </c>
      <c r="K59" t="s">
        <v>208</v>
      </c>
    </row>
    <row r="60" spans="1:11">
      <c r="A60" t="s">
        <v>205</v>
      </c>
      <c r="B60" t="s">
        <v>318</v>
      </c>
      <c r="C60" t="s">
        <v>319</v>
      </c>
      <c r="D60">
        <v>72</v>
      </c>
      <c r="E60">
        <v>72</v>
      </c>
      <c r="F60">
        <v>2.9</v>
      </c>
      <c r="G60">
        <v>6000</v>
      </c>
      <c r="J60">
        <v>72080000</v>
      </c>
      <c r="K60" t="s">
        <v>208</v>
      </c>
    </row>
    <row r="61" spans="1:11">
      <c r="A61" t="s">
        <v>205</v>
      </c>
      <c r="B61" t="s">
        <v>320</v>
      </c>
      <c r="C61" t="s">
        <v>321</v>
      </c>
      <c r="D61">
        <v>72</v>
      </c>
      <c r="E61">
        <v>72</v>
      </c>
      <c r="F61">
        <v>3.2</v>
      </c>
      <c r="G61">
        <v>6000</v>
      </c>
      <c r="J61">
        <v>72080000</v>
      </c>
      <c r="K61" t="s">
        <v>208</v>
      </c>
    </row>
    <row r="62" spans="1:11">
      <c r="A62" t="s">
        <v>205</v>
      </c>
      <c r="B62" t="s">
        <v>322</v>
      </c>
      <c r="C62" t="s">
        <v>323</v>
      </c>
      <c r="D62">
        <v>72</v>
      </c>
      <c r="E62">
        <v>72</v>
      </c>
      <c r="F62">
        <v>4</v>
      </c>
      <c r="G62">
        <v>6000</v>
      </c>
      <c r="J62">
        <v>72080000</v>
      </c>
      <c r="K62" t="s">
        <v>208</v>
      </c>
    </row>
    <row r="63" spans="1:11">
      <c r="A63" t="s">
        <v>205</v>
      </c>
      <c r="B63" t="s">
        <v>324</v>
      </c>
      <c r="C63" t="s">
        <v>325</v>
      </c>
      <c r="D63">
        <v>72</v>
      </c>
      <c r="E63">
        <v>72</v>
      </c>
      <c r="F63">
        <v>4.8</v>
      </c>
      <c r="G63">
        <v>6000</v>
      </c>
      <c r="J63">
        <v>72080000</v>
      </c>
      <c r="K63" t="s">
        <v>208</v>
      </c>
    </row>
    <row r="64" spans="1:11">
      <c r="A64" t="s">
        <v>205</v>
      </c>
      <c r="B64" t="s">
        <v>326</v>
      </c>
      <c r="C64" t="s">
        <v>327</v>
      </c>
      <c r="D64">
        <v>80</v>
      </c>
      <c r="E64">
        <v>80</v>
      </c>
      <c r="F64">
        <v>4</v>
      </c>
      <c r="G64">
        <v>6000</v>
      </c>
      <c r="J64">
        <v>72080000</v>
      </c>
      <c r="K64" t="s">
        <v>208</v>
      </c>
    </row>
    <row r="65" spans="1:11">
      <c r="A65" t="s">
        <v>205</v>
      </c>
      <c r="B65" t="s">
        <v>328</v>
      </c>
      <c r="C65" t="s">
        <v>329</v>
      </c>
      <c r="D65">
        <v>91.5</v>
      </c>
      <c r="E65">
        <v>91.5</v>
      </c>
      <c r="F65">
        <v>2.9</v>
      </c>
      <c r="G65">
        <v>6000</v>
      </c>
      <c r="J65">
        <v>72080000</v>
      </c>
      <c r="K65" t="s">
        <v>208</v>
      </c>
    </row>
    <row r="66" spans="1:11">
      <c r="A66" t="s">
        <v>205</v>
      </c>
      <c r="B66" t="s">
        <v>330</v>
      </c>
      <c r="C66" t="s">
        <v>331</v>
      </c>
      <c r="D66">
        <v>91.5</v>
      </c>
      <c r="E66">
        <v>91.5</v>
      </c>
      <c r="F66">
        <v>3.6</v>
      </c>
      <c r="G66">
        <v>6000</v>
      </c>
      <c r="J66">
        <v>72080000</v>
      </c>
      <c r="K66" t="s">
        <v>208</v>
      </c>
    </row>
    <row r="67" spans="1:11">
      <c r="A67" t="s">
        <v>205</v>
      </c>
      <c r="B67" t="s">
        <v>332</v>
      </c>
      <c r="C67" t="s">
        <v>333</v>
      </c>
      <c r="D67">
        <v>100</v>
      </c>
      <c r="E67">
        <v>100</v>
      </c>
      <c r="F67">
        <v>2</v>
      </c>
      <c r="G67">
        <v>6000</v>
      </c>
      <c r="J67">
        <v>72080000</v>
      </c>
      <c r="K67" t="s">
        <v>208</v>
      </c>
    </row>
    <row r="68" spans="1:11">
      <c r="A68" t="s">
        <v>205</v>
      </c>
      <c r="B68" t="s">
        <v>334</v>
      </c>
      <c r="C68" t="s">
        <v>335</v>
      </c>
      <c r="D68">
        <v>100</v>
      </c>
      <c r="E68">
        <v>100</v>
      </c>
      <c r="F68">
        <v>2.5</v>
      </c>
      <c r="G68">
        <v>6000</v>
      </c>
      <c r="J68">
        <v>72080000</v>
      </c>
      <c r="K68" t="s">
        <v>208</v>
      </c>
    </row>
    <row r="69" spans="1:11">
      <c r="A69" t="s">
        <v>205</v>
      </c>
      <c r="B69" t="s">
        <v>336</v>
      </c>
      <c r="C69" t="s">
        <v>337</v>
      </c>
      <c r="D69">
        <v>100</v>
      </c>
      <c r="E69">
        <v>100</v>
      </c>
      <c r="F69">
        <v>2.9</v>
      </c>
      <c r="G69">
        <v>6000</v>
      </c>
      <c r="J69">
        <v>72080000</v>
      </c>
      <c r="K69" t="s">
        <v>208</v>
      </c>
    </row>
    <row r="70" spans="1:11">
      <c r="A70" t="s">
        <v>205</v>
      </c>
      <c r="B70" t="s">
        <v>338</v>
      </c>
      <c r="C70" t="s">
        <v>339</v>
      </c>
      <c r="D70">
        <v>100</v>
      </c>
      <c r="E70">
        <v>100</v>
      </c>
      <c r="F70">
        <v>3.2</v>
      </c>
      <c r="G70">
        <v>6000</v>
      </c>
      <c r="J70">
        <v>72080000</v>
      </c>
      <c r="K70" t="s">
        <v>208</v>
      </c>
    </row>
    <row r="71" spans="1:11">
      <c r="A71" t="s">
        <v>205</v>
      </c>
      <c r="B71" t="s">
        <v>340</v>
      </c>
      <c r="C71" t="s">
        <v>341</v>
      </c>
      <c r="D71">
        <v>100</v>
      </c>
      <c r="E71">
        <v>100</v>
      </c>
      <c r="F71">
        <v>4</v>
      </c>
      <c r="G71">
        <v>6000</v>
      </c>
      <c r="J71">
        <v>72080000</v>
      </c>
      <c r="K71" t="s">
        <v>208</v>
      </c>
    </row>
    <row r="72" spans="1:11">
      <c r="A72" t="s">
        <v>205</v>
      </c>
      <c r="B72" t="s">
        <v>342</v>
      </c>
      <c r="C72" t="s">
        <v>343</v>
      </c>
      <c r="D72">
        <v>100</v>
      </c>
      <c r="E72">
        <v>100</v>
      </c>
      <c r="F72">
        <v>4.8</v>
      </c>
      <c r="G72">
        <v>6000</v>
      </c>
      <c r="J72">
        <v>72080000</v>
      </c>
      <c r="K72" t="s">
        <v>208</v>
      </c>
    </row>
    <row r="73" spans="1:11">
      <c r="A73" t="s">
        <v>205</v>
      </c>
      <c r="B73" t="s">
        <v>344</v>
      </c>
      <c r="C73" t="s">
        <v>345</v>
      </c>
      <c r="D73">
        <v>100</v>
      </c>
      <c r="E73">
        <v>100</v>
      </c>
      <c r="F73">
        <v>6</v>
      </c>
      <c r="G73">
        <v>6000</v>
      </c>
      <c r="J73">
        <v>72080000</v>
      </c>
      <c r="K73" t="s">
        <v>208</v>
      </c>
    </row>
    <row r="74" spans="1:11">
      <c r="A74" t="s">
        <v>205</v>
      </c>
      <c r="B74" t="s">
        <v>346</v>
      </c>
      <c r="C74" t="s">
        <v>347</v>
      </c>
      <c r="D74">
        <v>132</v>
      </c>
      <c r="E74">
        <v>132</v>
      </c>
      <c r="F74">
        <v>2.9</v>
      </c>
      <c r="G74">
        <v>6000</v>
      </c>
      <c r="J74">
        <v>72080000</v>
      </c>
      <c r="K74" t="s">
        <v>208</v>
      </c>
    </row>
    <row r="75" spans="1:11">
      <c r="A75" t="s">
        <v>205</v>
      </c>
      <c r="B75" t="s">
        <v>348</v>
      </c>
      <c r="C75" t="s">
        <v>349</v>
      </c>
      <c r="D75">
        <v>132</v>
      </c>
      <c r="E75">
        <v>132</v>
      </c>
      <c r="F75">
        <v>3.2</v>
      </c>
      <c r="G75">
        <v>6000</v>
      </c>
      <c r="J75">
        <v>72080000</v>
      </c>
      <c r="K75" t="s">
        <v>208</v>
      </c>
    </row>
    <row r="76" spans="1:11">
      <c r="A76" t="s">
        <v>205</v>
      </c>
      <c r="B76" t="s">
        <v>350</v>
      </c>
      <c r="C76" t="s">
        <v>351</v>
      </c>
      <c r="D76">
        <v>132</v>
      </c>
      <c r="E76">
        <v>132</v>
      </c>
      <c r="F76">
        <v>4</v>
      </c>
      <c r="G76">
        <v>6000</v>
      </c>
      <c r="J76">
        <v>72080000</v>
      </c>
      <c r="K76" t="s">
        <v>208</v>
      </c>
    </row>
    <row r="77" spans="1:11">
      <c r="A77" t="s">
        <v>205</v>
      </c>
      <c r="B77" t="s">
        <v>352</v>
      </c>
      <c r="C77" t="s">
        <v>353</v>
      </c>
      <c r="D77">
        <v>150</v>
      </c>
      <c r="E77">
        <v>150</v>
      </c>
      <c r="F77">
        <v>2</v>
      </c>
      <c r="G77">
        <v>6000</v>
      </c>
      <c r="J77">
        <v>72080000</v>
      </c>
      <c r="K77" t="s">
        <v>208</v>
      </c>
    </row>
    <row r="78" spans="1:11">
      <c r="A78" t="s">
        <v>205</v>
      </c>
      <c r="B78" t="s">
        <v>354</v>
      </c>
      <c r="C78" t="s">
        <v>355</v>
      </c>
      <c r="D78">
        <v>150</v>
      </c>
      <c r="E78">
        <v>150</v>
      </c>
      <c r="F78">
        <v>2.5</v>
      </c>
      <c r="G78">
        <v>6000</v>
      </c>
      <c r="J78">
        <v>72080000</v>
      </c>
      <c r="K78" t="s">
        <v>208</v>
      </c>
    </row>
    <row r="79" spans="1:11">
      <c r="A79" t="s">
        <v>205</v>
      </c>
      <c r="B79" t="s">
        <v>356</v>
      </c>
      <c r="C79" t="s">
        <v>357</v>
      </c>
      <c r="D79">
        <v>150</v>
      </c>
      <c r="E79">
        <v>150</v>
      </c>
      <c r="F79">
        <v>2.9</v>
      </c>
      <c r="G79">
        <v>6000</v>
      </c>
      <c r="J79">
        <v>72080000</v>
      </c>
      <c r="K79" t="s">
        <v>208</v>
      </c>
    </row>
    <row r="80" spans="1:11">
      <c r="A80" t="s">
        <v>205</v>
      </c>
      <c r="B80" t="s">
        <v>358</v>
      </c>
      <c r="C80" t="s">
        <v>359</v>
      </c>
      <c r="D80">
        <v>150</v>
      </c>
      <c r="E80">
        <v>150</v>
      </c>
      <c r="F80">
        <v>4</v>
      </c>
      <c r="G80">
        <v>6000</v>
      </c>
      <c r="J80">
        <v>72080000</v>
      </c>
      <c r="K80" t="s">
        <v>208</v>
      </c>
    </row>
    <row r="81" spans="1:11">
      <c r="A81" t="s">
        <v>205</v>
      </c>
      <c r="B81" t="s">
        <v>360</v>
      </c>
      <c r="C81" t="s">
        <v>361</v>
      </c>
      <c r="D81">
        <v>150</v>
      </c>
      <c r="E81">
        <v>150</v>
      </c>
      <c r="F81">
        <v>4.8</v>
      </c>
      <c r="G81">
        <v>6000</v>
      </c>
      <c r="J81">
        <v>72080000</v>
      </c>
      <c r="K81" t="s">
        <v>208</v>
      </c>
    </row>
    <row r="82" spans="1:11">
      <c r="A82" t="s">
        <v>205</v>
      </c>
      <c r="B82" t="s">
        <v>362</v>
      </c>
      <c r="C82" t="s">
        <v>363</v>
      </c>
      <c r="D82">
        <v>150</v>
      </c>
      <c r="E82">
        <v>150</v>
      </c>
      <c r="F82">
        <v>6</v>
      </c>
      <c r="G82">
        <v>6000</v>
      </c>
      <c r="J82">
        <v>72080000</v>
      </c>
      <c r="K82" t="s">
        <v>208</v>
      </c>
    </row>
    <row r="83" spans="1:11">
      <c r="A83" t="s">
        <v>205</v>
      </c>
      <c r="B83" t="s">
        <v>364</v>
      </c>
      <c r="C83" t="s">
        <v>365</v>
      </c>
      <c r="D83">
        <v>180</v>
      </c>
      <c r="E83">
        <v>180</v>
      </c>
      <c r="F83">
        <v>4</v>
      </c>
      <c r="G83">
        <v>6000</v>
      </c>
      <c r="J83">
        <v>72080000</v>
      </c>
      <c r="K83" t="s">
        <v>208</v>
      </c>
    </row>
    <row r="84" spans="1:11">
      <c r="A84" t="s">
        <v>205</v>
      </c>
      <c r="B84" t="s">
        <v>366</v>
      </c>
      <c r="C84" t="s">
        <v>367</v>
      </c>
      <c r="D84">
        <v>180</v>
      </c>
      <c r="E84">
        <v>180</v>
      </c>
      <c r="F84">
        <v>4.8</v>
      </c>
      <c r="G84">
        <v>6000</v>
      </c>
      <c r="J84">
        <v>72080000</v>
      </c>
      <c r="K84" t="s">
        <v>208</v>
      </c>
    </row>
    <row r="85" spans="1:11">
      <c r="A85" t="s">
        <v>205</v>
      </c>
      <c r="B85" t="s">
        <v>368</v>
      </c>
      <c r="C85" t="s">
        <v>369</v>
      </c>
      <c r="D85">
        <v>25</v>
      </c>
      <c r="E85">
        <v>25</v>
      </c>
      <c r="F85">
        <v>2.8</v>
      </c>
      <c r="G85">
        <v>6000</v>
      </c>
      <c r="J85">
        <v>72080000</v>
      </c>
      <c r="K85" t="s">
        <v>208</v>
      </c>
    </row>
    <row r="86" spans="1:11">
      <c r="A86" t="s">
        <v>205</v>
      </c>
      <c r="B86" t="s">
        <v>370</v>
      </c>
      <c r="C86" t="s">
        <v>84</v>
      </c>
      <c r="D86">
        <v>38</v>
      </c>
      <c r="E86">
        <v>38</v>
      </c>
      <c r="F86">
        <v>2.8</v>
      </c>
      <c r="G86">
        <v>6000</v>
      </c>
      <c r="J86">
        <v>72080000</v>
      </c>
      <c r="K86" t="s">
        <v>208</v>
      </c>
    </row>
    <row r="87" spans="1:11">
      <c r="A87" t="s">
        <v>205</v>
      </c>
      <c r="B87" t="s">
        <v>371</v>
      </c>
      <c r="C87" t="s">
        <v>372</v>
      </c>
      <c r="D87">
        <v>40</v>
      </c>
      <c r="E87">
        <v>40</v>
      </c>
      <c r="F87">
        <v>2.8</v>
      </c>
      <c r="G87">
        <v>6000</v>
      </c>
      <c r="J87">
        <v>72080000</v>
      </c>
      <c r="K87" t="s">
        <v>208</v>
      </c>
    </row>
    <row r="88" spans="1:11">
      <c r="A88" t="s">
        <v>205</v>
      </c>
      <c r="B88" t="s">
        <v>373</v>
      </c>
      <c r="C88" t="s">
        <v>104</v>
      </c>
      <c r="D88">
        <v>50</v>
      </c>
      <c r="E88">
        <v>50</v>
      </c>
      <c r="F88">
        <v>2.8</v>
      </c>
      <c r="G88">
        <v>6000</v>
      </c>
      <c r="J88">
        <v>72080000</v>
      </c>
      <c r="K88" t="s">
        <v>208</v>
      </c>
    </row>
    <row r="89" spans="1:11">
      <c r="A89" t="s">
        <v>205</v>
      </c>
      <c r="B89" t="s">
        <v>374</v>
      </c>
      <c r="C89" t="s">
        <v>375</v>
      </c>
      <c r="D89">
        <v>72</v>
      </c>
      <c r="E89">
        <v>72</v>
      </c>
      <c r="F89">
        <v>2.8</v>
      </c>
      <c r="G89">
        <v>6000</v>
      </c>
      <c r="J89">
        <v>72080000</v>
      </c>
      <c r="K89" t="s">
        <v>208</v>
      </c>
    </row>
    <row r="90" spans="1:11">
      <c r="A90" t="s">
        <v>205</v>
      </c>
      <c r="B90" t="s">
        <v>376</v>
      </c>
      <c r="C90" t="s">
        <v>377</v>
      </c>
      <c r="D90">
        <v>91.5</v>
      </c>
      <c r="E90">
        <v>91.5</v>
      </c>
      <c r="F90">
        <v>2.8</v>
      </c>
      <c r="G90">
        <v>6000</v>
      </c>
      <c r="J90">
        <v>72080000</v>
      </c>
      <c r="K90" t="s">
        <v>208</v>
      </c>
    </row>
    <row r="91" spans="1:11">
      <c r="A91" t="s">
        <v>205</v>
      </c>
      <c r="B91" t="s">
        <v>378</v>
      </c>
      <c r="C91" t="s">
        <v>379</v>
      </c>
      <c r="D91">
        <v>100</v>
      </c>
      <c r="E91">
        <v>100</v>
      </c>
      <c r="F91">
        <v>2.8</v>
      </c>
      <c r="G91">
        <v>6000</v>
      </c>
      <c r="J91">
        <v>72080000</v>
      </c>
      <c r="K91" t="s">
        <v>208</v>
      </c>
    </row>
    <row r="92" spans="1:11">
      <c r="A92" t="s">
        <v>205</v>
      </c>
      <c r="B92" t="s">
        <v>380</v>
      </c>
      <c r="C92" t="s">
        <v>381</v>
      </c>
      <c r="D92">
        <v>132</v>
      </c>
      <c r="E92">
        <v>132</v>
      </c>
      <c r="F92">
        <v>2.8</v>
      </c>
      <c r="G92">
        <v>6000</v>
      </c>
      <c r="J92">
        <v>72080000</v>
      </c>
      <c r="K92" t="s">
        <v>208</v>
      </c>
    </row>
    <row r="93" spans="1:11">
      <c r="A93" t="s">
        <v>205</v>
      </c>
      <c r="B93" t="s">
        <v>382</v>
      </c>
      <c r="C93" t="s">
        <v>383</v>
      </c>
      <c r="D93">
        <v>150</v>
      </c>
      <c r="E93">
        <v>150</v>
      </c>
      <c r="F93">
        <v>2.8</v>
      </c>
      <c r="G93">
        <v>6000</v>
      </c>
      <c r="J93">
        <v>72080000</v>
      </c>
      <c r="K93" t="s">
        <v>208</v>
      </c>
    </row>
    <row r="94" spans="1:11">
      <c r="A94" t="s">
        <v>384</v>
      </c>
      <c r="B94" t="s">
        <v>385</v>
      </c>
      <c r="C94" t="s">
        <v>386</v>
      </c>
      <c r="D94">
        <v>40</v>
      </c>
      <c r="E94">
        <v>20</v>
      </c>
      <c r="F94">
        <v>1.2</v>
      </c>
      <c r="G94">
        <v>6000</v>
      </c>
      <c r="J94">
        <v>72080000</v>
      </c>
      <c r="K94" t="s">
        <v>208</v>
      </c>
    </row>
    <row r="95" spans="1:11">
      <c r="A95" t="s">
        <v>384</v>
      </c>
      <c r="B95" t="s">
        <v>387</v>
      </c>
      <c r="C95" t="s">
        <v>388</v>
      </c>
      <c r="D95">
        <v>200</v>
      </c>
      <c r="E95">
        <v>100</v>
      </c>
      <c r="F95">
        <v>2.2000000000000002</v>
      </c>
      <c r="G95">
        <v>6000</v>
      </c>
      <c r="J95">
        <v>72080000</v>
      </c>
      <c r="K95" t="s">
        <v>208</v>
      </c>
    </row>
    <row r="96" spans="1:11">
      <c r="A96" t="s">
        <v>384</v>
      </c>
      <c r="B96" t="s">
        <v>389</v>
      </c>
      <c r="C96" t="s">
        <v>390</v>
      </c>
      <c r="D96">
        <v>40</v>
      </c>
      <c r="E96">
        <v>20</v>
      </c>
      <c r="F96">
        <v>1.6</v>
      </c>
      <c r="G96">
        <v>6000</v>
      </c>
      <c r="J96">
        <v>72080000</v>
      </c>
      <c r="K96" t="s">
        <v>208</v>
      </c>
    </row>
    <row r="97" spans="1:11">
      <c r="A97" t="s">
        <v>384</v>
      </c>
      <c r="B97" t="s">
        <v>391</v>
      </c>
      <c r="C97" t="s">
        <v>392</v>
      </c>
      <c r="D97">
        <v>40</v>
      </c>
      <c r="E97">
        <v>20</v>
      </c>
      <c r="F97">
        <v>1.8</v>
      </c>
      <c r="G97">
        <v>6000</v>
      </c>
      <c r="J97">
        <v>72080000</v>
      </c>
      <c r="K97" t="s">
        <v>208</v>
      </c>
    </row>
    <row r="98" spans="1:11">
      <c r="A98" t="s">
        <v>384</v>
      </c>
      <c r="B98" t="s">
        <v>393</v>
      </c>
      <c r="C98" t="s">
        <v>394</v>
      </c>
      <c r="D98">
        <v>40</v>
      </c>
      <c r="E98">
        <v>20</v>
      </c>
      <c r="F98">
        <v>2</v>
      </c>
      <c r="G98">
        <v>6000</v>
      </c>
      <c r="J98">
        <v>72080000</v>
      </c>
      <c r="K98" t="s">
        <v>208</v>
      </c>
    </row>
    <row r="99" spans="1:11">
      <c r="A99" t="s">
        <v>384</v>
      </c>
      <c r="B99" t="s">
        <v>395</v>
      </c>
      <c r="C99" t="s">
        <v>396</v>
      </c>
      <c r="D99">
        <v>40</v>
      </c>
      <c r="E99">
        <v>20</v>
      </c>
      <c r="F99">
        <v>2.2000000000000002</v>
      </c>
      <c r="G99">
        <v>6000</v>
      </c>
      <c r="J99">
        <v>72080000</v>
      </c>
      <c r="K99" t="s">
        <v>208</v>
      </c>
    </row>
    <row r="100" spans="1:11">
      <c r="A100" t="s">
        <v>384</v>
      </c>
      <c r="B100" t="s">
        <v>397</v>
      </c>
      <c r="C100" t="s">
        <v>398</v>
      </c>
      <c r="D100">
        <v>40</v>
      </c>
      <c r="E100">
        <v>20</v>
      </c>
      <c r="F100">
        <v>2.5</v>
      </c>
      <c r="G100">
        <v>6000</v>
      </c>
      <c r="J100">
        <v>72080000</v>
      </c>
      <c r="K100" t="s">
        <v>208</v>
      </c>
    </row>
    <row r="101" spans="1:11">
      <c r="A101" t="s">
        <v>384</v>
      </c>
      <c r="B101" t="s">
        <v>399</v>
      </c>
      <c r="C101" t="s">
        <v>400</v>
      </c>
      <c r="D101">
        <v>50</v>
      </c>
      <c r="E101">
        <v>25</v>
      </c>
      <c r="F101">
        <v>1.2</v>
      </c>
      <c r="G101">
        <v>6000</v>
      </c>
      <c r="J101">
        <v>72080000</v>
      </c>
      <c r="K101" t="s">
        <v>208</v>
      </c>
    </row>
    <row r="102" spans="1:11">
      <c r="A102" t="s">
        <v>384</v>
      </c>
      <c r="B102" t="s">
        <v>401</v>
      </c>
      <c r="C102" t="s">
        <v>402</v>
      </c>
      <c r="D102">
        <v>50</v>
      </c>
      <c r="E102">
        <v>25</v>
      </c>
      <c r="F102">
        <v>1.6</v>
      </c>
      <c r="G102">
        <v>6000</v>
      </c>
      <c r="J102">
        <v>72080000</v>
      </c>
      <c r="K102" t="s">
        <v>208</v>
      </c>
    </row>
    <row r="103" spans="1:11">
      <c r="A103" t="s">
        <v>384</v>
      </c>
      <c r="B103" t="s">
        <v>403</v>
      </c>
      <c r="C103" t="s">
        <v>404</v>
      </c>
      <c r="D103">
        <v>50</v>
      </c>
      <c r="E103">
        <v>25</v>
      </c>
      <c r="F103">
        <v>1.8</v>
      </c>
      <c r="G103">
        <v>6000</v>
      </c>
      <c r="J103">
        <v>72080000</v>
      </c>
      <c r="K103" t="s">
        <v>208</v>
      </c>
    </row>
    <row r="104" spans="1:11">
      <c r="A104" t="s">
        <v>384</v>
      </c>
      <c r="B104" t="s">
        <v>405</v>
      </c>
      <c r="C104" t="s">
        <v>406</v>
      </c>
      <c r="D104">
        <v>50</v>
      </c>
      <c r="E104">
        <v>25</v>
      </c>
      <c r="F104">
        <v>2</v>
      </c>
      <c r="G104">
        <v>6000</v>
      </c>
      <c r="J104">
        <v>72080000</v>
      </c>
      <c r="K104" t="s">
        <v>208</v>
      </c>
    </row>
    <row r="105" spans="1:11">
      <c r="A105" t="s">
        <v>384</v>
      </c>
      <c r="B105" t="s">
        <v>407</v>
      </c>
      <c r="C105" t="s">
        <v>408</v>
      </c>
      <c r="D105">
        <v>50</v>
      </c>
      <c r="E105">
        <v>25</v>
      </c>
      <c r="F105">
        <v>2.2000000000000002</v>
      </c>
      <c r="G105">
        <v>6000</v>
      </c>
      <c r="J105">
        <v>72080000</v>
      </c>
      <c r="K105" t="s">
        <v>208</v>
      </c>
    </row>
    <row r="106" spans="1:11">
      <c r="A106" t="s">
        <v>384</v>
      </c>
      <c r="B106" t="s">
        <v>409</v>
      </c>
      <c r="C106" t="s">
        <v>410</v>
      </c>
      <c r="D106">
        <v>50</v>
      </c>
      <c r="E106">
        <v>25</v>
      </c>
      <c r="F106">
        <v>2.5</v>
      </c>
      <c r="G106">
        <v>6000</v>
      </c>
      <c r="J106">
        <v>72080000</v>
      </c>
      <c r="K106" t="s">
        <v>208</v>
      </c>
    </row>
    <row r="107" spans="1:11">
      <c r="A107" t="s">
        <v>384</v>
      </c>
      <c r="B107" t="s">
        <v>411</v>
      </c>
      <c r="C107" t="s">
        <v>412</v>
      </c>
      <c r="D107">
        <v>50</v>
      </c>
      <c r="E107">
        <v>25</v>
      </c>
      <c r="F107">
        <v>2.9</v>
      </c>
      <c r="G107">
        <v>6000</v>
      </c>
      <c r="J107">
        <v>72080000</v>
      </c>
      <c r="K107" t="s">
        <v>208</v>
      </c>
    </row>
    <row r="108" spans="1:11">
      <c r="A108" t="s">
        <v>384</v>
      </c>
      <c r="B108" t="s">
        <v>413</v>
      </c>
      <c r="C108" t="s">
        <v>414</v>
      </c>
      <c r="D108">
        <v>50</v>
      </c>
      <c r="E108">
        <v>25</v>
      </c>
      <c r="F108">
        <v>3.6</v>
      </c>
      <c r="G108">
        <v>6000</v>
      </c>
      <c r="J108">
        <v>72080000</v>
      </c>
      <c r="K108" t="s">
        <v>208</v>
      </c>
    </row>
    <row r="109" spans="1:11">
      <c r="A109" t="s">
        <v>384</v>
      </c>
      <c r="B109" t="s">
        <v>415</v>
      </c>
      <c r="C109" t="s">
        <v>416</v>
      </c>
      <c r="D109">
        <v>60</v>
      </c>
      <c r="E109">
        <v>40</v>
      </c>
      <c r="F109">
        <v>1.6</v>
      </c>
      <c r="G109">
        <v>6000</v>
      </c>
      <c r="J109">
        <v>72080000</v>
      </c>
      <c r="K109" t="s">
        <v>208</v>
      </c>
    </row>
    <row r="110" spans="1:11">
      <c r="A110" t="s">
        <v>384</v>
      </c>
      <c r="B110" t="s">
        <v>417</v>
      </c>
      <c r="C110" t="s">
        <v>418</v>
      </c>
      <c r="D110">
        <v>60</v>
      </c>
      <c r="E110">
        <v>40</v>
      </c>
      <c r="F110">
        <v>1.8</v>
      </c>
      <c r="G110">
        <v>6000</v>
      </c>
      <c r="J110">
        <v>72080000</v>
      </c>
      <c r="K110" t="s">
        <v>208</v>
      </c>
    </row>
    <row r="111" spans="1:11">
      <c r="A111" t="s">
        <v>384</v>
      </c>
      <c r="B111" t="s">
        <v>419</v>
      </c>
      <c r="C111" t="s">
        <v>420</v>
      </c>
      <c r="D111">
        <v>60</v>
      </c>
      <c r="E111">
        <v>40</v>
      </c>
      <c r="F111">
        <v>2</v>
      </c>
      <c r="G111">
        <v>6000</v>
      </c>
      <c r="J111">
        <v>72080000</v>
      </c>
      <c r="K111" t="s">
        <v>208</v>
      </c>
    </row>
    <row r="112" spans="1:11">
      <c r="A112" t="s">
        <v>384</v>
      </c>
      <c r="B112" t="s">
        <v>421</v>
      </c>
      <c r="C112" t="s">
        <v>422</v>
      </c>
      <c r="D112">
        <v>60</v>
      </c>
      <c r="E112">
        <v>40</v>
      </c>
      <c r="F112">
        <v>2.2000000000000002</v>
      </c>
      <c r="G112">
        <v>6000</v>
      </c>
      <c r="J112">
        <v>72080000</v>
      </c>
      <c r="K112" t="s">
        <v>208</v>
      </c>
    </row>
    <row r="113" spans="1:11">
      <c r="A113" t="s">
        <v>384</v>
      </c>
      <c r="B113" t="s">
        <v>423</v>
      </c>
      <c r="C113" t="s">
        <v>424</v>
      </c>
      <c r="D113">
        <v>60</v>
      </c>
      <c r="E113">
        <v>40</v>
      </c>
      <c r="F113">
        <v>2.5</v>
      </c>
      <c r="G113">
        <v>6000</v>
      </c>
      <c r="J113">
        <v>72080000</v>
      </c>
      <c r="K113" t="s">
        <v>208</v>
      </c>
    </row>
    <row r="114" spans="1:11">
      <c r="A114" t="s">
        <v>384</v>
      </c>
      <c r="B114" t="s">
        <v>425</v>
      </c>
      <c r="C114" t="s">
        <v>426</v>
      </c>
      <c r="D114">
        <v>60</v>
      </c>
      <c r="E114">
        <v>40</v>
      </c>
      <c r="F114">
        <v>2.9</v>
      </c>
      <c r="G114">
        <v>6000</v>
      </c>
      <c r="J114">
        <v>72080000</v>
      </c>
      <c r="K114" t="s">
        <v>208</v>
      </c>
    </row>
    <row r="115" spans="1:11">
      <c r="A115" t="s">
        <v>384</v>
      </c>
      <c r="B115" t="s">
        <v>427</v>
      </c>
      <c r="C115" t="s">
        <v>428</v>
      </c>
      <c r="D115">
        <v>75</v>
      </c>
      <c r="E115">
        <v>25</v>
      </c>
      <c r="F115">
        <v>1.2</v>
      </c>
      <c r="G115">
        <v>6000</v>
      </c>
      <c r="J115">
        <v>72080000</v>
      </c>
      <c r="K115" t="s">
        <v>208</v>
      </c>
    </row>
    <row r="116" spans="1:11">
      <c r="A116" t="s">
        <v>384</v>
      </c>
      <c r="B116" t="s">
        <v>429</v>
      </c>
      <c r="C116" t="s">
        <v>430</v>
      </c>
      <c r="D116">
        <v>75</v>
      </c>
      <c r="E116">
        <v>25</v>
      </c>
      <c r="F116">
        <v>1.6</v>
      </c>
      <c r="G116">
        <v>6000</v>
      </c>
      <c r="J116">
        <v>72080000</v>
      </c>
      <c r="K116" t="s">
        <v>208</v>
      </c>
    </row>
    <row r="117" spans="1:11">
      <c r="A117" t="s">
        <v>384</v>
      </c>
      <c r="B117" t="s">
        <v>431</v>
      </c>
      <c r="C117" t="s">
        <v>432</v>
      </c>
      <c r="D117">
        <v>75</v>
      </c>
      <c r="E117">
        <v>25</v>
      </c>
      <c r="F117">
        <v>1.8</v>
      </c>
      <c r="G117">
        <v>6000</v>
      </c>
      <c r="J117">
        <v>72080000</v>
      </c>
      <c r="K117" t="s">
        <v>208</v>
      </c>
    </row>
    <row r="118" spans="1:11">
      <c r="A118" t="s">
        <v>384</v>
      </c>
      <c r="B118" t="s">
        <v>433</v>
      </c>
      <c r="C118" t="s">
        <v>434</v>
      </c>
      <c r="D118">
        <v>75</v>
      </c>
      <c r="E118">
        <v>25</v>
      </c>
      <c r="F118">
        <v>2</v>
      </c>
      <c r="G118">
        <v>6000</v>
      </c>
      <c r="J118">
        <v>72080000</v>
      </c>
      <c r="K118" t="s">
        <v>208</v>
      </c>
    </row>
    <row r="119" spans="1:11">
      <c r="A119" t="s">
        <v>384</v>
      </c>
      <c r="B119" t="s">
        <v>435</v>
      </c>
      <c r="C119" t="s">
        <v>436</v>
      </c>
      <c r="D119">
        <v>75</v>
      </c>
      <c r="E119">
        <v>25</v>
      </c>
      <c r="F119">
        <v>2.2000000000000002</v>
      </c>
      <c r="G119">
        <v>6000</v>
      </c>
      <c r="J119">
        <v>72080000</v>
      </c>
      <c r="K119" t="s">
        <v>208</v>
      </c>
    </row>
    <row r="120" spans="1:11">
      <c r="A120" t="s">
        <v>384</v>
      </c>
      <c r="B120" t="s">
        <v>437</v>
      </c>
      <c r="C120" t="s">
        <v>438</v>
      </c>
      <c r="D120">
        <v>75</v>
      </c>
      <c r="E120">
        <v>25</v>
      </c>
      <c r="F120">
        <v>2.5</v>
      </c>
      <c r="G120">
        <v>6000</v>
      </c>
      <c r="J120">
        <v>72080000</v>
      </c>
      <c r="K120" t="s">
        <v>208</v>
      </c>
    </row>
    <row r="121" spans="1:11">
      <c r="A121" t="s">
        <v>384</v>
      </c>
      <c r="B121" t="s">
        <v>439</v>
      </c>
      <c r="C121" t="s">
        <v>440</v>
      </c>
      <c r="D121">
        <v>80</v>
      </c>
      <c r="E121">
        <v>40</v>
      </c>
      <c r="F121">
        <v>1.2</v>
      </c>
      <c r="G121">
        <v>6000</v>
      </c>
      <c r="J121">
        <v>72080000</v>
      </c>
      <c r="K121" t="s">
        <v>208</v>
      </c>
    </row>
    <row r="122" spans="1:11">
      <c r="A122" t="s">
        <v>384</v>
      </c>
      <c r="B122" t="s">
        <v>441</v>
      </c>
      <c r="C122" t="s">
        <v>442</v>
      </c>
      <c r="D122">
        <v>80</v>
      </c>
      <c r="E122">
        <v>40</v>
      </c>
      <c r="F122">
        <v>1.6</v>
      </c>
      <c r="G122">
        <v>6000</v>
      </c>
      <c r="J122">
        <v>72080000</v>
      </c>
      <c r="K122" t="s">
        <v>208</v>
      </c>
    </row>
    <row r="123" spans="1:11">
      <c r="A123" t="s">
        <v>384</v>
      </c>
      <c r="B123" t="s">
        <v>443</v>
      </c>
      <c r="C123" t="s">
        <v>444</v>
      </c>
      <c r="D123">
        <v>80</v>
      </c>
      <c r="E123">
        <v>40</v>
      </c>
      <c r="F123">
        <v>1.8</v>
      </c>
      <c r="G123">
        <v>6000</v>
      </c>
      <c r="J123">
        <v>72080000</v>
      </c>
      <c r="K123" t="s">
        <v>208</v>
      </c>
    </row>
    <row r="124" spans="1:11">
      <c r="A124" t="s">
        <v>384</v>
      </c>
      <c r="B124" t="s">
        <v>445</v>
      </c>
      <c r="C124" t="s">
        <v>446</v>
      </c>
      <c r="D124">
        <v>80</v>
      </c>
      <c r="E124">
        <v>40</v>
      </c>
      <c r="F124">
        <v>2</v>
      </c>
      <c r="G124">
        <v>6000</v>
      </c>
      <c r="J124">
        <v>72080000</v>
      </c>
      <c r="K124" t="s">
        <v>208</v>
      </c>
    </row>
    <row r="125" spans="1:11">
      <c r="A125" t="s">
        <v>384</v>
      </c>
      <c r="B125" t="s">
        <v>447</v>
      </c>
      <c r="C125" t="s">
        <v>448</v>
      </c>
      <c r="D125">
        <v>80</v>
      </c>
      <c r="E125">
        <v>40</v>
      </c>
      <c r="F125">
        <v>2.2000000000000002</v>
      </c>
      <c r="G125">
        <v>6000</v>
      </c>
      <c r="J125">
        <v>72080000</v>
      </c>
      <c r="K125" t="s">
        <v>208</v>
      </c>
    </row>
    <row r="126" spans="1:11">
      <c r="A126" t="s">
        <v>384</v>
      </c>
      <c r="B126" t="s">
        <v>449</v>
      </c>
      <c r="C126" t="s">
        <v>450</v>
      </c>
      <c r="D126">
        <v>80</v>
      </c>
      <c r="E126">
        <v>40</v>
      </c>
      <c r="F126">
        <v>2.5</v>
      </c>
      <c r="G126">
        <v>6000</v>
      </c>
      <c r="J126">
        <v>72080000</v>
      </c>
      <c r="K126" t="s">
        <v>208</v>
      </c>
    </row>
    <row r="127" spans="1:11">
      <c r="A127" t="s">
        <v>384</v>
      </c>
      <c r="B127" t="s">
        <v>451</v>
      </c>
      <c r="C127" t="s">
        <v>452</v>
      </c>
      <c r="D127">
        <v>80</v>
      </c>
      <c r="E127">
        <v>40</v>
      </c>
      <c r="F127">
        <v>2.9</v>
      </c>
      <c r="G127">
        <v>6000</v>
      </c>
      <c r="J127">
        <v>72080000</v>
      </c>
      <c r="K127" t="s">
        <v>208</v>
      </c>
    </row>
    <row r="128" spans="1:11">
      <c r="A128" t="s">
        <v>384</v>
      </c>
      <c r="B128" t="s">
        <v>453</v>
      </c>
      <c r="C128" t="s">
        <v>454</v>
      </c>
      <c r="D128">
        <v>80</v>
      </c>
      <c r="E128">
        <v>40</v>
      </c>
      <c r="F128">
        <v>3.2</v>
      </c>
      <c r="G128">
        <v>6000</v>
      </c>
      <c r="J128">
        <v>72080000</v>
      </c>
      <c r="K128" t="s">
        <v>208</v>
      </c>
    </row>
    <row r="129" spans="1:11">
      <c r="A129" t="s">
        <v>384</v>
      </c>
      <c r="B129" t="s">
        <v>455</v>
      </c>
      <c r="C129" t="s">
        <v>456</v>
      </c>
      <c r="D129">
        <v>80</v>
      </c>
      <c r="E129">
        <v>40</v>
      </c>
      <c r="F129">
        <v>3.6</v>
      </c>
      <c r="G129">
        <v>6000</v>
      </c>
      <c r="J129">
        <v>72080000</v>
      </c>
      <c r="K129" t="s">
        <v>208</v>
      </c>
    </row>
    <row r="130" spans="1:11">
      <c r="A130" t="s">
        <v>384</v>
      </c>
      <c r="B130" t="s">
        <v>457</v>
      </c>
      <c r="C130" t="s">
        <v>458</v>
      </c>
      <c r="D130">
        <v>80</v>
      </c>
      <c r="E130">
        <v>40</v>
      </c>
      <c r="F130">
        <v>4</v>
      </c>
      <c r="G130">
        <v>6000</v>
      </c>
      <c r="J130">
        <v>72080000</v>
      </c>
      <c r="K130" t="s">
        <v>208</v>
      </c>
    </row>
    <row r="131" spans="1:11">
      <c r="A131" t="s">
        <v>384</v>
      </c>
      <c r="B131" t="s">
        <v>459</v>
      </c>
      <c r="C131" t="s">
        <v>460</v>
      </c>
      <c r="D131">
        <v>95</v>
      </c>
      <c r="E131">
        <v>25</v>
      </c>
      <c r="F131">
        <v>1.6</v>
      </c>
      <c r="G131">
        <v>6000</v>
      </c>
      <c r="J131">
        <v>72080000</v>
      </c>
      <c r="K131" t="s">
        <v>208</v>
      </c>
    </row>
    <row r="132" spans="1:11">
      <c r="A132" t="s">
        <v>384</v>
      </c>
      <c r="B132" t="s">
        <v>461</v>
      </c>
      <c r="C132" t="s">
        <v>462</v>
      </c>
      <c r="D132">
        <v>95</v>
      </c>
      <c r="E132">
        <v>25</v>
      </c>
      <c r="F132">
        <v>2.2000000000000002</v>
      </c>
      <c r="G132">
        <v>6000</v>
      </c>
      <c r="J132">
        <v>72080000</v>
      </c>
      <c r="K132" t="s">
        <v>208</v>
      </c>
    </row>
    <row r="133" spans="1:11">
      <c r="A133" t="s">
        <v>384</v>
      </c>
      <c r="B133" t="s">
        <v>463</v>
      </c>
      <c r="C133" t="s">
        <v>464</v>
      </c>
      <c r="D133">
        <v>95</v>
      </c>
      <c r="E133">
        <v>25</v>
      </c>
      <c r="F133">
        <v>2</v>
      </c>
      <c r="G133">
        <v>6000</v>
      </c>
      <c r="J133">
        <v>72080000</v>
      </c>
      <c r="K133" t="s">
        <v>208</v>
      </c>
    </row>
    <row r="134" spans="1:11">
      <c r="A134" t="s">
        <v>384</v>
      </c>
      <c r="B134" t="s">
        <v>465</v>
      </c>
      <c r="C134" t="s">
        <v>466</v>
      </c>
      <c r="D134">
        <v>96</v>
      </c>
      <c r="E134">
        <v>48</v>
      </c>
      <c r="F134">
        <v>1.6</v>
      </c>
      <c r="G134">
        <v>6000</v>
      </c>
      <c r="J134">
        <v>72080000</v>
      </c>
      <c r="K134" t="s">
        <v>208</v>
      </c>
    </row>
    <row r="135" spans="1:11">
      <c r="A135" t="s">
        <v>384</v>
      </c>
      <c r="B135" t="s">
        <v>467</v>
      </c>
      <c r="C135" t="s">
        <v>468</v>
      </c>
      <c r="D135">
        <v>96</v>
      </c>
      <c r="E135">
        <v>48</v>
      </c>
      <c r="F135">
        <v>1.8</v>
      </c>
      <c r="G135">
        <v>6000</v>
      </c>
      <c r="J135">
        <v>72080000</v>
      </c>
      <c r="K135" t="s">
        <v>208</v>
      </c>
    </row>
    <row r="136" spans="1:11">
      <c r="A136" t="s">
        <v>384</v>
      </c>
      <c r="B136" t="s">
        <v>469</v>
      </c>
      <c r="C136" t="s">
        <v>470</v>
      </c>
      <c r="D136">
        <v>96</v>
      </c>
      <c r="E136">
        <v>48</v>
      </c>
      <c r="F136">
        <v>2</v>
      </c>
      <c r="G136">
        <v>6000</v>
      </c>
      <c r="J136">
        <v>72080000</v>
      </c>
      <c r="K136" t="s">
        <v>208</v>
      </c>
    </row>
    <row r="137" spans="1:11">
      <c r="A137" t="s">
        <v>384</v>
      </c>
      <c r="B137" t="s">
        <v>471</v>
      </c>
      <c r="C137" t="s">
        <v>472</v>
      </c>
      <c r="D137">
        <v>96</v>
      </c>
      <c r="E137">
        <v>48</v>
      </c>
      <c r="F137">
        <v>2.2000000000000002</v>
      </c>
      <c r="G137">
        <v>6000</v>
      </c>
      <c r="J137">
        <v>72080000</v>
      </c>
      <c r="K137" t="s">
        <v>208</v>
      </c>
    </row>
    <row r="138" spans="1:11">
      <c r="A138" t="s">
        <v>384</v>
      </c>
      <c r="B138" t="s">
        <v>473</v>
      </c>
      <c r="C138" t="s">
        <v>474</v>
      </c>
      <c r="D138">
        <v>96</v>
      </c>
      <c r="E138">
        <v>48</v>
      </c>
      <c r="F138">
        <v>2.5</v>
      </c>
      <c r="G138">
        <v>6000</v>
      </c>
      <c r="J138">
        <v>72080000</v>
      </c>
      <c r="K138" t="s">
        <v>208</v>
      </c>
    </row>
    <row r="139" spans="1:11">
      <c r="A139" t="s">
        <v>384</v>
      </c>
      <c r="B139" t="s">
        <v>475</v>
      </c>
      <c r="C139" t="s">
        <v>476</v>
      </c>
      <c r="D139">
        <v>96</v>
      </c>
      <c r="E139">
        <v>48</v>
      </c>
      <c r="F139">
        <v>2.9</v>
      </c>
      <c r="G139">
        <v>6000</v>
      </c>
      <c r="J139">
        <v>72080000</v>
      </c>
      <c r="K139" t="s">
        <v>208</v>
      </c>
    </row>
    <row r="140" spans="1:11">
      <c r="A140" t="s">
        <v>384</v>
      </c>
      <c r="B140" t="s">
        <v>477</v>
      </c>
      <c r="C140" t="s">
        <v>478</v>
      </c>
      <c r="D140">
        <v>96</v>
      </c>
      <c r="E140">
        <v>48</v>
      </c>
      <c r="F140">
        <v>3.2</v>
      </c>
      <c r="G140">
        <v>6000</v>
      </c>
      <c r="J140">
        <v>72080000</v>
      </c>
      <c r="K140" t="s">
        <v>208</v>
      </c>
    </row>
    <row r="141" spans="1:11">
      <c r="A141" t="s">
        <v>384</v>
      </c>
      <c r="B141" t="s">
        <v>479</v>
      </c>
      <c r="C141" t="s">
        <v>480</v>
      </c>
      <c r="D141">
        <v>96</v>
      </c>
      <c r="E141">
        <v>48</v>
      </c>
      <c r="F141">
        <v>4</v>
      </c>
      <c r="G141">
        <v>6000</v>
      </c>
      <c r="J141">
        <v>72080000</v>
      </c>
      <c r="K141" t="s">
        <v>208</v>
      </c>
    </row>
    <row r="142" spans="1:11">
      <c r="A142" t="s">
        <v>384</v>
      </c>
      <c r="B142" t="s">
        <v>481</v>
      </c>
      <c r="C142" t="s">
        <v>482</v>
      </c>
      <c r="D142">
        <v>96</v>
      </c>
      <c r="E142">
        <v>48</v>
      </c>
      <c r="F142">
        <v>4.8</v>
      </c>
      <c r="G142">
        <v>6000</v>
      </c>
      <c r="J142">
        <v>72080000</v>
      </c>
      <c r="K142" t="s">
        <v>208</v>
      </c>
    </row>
    <row r="143" spans="1:11">
      <c r="A143" t="s">
        <v>384</v>
      </c>
      <c r="B143" t="s">
        <v>483</v>
      </c>
      <c r="C143" t="s">
        <v>484</v>
      </c>
      <c r="D143">
        <v>122</v>
      </c>
      <c r="E143">
        <v>61</v>
      </c>
      <c r="F143">
        <v>2</v>
      </c>
      <c r="G143">
        <v>6000</v>
      </c>
      <c r="J143">
        <v>72080000</v>
      </c>
      <c r="K143" t="s">
        <v>208</v>
      </c>
    </row>
    <row r="144" spans="1:11">
      <c r="A144" t="s">
        <v>384</v>
      </c>
      <c r="B144" t="s">
        <v>485</v>
      </c>
      <c r="C144" t="s">
        <v>486</v>
      </c>
      <c r="D144">
        <v>122</v>
      </c>
      <c r="E144">
        <v>61</v>
      </c>
      <c r="F144">
        <v>2.5</v>
      </c>
      <c r="G144">
        <v>6000</v>
      </c>
      <c r="J144">
        <v>72080000</v>
      </c>
      <c r="K144" t="s">
        <v>208</v>
      </c>
    </row>
    <row r="145" spans="1:11">
      <c r="A145" t="s">
        <v>384</v>
      </c>
      <c r="B145" t="s">
        <v>487</v>
      </c>
      <c r="C145" t="s">
        <v>488</v>
      </c>
      <c r="D145">
        <v>122</v>
      </c>
      <c r="E145">
        <v>61</v>
      </c>
      <c r="F145">
        <v>2.9</v>
      </c>
      <c r="G145">
        <v>6000</v>
      </c>
      <c r="J145">
        <v>72080000</v>
      </c>
      <c r="K145" t="s">
        <v>208</v>
      </c>
    </row>
    <row r="146" spans="1:11">
      <c r="A146" t="s">
        <v>384</v>
      </c>
      <c r="B146" t="s">
        <v>489</v>
      </c>
      <c r="C146" t="s">
        <v>490</v>
      </c>
      <c r="D146">
        <v>122</v>
      </c>
      <c r="E146">
        <v>61</v>
      </c>
      <c r="F146">
        <v>3.2</v>
      </c>
      <c r="G146">
        <v>6000</v>
      </c>
      <c r="J146">
        <v>72080000</v>
      </c>
      <c r="K146" t="s">
        <v>208</v>
      </c>
    </row>
    <row r="147" spans="1:11">
      <c r="A147" t="s">
        <v>384</v>
      </c>
      <c r="B147" t="s">
        <v>491</v>
      </c>
      <c r="C147" t="s">
        <v>492</v>
      </c>
      <c r="D147">
        <v>122</v>
      </c>
      <c r="E147">
        <v>61</v>
      </c>
      <c r="F147">
        <v>3.6</v>
      </c>
      <c r="G147">
        <v>6000</v>
      </c>
      <c r="J147">
        <v>72080000</v>
      </c>
      <c r="K147" t="s">
        <v>208</v>
      </c>
    </row>
    <row r="148" spans="1:11">
      <c r="A148" t="s">
        <v>384</v>
      </c>
      <c r="B148" t="s">
        <v>493</v>
      </c>
      <c r="C148" t="s">
        <v>494</v>
      </c>
      <c r="D148">
        <v>122</v>
      </c>
      <c r="E148">
        <v>61</v>
      </c>
      <c r="F148">
        <v>4</v>
      </c>
      <c r="G148">
        <v>6000</v>
      </c>
      <c r="J148">
        <v>72080000</v>
      </c>
      <c r="K148" t="s">
        <v>208</v>
      </c>
    </row>
    <row r="149" spans="1:11">
      <c r="A149" t="s">
        <v>384</v>
      </c>
      <c r="B149" t="s">
        <v>495</v>
      </c>
      <c r="C149" t="s">
        <v>496</v>
      </c>
      <c r="D149">
        <v>122</v>
      </c>
      <c r="E149">
        <v>61</v>
      </c>
      <c r="F149">
        <v>4.8</v>
      </c>
      <c r="G149">
        <v>6000</v>
      </c>
      <c r="J149">
        <v>72080000</v>
      </c>
      <c r="K149" t="s">
        <v>208</v>
      </c>
    </row>
    <row r="150" spans="1:11">
      <c r="A150" t="s">
        <v>384</v>
      </c>
      <c r="B150" t="s">
        <v>497</v>
      </c>
      <c r="C150" t="s">
        <v>498</v>
      </c>
      <c r="D150">
        <v>145</v>
      </c>
      <c r="E150">
        <v>82</v>
      </c>
      <c r="F150">
        <v>2.5</v>
      </c>
      <c r="G150">
        <v>6000</v>
      </c>
      <c r="J150">
        <v>72080000</v>
      </c>
      <c r="K150" t="s">
        <v>208</v>
      </c>
    </row>
    <row r="151" spans="1:11">
      <c r="A151" t="s">
        <v>384</v>
      </c>
      <c r="B151" t="s">
        <v>499</v>
      </c>
      <c r="C151" t="s">
        <v>500</v>
      </c>
      <c r="D151">
        <v>145</v>
      </c>
      <c r="E151">
        <v>82</v>
      </c>
      <c r="F151">
        <v>2.9</v>
      </c>
      <c r="G151">
        <v>6000</v>
      </c>
      <c r="J151">
        <v>72080000</v>
      </c>
      <c r="K151" t="s">
        <v>208</v>
      </c>
    </row>
    <row r="152" spans="1:11">
      <c r="A152" t="s">
        <v>384</v>
      </c>
      <c r="B152" t="s">
        <v>501</v>
      </c>
      <c r="C152" t="s">
        <v>502</v>
      </c>
      <c r="D152">
        <v>145</v>
      </c>
      <c r="E152">
        <v>82</v>
      </c>
      <c r="F152">
        <v>4</v>
      </c>
      <c r="G152">
        <v>6000</v>
      </c>
      <c r="J152">
        <v>72080000</v>
      </c>
      <c r="K152" t="s">
        <v>208</v>
      </c>
    </row>
    <row r="153" spans="1:11">
      <c r="A153" t="s">
        <v>384</v>
      </c>
      <c r="B153" t="s">
        <v>503</v>
      </c>
      <c r="C153" t="s">
        <v>504</v>
      </c>
      <c r="D153">
        <v>145</v>
      </c>
      <c r="E153">
        <v>82</v>
      </c>
      <c r="F153">
        <v>4.8</v>
      </c>
      <c r="G153">
        <v>6000</v>
      </c>
      <c r="J153">
        <v>72080000</v>
      </c>
      <c r="K153" t="s">
        <v>208</v>
      </c>
    </row>
    <row r="154" spans="1:11">
      <c r="A154" t="s">
        <v>384</v>
      </c>
      <c r="B154" t="s">
        <v>505</v>
      </c>
      <c r="C154" t="s">
        <v>506</v>
      </c>
      <c r="D154">
        <v>172</v>
      </c>
      <c r="E154">
        <v>92</v>
      </c>
      <c r="F154">
        <v>2.5</v>
      </c>
      <c r="G154">
        <v>6000</v>
      </c>
      <c r="J154">
        <v>72080000</v>
      </c>
      <c r="K154" t="s">
        <v>208</v>
      </c>
    </row>
    <row r="155" spans="1:11">
      <c r="A155" t="s">
        <v>384</v>
      </c>
      <c r="B155" t="s">
        <v>507</v>
      </c>
      <c r="C155" t="s">
        <v>508</v>
      </c>
      <c r="D155">
        <v>172</v>
      </c>
      <c r="E155">
        <v>92</v>
      </c>
      <c r="F155">
        <v>2.9</v>
      </c>
      <c r="G155">
        <v>6000</v>
      </c>
      <c r="J155">
        <v>72080000</v>
      </c>
      <c r="K155" t="s">
        <v>208</v>
      </c>
    </row>
    <row r="156" spans="1:11">
      <c r="A156" t="s">
        <v>384</v>
      </c>
      <c r="B156" t="s">
        <v>509</v>
      </c>
      <c r="C156" t="s">
        <v>510</v>
      </c>
      <c r="D156">
        <v>172</v>
      </c>
      <c r="E156">
        <v>92</v>
      </c>
      <c r="F156">
        <v>4</v>
      </c>
      <c r="G156">
        <v>6000</v>
      </c>
      <c r="J156">
        <v>72080000</v>
      </c>
      <c r="K156" t="s">
        <v>208</v>
      </c>
    </row>
    <row r="157" spans="1:11">
      <c r="A157" t="s">
        <v>384</v>
      </c>
      <c r="B157" t="s">
        <v>511</v>
      </c>
      <c r="C157" t="s">
        <v>512</v>
      </c>
      <c r="D157">
        <v>172</v>
      </c>
      <c r="E157">
        <v>92</v>
      </c>
      <c r="F157">
        <v>4.8</v>
      </c>
      <c r="G157">
        <v>6000</v>
      </c>
      <c r="J157">
        <v>72080000</v>
      </c>
      <c r="K157" t="s">
        <v>208</v>
      </c>
    </row>
    <row r="158" spans="1:11">
      <c r="A158" t="s">
        <v>384</v>
      </c>
      <c r="B158" t="s">
        <v>513</v>
      </c>
      <c r="C158" t="s">
        <v>514</v>
      </c>
      <c r="D158">
        <v>172</v>
      </c>
      <c r="E158">
        <v>92</v>
      </c>
      <c r="F158">
        <v>5.4</v>
      </c>
      <c r="G158">
        <v>6000</v>
      </c>
      <c r="J158">
        <v>72080000</v>
      </c>
      <c r="K158" t="s">
        <v>208</v>
      </c>
    </row>
    <row r="159" spans="1:11">
      <c r="A159" t="s">
        <v>384</v>
      </c>
      <c r="B159" t="s">
        <v>515</v>
      </c>
      <c r="C159" t="s">
        <v>516</v>
      </c>
      <c r="D159">
        <v>200</v>
      </c>
      <c r="E159">
        <v>100</v>
      </c>
      <c r="F159">
        <v>3</v>
      </c>
      <c r="G159">
        <v>6000</v>
      </c>
      <c r="J159">
        <v>72080000</v>
      </c>
      <c r="K159" t="s">
        <v>208</v>
      </c>
    </row>
    <row r="160" spans="1:11">
      <c r="A160" t="s">
        <v>384</v>
      </c>
      <c r="B160" t="s">
        <v>517</v>
      </c>
      <c r="C160" t="s">
        <v>518</v>
      </c>
      <c r="D160">
        <v>200</v>
      </c>
      <c r="E160">
        <v>100</v>
      </c>
      <c r="F160">
        <v>4</v>
      </c>
      <c r="G160">
        <v>6000</v>
      </c>
      <c r="J160">
        <v>72080000</v>
      </c>
      <c r="K160" t="s">
        <v>208</v>
      </c>
    </row>
    <row r="161" spans="1:11">
      <c r="A161" t="s">
        <v>384</v>
      </c>
      <c r="B161" t="s">
        <v>519</v>
      </c>
      <c r="C161" t="s">
        <v>520</v>
      </c>
      <c r="D161">
        <v>200</v>
      </c>
      <c r="E161">
        <v>100</v>
      </c>
      <c r="F161">
        <v>4.8</v>
      </c>
      <c r="G161">
        <v>6000</v>
      </c>
      <c r="J161">
        <v>72080000</v>
      </c>
      <c r="K161" t="s">
        <v>208</v>
      </c>
    </row>
    <row r="162" spans="1:11">
      <c r="A162" t="s">
        <v>384</v>
      </c>
      <c r="B162" t="s">
        <v>521</v>
      </c>
      <c r="C162" t="s">
        <v>522</v>
      </c>
      <c r="D162">
        <v>200</v>
      </c>
      <c r="E162">
        <v>100</v>
      </c>
      <c r="F162">
        <v>6</v>
      </c>
      <c r="G162">
        <v>6000</v>
      </c>
      <c r="J162">
        <v>72080000</v>
      </c>
      <c r="K162" t="s">
        <v>208</v>
      </c>
    </row>
    <row r="163" spans="1:11">
      <c r="A163" t="s">
        <v>384</v>
      </c>
      <c r="B163" t="s">
        <v>523</v>
      </c>
      <c r="C163" t="s">
        <v>524</v>
      </c>
      <c r="D163">
        <v>240</v>
      </c>
      <c r="E163">
        <v>120</v>
      </c>
      <c r="F163">
        <v>4</v>
      </c>
      <c r="G163">
        <v>6000</v>
      </c>
      <c r="J163">
        <v>72080000</v>
      </c>
      <c r="K163" t="s">
        <v>208</v>
      </c>
    </row>
    <row r="164" spans="1:11">
      <c r="A164" t="s">
        <v>384</v>
      </c>
      <c r="B164" t="s">
        <v>525</v>
      </c>
      <c r="C164" t="s">
        <v>526</v>
      </c>
      <c r="D164">
        <v>100</v>
      </c>
      <c r="E164">
        <v>25</v>
      </c>
      <c r="F164">
        <v>1.6</v>
      </c>
      <c r="G164">
        <v>6000</v>
      </c>
      <c r="J164">
        <v>72080000</v>
      </c>
      <c r="K164" t="s">
        <v>208</v>
      </c>
    </row>
    <row r="165" spans="1:11">
      <c r="A165" t="s">
        <v>384</v>
      </c>
      <c r="B165" t="s">
        <v>527</v>
      </c>
      <c r="C165" t="s">
        <v>528</v>
      </c>
      <c r="D165">
        <v>100</v>
      </c>
      <c r="E165">
        <v>25</v>
      </c>
      <c r="F165">
        <v>2</v>
      </c>
      <c r="G165">
        <v>6000</v>
      </c>
      <c r="J165">
        <v>72080000</v>
      </c>
      <c r="K165" t="s">
        <v>208</v>
      </c>
    </row>
    <row r="166" spans="1:11">
      <c r="A166" t="s">
        <v>384</v>
      </c>
      <c r="B166" t="s">
        <v>529</v>
      </c>
      <c r="C166" t="s">
        <v>530</v>
      </c>
      <c r="D166">
        <v>100</v>
      </c>
      <c r="E166">
        <v>25</v>
      </c>
      <c r="F166">
        <v>2.2000000000000002</v>
      </c>
      <c r="G166">
        <v>6000</v>
      </c>
      <c r="J166">
        <v>72080000</v>
      </c>
      <c r="K166" t="s">
        <v>208</v>
      </c>
    </row>
    <row r="167" spans="1:11">
      <c r="A167" t="s">
        <v>384</v>
      </c>
      <c r="B167" t="s">
        <v>531</v>
      </c>
      <c r="C167" t="s">
        <v>532</v>
      </c>
      <c r="D167">
        <v>125</v>
      </c>
      <c r="E167">
        <v>25</v>
      </c>
      <c r="F167">
        <v>1.6</v>
      </c>
      <c r="G167">
        <v>6000</v>
      </c>
      <c r="J167">
        <v>72080000</v>
      </c>
      <c r="K167" t="s">
        <v>208</v>
      </c>
    </row>
    <row r="168" spans="1:11">
      <c r="A168" t="s">
        <v>384</v>
      </c>
      <c r="B168" t="s">
        <v>533</v>
      </c>
      <c r="C168" t="s">
        <v>534</v>
      </c>
      <c r="D168">
        <v>125</v>
      </c>
      <c r="E168">
        <v>25</v>
      </c>
      <c r="F168">
        <v>2</v>
      </c>
      <c r="G168">
        <v>6000</v>
      </c>
      <c r="J168">
        <v>72080000</v>
      </c>
      <c r="K168" t="s">
        <v>208</v>
      </c>
    </row>
    <row r="169" spans="1:11">
      <c r="A169" t="s">
        <v>384</v>
      </c>
      <c r="B169" t="s">
        <v>535</v>
      </c>
      <c r="C169" t="s">
        <v>536</v>
      </c>
      <c r="D169">
        <v>125</v>
      </c>
      <c r="E169">
        <v>25</v>
      </c>
      <c r="F169">
        <v>2.2000000000000002</v>
      </c>
      <c r="G169">
        <v>6000</v>
      </c>
      <c r="J169">
        <v>72080000</v>
      </c>
      <c r="K169" t="s">
        <v>208</v>
      </c>
    </row>
    <row r="170" spans="1:11">
      <c r="A170" t="s">
        <v>384</v>
      </c>
      <c r="B170" t="s">
        <v>537</v>
      </c>
      <c r="C170" t="s">
        <v>538</v>
      </c>
      <c r="D170">
        <v>150</v>
      </c>
      <c r="E170">
        <v>25</v>
      </c>
      <c r="F170">
        <v>1.6</v>
      </c>
      <c r="G170">
        <v>6000</v>
      </c>
      <c r="J170">
        <v>72080000</v>
      </c>
      <c r="K170" t="s">
        <v>208</v>
      </c>
    </row>
    <row r="171" spans="1:11">
      <c r="A171" t="s">
        <v>384</v>
      </c>
      <c r="B171" t="s">
        <v>539</v>
      </c>
      <c r="C171" t="s">
        <v>540</v>
      </c>
      <c r="D171">
        <v>150</v>
      </c>
      <c r="E171">
        <v>25</v>
      </c>
      <c r="F171">
        <v>2</v>
      </c>
      <c r="G171">
        <v>6000</v>
      </c>
      <c r="J171">
        <v>72080000</v>
      </c>
      <c r="K171" t="s">
        <v>208</v>
      </c>
    </row>
    <row r="172" spans="1:11">
      <c r="A172" t="s">
        <v>384</v>
      </c>
      <c r="B172" t="s">
        <v>541</v>
      </c>
      <c r="C172" t="s">
        <v>542</v>
      </c>
      <c r="D172">
        <v>150</v>
      </c>
      <c r="E172">
        <v>25</v>
      </c>
      <c r="F172">
        <v>2.2000000000000002</v>
      </c>
      <c r="G172">
        <v>6000</v>
      </c>
      <c r="J172">
        <v>72080000</v>
      </c>
      <c r="K172" t="s">
        <v>208</v>
      </c>
    </row>
    <row r="173" spans="1:11">
      <c r="A173" t="s">
        <v>384</v>
      </c>
      <c r="B173" t="s">
        <v>543</v>
      </c>
      <c r="C173" t="s">
        <v>544</v>
      </c>
      <c r="D173">
        <v>200</v>
      </c>
      <c r="E173">
        <v>25</v>
      </c>
      <c r="F173">
        <v>1.6</v>
      </c>
      <c r="G173">
        <v>6000</v>
      </c>
      <c r="J173">
        <v>72080000</v>
      </c>
      <c r="K173" t="s">
        <v>208</v>
      </c>
    </row>
    <row r="174" spans="1:11">
      <c r="A174" t="s">
        <v>384</v>
      </c>
      <c r="B174" t="s">
        <v>545</v>
      </c>
      <c r="C174" t="s">
        <v>546</v>
      </c>
      <c r="D174">
        <v>200</v>
      </c>
      <c r="E174">
        <v>25</v>
      </c>
      <c r="F174">
        <v>2</v>
      </c>
      <c r="G174">
        <v>6000</v>
      </c>
      <c r="J174">
        <v>72080000</v>
      </c>
      <c r="K174" t="s">
        <v>208</v>
      </c>
    </row>
    <row r="175" spans="1:11">
      <c r="A175" t="s">
        <v>384</v>
      </c>
      <c r="B175" t="s">
        <v>547</v>
      </c>
      <c r="C175" t="s">
        <v>548</v>
      </c>
      <c r="D175">
        <v>200</v>
      </c>
      <c r="E175">
        <v>25</v>
      </c>
      <c r="F175">
        <v>2.2000000000000002</v>
      </c>
      <c r="G175">
        <v>6000</v>
      </c>
      <c r="J175">
        <v>72080000</v>
      </c>
      <c r="K175" t="s">
        <v>208</v>
      </c>
    </row>
    <row r="176" spans="1:11">
      <c r="A176" t="s">
        <v>384</v>
      </c>
      <c r="B176" t="s">
        <v>549</v>
      </c>
      <c r="C176" t="s">
        <v>550</v>
      </c>
      <c r="D176">
        <v>275</v>
      </c>
      <c r="E176">
        <v>25</v>
      </c>
      <c r="F176">
        <v>1.6</v>
      </c>
      <c r="G176">
        <v>6000</v>
      </c>
      <c r="J176">
        <v>72080000</v>
      </c>
      <c r="K176" t="s">
        <v>208</v>
      </c>
    </row>
    <row r="177" spans="1:11">
      <c r="A177" t="s">
        <v>384</v>
      </c>
      <c r="B177" t="s">
        <v>551</v>
      </c>
      <c r="C177" t="s">
        <v>552</v>
      </c>
      <c r="D177">
        <v>275</v>
      </c>
      <c r="E177">
        <v>25</v>
      </c>
      <c r="F177">
        <v>2</v>
      </c>
      <c r="G177">
        <v>6000</v>
      </c>
      <c r="J177">
        <v>72080000</v>
      </c>
      <c r="K177" t="s">
        <v>208</v>
      </c>
    </row>
    <row r="178" spans="1:11">
      <c r="A178" t="s">
        <v>384</v>
      </c>
      <c r="B178" t="s">
        <v>553</v>
      </c>
      <c r="C178" t="s">
        <v>554</v>
      </c>
      <c r="D178">
        <v>275</v>
      </c>
      <c r="E178">
        <v>25</v>
      </c>
      <c r="F178">
        <v>2.2000000000000002</v>
      </c>
      <c r="G178">
        <v>6000</v>
      </c>
      <c r="J178">
        <v>72080000</v>
      </c>
      <c r="K178" t="s">
        <v>208</v>
      </c>
    </row>
    <row r="179" spans="1:11">
      <c r="A179" t="s">
        <v>384</v>
      </c>
      <c r="B179" t="s">
        <v>555</v>
      </c>
      <c r="C179" t="s">
        <v>556</v>
      </c>
      <c r="D179">
        <v>200</v>
      </c>
      <c r="E179">
        <v>100</v>
      </c>
      <c r="F179">
        <v>1.6</v>
      </c>
      <c r="G179">
        <v>6000</v>
      </c>
      <c r="J179">
        <v>72080000</v>
      </c>
      <c r="K179" t="s">
        <v>208</v>
      </c>
    </row>
    <row r="180" spans="1:11">
      <c r="A180" t="s">
        <v>384</v>
      </c>
      <c r="B180" t="s">
        <v>557</v>
      </c>
      <c r="C180" t="s">
        <v>558</v>
      </c>
      <c r="D180">
        <v>40</v>
      </c>
      <c r="E180">
        <v>20</v>
      </c>
      <c r="F180">
        <v>2.8</v>
      </c>
      <c r="G180">
        <v>6000</v>
      </c>
      <c r="J180">
        <v>72080000</v>
      </c>
      <c r="K180" t="s">
        <v>208</v>
      </c>
    </row>
    <row r="181" spans="1:11">
      <c r="A181" t="s">
        <v>384</v>
      </c>
      <c r="B181" t="s">
        <v>559</v>
      </c>
      <c r="C181" t="s">
        <v>560</v>
      </c>
      <c r="D181">
        <v>50</v>
      </c>
      <c r="E181">
        <v>25</v>
      </c>
      <c r="F181">
        <v>2.8</v>
      </c>
      <c r="G181">
        <v>60001</v>
      </c>
      <c r="J181">
        <v>72080000</v>
      </c>
      <c r="K181" t="s">
        <v>208</v>
      </c>
    </row>
    <row r="182" spans="1:11">
      <c r="A182" t="s">
        <v>384</v>
      </c>
      <c r="B182" t="s">
        <v>561</v>
      </c>
      <c r="C182" t="s">
        <v>562</v>
      </c>
      <c r="D182">
        <v>50</v>
      </c>
      <c r="E182">
        <v>25</v>
      </c>
      <c r="F182">
        <v>2.8</v>
      </c>
      <c r="G182">
        <v>6000</v>
      </c>
      <c r="J182">
        <v>72080000</v>
      </c>
      <c r="K182" t="s">
        <v>208</v>
      </c>
    </row>
    <row r="183" spans="1:11">
      <c r="A183" t="s">
        <v>384</v>
      </c>
      <c r="B183" t="s">
        <v>563</v>
      </c>
      <c r="C183" t="s">
        <v>564</v>
      </c>
      <c r="D183">
        <v>60</v>
      </c>
      <c r="E183">
        <v>40</v>
      </c>
      <c r="F183">
        <v>2.8</v>
      </c>
      <c r="G183">
        <v>6000</v>
      </c>
      <c r="J183">
        <v>72080000</v>
      </c>
      <c r="K183" t="s">
        <v>208</v>
      </c>
    </row>
    <row r="184" spans="1:11">
      <c r="A184" t="s">
        <v>384</v>
      </c>
      <c r="B184" t="s">
        <v>565</v>
      </c>
      <c r="C184" t="s">
        <v>566</v>
      </c>
      <c r="D184">
        <v>80</v>
      </c>
      <c r="E184">
        <v>40</v>
      </c>
      <c r="F184">
        <v>2.8</v>
      </c>
      <c r="G184">
        <v>6000</v>
      </c>
      <c r="J184">
        <v>72080000</v>
      </c>
      <c r="K184" t="s">
        <v>208</v>
      </c>
    </row>
    <row r="185" spans="1:11">
      <c r="A185" t="s">
        <v>384</v>
      </c>
      <c r="B185" t="s">
        <v>567</v>
      </c>
      <c r="C185" t="s">
        <v>568</v>
      </c>
      <c r="D185">
        <v>96</v>
      </c>
      <c r="E185">
        <v>48</v>
      </c>
      <c r="F185">
        <v>2.8</v>
      </c>
      <c r="G185">
        <v>6000</v>
      </c>
      <c r="J185">
        <v>72080000</v>
      </c>
      <c r="K185" t="s">
        <v>208</v>
      </c>
    </row>
    <row r="186" spans="1:11">
      <c r="A186" t="s">
        <v>384</v>
      </c>
      <c r="B186" t="s">
        <v>569</v>
      </c>
      <c r="C186" t="s">
        <v>570</v>
      </c>
      <c r="D186">
        <v>122</v>
      </c>
      <c r="E186">
        <v>61</v>
      </c>
      <c r="F186">
        <v>2.8</v>
      </c>
      <c r="G186">
        <v>6000</v>
      </c>
      <c r="J186">
        <v>72080000</v>
      </c>
      <c r="K186" t="s">
        <v>208</v>
      </c>
    </row>
    <row r="187" spans="1:11">
      <c r="A187" t="s">
        <v>384</v>
      </c>
      <c r="B187" t="s">
        <v>571</v>
      </c>
      <c r="C187" t="s">
        <v>572</v>
      </c>
      <c r="D187">
        <v>145</v>
      </c>
      <c r="E187">
        <v>82</v>
      </c>
      <c r="F187">
        <v>2.8</v>
      </c>
      <c r="G187">
        <v>6000</v>
      </c>
      <c r="J187">
        <v>72080000</v>
      </c>
      <c r="K187" t="s">
        <v>208</v>
      </c>
    </row>
    <row r="188" spans="1:11">
      <c r="A188" t="s">
        <v>384</v>
      </c>
      <c r="B188" t="s">
        <v>573</v>
      </c>
      <c r="C188" t="s">
        <v>574</v>
      </c>
      <c r="D188">
        <v>172</v>
      </c>
      <c r="E188">
        <v>92</v>
      </c>
      <c r="F188">
        <v>2.8</v>
      </c>
      <c r="G188">
        <v>6000</v>
      </c>
      <c r="J188">
        <v>72080000</v>
      </c>
      <c r="K188" t="s">
        <v>208</v>
      </c>
    </row>
    <row r="189" spans="1:11">
      <c r="A189" t="s">
        <v>384</v>
      </c>
      <c r="B189" t="s">
        <v>575</v>
      </c>
      <c r="C189" t="s">
        <v>576</v>
      </c>
      <c r="D189">
        <v>200</v>
      </c>
      <c r="E189">
        <v>100</v>
      </c>
      <c r="F189">
        <v>2.8</v>
      </c>
      <c r="G189">
        <v>6000</v>
      </c>
      <c r="J189">
        <v>72080000</v>
      </c>
      <c r="K189" t="s">
        <v>208</v>
      </c>
    </row>
    <row r="190" spans="1:11">
      <c r="A190" t="s">
        <v>577</v>
      </c>
      <c r="B190" t="s">
        <v>578</v>
      </c>
      <c r="C190" t="s">
        <v>579</v>
      </c>
      <c r="F190">
        <v>2.2000000000000002</v>
      </c>
      <c r="G190">
        <v>6000</v>
      </c>
      <c r="H190">
        <v>32</v>
      </c>
      <c r="I190">
        <v>42.4</v>
      </c>
      <c r="J190">
        <v>72080000</v>
      </c>
      <c r="K190" t="s">
        <v>208</v>
      </c>
    </row>
    <row r="191" spans="1:11">
      <c r="A191" t="s">
        <v>577</v>
      </c>
      <c r="B191" t="s">
        <v>580</v>
      </c>
      <c r="C191" t="s">
        <v>581</v>
      </c>
      <c r="F191">
        <v>1.6</v>
      </c>
      <c r="G191">
        <v>6000</v>
      </c>
      <c r="H191">
        <v>15</v>
      </c>
      <c r="I191">
        <v>21.3</v>
      </c>
      <c r="J191">
        <v>72080000</v>
      </c>
      <c r="K191" t="s">
        <v>208</v>
      </c>
    </row>
    <row r="192" spans="1:11">
      <c r="A192" t="s">
        <v>577</v>
      </c>
      <c r="B192" t="s">
        <v>582</v>
      </c>
      <c r="C192" t="s">
        <v>583</v>
      </c>
      <c r="F192">
        <v>2.2000000000000002</v>
      </c>
      <c r="G192">
        <v>6000</v>
      </c>
      <c r="H192">
        <v>25</v>
      </c>
      <c r="I192">
        <v>33.700000000000003</v>
      </c>
      <c r="J192">
        <v>72080000</v>
      </c>
      <c r="K192" t="s">
        <v>208</v>
      </c>
    </row>
    <row r="193" spans="1:11">
      <c r="A193" t="s">
        <v>577</v>
      </c>
      <c r="B193" t="s">
        <v>584</v>
      </c>
      <c r="C193" t="s">
        <v>585</v>
      </c>
      <c r="F193">
        <v>1.6</v>
      </c>
      <c r="G193">
        <v>6000</v>
      </c>
      <c r="H193">
        <v>20</v>
      </c>
      <c r="I193">
        <v>26.9</v>
      </c>
      <c r="J193">
        <v>72080000</v>
      </c>
      <c r="K193" t="s">
        <v>208</v>
      </c>
    </row>
    <row r="194" spans="1:11">
      <c r="A194" t="s">
        <v>577</v>
      </c>
      <c r="B194" t="s">
        <v>586</v>
      </c>
      <c r="C194" t="s">
        <v>587</v>
      </c>
      <c r="F194">
        <v>1.6</v>
      </c>
      <c r="G194">
        <v>6000</v>
      </c>
      <c r="H194">
        <v>25</v>
      </c>
      <c r="I194">
        <v>33.700000000000003</v>
      </c>
      <c r="J194">
        <v>72080000</v>
      </c>
      <c r="K194" t="s">
        <v>208</v>
      </c>
    </row>
    <row r="195" spans="1:11">
      <c r="A195" t="s">
        <v>577</v>
      </c>
      <c r="B195" t="s">
        <v>588</v>
      </c>
      <c r="C195" t="s">
        <v>589</v>
      </c>
      <c r="F195">
        <v>2</v>
      </c>
      <c r="G195">
        <v>6000</v>
      </c>
      <c r="H195">
        <v>25</v>
      </c>
      <c r="I195">
        <v>33.700000000000003</v>
      </c>
      <c r="J195">
        <v>72080000</v>
      </c>
      <c r="K195" t="s">
        <v>208</v>
      </c>
    </row>
    <row r="196" spans="1:11">
      <c r="A196" t="s">
        <v>577</v>
      </c>
      <c r="B196" t="s">
        <v>590</v>
      </c>
      <c r="C196" t="s">
        <v>591</v>
      </c>
      <c r="F196">
        <v>1.6</v>
      </c>
      <c r="G196">
        <v>6000</v>
      </c>
      <c r="H196">
        <v>32</v>
      </c>
      <c r="I196">
        <v>42.4</v>
      </c>
      <c r="J196">
        <v>72080000</v>
      </c>
      <c r="K196" t="s">
        <v>208</v>
      </c>
    </row>
    <row r="197" spans="1:11">
      <c r="A197" t="s">
        <v>577</v>
      </c>
      <c r="B197" t="s">
        <v>592</v>
      </c>
      <c r="C197" t="s">
        <v>593</v>
      </c>
      <c r="F197">
        <v>2</v>
      </c>
      <c r="G197">
        <v>6000</v>
      </c>
      <c r="H197">
        <v>32</v>
      </c>
      <c r="I197">
        <v>42.4</v>
      </c>
      <c r="J197">
        <v>72080000</v>
      </c>
      <c r="K197" t="s">
        <v>208</v>
      </c>
    </row>
    <row r="198" spans="1:11">
      <c r="A198" t="s">
        <v>577</v>
      </c>
      <c r="B198" t="s">
        <v>594</v>
      </c>
      <c r="C198" t="s">
        <v>595</v>
      </c>
      <c r="F198">
        <v>2.6</v>
      </c>
      <c r="G198">
        <v>6000</v>
      </c>
      <c r="H198">
        <v>32</v>
      </c>
      <c r="I198">
        <v>42.4</v>
      </c>
      <c r="J198">
        <v>72080000</v>
      </c>
      <c r="K198" t="s">
        <v>208</v>
      </c>
    </row>
    <row r="199" spans="1:11">
      <c r="A199" t="s">
        <v>577</v>
      </c>
      <c r="B199" t="s">
        <v>596</v>
      </c>
      <c r="C199" t="s">
        <v>597</v>
      </c>
      <c r="F199">
        <v>2.6</v>
      </c>
      <c r="G199">
        <v>6000</v>
      </c>
      <c r="H199">
        <v>40</v>
      </c>
      <c r="I199">
        <v>48.3</v>
      </c>
      <c r="J199">
        <v>72080000</v>
      </c>
      <c r="K199" t="s">
        <v>208</v>
      </c>
    </row>
    <row r="200" spans="1:11">
      <c r="A200" t="s">
        <v>577</v>
      </c>
      <c r="B200" t="s">
        <v>598</v>
      </c>
      <c r="C200" t="s">
        <v>599</v>
      </c>
      <c r="F200">
        <v>1</v>
      </c>
      <c r="G200">
        <v>6000</v>
      </c>
      <c r="H200">
        <v>40</v>
      </c>
      <c r="I200">
        <v>48.3</v>
      </c>
      <c r="J200">
        <v>72080000</v>
      </c>
      <c r="K200" t="s">
        <v>208</v>
      </c>
    </row>
    <row r="201" spans="1:11">
      <c r="A201" t="s">
        <v>577</v>
      </c>
      <c r="B201" t="s">
        <v>600</v>
      </c>
      <c r="C201" t="s">
        <v>601</v>
      </c>
      <c r="F201">
        <v>1.2</v>
      </c>
      <c r="G201">
        <v>6000</v>
      </c>
      <c r="H201">
        <v>40</v>
      </c>
      <c r="I201">
        <v>48.3</v>
      </c>
      <c r="J201">
        <v>72080000</v>
      </c>
      <c r="K201" t="s">
        <v>208</v>
      </c>
    </row>
    <row r="202" spans="1:11">
      <c r="A202" t="s">
        <v>577</v>
      </c>
      <c r="B202" t="s">
        <v>602</v>
      </c>
      <c r="C202" t="s">
        <v>603</v>
      </c>
      <c r="F202">
        <v>1.6</v>
      </c>
      <c r="G202">
        <v>6000</v>
      </c>
      <c r="H202">
        <v>40</v>
      </c>
      <c r="I202">
        <v>48.3</v>
      </c>
      <c r="J202">
        <v>72080000</v>
      </c>
      <c r="K202" t="s">
        <v>208</v>
      </c>
    </row>
    <row r="203" spans="1:11">
      <c r="A203" t="s">
        <v>577</v>
      </c>
      <c r="B203" t="s">
        <v>604</v>
      </c>
      <c r="C203" t="s">
        <v>605</v>
      </c>
      <c r="F203">
        <v>1.8</v>
      </c>
      <c r="G203">
        <v>6000</v>
      </c>
      <c r="H203">
        <v>40</v>
      </c>
      <c r="I203">
        <v>48.3</v>
      </c>
      <c r="J203">
        <v>72080000</v>
      </c>
      <c r="K203" t="s">
        <v>208</v>
      </c>
    </row>
    <row r="204" spans="1:11">
      <c r="A204" t="s">
        <v>577</v>
      </c>
      <c r="B204" t="s">
        <v>606</v>
      </c>
      <c r="C204" t="s">
        <v>607</v>
      </c>
      <c r="F204">
        <v>2</v>
      </c>
      <c r="G204">
        <v>6000</v>
      </c>
      <c r="H204">
        <v>40</v>
      </c>
      <c r="I204">
        <v>48.3</v>
      </c>
      <c r="J204">
        <v>72080000</v>
      </c>
      <c r="K204" t="s">
        <v>208</v>
      </c>
    </row>
    <row r="205" spans="1:11">
      <c r="A205" t="s">
        <v>577</v>
      </c>
      <c r="B205" t="s">
        <v>608</v>
      </c>
      <c r="C205" t="s">
        <v>609</v>
      </c>
      <c r="F205">
        <v>2.9</v>
      </c>
      <c r="G205">
        <v>6000</v>
      </c>
      <c r="H205">
        <v>40</v>
      </c>
      <c r="I205">
        <v>48.3</v>
      </c>
      <c r="J205">
        <v>72080000</v>
      </c>
      <c r="K205" t="s">
        <v>208</v>
      </c>
    </row>
    <row r="206" spans="1:11">
      <c r="A206" t="s">
        <v>577</v>
      </c>
      <c r="B206" t="s">
        <v>610</v>
      </c>
      <c r="C206" t="s">
        <v>611</v>
      </c>
      <c r="F206">
        <v>1.6</v>
      </c>
      <c r="G206">
        <v>6000</v>
      </c>
      <c r="H206">
        <v>50</v>
      </c>
      <c r="I206">
        <v>60.3</v>
      </c>
      <c r="J206">
        <v>72080000</v>
      </c>
      <c r="K206" t="s">
        <v>208</v>
      </c>
    </row>
    <row r="207" spans="1:11">
      <c r="A207" t="s">
        <v>577</v>
      </c>
      <c r="B207" t="s">
        <v>612</v>
      </c>
      <c r="C207" t="s">
        <v>613</v>
      </c>
      <c r="F207">
        <v>2</v>
      </c>
      <c r="G207">
        <v>6000</v>
      </c>
      <c r="H207">
        <v>50</v>
      </c>
      <c r="I207">
        <v>60.3</v>
      </c>
      <c r="J207">
        <v>72080000</v>
      </c>
      <c r="K207" t="s">
        <v>208</v>
      </c>
    </row>
    <row r="208" spans="1:11">
      <c r="A208" t="s">
        <v>577</v>
      </c>
      <c r="B208" t="s">
        <v>614</v>
      </c>
      <c r="C208" t="s">
        <v>615</v>
      </c>
      <c r="F208">
        <v>2.9</v>
      </c>
      <c r="G208">
        <v>6000</v>
      </c>
      <c r="H208">
        <v>50</v>
      </c>
      <c r="I208">
        <v>60.3</v>
      </c>
      <c r="J208">
        <v>72080000</v>
      </c>
      <c r="K208" t="s">
        <v>208</v>
      </c>
    </row>
    <row r="209" spans="1:11">
      <c r="A209" t="s">
        <v>577</v>
      </c>
      <c r="B209" t="s">
        <v>616</v>
      </c>
      <c r="C209" t="s">
        <v>617</v>
      </c>
      <c r="F209">
        <v>2</v>
      </c>
      <c r="G209">
        <v>6000</v>
      </c>
      <c r="H209">
        <v>65</v>
      </c>
      <c r="I209">
        <v>76.099999999999994</v>
      </c>
      <c r="J209">
        <v>72080000</v>
      </c>
      <c r="K209" t="s">
        <v>208</v>
      </c>
    </row>
    <row r="210" spans="1:11">
      <c r="A210" t="s">
        <v>577</v>
      </c>
      <c r="B210" t="s">
        <v>618</v>
      </c>
      <c r="C210" t="s">
        <v>619</v>
      </c>
      <c r="F210">
        <v>2.2000000000000002</v>
      </c>
      <c r="G210">
        <v>6000</v>
      </c>
      <c r="H210">
        <v>65</v>
      </c>
      <c r="I210">
        <v>76.099999999999994</v>
      </c>
      <c r="J210">
        <v>72080000</v>
      </c>
      <c r="K210" t="s">
        <v>208</v>
      </c>
    </row>
    <row r="211" spans="1:11">
      <c r="A211" t="s">
        <v>577</v>
      </c>
      <c r="B211" t="s">
        <v>620</v>
      </c>
      <c r="C211" t="s">
        <v>621</v>
      </c>
      <c r="F211">
        <v>2.9</v>
      </c>
      <c r="G211">
        <v>6000</v>
      </c>
      <c r="H211">
        <v>65</v>
      </c>
      <c r="I211">
        <v>76.099999999999994</v>
      </c>
      <c r="J211">
        <v>72080000</v>
      </c>
      <c r="K211" t="s">
        <v>208</v>
      </c>
    </row>
    <row r="212" spans="1:11">
      <c r="A212" t="s">
        <v>577</v>
      </c>
      <c r="B212" t="s">
        <v>622</v>
      </c>
      <c r="C212" t="s">
        <v>623</v>
      </c>
      <c r="F212">
        <v>2</v>
      </c>
      <c r="G212">
        <v>6000</v>
      </c>
      <c r="H212">
        <v>80</v>
      </c>
      <c r="I212">
        <v>88.9</v>
      </c>
      <c r="J212">
        <v>72080000</v>
      </c>
      <c r="K212" t="s">
        <v>208</v>
      </c>
    </row>
    <row r="213" spans="1:11">
      <c r="A213" t="s">
        <v>577</v>
      </c>
      <c r="B213" t="s">
        <v>624</v>
      </c>
      <c r="C213" t="s">
        <v>625</v>
      </c>
      <c r="F213">
        <v>2.6</v>
      </c>
      <c r="G213">
        <v>6000</v>
      </c>
      <c r="H213">
        <v>80</v>
      </c>
      <c r="I213">
        <v>88.9</v>
      </c>
      <c r="J213">
        <v>72080000</v>
      </c>
      <c r="K213" t="s">
        <v>208</v>
      </c>
    </row>
    <row r="214" spans="1:11">
      <c r="A214" t="s">
        <v>577</v>
      </c>
      <c r="B214" t="s">
        <v>626</v>
      </c>
      <c r="C214" t="s">
        <v>627</v>
      </c>
      <c r="F214">
        <v>2.9</v>
      </c>
      <c r="G214">
        <v>6000</v>
      </c>
      <c r="H214">
        <v>80</v>
      </c>
      <c r="I214">
        <v>88.9</v>
      </c>
      <c r="J214">
        <v>72080000</v>
      </c>
      <c r="K214" t="s">
        <v>208</v>
      </c>
    </row>
    <row r="215" spans="1:11">
      <c r="A215" t="s">
        <v>577</v>
      </c>
      <c r="B215" t="s">
        <v>628</v>
      </c>
      <c r="C215" t="s">
        <v>629</v>
      </c>
      <c r="F215">
        <v>2.9</v>
      </c>
      <c r="G215">
        <v>6000</v>
      </c>
      <c r="H215">
        <v>100</v>
      </c>
      <c r="I215">
        <v>114.3</v>
      </c>
      <c r="J215">
        <v>72080000</v>
      </c>
      <c r="K215" t="s">
        <v>208</v>
      </c>
    </row>
    <row r="216" spans="1:11">
      <c r="A216" t="s">
        <v>577</v>
      </c>
      <c r="B216" t="s">
        <v>630</v>
      </c>
      <c r="C216" t="s">
        <v>631</v>
      </c>
      <c r="F216">
        <v>2.6</v>
      </c>
      <c r="G216">
        <v>6000</v>
      </c>
      <c r="H216">
        <v>100</v>
      </c>
      <c r="I216">
        <v>114.3</v>
      </c>
      <c r="J216">
        <v>72080000</v>
      </c>
      <c r="K216" t="s">
        <v>208</v>
      </c>
    </row>
    <row r="217" spans="1:11">
      <c r="A217" t="s">
        <v>577</v>
      </c>
      <c r="B217" t="s">
        <v>632</v>
      </c>
      <c r="C217" t="s">
        <v>633</v>
      </c>
      <c r="F217">
        <v>2.2000000000000002</v>
      </c>
      <c r="G217">
        <v>6000</v>
      </c>
      <c r="H217">
        <v>100</v>
      </c>
      <c r="I217">
        <v>114.3</v>
      </c>
      <c r="J217">
        <v>72080000</v>
      </c>
      <c r="K217" t="s">
        <v>208</v>
      </c>
    </row>
    <row r="218" spans="1:11">
      <c r="A218" t="s">
        <v>577</v>
      </c>
      <c r="B218" t="s">
        <v>634</v>
      </c>
      <c r="C218" t="s">
        <v>635</v>
      </c>
      <c r="F218">
        <v>2.5</v>
      </c>
      <c r="G218">
        <v>60000</v>
      </c>
      <c r="H218">
        <v>25</v>
      </c>
      <c r="I218">
        <v>33.700000000000003</v>
      </c>
      <c r="J218">
        <v>72080000</v>
      </c>
      <c r="K218" t="s">
        <v>208</v>
      </c>
    </row>
    <row r="219" spans="1:11">
      <c r="A219" t="s">
        <v>577</v>
      </c>
      <c r="B219" t="s">
        <v>636</v>
      </c>
      <c r="C219" t="s">
        <v>637</v>
      </c>
      <c r="F219">
        <v>2.8</v>
      </c>
      <c r="G219">
        <v>6000</v>
      </c>
      <c r="H219">
        <v>25</v>
      </c>
      <c r="I219">
        <v>33.700000000000003</v>
      </c>
      <c r="J219">
        <v>72080000</v>
      </c>
      <c r="K219" t="s">
        <v>208</v>
      </c>
    </row>
    <row r="220" spans="1:11">
      <c r="A220" t="s">
        <v>577</v>
      </c>
      <c r="B220" t="s">
        <v>638</v>
      </c>
      <c r="C220" t="s">
        <v>639</v>
      </c>
      <c r="F220">
        <v>2.5</v>
      </c>
      <c r="G220">
        <v>6000</v>
      </c>
      <c r="H220">
        <v>32</v>
      </c>
      <c r="I220">
        <v>42.4</v>
      </c>
      <c r="J220">
        <v>72080000</v>
      </c>
      <c r="K220" t="s">
        <v>208</v>
      </c>
    </row>
    <row r="221" spans="1:11">
      <c r="A221" t="s">
        <v>577</v>
      </c>
      <c r="B221" t="s">
        <v>640</v>
      </c>
      <c r="C221" t="s">
        <v>641</v>
      </c>
      <c r="F221">
        <v>2.8</v>
      </c>
      <c r="G221">
        <v>6000</v>
      </c>
      <c r="H221">
        <v>32</v>
      </c>
      <c r="I221">
        <v>42.4</v>
      </c>
      <c r="J221">
        <v>72080000</v>
      </c>
      <c r="K221" t="s">
        <v>208</v>
      </c>
    </row>
    <row r="222" spans="1:11">
      <c r="A222" t="s">
        <v>577</v>
      </c>
      <c r="B222" t="s">
        <v>642</v>
      </c>
      <c r="C222" t="s">
        <v>643</v>
      </c>
      <c r="F222">
        <v>2.5</v>
      </c>
      <c r="G222">
        <v>6000</v>
      </c>
      <c r="H222">
        <v>40</v>
      </c>
      <c r="I222">
        <v>48.3</v>
      </c>
      <c r="J222">
        <v>72080000</v>
      </c>
      <c r="K222" t="s">
        <v>208</v>
      </c>
    </row>
    <row r="223" spans="1:11">
      <c r="A223" t="s">
        <v>577</v>
      </c>
      <c r="B223" t="s">
        <v>644</v>
      </c>
      <c r="C223" t="s">
        <v>645</v>
      </c>
      <c r="F223">
        <v>2.8</v>
      </c>
      <c r="G223">
        <v>6000</v>
      </c>
      <c r="H223">
        <v>40</v>
      </c>
      <c r="I223">
        <v>48.3</v>
      </c>
      <c r="J223">
        <v>72080000</v>
      </c>
      <c r="K223" t="s">
        <v>208</v>
      </c>
    </row>
    <row r="224" spans="1:11">
      <c r="A224" t="s">
        <v>577</v>
      </c>
      <c r="B224" t="s">
        <v>646</v>
      </c>
      <c r="C224" t="s">
        <v>647</v>
      </c>
      <c r="F224">
        <v>2.2000000000000002</v>
      </c>
      <c r="G224">
        <v>6000</v>
      </c>
      <c r="H224">
        <v>40</v>
      </c>
      <c r="I224">
        <v>48.3</v>
      </c>
      <c r="J224">
        <v>72080000</v>
      </c>
      <c r="K224" t="s">
        <v>208</v>
      </c>
    </row>
    <row r="225" spans="1:11">
      <c r="A225" t="s">
        <v>577</v>
      </c>
      <c r="B225" t="s">
        <v>648</v>
      </c>
      <c r="C225" t="s">
        <v>649</v>
      </c>
      <c r="F225">
        <v>2.2000000000000002</v>
      </c>
      <c r="G225">
        <v>60001</v>
      </c>
      <c r="H225">
        <v>50</v>
      </c>
      <c r="I225">
        <v>60.3</v>
      </c>
      <c r="J225">
        <v>72080000</v>
      </c>
      <c r="K225" t="s">
        <v>208</v>
      </c>
    </row>
    <row r="226" spans="1:11">
      <c r="A226" t="s">
        <v>577</v>
      </c>
      <c r="B226" t="s">
        <v>650</v>
      </c>
      <c r="C226" t="s">
        <v>651</v>
      </c>
      <c r="F226">
        <v>2.5</v>
      </c>
      <c r="G226">
        <v>6000</v>
      </c>
      <c r="H226">
        <v>50</v>
      </c>
      <c r="I226">
        <v>60.3</v>
      </c>
      <c r="J226">
        <v>72080000</v>
      </c>
      <c r="K226" t="s">
        <v>208</v>
      </c>
    </row>
    <row r="227" spans="1:11">
      <c r="A227" t="s">
        <v>577</v>
      </c>
      <c r="B227" t="s">
        <v>652</v>
      </c>
      <c r="C227" t="s">
        <v>653</v>
      </c>
      <c r="F227">
        <v>2.8</v>
      </c>
      <c r="G227">
        <v>6000</v>
      </c>
      <c r="H227">
        <v>50</v>
      </c>
      <c r="I227">
        <v>60.3</v>
      </c>
      <c r="J227">
        <v>72080000</v>
      </c>
      <c r="K227" t="s">
        <v>208</v>
      </c>
    </row>
    <row r="228" spans="1:11">
      <c r="A228" t="s">
        <v>577</v>
      </c>
      <c r="B228" t="s">
        <v>654</v>
      </c>
      <c r="C228" t="s">
        <v>655</v>
      </c>
      <c r="F228">
        <v>2.5</v>
      </c>
      <c r="G228">
        <v>6000</v>
      </c>
      <c r="H228">
        <v>65</v>
      </c>
      <c r="I228">
        <v>76.099999999999994</v>
      </c>
      <c r="J228">
        <v>72080000</v>
      </c>
      <c r="K228" t="s">
        <v>208</v>
      </c>
    </row>
    <row r="229" spans="1:11">
      <c r="A229" t="s">
        <v>577</v>
      </c>
      <c r="B229" t="s">
        <v>656</v>
      </c>
      <c r="C229" t="s">
        <v>657</v>
      </c>
      <c r="F229">
        <v>2.8</v>
      </c>
      <c r="G229">
        <v>6000</v>
      </c>
      <c r="H229">
        <v>65</v>
      </c>
      <c r="I229">
        <v>76.099999999999994</v>
      </c>
      <c r="J229">
        <v>72080000</v>
      </c>
      <c r="K229" t="s">
        <v>208</v>
      </c>
    </row>
    <row r="230" spans="1:11">
      <c r="A230" t="s">
        <v>577</v>
      </c>
      <c r="B230" t="s">
        <v>658</v>
      </c>
      <c r="C230" t="s">
        <v>659</v>
      </c>
      <c r="F230">
        <v>2.5</v>
      </c>
      <c r="G230">
        <v>6000</v>
      </c>
      <c r="H230">
        <v>80</v>
      </c>
      <c r="I230">
        <v>88.9</v>
      </c>
      <c r="J230">
        <v>72080000</v>
      </c>
      <c r="K230" t="s">
        <v>208</v>
      </c>
    </row>
    <row r="231" spans="1:11">
      <c r="A231" t="s">
        <v>577</v>
      </c>
      <c r="B231" t="s">
        <v>660</v>
      </c>
      <c r="C231" t="s">
        <v>661</v>
      </c>
      <c r="F231">
        <v>2.8</v>
      </c>
      <c r="G231">
        <v>6000</v>
      </c>
      <c r="H231">
        <v>80</v>
      </c>
      <c r="I231">
        <v>88.9</v>
      </c>
      <c r="J231">
        <v>72080000</v>
      </c>
      <c r="K231" t="s">
        <v>208</v>
      </c>
    </row>
    <row r="232" spans="1:11">
      <c r="A232" t="s">
        <v>577</v>
      </c>
      <c r="B232" t="s">
        <v>662</v>
      </c>
      <c r="C232" t="s">
        <v>663</v>
      </c>
      <c r="F232">
        <v>2.5</v>
      </c>
      <c r="G232">
        <v>6000</v>
      </c>
      <c r="H232">
        <v>100</v>
      </c>
      <c r="I232">
        <v>114.3</v>
      </c>
      <c r="J232">
        <v>72080000</v>
      </c>
      <c r="K232" t="s">
        <v>208</v>
      </c>
    </row>
    <row r="233" spans="1:11">
      <c r="A233" t="s">
        <v>577</v>
      </c>
      <c r="B233" t="s">
        <v>664</v>
      </c>
      <c r="C233" t="s">
        <v>665</v>
      </c>
      <c r="F233">
        <v>2.8</v>
      </c>
      <c r="G233">
        <v>6000</v>
      </c>
      <c r="H233">
        <v>100</v>
      </c>
      <c r="I233">
        <v>114.3</v>
      </c>
      <c r="J233">
        <v>72080000</v>
      </c>
      <c r="K233" t="s">
        <v>208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B318-7F0B-4D77-9D01-7080E6188EF3}">
  <dimension ref="A1:D499"/>
  <sheetViews>
    <sheetView workbookViewId="0">
      <selection activeCell="D2" sqref="D2"/>
    </sheetView>
  </sheetViews>
  <sheetFormatPr defaultRowHeight="15"/>
  <cols>
    <col min="1" max="1" width="38.140625" customWidth="1"/>
    <col min="2" max="2" width="82.7109375" style="14" customWidth="1"/>
    <col min="4" max="4" width="24.5703125" customWidth="1"/>
  </cols>
  <sheetData>
    <row r="1" spans="1:4" s="14" customFormat="1">
      <c r="A1" s="13"/>
      <c r="B1" s="13"/>
      <c r="D1" s="15" t="s">
        <v>666</v>
      </c>
    </row>
    <row r="2" spans="1:4">
      <c r="A2" s="6"/>
      <c r="B2" s="16"/>
      <c r="D2" t="e">
        <f>IF('Slit to Tube Conversion'!#REF!="","",'Slit to Tube Conversion'!#REF!)</f>
        <v>#REF!</v>
      </c>
    </row>
    <row r="3" spans="1:4">
      <c r="A3" s="6"/>
      <c r="B3" s="17"/>
      <c r="D3" t="e">
        <f>IF('Slit to Tube Conversion'!#REF!="","",'Slit to Tube Conversion'!#REF!)</f>
        <v>#REF!</v>
      </c>
    </row>
    <row r="4" spans="1:4" ht="30" customHeight="1">
      <c r="A4" s="7" t="s">
        <v>667</v>
      </c>
      <c r="B4" s="18" t="s">
        <v>668</v>
      </c>
      <c r="D4" t="e">
        <f>IF('Slit to Tube Conversion'!#REF!="","",'Slit to Tube Conversion'!#REF!)</f>
        <v>#REF!</v>
      </c>
    </row>
    <row r="5" spans="1:4" ht="8.25" customHeight="1">
      <c r="A5" s="6"/>
      <c r="B5" s="16"/>
      <c r="D5" t="e">
        <f>IF('Slit to Tube Conversion'!#REF!="","",'Slit to Tube Conversion'!#REF!)</f>
        <v>#REF!</v>
      </c>
    </row>
    <row r="6" spans="1:4" ht="27.75" customHeight="1">
      <c r="A6" s="8" t="s">
        <v>669</v>
      </c>
      <c r="B6" s="19"/>
      <c r="D6" t="e">
        <f>IF('Slit to Tube Conversion'!#REF!="","",'Slit to Tube Conversion'!#REF!)</f>
        <v>#REF!</v>
      </c>
    </row>
    <row r="7" spans="1:4" ht="24" customHeight="1">
      <c r="A7" s="9" t="s">
        <v>670</v>
      </c>
      <c r="B7" s="20">
        <v>7.85</v>
      </c>
      <c r="D7" t="e">
        <f>IF('Slit to Tube Conversion'!#REF!="","",'Slit to Tube Conversion'!#REF!)</f>
        <v>#REF!</v>
      </c>
    </row>
    <row r="8" spans="1:4" ht="24" customHeight="1">
      <c r="A8" s="9" t="s">
        <v>671</v>
      </c>
      <c r="B8" s="21">
        <f>B7/1000000000</f>
        <v>7.8499999999999992E-9</v>
      </c>
      <c r="D8" t="e">
        <f>IF('Slit to Tube Conversion'!#REF!="","",'Slit to Tube Conversion'!#REF!)</f>
        <v>#REF!</v>
      </c>
    </row>
    <row r="9" spans="1:4" ht="21.75" customHeight="1">
      <c r="A9" s="10" t="s">
        <v>672</v>
      </c>
      <c r="B9" s="22"/>
      <c r="D9" t="e">
        <f>IF('Slit to Tube Conversion'!#REF!="","",'Slit to Tube Conversion'!#REF!)</f>
        <v>#REF!</v>
      </c>
    </row>
    <row r="10" spans="1:4">
      <c r="D10" t="e">
        <f>IF('Slit to Tube Conversion'!#REF!="","",'Slit to Tube Conversion'!#REF!)</f>
        <v>#REF!</v>
      </c>
    </row>
    <row r="11" spans="1:4">
      <c r="D11" t="e">
        <f>IF('Slit to Tube Conversion'!#REF!="","",'Slit to Tube Conversion'!#REF!)</f>
        <v>#REF!</v>
      </c>
    </row>
    <row r="12" spans="1:4">
      <c r="D12" t="e">
        <f>IF('Slit to Tube Conversion'!#REF!="","",'Slit to Tube Conversion'!#REF!)</f>
        <v>#REF!</v>
      </c>
    </row>
    <row r="13" spans="1:4">
      <c r="D13" t="e">
        <f>IF('Slit to Tube Conversion'!#REF!="","",'Slit to Tube Conversion'!#REF!)</f>
        <v>#REF!</v>
      </c>
    </row>
    <row r="14" spans="1:4">
      <c r="D14" t="e">
        <f>IF('Slit to Tube Conversion'!#REF!="","",'Slit to Tube Conversion'!#REF!)</f>
        <v>#REF!</v>
      </c>
    </row>
    <row r="15" spans="1:4">
      <c r="D15" t="e">
        <f>IF('Slit to Tube Conversion'!#REF!="","",'Slit to Tube Conversion'!#REF!)</f>
        <v>#REF!</v>
      </c>
    </row>
    <row r="16" spans="1:4">
      <c r="D16" t="e">
        <f>IF('Slit to Tube Conversion'!#REF!="","",'Slit to Tube Conversion'!#REF!)</f>
        <v>#REF!</v>
      </c>
    </row>
    <row r="17" spans="4:4">
      <c r="D17" t="e">
        <f>IF('Slit to Tube Conversion'!#REF!="","",'Slit to Tube Conversion'!#REF!)</f>
        <v>#REF!</v>
      </c>
    </row>
    <row r="18" spans="4:4">
      <c r="D18" t="e">
        <f>IF('Slit to Tube Conversion'!#REF!="","",'Slit to Tube Conversion'!#REF!)</f>
        <v>#REF!</v>
      </c>
    </row>
    <row r="19" spans="4:4">
      <c r="D19" t="e">
        <f>IF('Slit to Tube Conversion'!#REF!="","",'Slit to Tube Conversion'!#REF!)</f>
        <v>#REF!</v>
      </c>
    </row>
    <row r="20" spans="4:4">
      <c r="D20" t="e">
        <f>IF('Slit to Tube Conversion'!#REF!="","",'Slit to Tube Conversion'!#REF!)</f>
        <v>#REF!</v>
      </c>
    </row>
    <row r="21" spans="4:4">
      <c r="D21" t="e">
        <f>IF('Slit to Tube Conversion'!#REF!="","",'Slit to Tube Conversion'!#REF!)</f>
        <v>#REF!</v>
      </c>
    </row>
    <row r="22" spans="4:4">
      <c r="D22" t="e">
        <f>IF('Slit to Tube Conversion'!#REF!="","",'Slit to Tube Conversion'!#REF!)</f>
        <v>#REF!</v>
      </c>
    </row>
    <row r="23" spans="4:4">
      <c r="D23" t="e">
        <f>IF('Slit to Tube Conversion'!#REF!="","",'Slit to Tube Conversion'!#REF!)</f>
        <v>#REF!</v>
      </c>
    </row>
    <row r="24" spans="4:4">
      <c r="D24" t="e">
        <f>IF('Slit to Tube Conversion'!#REF!="","",'Slit to Tube Conversion'!#REF!)</f>
        <v>#REF!</v>
      </c>
    </row>
    <row r="25" spans="4:4">
      <c r="D25" t="e">
        <f>IF('Slit to Tube Conversion'!#REF!="","",'Slit to Tube Conversion'!#REF!)</f>
        <v>#REF!</v>
      </c>
    </row>
    <row r="26" spans="4:4">
      <c r="D26" t="e">
        <f>IF('Slit to Tube Conversion'!#REF!="","",'Slit to Tube Conversion'!#REF!)</f>
        <v>#REF!</v>
      </c>
    </row>
    <row r="27" spans="4:4">
      <c r="D27" t="e">
        <f>IF('Slit to Tube Conversion'!#REF!="","",'Slit to Tube Conversion'!#REF!)</f>
        <v>#REF!</v>
      </c>
    </row>
    <row r="28" spans="4:4">
      <c r="D28" t="e">
        <f>IF('Slit to Tube Conversion'!#REF!="","",'Slit to Tube Conversion'!#REF!)</f>
        <v>#REF!</v>
      </c>
    </row>
    <row r="29" spans="4:4">
      <c r="D29" t="e">
        <f>IF('Slit to Tube Conversion'!#REF!="","",'Slit to Tube Conversion'!#REF!)</f>
        <v>#REF!</v>
      </c>
    </row>
    <row r="30" spans="4:4">
      <c r="D30" t="e">
        <f>IF('Slit to Tube Conversion'!#REF!="","",'Slit to Tube Conversion'!#REF!)</f>
        <v>#REF!</v>
      </c>
    </row>
    <row r="31" spans="4:4">
      <c r="D31" t="e">
        <f>IF('Slit to Tube Conversion'!#REF!="","",'Slit to Tube Conversion'!#REF!)</f>
        <v>#REF!</v>
      </c>
    </row>
    <row r="32" spans="4:4">
      <c r="D32" t="e">
        <f>IF('Slit to Tube Conversion'!#REF!="","",'Slit to Tube Conversion'!#REF!)</f>
        <v>#REF!</v>
      </c>
    </row>
    <row r="33" spans="4:4">
      <c r="D33" t="e">
        <f>IF('Slit to Tube Conversion'!#REF!="","",'Slit to Tube Conversion'!#REF!)</f>
        <v>#REF!</v>
      </c>
    </row>
    <row r="34" spans="4:4">
      <c r="D34" t="e">
        <f>IF('Slit to Tube Conversion'!#REF!="","",'Slit to Tube Conversion'!#REF!)</f>
        <v>#REF!</v>
      </c>
    </row>
    <row r="35" spans="4:4">
      <c r="D35" t="e">
        <f>IF('Slit to Tube Conversion'!#REF!="","",'Slit to Tube Conversion'!#REF!)</f>
        <v>#REF!</v>
      </c>
    </row>
    <row r="36" spans="4:4">
      <c r="D36" t="e">
        <f>IF('Slit to Tube Conversion'!#REF!="","",'Slit to Tube Conversion'!#REF!)</f>
        <v>#REF!</v>
      </c>
    </row>
    <row r="37" spans="4:4">
      <c r="D37" t="e">
        <f>IF('Slit to Tube Conversion'!#REF!="","",'Slit to Tube Conversion'!#REF!)</f>
        <v>#REF!</v>
      </c>
    </row>
    <row r="38" spans="4:4">
      <c r="D38" t="e">
        <f>IF('Slit to Tube Conversion'!#REF!="","",'Slit to Tube Conversion'!#REF!)</f>
        <v>#REF!</v>
      </c>
    </row>
    <row r="39" spans="4:4">
      <c r="D39" t="e">
        <f>IF('Slit to Tube Conversion'!#REF!="","",'Slit to Tube Conversion'!#REF!)</f>
        <v>#REF!</v>
      </c>
    </row>
    <row r="40" spans="4:4">
      <c r="D40" t="e">
        <f>IF('Slit to Tube Conversion'!#REF!="","",'Slit to Tube Conversion'!#REF!)</f>
        <v>#REF!</v>
      </c>
    </row>
    <row r="41" spans="4:4">
      <c r="D41" t="e">
        <f>IF('Slit to Tube Conversion'!#REF!="","",'Slit to Tube Conversion'!#REF!)</f>
        <v>#REF!</v>
      </c>
    </row>
    <row r="42" spans="4:4">
      <c r="D42" t="e">
        <f>IF('Slit to Tube Conversion'!#REF!="","",'Slit to Tube Conversion'!#REF!)</f>
        <v>#REF!</v>
      </c>
    </row>
    <row r="43" spans="4:4">
      <c r="D43" t="e">
        <f>IF('Slit to Tube Conversion'!#REF!="","",'Slit to Tube Conversion'!#REF!)</f>
        <v>#REF!</v>
      </c>
    </row>
    <row r="44" spans="4:4">
      <c r="D44" t="e">
        <f>IF('Slit to Tube Conversion'!#REF!="","",'Slit to Tube Conversion'!#REF!)</f>
        <v>#REF!</v>
      </c>
    </row>
    <row r="45" spans="4:4">
      <c r="D45" t="e">
        <f>IF('Slit to Tube Conversion'!#REF!="","",'Slit to Tube Conversion'!#REF!)</f>
        <v>#REF!</v>
      </c>
    </row>
    <row r="46" spans="4:4">
      <c r="D46" t="e">
        <f>IF('Slit to Tube Conversion'!#REF!="","",'Slit to Tube Conversion'!#REF!)</f>
        <v>#REF!</v>
      </c>
    </row>
    <row r="47" spans="4:4">
      <c r="D47" t="e">
        <f>IF('Slit to Tube Conversion'!#REF!="","",'Slit to Tube Conversion'!#REF!)</f>
        <v>#REF!</v>
      </c>
    </row>
    <row r="48" spans="4:4">
      <c r="D48" t="e">
        <f>IF('Slit to Tube Conversion'!#REF!="","",'Slit to Tube Conversion'!#REF!)</f>
        <v>#REF!</v>
      </c>
    </row>
    <row r="49" spans="4:4">
      <c r="D49" t="e">
        <f>IF('Slit to Tube Conversion'!#REF!="","",'Slit to Tube Conversion'!#REF!)</f>
        <v>#REF!</v>
      </c>
    </row>
    <row r="50" spans="4:4">
      <c r="D50" t="e">
        <f>IF('Slit to Tube Conversion'!#REF!="","",'Slit to Tube Conversion'!#REF!)</f>
        <v>#REF!</v>
      </c>
    </row>
    <row r="51" spans="4:4">
      <c r="D51" t="e">
        <f>IF('Slit to Tube Conversion'!#REF!="","",'Slit to Tube Conversion'!#REF!)</f>
        <v>#REF!</v>
      </c>
    </row>
    <row r="52" spans="4:4">
      <c r="D52" t="e">
        <f>IF('Slit to Tube Conversion'!#REF!="","",'Slit to Tube Conversion'!#REF!)</f>
        <v>#REF!</v>
      </c>
    </row>
    <row r="53" spans="4:4">
      <c r="D53" t="e">
        <f>IF('Slit to Tube Conversion'!#REF!="","",'Slit to Tube Conversion'!#REF!)</f>
        <v>#REF!</v>
      </c>
    </row>
    <row r="54" spans="4:4">
      <c r="D54" t="e">
        <f>IF('Slit to Tube Conversion'!#REF!="","",'Slit to Tube Conversion'!#REF!)</f>
        <v>#REF!</v>
      </c>
    </row>
    <row r="55" spans="4:4">
      <c r="D55" t="e">
        <f>IF('Slit to Tube Conversion'!#REF!="","",'Slit to Tube Conversion'!#REF!)</f>
        <v>#REF!</v>
      </c>
    </row>
    <row r="56" spans="4:4">
      <c r="D56" t="e">
        <f>IF('Slit to Tube Conversion'!#REF!="","",'Slit to Tube Conversion'!#REF!)</f>
        <v>#REF!</v>
      </c>
    </row>
    <row r="57" spans="4:4">
      <c r="D57" t="e">
        <f>IF('Slit to Tube Conversion'!#REF!="","",'Slit to Tube Conversion'!#REF!)</f>
        <v>#REF!</v>
      </c>
    </row>
    <row r="58" spans="4:4">
      <c r="D58" t="e">
        <f>IF('Slit to Tube Conversion'!#REF!="","",'Slit to Tube Conversion'!#REF!)</f>
        <v>#REF!</v>
      </c>
    </row>
    <row r="59" spans="4:4">
      <c r="D59" t="e">
        <f>IF('Slit to Tube Conversion'!#REF!="","",'Slit to Tube Conversion'!#REF!)</f>
        <v>#REF!</v>
      </c>
    </row>
    <row r="60" spans="4:4">
      <c r="D60" t="e">
        <f>IF('Slit to Tube Conversion'!#REF!="","",'Slit to Tube Conversion'!#REF!)</f>
        <v>#REF!</v>
      </c>
    </row>
    <row r="61" spans="4:4">
      <c r="D61" t="e">
        <f>IF('Slit to Tube Conversion'!#REF!="","",'Slit to Tube Conversion'!#REF!)</f>
        <v>#REF!</v>
      </c>
    </row>
    <row r="62" spans="4:4">
      <c r="D62" t="e">
        <f>IF('Slit to Tube Conversion'!#REF!="","",'Slit to Tube Conversion'!#REF!)</f>
        <v>#REF!</v>
      </c>
    </row>
    <row r="63" spans="4:4">
      <c r="D63" t="e">
        <f>IF('Slit to Tube Conversion'!#REF!="","",'Slit to Tube Conversion'!#REF!)</f>
        <v>#REF!</v>
      </c>
    </row>
    <row r="64" spans="4:4">
      <c r="D64" t="e">
        <f>IF('Slit to Tube Conversion'!#REF!="","",'Slit to Tube Conversion'!#REF!)</f>
        <v>#REF!</v>
      </c>
    </row>
    <row r="65" spans="4:4">
      <c r="D65" t="e">
        <f>IF('Slit to Tube Conversion'!#REF!="","",'Slit to Tube Conversion'!#REF!)</f>
        <v>#REF!</v>
      </c>
    </row>
    <row r="66" spans="4:4">
      <c r="D66" t="e">
        <f>IF('Slit to Tube Conversion'!#REF!="","",'Slit to Tube Conversion'!#REF!)</f>
        <v>#REF!</v>
      </c>
    </row>
    <row r="67" spans="4:4">
      <c r="D67" t="e">
        <f>IF('Slit to Tube Conversion'!#REF!="","",'Slit to Tube Conversion'!#REF!)</f>
        <v>#REF!</v>
      </c>
    </row>
    <row r="68" spans="4:4">
      <c r="D68" t="e">
        <f>IF('Slit to Tube Conversion'!#REF!="","",'Slit to Tube Conversion'!#REF!)</f>
        <v>#REF!</v>
      </c>
    </row>
    <row r="69" spans="4:4">
      <c r="D69" t="e">
        <f>IF('Slit to Tube Conversion'!#REF!="","",'Slit to Tube Conversion'!#REF!)</f>
        <v>#REF!</v>
      </c>
    </row>
    <row r="70" spans="4:4">
      <c r="D70" t="e">
        <f>IF('Slit to Tube Conversion'!#REF!="","",'Slit to Tube Conversion'!#REF!)</f>
        <v>#REF!</v>
      </c>
    </row>
    <row r="71" spans="4:4">
      <c r="D71" t="e">
        <f>IF('Slit to Tube Conversion'!#REF!="","",'Slit to Tube Conversion'!#REF!)</f>
        <v>#REF!</v>
      </c>
    </row>
    <row r="72" spans="4:4">
      <c r="D72" t="e">
        <f>IF('Slit to Tube Conversion'!#REF!="","",'Slit to Tube Conversion'!#REF!)</f>
        <v>#REF!</v>
      </c>
    </row>
    <row r="73" spans="4:4">
      <c r="D73" t="e">
        <f>IF('Slit to Tube Conversion'!#REF!="","",'Slit to Tube Conversion'!#REF!)</f>
        <v>#REF!</v>
      </c>
    </row>
    <row r="74" spans="4:4">
      <c r="D74" t="e">
        <f>IF('Slit to Tube Conversion'!#REF!="","",'Slit to Tube Conversion'!#REF!)</f>
        <v>#REF!</v>
      </c>
    </row>
    <row r="75" spans="4:4">
      <c r="D75" t="e">
        <f>IF('Slit to Tube Conversion'!#REF!="","",'Slit to Tube Conversion'!#REF!)</f>
        <v>#REF!</v>
      </c>
    </row>
    <row r="76" spans="4:4">
      <c r="D76" t="e">
        <f>IF('Slit to Tube Conversion'!#REF!="","",'Slit to Tube Conversion'!#REF!)</f>
        <v>#REF!</v>
      </c>
    </row>
    <row r="77" spans="4:4">
      <c r="D77" t="e">
        <f>IF('Slit to Tube Conversion'!#REF!="","",'Slit to Tube Conversion'!#REF!)</f>
        <v>#REF!</v>
      </c>
    </row>
    <row r="78" spans="4:4">
      <c r="D78" t="e">
        <f>IF('Slit to Tube Conversion'!#REF!="","",'Slit to Tube Conversion'!#REF!)</f>
        <v>#REF!</v>
      </c>
    </row>
    <row r="79" spans="4:4">
      <c r="D79" t="e">
        <f>IF('Slit to Tube Conversion'!#REF!="","",'Slit to Tube Conversion'!#REF!)</f>
        <v>#REF!</v>
      </c>
    </row>
    <row r="80" spans="4:4">
      <c r="D80" t="e">
        <f>IF('Slit to Tube Conversion'!#REF!="","",'Slit to Tube Conversion'!#REF!)</f>
        <v>#REF!</v>
      </c>
    </row>
    <row r="81" spans="4:4">
      <c r="D81" t="e">
        <f>IF('Slit to Tube Conversion'!#REF!="","",'Slit to Tube Conversion'!#REF!)</f>
        <v>#REF!</v>
      </c>
    </row>
    <row r="82" spans="4:4">
      <c r="D82" t="e">
        <f>IF('Slit to Tube Conversion'!#REF!="","",'Slit to Tube Conversion'!#REF!)</f>
        <v>#REF!</v>
      </c>
    </row>
    <row r="83" spans="4:4">
      <c r="D83" t="e">
        <f>IF('Slit to Tube Conversion'!#REF!="","",'Slit to Tube Conversion'!#REF!)</f>
        <v>#REF!</v>
      </c>
    </row>
    <row r="84" spans="4:4">
      <c r="D84" t="e">
        <f>IF('Slit to Tube Conversion'!#REF!="","",'Slit to Tube Conversion'!#REF!)</f>
        <v>#REF!</v>
      </c>
    </row>
    <row r="85" spans="4:4">
      <c r="D85" t="e">
        <f>IF('Slit to Tube Conversion'!#REF!="","",'Slit to Tube Conversion'!#REF!)</f>
        <v>#REF!</v>
      </c>
    </row>
    <row r="86" spans="4:4">
      <c r="D86" t="e">
        <f>IF('Slit to Tube Conversion'!#REF!="","",'Slit to Tube Conversion'!#REF!)</f>
        <v>#REF!</v>
      </c>
    </row>
    <row r="87" spans="4:4">
      <c r="D87" t="e">
        <f>IF('Slit to Tube Conversion'!#REF!="","",'Slit to Tube Conversion'!#REF!)</f>
        <v>#REF!</v>
      </c>
    </row>
    <row r="88" spans="4:4">
      <c r="D88" t="e">
        <f>IF('Slit to Tube Conversion'!#REF!="","",'Slit to Tube Conversion'!#REF!)</f>
        <v>#REF!</v>
      </c>
    </row>
    <row r="89" spans="4:4">
      <c r="D89" t="e">
        <f>IF('Slit to Tube Conversion'!#REF!="","",'Slit to Tube Conversion'!#REF!)</f>
        <v>#REF!</v>
      </c>
    </row>
    <row r="90" spans="4:4">
      <c r="D90" t="e">
        <f>IF('Slit to Tube Conversion'!#REF!="","",'Slit to Tube Conversion'!#REF!)</f>
        <v>#REF!</v>
      </c>
    </row>
    <row r="91" spans="4:4">
      <c r="D91" t="e">
        <f>IF('Slit to Tube Conversion'!#REF!="","",'Slit to Tube Conversion'!#REF!)</f>
        <v>#REF!</v>
      </c>
    </row>
    <row r="92" spans="4:4">
      <c r="D92" t="e">
        <f>IF('Slit to Tube Conversion'!#REF!="","",'Slit to Tube Conversion'!#REF!)</f>
        <v>#REF!</v>
      </c>
    </row>
    <row r="93" spans="4:4">
      <c r="D93" t="e">
        <f>IF('Slit to Tube Conversion'!#REF!="","",'Slit to Tube Conversion'!#REF!)</f>
        <v>#REF!</v>
      </c>
    </row>
    <row r="94" spans="4:4">
      <c r="D94" t="e">
        <f>IF('Slit to Tube Conversion'!#REF!="","",'Slit to Tube Conversion'!#REF!)</f>
        <v>#REF!</v>
      </c>
    </row>
    <row r="95" spans="4:4">
      <c r="D95" t="e">
        <f>IF('Slit to Tube Conversion'!#REF!="","",'Slit to Tube Conversion'!#REF!)</f>
        <v>#REF!</v>
      </c>
    </row>
    <row r="96" spans="4:4">
      <c r="D96" t="e">
        <f>IF('Slit to Tube Conversion'!#REF!="","",'Slit to Tube Conversion'!#REF!)</f>
        <v>#REF!</v>
      </c>
    </row>
    <row r="97" spans="4:4">
      <c r="D97" t="e">
        <f>IF('Slit to Tube Conversion'!#REF!="","",'Slit to Tube Conversion'!#REF!)</f>
        <v>#REF!</v>
      </c>
    </row>
    <row r="98" spans="4:4">
      <c r="D98" t="e">
        <f>IF('Slit to Tube Conversion'!#REF!="","",'Slit to Tube Conversion'!#REF!)</f>
        <v>#REF!</v>
      </c>
    </row>
    <row r="99" spans="4:4">
      <c r="D99" t="e">
        <f>IF('Slit to Tube Conversion'!#REF!="","",'Slit to Tube Conversion'!#REF!)</f>
        <v>#REF!</v>
      </c>
    </row>
    <row r="100" spans="4:4">
      <c r="D100" t="e">
        <f>IF('Slit to Tube Conversion'!#REF!="","",'Slit to Tube Conversion'!#REF!)</f>
        <v>#REF!</v>
      </c>
    </row>
    <row r="101" spans="4:4">
      <c r="D101" t="e">
        <f>IF('Slit to Tube Conversion'!#REF!="","",'Slit to Tube Conversion'!#REF!)</f>
        <v>#REF!</v>
      </c>
    </row>
    <row r="102" spans="4:4">
      <c r="D102" t="e">
        <f>IF('Slit to Tube Conversion'!#REF!="","",'Slit to Tube Conversion'!#REF!)</f>
        <v>#REF!</v>
      </c>
    </row>
    <row r="103" spans="4:4">
      <c r="D103" t="e">
        <f>IF('Slit to Tube Conversion'!#REF!="","",'Slit to Tube Conversion'!#REF!)</f>
        <v>#REF!</v>
      </c>
    </row>
    <row r="104" spans="4:4">
      <c r="D104" t="e">
        <f>IF('Slit to Tube Conversion'!#REF!="","",'Slit to Tube Conversion'!#REF!)</f>
        <v>#REF!</v>
      </c>
    </row>
    <row r="105" spans="4:4">
      <c r="D105" t="e">
        <f>IF('Slit to Tube Conversion'!#REF!="","",'Slit to Tube Conversion'!#REF!)</f>
        <v>#REF!</v>
      </c>
    </row>
    <row r="106" spans="4:4">
      <c r="D106" t="e">
        <f>IF('Slit to Tube Conversion'!#REF!="","",'Slit to Tube Conversion'!#REF!)</f>
        <v>#REF!</v>
      </c>
    </row>
    <row r="107" spans="4:4">
      <c r="D107" t="e">
        <f>IF('Slit to Tube Conversion'!#REF!="","",'Slit to Tube Conversion'!#REF!)</f>
        <v>#REF!</v>
      </c>
    </row>
    <row r="108" spans="4:4">
      <c r="D108" t="e">
        <f>IF('Slit to Tube Conversion'!#REF!="","",'Slit to Tube Conversion'!#REF!)</f>
        <v>#REF!</v>
      </c>
    </row>
    <row r="109" spans="4:4">
      <c r="D109" t="e">
        <f>IF('Slit to Tube Conversion'!#REF!="","",'Slit to Tube Conversion'!#REF!)</f>
        <v>#REF!</v>
      </c>
    </row>
    <row r="110" spans="4:4">
      <c r="D110" t="e">
        <f>IF('Slit to Tube Conversion'!#REF!="","",'Slit to Tube Conversion'!#REF!)</f>
        <v>#REF!</v>
      </c>
    </row>
    <row r="111" spans="4:4">
      <c r="D111" t="e">
        <f>IF('Slit to Tube Conversion'!#REF!="","",'Slit to Tube Conversion'!#REF!)</f>
        <v>#REF!</v>
      </c>
    </row>
    <row r="112" spans="4:4">
      <c r="D112" t="e">
        <f>IF('Slit to Tube Conversion'!#REF!="","",'Slit to Tube Conversion'!#REF!)</f>
        <v>#REF!</v>
      </c>
    </row>
    <row r="113" spans="4:4">
      <c r="D113" t="e">
        <f>IF('Slit to Tube Conversion'!#REF!="","",'Slit to Tube Conversion'!#REF!)</f>
        <v>#REF!</v>
      </c>
    </row>
    <row r="114" spans="4:4">
      <c r="D114" t="e">
        <f>IF('Slit to Tube Conversion'!#REF!="","",'Slit to Tube Conversion'!#REF!)</f>
        <v>#REF!</v>
      </c>
    </row>
    <row r="115" spans="4:4">
      <c r="D115" t="e">
        <f>IF('Slit to Tube Conversion'!#REF!="","",'Slit to Tube Conversion'!#REF!)</f>
        <v>#REF!</v>
      </c>
    </row>
    <row r="116" spans="4:4">
      <c r="D116" t="e">
        <f>IF('Slit to Tube Conversion'!#REF!="","",'Slit to Tube Conversion'!#REF!)</f>
        <v>#REF!</v>
      </c>
    </row>
    <row r="117" spans="4:4">
      <c r="D117" t="e">
        <f>IF('Slit to Tube Conversion'!#REF!="","",'Slit to Tube Conversion'!#REF!)</f>
        <v>#REF!</v>
      </c>
    </row>
    <row r="118" spans="4:4">
      <c r="D118" t="e">
        <f>IF('Slit to Tube Conversion'!#REF!="","",'Slit to Tube Conversion'!#REF!)</f>
        <v>#REF!</v>
      </c>
    </row>
    <row r="119" spans="4:4">
      <c r="D119" t="e">
        <f>IF('Slit to Tube Conversion'!#REF!="","",'Slit to Tube Conversion'!#REF!)</f>
        <v>#REF!</v>
      </c>
    </row>
    <row r="120" spans="4:4">
      <c r="D120" t="e">
        <f>IF('Slit to Tube Conversion'!#REF!="","",'Slit to Tube Conversion'!#REF!)</f>
        <v>#REF!</v>
      </c>
    </row>
    <row r="121" spans="4:4">
      <c r="D121" t="e">
        <f>IF('Slit to Tube Conversion'!#REF!="","",'Slit to Tube Conversion'!#REF!)</f>
        <v>#REF!</v>
      </c>
    </row>
    <row r="122" spans="4:4">
      <c r="D122" t="e">
        <f>IF('Slit to Tube Conversion'!#REF!="","",'Slit to Tube Conversion'!#REF!)</f>
        <v>#REF!</v>
      </c>
    </row>
    <row r="123" spans="4:4">
      <c r="D123" t="e">
        <f>IF('Slit to Tube Conversion'!#REF!="","",'Slit to Tube Conversion'!#REF!)</f>
        <v>#REF!</v>
      </c>
    </row>
    <row r="124" spans="4:4">
      <c r="D124" t="e">
        <f>IF('Slit to Tube Conversion'!#REF!="","",'Slit to Tube Conversion'!#REF!)</f>
        <v>#REF!</v>
      </c>
    </row>
    <row r="125" spans="4:4">
      <c r="D125" t="e">
        <f>IF('Slit to Tube Conversion'!#REF!="","",'Slit to Tube Conversion'!#REF!)</f>
        <v>#REF!</v>
      </c>
    </row>
    <row r="126" spans="4:4">
      <c r="D126" t="e">
        <f>IF('Slit to Tube Conversion'!#REF!="","",'Slit to Tube Conversion'!#REF!)</f>
        <v>#REF!</v>
      </c>
    </row>
    <row r="127" spans="4:4">
      <c r="D127" t="e">
        <f>IF('Slit to Tube Conversion'!#REF!="","",'Slit to Tube Conversion'!#REF!)</f>
        <v>#REF!</v>
      </c>
    </row>
    <row r="128" spans="4:4">
      <c r="D128" t="e">
        <f>IF('Slit to Tube Conversion'!#REF!="","",'Slit to Tube Conversion'!#REF!)</f>
        <v>#REF!</v>
      </c>
    </row>
    <row r="129" spans="4:4">
      <c r="D129" t="e">
        <f>IF('Slit to Tube Conversion'!#REF!="","",'Slit to Tube Conversion'!#REF!)</f>
        <v>#REF!</v>
      </c>
    </row>
    <row r="130" spans="4:4">
      <c r="D130" t="e">
        <f>IF('Slit to Tube Conversion'!#REF!="","",'Slit to Tube Conversion'!#REF!)</f>
        <v>#REF!</v>
      </c>
    </row>
    <row r="131" spans="4:4">
      <c r="D131" t="e">
        <f>IF('Slit to Tube Conversion'!#REF!="","",'Slit to Tube Conversion'!#REF!)</f>
        <v>#REF!</v>
      </c>
    </row>
    <row r="132" spans="4:4">
      <c r="D132" t="e">
        <f>IF('Slit to Tube Conversion'!#REF!="","",'Slit to Tube Conversion'!#REF!)</f>
        <v>#REF!</v>
      </c>
    </row>
    <row r="133" spans="4:4">
      <c r="D133" t="e">
        <f>IF('Slit to Tube Conversion'!#REF!="","",'Slit to Tube Conversion'!#REF!)</f>
        <v>#REF!</v>
      </c>
    </row>
    <row r="134" spans="4:4">
      <c r="D134" t="e">
        <f>IF('Slit to Tube Conversion'!#REF!="","",'Slit to Tube Conversion'!#REF!)</f>
        <v>#REF!</v>
      </c>
    </row>
    <row r="135" spans="4:4">
      <c r="D135" t="e">
        <f>IF('Slit to Tube Conversion'!#REF!="","",'Slit to Tube Conversion'!#REF!)</f>
        <v>#REF!</v>
      </c>
    </row>
    <row r="136" spans="4:4">
      <c r="D136" t="e">
        <f>IF('Slit to Tube Conversion'!#REF!="","",'Slit to Tube Conversion'!#REF!)</f>
        <v>#REF!</v>
      </c>
    </row>
    <row r="137" spans="4:4">
      <c r="D137" t="e">
        <f>IF('Slit to Tube Conversion'!#REF!="","",'Slit to Tube Conversion'!#REF!)</f>
        <v>#REF!</v>
      </c>
    </row>
    <row r="138" spans="4:4">
      <c r="D138" t="e">
        <f>IF('Slit to Tube Conversion'!#REF!="","",'Slit to Tube Conversion'!#REF!)</f>
        <v>#REF!</v>
      </c>
    </row>
    <row r="139" spans="4:4">
      <c r="D139" t="e">
        <f>IF('Slit to Tube Conversion'!#REF!="","",'Slit to Tube Conversion'!#REF!)</f>
        <v>#REF!</v>
      </c>
    </row>
    <row r="140" spans="4:4">
      <c r="D140" t="e">
        <f>IF('Slit to Tube Conversion'!#REF!="","",'Slit to Tube Conversion'!#REF!)</f>
        <v>#REF!</v>
      </c>
    </row>
    <row r="141" spans="4:4">
      <c r="D141" t="e">
        <f>IF('Slit to Tube Conversion'!#REF!="","",'Slit to Tube Conversion'!#REF!)</f>
        <v>#REF!</v>
      </c>
    </row>
    <row r="142" spans="4:4">
      <c r="D142" t="e">
        <f>IF('Slit to Tube Conversion'!#REF!="","",'Slit to Tube Conversion'!#REF!)</f>
        <v>#REF!</v>
      </c>
    </row>
    <row r="143" spans="4:4">
      <c r="D143" t="e">
        <f>IF('Slit to Tube Conversion'!#REF!="","",'Slit to Tube Conversion'!#REF!)</f>
        <v>#REF!</v>
      </c>
    </row>
    <row r="144" spans="4:4">
      <c r="D144" t="e">
        <f>IF('Slit to Tube Conversion'!#REF!="","",'Slit to Tube Conversion'!#REF!)</f>
        <v>#REF!</v>
      </c>
    </row>
    <row r="145" spans="4:4">
      <c r="D145" t="e">
        <f>IF('Slit to Tube Conversion'!#REF!="","",'Slit to Tube Conversion'!#REF!)</f>
        <v>#REF!</v>
      </c>
    </row>
    <row r="146" spans="4:4">
      <c r="D146" t="e">
        <f>IF('Slit to Tube Conversion'!#REF!="","",'Slit to Tube Conversion'!#REF!)</f>
        <v>#REF!</v>
      </c>
    </row>
    <row r="147" spans="4:4">
      <c r="D147" t="e">
        <f>IF('Slit to Tube Conversion'!#REF!="","",'Slit to Tube Conversion'!#REF!)</f>
        <v>#REF!</v>
      </c>
    </row>
    <row r="148" spans="4:4">
      <c r="D148" t="e">
        <f>IF('Slit to Tube Conversion'!#REF!="","",'Slit to Tube Conversion'!#REF!)</f>
        <v>#REF!</v>
      </c>
    </row>
    <row r="149" spans="4:4">
      <c r="D149" t="e">
        <f>IF('Slit to Tube Conversion'!#REF!="","",'Slit to Tube Conversion'!#REF!)</f>
        <v>#REF!</v>
      </c>
    </row>
    <row r="150" spans="4:4">
      <c r="D150" t="e">
        <f>IF('Slit to Tube Conversion'!#REF!="","",'Slit to Tube Conversion'!#REF!)</f>
        <v>#REF!</v>
      </c>
    </row>
    <row r="151" spans="4:4">
      <c r="D151" t="e">
        <f>IF('Slit to Tube Conversion'!#REF!="","",'Slit to Tube Conversion'!#REF!)</f>
        <v>#REF!</v>
      </c>
    </row>
    <row r="152" spans="4:4">
      <c r="D152" t="e">
        <f>IF('Slit to Tube Conversion'!#REF!="","",'Slit to Tube Conversion'!#REF!)</f>
        <v>#REF!</v>
      </c>
    </row>
    <row r="153" spans="4:4">
      <c r="D153" t="e">
        <f>IF('Slit to Tube Conversion'!#REF!="","",'Slit to Tube Conversion'!#REF!)</f>
        <v>#REF!</v>
      </c>
    </row>
    <row r="154" spans="4:4">
      <c r="D154" t="e">
        <f>IF('Slit to Tube Conversion'!#REF!="","",'Slit to Tube Conversion'!#REF!)</f>
        <v>#REF!</v>
      </c>
    </row>
    <row r="155" spans="4:4">
      <c r="D155" t="e">
        <f>IF('Slit to Tube Conversion'!#REF!="","",'Slit to Tube Conversion'!#REF!)</f>
        <v>#REF!</v>
      </c>
    </row>
    <row r="156" spans="4:4">
      <c r="D156" t="e">
        <f>IF('Slit to Tube Conversion'!#REF!="","",'Slit to Tube Conversion'!#REF!)</f>
        <v>#REF!</v>
      </c>
    </row>
    <row r="157" spans="4:4">
      <c r="D157" t="e">
        <f>IF('Slit to Tube Conversion'!#REF!="","",'Slit to Tube Conversion'!#REF!)</f>
        <v>#REF!</v>
      </c>
    </row>
    <row r="158" spans="4:4">
      <c r="D158" t="e">
        <f>IF('Slit to Tube Conversion'!#REF!="","",'Slit to Tube Conversion'!#REF!)</f>
        <v>#REF!</v>
      </c>
    </row>
    <row r="159" spans="4:4">
      <c r="D159" t="e">
        <f>IF('Slit to Tube Conversion'!#REF!="","",'Slit to Tube Conversion'!#REF!)</f>
        <v>#REF!</v>
      </c>
    </row>
    <row r="160" spans="4:4">
      <c r="D160" t="e">
        <f>IF('Slit to Tube Conversion'!#REF!="","",'Slit to Tube Conversion'!#REF!)</f>
        <v>#REF!</v>
      </c>
    </row>
    <row r="161" spans="4:4">
      <c r="D161" t="e">
        <f>IF('Slit to Tube Conversion'!#REF!="","",'Slit to Tube Conversion'!#REF!)</f>
        <v>#REF!</v>
      </c>
    </row>
    <row r="162" spans="4:4">
      <c r="D162" t="e">
        <f>IF('Slit to Tube Conversion'!#REF!="","",'Slit to Tube Conversion'!#REF!)</f>
        <v>#REF!</v>
      </c>
    </row>
    <row r="163" spans="4:4">
      <c r="D163" t="e">
        <f>IF('Slit to Tube Conversion'!#REF!="","",'Slit to Tube Conversion'!#REF!)</f>
        <v>#REF!</v>
      </c>
    </row>
    <row r="164" spans="4:4">
      <c r="D164" t="e">
        <f>IF('Slit to Tube Conversion'!#REF!="","",'Slit to Tube Conversion'!#REF!)</f>
        <v>#REF!</v>
      </c>
    </row>
    <row r="165" spans="4:4">
      <c r="D165" t="e">
        <f>IF('Slit to Tube Conversion'!#REF!="","",'Slit to Tube Conversion'!#REF!)</f>
        <v>#REF!</v>
      </c>
    </row>
    <row r="166" spans="4:4">
      <c r="D166" t="e">
        <f>IF('Slit to Tube Conversion'!#REF!="","",'Slit to Tube Conversion'!#REF!)</f>
        <v>#REF!</v>
      </c>
    </row>
    <row r="167" spans="4:4">
      <c r="D167" t="e">
        <f>IF('Slit to Tube Conversion'!#REF!="","",'Slit to Tube Conversion'!#REF!)</f>
        <v>#REF!</v>
      </c>
    </row>
    <row r="168" spans="4:4">
      <c r="D168" t="e">
        <f>IF('Slit to Tube Conversion'!#REF!="","",'Slit to Tube Conversion'!#REF!)</f>
        <v>#REF!</v>
      </c>
    </row>
    <row r="169" spans="4:4">
      <c r="D169" t="e">
        <f>IF('Slit to Tube Conversion'!#REF!="","",'Slit to Tube Conversion'!#REF!)</f>
        <v>#REF!</v>
      </c>
    </row>
    <row r="170" spans="4:4">
      <c r="D170" t="e">
        <f>IF('Slit to Tube Conversion'!#REF!="","",'Slit to Tube Conversion'!#REF!)</f>
        <v>#REF!</v>
      </c>
    </row>
    <row r="171" spans="4:4">
      <c r="D171" t="e">
        <f>IF('Slit to Tube Conversion'!#REF!="","",'Slit to Tube Conversion'!#REF!)</f>
        <v>#REF!</v>
      </c>
    </row>
    <row r="172" spans="4:4">
      <c r="D172" t="e">
        <f>IF('Slit to Tube Conversion'!#REF!="","",'Slit to Tube Conversion'!#REF!)</f>
        <v>#REF!</v>
      </c>
    </row>
    <row r="173" spans="4:4">
      <c r="D173" t="e">
        <f>IF('Slit to Tube Conversion'!#REF!="","",'Slit to Tube Conversion'!#REF!)</f>
        <v>#REF!</v>
      </c>
    </row>
    <row r="174" spans="4:4">
      <c r="D174" t="e">
        <f>IF('Slit to Tube Conversion'!#REF!="","",'Slit to Tube Conversion'!#REF!)</f>
        <v>#REF!</v>
      </c>
    </row>
    <row r="175" spans="4:4">
      <c r="D175" t="e">
        <f>IF('Slit to Tube Conversion'!#REF!="","",'Slit to Tube Conversion'!#REF!)</f>
        <v>#REF!</v>
      </c>
    </row>
    <row r="176" spans="4:4">
      <c r="D176" t="e">
        <f>IF('Slit to Tube Conversion'!#REF!="","",'Slit to Tube Conversion'!#REF!)</f>
        <v>#REF!</v>
      </c>
    </row>
    <row r="177" spans="4:4">
      <c r="D177" t="e">
        <f>IF('Slit to Tube Conversion'!#REF!="","",'Slit to Tube Conversion'!#REF!)</f>
        <v>#REF!</v>
      </c>
    </row>
    <row r="178" spans="4:4">
      <c r="D178" t="e">
        <f>IF('Slit to Tube Conversion'!#REF!="","",'Slit to Tube Conversion'!#REF!)</f>
        <v>#REF!</v>
      </c>
    </row>
    <row r="179" spans="4:4">
      <c r="D179" t="e">
        <f>IF('Slit to Tube Conversion'!#REF!="","",'Slit to Tube Conversion'!#REF!)</f>
        <v>#REF!</v>
      </c>
    </row>
    <row r="180" spans="4:4">
      <c r="D180" t="e">
        <f>IF('Slit to Tube Conversion'!#REF!="","",'Slit to Tube Conversion'!#REF!)</f>
        <v>#REF!</v>
      </c>
    </row>
    <row r="181" spans="4:4">
      <c r="D181" t="e">
        <f>IF('Slit to Tube Conversion'!#REF!="","",'Slit to Tube Conversion'!#REF!)</f>
        <v>#REF!</v>
      </c>
    </row>
    <row r="182" spans="4:4">
      <c r="D182" t="e">
        <f>IF('Slit to Tube Conversion'!#REF!="","",'Slit to Tube Conversion'!#REF!)</f>
        <v>#REF!</v>
      </c>
    </row>
    <row r="183" spans="4:4">
      <c r="D183" t="e">
        <f>IF('Slit to Tube Conversion'!#REF!="","",'Slit to Tube Conversion'!#REF!)</f>
        <v>#REF!</v>
      </c>
    </row>
    <row r="184" spans="4:4">
      <c r="D184" t="e">
        <f>IF('Slit to Tube Conversion'!#REF!="","",'Slit to Tube Conversion'!#REF!)</f>
        <v>#REF!</v>
      </c>
    </row>
    <row r="185" spans="4:4">
      <c r="D185" t="e">
        <f>IF('Slit to Tube Conversion'!#REF!="","",'Slit to Tube Conversion'!#REF!)</f>
        <v>#REF!</v>
      </c>
    </row>
    <row r="186" spans="4:4">
      <c r="D186" t="e">
        <f>IF('Slit to Tube Conversion'!#REF!="","",'Slit to Tube Conversion'!#REF!)</f>
        <v>#REF!</v>
      </c>
    </row>
    <row r="187" spans="4:4">
      <c r="D187" t="e">
        <f>IF('Slit to Tube Conversion'!#REF!="","",'Slit to Tube Conversion'!#REF!)</f>
        <v>#REF!</v>
      </c>
    </row>
    <row r="188" spans="4:4">
      <c r="D188" t="e">
        <f>IF('Slit to Tube Conversion'!#REF!="","",'Slit to Tube Conversion'!#REF!)</f>
        <v>#REF!</v>
      </c>
    </row>
    <row r="189" spans="4:4">
      <c r="D189" t="e">
        <f>IF('Slit to Tube Conversion'!#REF!="","",'Slit to Tube Conversion'!#REF!)</f>
        <v>#REF!</v>
      </c>
    </row>
    <row r="190" spans="4:4">
      <c r="D190" t="e">
        <f>IF('Slit to Tube Conversion'!#REF!="","",'Slit to Tube Conversion'!#REF!)</f>
        <v>#REF!</v>
      </c>
    </row>
    <row r="191" spans="4:4">
      <c r="D191" t="e">
        <f>IF('Slit to Tube Conversion'!#REF!="","",'Slit to Tube Conversion'!#REF!)</f>
        <v>#REF!</v>
      </c>
    </row>
    <row r="192" spans="4:4">
      <c r="D192" t="e">
        <f>IF('Slit to Tube Conversion'!#REF!="","",'Slit to Tube Conversion'!#REF!)</f>
        <v>#REF!</v>
      </c>
    </row>
    <row r="193" spans="4:4">
      <c r="D193" t="e">
        <f>IF('Slit to Tube Conversion'!#REF!="","",'Slit to Tube Conversion'!#REF!)</f>
        <v>#REF!</v>
      </c>
    </row>
    <row r="194" spans="4:4">
      <c r="D194" t="e">
        <f>IF('Slit to Tube Conversion'!#REF!="","",'Slit to Tube Conversion'!#REF!)</f>
        <v>#REF!</v>
      </c>
    </row>
    <row r="195" spans="4:4">
      <c r="D195" t="e">
        <f>IF('Slit to Tube Conversion'!#REF!="","",'Slit to Tube Conversion'!#REF!)</f>
        <v>#REF!</v>
      </c>
    </row>
    <row r="196" spans="4:4">
      <c r="D196" t="e">
        <f>IF('Slit to Tube Conversion'!#REF!="","",'Slit to Tube Conversion'!#REF!)</f>
        <v>#REF!</v>
      </c>
    </row>
    <row r="197" spans="4:4">
      <c r="D197" t="e">
        <f>IF('Slit to Tube Conversion'!#REF!="","",'Slit to Tube Conversion'!#REF!)</f>
        <v>#REF!</v>
      </c>
    </row>
    <row r="198" spans="4:4">
      <c r="D198" t="e">
        <f>IF('Slit to Tube Conversion'!#REF!="","",'Slit to Tube Conversion'!#REF!)</f>
        <v>#REF!</v>
      </c>
    </row>
    <row r="199" spans="4:4">
      <c r="D199" t="e">
        <f>IF('Slit to Tube Conversion'!#REF!="","",'Slit to Tube Conversion'!#REF!)</f>
        <v>#REF!</v>
      </c>
    </row>
    <row r="200" spans="4:4">
      <c r="D200" t="e">
        <f>IF('Slit to Tube Conversion'!#REF!="","",'Slit to Tube Conversion'!#REF!)</f>
        <v>#REF!</v>
      </c>
    </row>
    <row r="201" spans="4:4">
      <c r="D201" t="e">
        <f>IF('Slit to Tube Conversion'!#REF!="","",'Slit to Tube Conversion'!#REF!)</f>
        <v>#REF!</v>
      </c>
    </row>
    <row r="202" spans="4:4">
      <c r="D202" t="e">
        <f>IF('Slit to Tube Conversion'!#REF!="","",'Slit to Tube Conversion'!#REF!)</f>
        <v>#REF!</v>
      </c>
    </row>
    <row r="203" spans="4:4">
      <c r="D203" t="e">
        <f>IF('Slit to Tube Conversion'!#REF!="","",'Slit to Tube Conversion'!#REF!)</f>
        <v>#REF!</v>
      </c>
    </row>
    <row r="204" spans="4:4">
      <c r="D204" t="e">
        <f>IF('Slit to Tube Conversion'!#REF!="","",'Slit to Tube Conversion'!#REF!)</f>
        <v>#REF!</v>
      </c>
    </row>
    <row r="205" spans="4:4">
      <c r="D205" t="e">
        <f>IF('Slit to Tube Conversion'!#REF!="","",'Slit to Tube Conversion'!#REF!)</f>
        <v>#REF!</v>
      </c>
    </row>
    <row r="206" spans="4:4">
      <c r="D206" t="e">
        <f>IF('Slit to Tube Conversion'!#REF!="","",'Slit to Tube Conversion'!#REF!)</f>
        <v>#REF!</v>
      </c>
    </row>
    <row r="207" spans="4:4">
      <c r="D207" t="e">
        <f>IF('Slit to Tube Conversion'!#REF!="","",'Slit to Tube Conversion'!#REF!)</f>
        <v>#REF!</v>
      </c>
    </row>
    <row r="208" spans="4:4">
      <c r="D208" t="e">
        <f>IF('Slit to Tube Conversion'!#REF!="","",'Slit to Tube Conversion'!#REF!)</f>
        <v>#REF!</v>
      </c>
    </row>
    <row r="209" spans="4:4">
      <c r="D209" t="e">
        <f>IF('Slit to Tube Conversion'!#REF!="","",'Slit to Tube Conversion'!#REF!)</f>
        <v>#REF!</v>
      </c>
    </row>
    <row r="210" spans="4:4">
      <c r="D210" t="e">
        <f>IF('Slit to Tube Conversion'!#REF!="","",'Slit to Tube Conversion'!#REF!)</f>
        <v>#REF!</v>
      </c>
    </row>
    <row r="211" spans="4:4">
      <c r="D211" t="e">
        <f>IF('Slit to Tube Conversion'!#REF!="","",'Slit to Tube Conversion'!#REF!)</f>
        <v>#REF!</v>
      </c>
    </row>
    <row r="212" spans="4:4">
      <c r="D212" t="e">
        <f>IF('Slit to Tube Conversion'!#REF!="","",'Slit to Tube Conversion'!#REF!)</f>
        <v>#REF!</v>
      </c>
    </row>
    <row r="213" spans="4:4">
      <c r="D213" t="e">
        <f>IF('Slit to Tube Conversion'!#REF!="","",'Slit to Tube Conversion'!#REF!)</f>
        <v>#REF!</v>
      </c>
    </row>
    <row r="214" spans="4:4">
      <c r="D214" t="e">
        <f>IF('Slit to Tube Conversion'!#REF!="","",'Slit to Tube Conversion'!#REF!)</f>
        <v>#REF!</v>
      </c>
    </row>
    <row r="215" spans="4:4">
      <c r="D215" t="e">
        <f>IF('Slit to Tube Conversion'!#REF!="","",'Slit to Tube Conversion'!#REF!)</f>
        <v>#REF!</v>
      </c>
    </row>
    <row r="216" spans="4:4">
      <c r="D216" t="e">
        <f>IF('Slit to Tube Conversion'!#REF!="","",'Slit to Tube Conversion'!#REF!)</f>
        <v>#REF!</v>
      </c>
    </row>
    <row r="217" spans="4:4">
      <c r="D217" t="e">
        <f>IF('Slit to Tube Conversion'!#REF!="","",'Slit to Tube Conversion'!#REF!)</f>
        <v>#REF!</v>
      </c>
    </row>
    <row r="218" spans="4:4">
      <c r="D218" t="e">
        <f>IF('Slit to Tube Conversion'!#REF!="","",'Slit to Tube Conversion'!#REF!)</f>
        <v>#REF!</v>
      </c>
    </row>
    <row r="219" spans="4:4">
      <c r="D219" t="e">
        <f>IF('Slit to Tube Conversion'!#REF!="","",'Slit to Tube Conversion'!#REF!)</f>
        <v>#REF!</v>
      </c>
    </row>
    <row r="220" spans="4:4">
      <c r="D220" t="e">
        <f>IF('Slit to Tube Conversion'!#REF!="","",'Slit to Tube Conversion'!#REF!)</f>
        <v>#REF!</v>
      </c>
    </row>
    <row r="221" spans="4:4">
      <c r="D221" t="e">
        <f>IF('Slit to Tube Conversion'!#REF!="","",'Slit to Tube Conversion'!#REF!)</f>
        <v>#REF!</v>
      </c>
    </row>
    <row r="222" spans="4:4">
      <c r="D222" t="e">
        <f>IF('Slit to Tube Conversion'!#REF!="","",'Slit to Tube Conversion'!#REF!)</f>
        <v>#REF!</v>
      </c>
    </row>
    <row r="223" spans="4:4">
      <c r="D223" t="e">
        <f>IF('Slit to Tube Conversion'!#REF!="","",'Slit to Tube Conversion'!#REF!)</f>
        <v>#REF!</v>
      </c>
    </row>
    <row r="224" spans="4:4">
      <c r="D224" t="e">
        <f>IF('Slit to Tube Conversion'!#REF!="","",'Slit to Tube Conversion'!#REF!)</f>
        <v>#REF!</v>
      </c>
    </row>
    <row r="225" spans="4:4">
      <c r="D225" t="e">
        <f>IF('Slit to Tube Conversion'!#REF!="","",'Slit to Tube Conversion'!#REF!)</f>
        <v>#REF!</v>
      </c>
    </row>
    <row r="226" spans="4:4">
      <c r="D226" t="e">
        <f>IF('Slit to Tube Conversion'!#REF!="","",'Slit to Tube Conversion'!#REF!)</f>
        <v>#REF!</v>
      </c>
    </row>
    <row r="227" spans="4:4">
      <c r="D227" t="e">
        <f>IF('Slit to Tube Conversion'!#REF!="","",'Slit to Tube Conversion'!#REF!)</f>
        <v>#REF!</v>
      </c>
    </row>
    <row r="228" spans="4:4">
      <c r="D228" t="e">
        <f>IF('Slit to Tube Conversion'!#REF!="","",'Slit to Tube Conversion'!#REF!)</f>
        <v>#REF!</v>
      </c>
    </row>
    <row r="229" spans="4:4">
      <c r="D229" t="e">
        <f>IF('Slit to Tube Conversion'!#REF!="","",'Slit to Tube Conversion'!#REF!)</f>
        <v>#REF!</v>
      </c>
    </row>
    <row r="230" spans="4:4">
      <c r="D230" t="e">
        <f>IF('Slit to Tube Conversion'!#REF!="","",'Slit to Tube Conversion'!#REF!)</f>
        <v>#REF!</v>
      </c>
    </row>
    <row r="231" spans="4:4">
      <c r="D231" t="e">
        <f>IF('Slit to Tube Conversion'!#REF!="","",'Slit to Tube Conversion'!#REF!)</f>
        <v>#REF!</v>
      </c>
    </row>
    <row r="232" spans="4:4">
      <c r="D232" t="e">
        <f>IF('Slit to Tube Conversion'!#REF!="","",'Slit to Tube Conversion'!#REF!)</f>
        <v>#REF!</v>
      </c>
    </row>
    <row r="233" spans="4:4">
      <c r="D233" t="e">
        <f>IF('Slit to Tube Conversion'!#REF!="","",'Slit to Tube Conversion'!#REF!)</f>
        <v>#REF!</v>
      </c>
    </row>
    <row r="234" spans="4:4">
      <c r="D234" t="e">
        <f>IF('Slit to Tube Conversion'!#REF!="","",'Slit to Tube Conversion'!#REF!)</f>
        <v>#REF!</v>
      </c>
    </row>
    <row r="235" spans="4:4">
      <c r="D235" t="e">
        <f>IF('Slit to Tube Conversion'!#REF!="","",'Slit to Tube Conversion'!#REF!)</f>
        <v>#REF!</v>
      </c>
    </row>
    <row r="236" spans="4:4">
      <c r="D236" t="e">
        <f>IF('Slit to Tube Conversion'!#REF!="","",'Slit to Tube Conversion'!#REF!)</f>
        <v>#REF!</v>
      </c>
    </row>
    <row r="237" spans="4:4">
      <c r="D237" t="e">
        <f>IF('Slit to Tube Conversion'!#REF!="","",'Slit to Tube Conversion'!#REF!)</f>
        <v>#REF!</v>
      </c>
    </row>
    <row r="238" spans="4:4">
      <c r="D238" t="e">
        <f>IF('Slit to Tube Conversion'!#REF!="","",'Slit to Tube Conversion'!#REF!)</f>
        <v>#REF!</v>
      </c>
    </row>
    <row r="239" spans="4:4">
      <c r="D239" t="e">
        <f>IF('Slit to Tube Conversion'!#REF!="","",'Slit to Tube Conversion'!#REF!)</f>
        <v>#REF!</v>
      </c>
    </row>
    <row r="240" spans="4:4">
      <c r="D240" t="e">
        <f>IF('Slit to Tube Conversion'!#REF!="","",'Slit to Tube Conversion'!#REF!)</f>
        <v>#REF!</v>
      </c>
    </row>
    <row r="241" spans="4:4">
      <c r="D241" t="e">
        <f>IF('Slit to Tube Conversion'!#REF!="","",'Slit to Tube Conversion'!#REF!)</f>
        <v>#REF!</v>
      </c>
    </row>
    <row r="242" spans="4:4">
      <c r="D242" t="e">
        <f>IF('Slit to Tube Conversion'!#REF!="","",'Slit to Tube Conversion'!#REF!)</f>
        <v>#REF!</v>
      </c>
    </row>
    <row r="243" spans="4:4">
      <c r="D243" t="e">
        <f>IF('Slit to Tube Conversion'!#REF!="","",'Slit to Tube Conversion'!#REF!)</f>
        <v>#REF!</v>
      </c>
    </row>
    <row r="244" spans="4:4">
      <c r="D244" t="e">
        <f>IF('Slit to Tube Conversion'!#REF!="","",'Slit to Tube Conversion'!#REF!)</f>
        <v>#REF!</v>
      </c>
    </row>
    <row r="245" spans="4:4">
      <c r="D245" t="e">
        <f>IF('Slit to Tube Conversion'!#REF!="","",'Slit to Tube Conversion'!#REF!)</f>
        <v>#REF!</v>
      </c>
    </row>
    <row r="246" spans="4:4">
      <c r="D246" t="e">
        <f>IF('Slit to Tube Conversion'!#REF!="","",'Slit to Tube Conversion'!#REF!)</f>
        <v>#REF!</v>
      </c>
    </row>
    <row r="247" spans="4:4">
      <c r="D247" t="e">
        <f>IF('Slit to Tube Conversion'!#REF!="","",'Slit to Tube Conversion'!#REF!)</f>
        <v>#REF!</v>
      </c>
    </row>
    <row r="248" spans="4:4">
      <c r="D248" t="e">
        <f>IF('Slit to Tube Conversion'!#REF!="","",'Slit to Tube Conversion'!#REF!)</f>
        <v>#REF!</v>
      </c>
    </row>
    <row r="249" spans="4:4">
      <c r="D249" t="e">
        <f>IF('Slit to Tube Conversion'!#REF!="","",'Slit to Tube Conversion'!#REF!)</f>
        <v>#REF!</v>
      </c>
    </row>
    <row r="250" spans="4:4">
      <c r="D250" t="e">
        <f>IF('Slit to Tube Conversion'!#REF!="","",'Slit to Tube Conversion'!#REF!)</f>
        <v>#REF!</v>
      </c>
    </row>
    <row r="251" spans="4:4">
      <c r="D251" t="e">
        <f>IF('Slit to Tube Conversion'!#REF!="","",'Slit to Tube Conversion'!#REF!)</f>
        <v>#REF!</v>
      </c>
    </row>
    <row r="252" spans="4:4">
      <c r="D252" t="e">
        <f>IF('Slit to Tube Conversion'!#REF!="","",'Slit to Tube Conversion'!#REF!)</f>
        <v>#REF!</v>
      </c>
    </row>
    <row r="253" spans="4:4">
      <c r="D253" t="e">
        <f>IF('Slit to Tube Conversion'!#REF!="","",'Slit to Tube Conversion'!#REF!)</f>
        <v>#REF!</v>
      </c>
    </row>
    <row r="254" spans="4:4">
      <c r="D254" t="e">
        <f>IF('Slit to Tube Conversion'!#REF!="","",'Slit to Tube Conversion'!#REF!)</f>
        <v>#REF!</v>
      </c>
    </row>
    <row r="255" spans="4:4">
      <c r="D255" t="e">
        <f>IF('Slit to Tube Conversion'!#REF!="","",'Slit to Tube Conversion'!#REF!)</f>
        <v>#REF!</v>
      </c>
    </row>
    <row r="256" spans="4:4">
      <c r="D256" t="e">
        <f>IF('Slit to Tube Conversion'!#REF!="","",'Slit to Tube Conversion'!#REF!)</f>
        <v>#REF!</v>
      </c>
    </row>
    <row r="257" spans="4:4">
      <c r="D257" t="e">
        <f>IF('Slit to Tube Conversion'!#REF!="","",'Slit to Tube Conversion'!#REF!)</f>
        <v>#REF!</v>
      </c>
    </row>
    <row r="258" spans="4:4">
      <c r="D258" t="e">
        <f>IF('Slit to Tube Conversion'!#REF!="","",'Slit to Tube Conversion'!#REF!)</f>
        <v>#REF!</v>
      </c>
    </row>
    <row r="259" spans="4:4">
      <c r="D259" t="e">
        <f>IF('Slit to Tube Conversion'!#REF!="","",'Slit to Tube Conversion'!#REF!)</f>
        <v>#REF!</v>
      </c>
    </row>
    <row r="260" spans="4:4">
      <c r="D260" t="e">
        <f>IF('Slit to Tube Conversion'!#REF!="","",'Slit to Tube Conversion'!#REF!)</f>
        <v>#REF!</v>
      </c>
    </row>
    <row r="261" spans="4:4">
      <c r="D261" t="e">
        <f>IF('Slit to Tube Conversion'!#REF!="","",'Slit to Tube Conversion'!#REF!)</f>
        <v>#REF!</v>
      </c>
    </row>
    <row r="262" spans="4:4">
      <c r="D262" t="e">
        <f>IF('Slit to Tube Conversion'!#REF!="","",'Slit to Tube Conversion'!#REF!)</f>
        <v>#REF!</v>
      </c>
    </row>
    <row r="263" spans="4:4">
      <c r="D263" t="e">
        <f>IF('Slit to Tube Conversion'!#REF!="","",'Slit to Tube Conversion'!#REF!)</f>
        <v>#REF!</v>
      </c>
    </row>
    <row r="264" spans="4:4">
      <c r="D264" t="e">
        <f>IF('Slit to Tube Conversion'!#REF!="","",'Slit to Tube Conversion'!#REF!)</f>
        <v>#REF!</v>
      </c>
    </row>
    <row r="265" spans="4:4">
      <c r="D265" t="e">
        <f>IF('Slit to Tube Conversion'!#REF!="","",'Slit to Tube Conversion'!#REF!)</f>
        <v>#REF!</v>
      </c>
    </row>
    <row r="266" spans="4:4">
      <c r="D266" t="e">
        <f>IF('Slit to Tube Conversion'!#REF!="","",'Slit to Tube Conversion'!#REF!)</f>
        <v>#REF!</v>
      </c>
    </row>
    <row r="267" spans="4:4">
      <c r="D267" t="e">
        <f>IF('Slit to Tube Conversion'!#REF!="","",'Slit to Tube Conversion'!#REF!)</f>
        <v>#REF!</v>
      </c>
    </row>
    <row r="268" spans="4:4">
      <c r="D268" t="e">
        <f>IF('Slit to Tube Conversion'!#REF!="","",'Slit to Tube Conversion'!#REF!)</f>
        <v>#REF!</v>
      </c>
    </row>
    <row r="269" spans="4:4">
      <c r="D269" t="e">
        <f>IF('Slit to Tube Conversion'!#REF!="","",'Slit to Tube Conversion'!#REF!)</f>
        <v>#REF!</v>
      </c>
    </row>
    <row r="270" spans="4:4">
      <c r="D270" t="e">
        <f>IF('Slit to Tube Conversion'!#REF!="","",'Slit to Tube Conversion'!#REF!)</f>
        <v>#REF!</v>
      </c>
    </row>
    <row r="271" spans="4:4">
      <c r="D271" t="e">
        <f>IF('Slit to Tube Conversion'!#REF!="","",'Slit to Tube Conversion'!#REF!)</f>
        <v>#REF!</v>
      </c>
    </row>
    <row r="272" spans="4:4">
      <c r="D272" t="e">
        <f>IF('Slit to Tube Conversion'!#REF!="","",'Slit to Tube Conversion'!#REF!)</f>
        <v>#REF!</v>
      </c>
    </row>
    <row r="273" spans="4:4">
      <c r="D273" t="e">
        <f>IF('Slit to Tube Conversion'!#REF!="","",'Slit to Tube Conversion'!#REF!)</f>
        <v>#REF!</v>
      </c>
    </row>
    <row r="274" spans="4:4">
      <c r="D274" t="e">
        <f>IF('Slit to Tube Conversion'!#REF!="","",'Slit to Tube Conversion'!#REF!)</f>
        <v>#REF!</v>
      </c>
    </row>
    <row r="275" spans="4:4">
      <c r="D275" t="e">
        <f>IF('Slit to Tube Conversion'!#REF!="","",'Slit to Tube Conversion'!#REF!)</f>
        <v>#REF!</v>
      </c>
    </row>
    <row r="276" spans="4:4">
      <c r="D276" t="e">
        <f>IF('Slit to Tube Conversion'!#REF!="","",'Slit to Tube Conversion'!#REF!)</f>
        <v>#REF!</v>
      </c>
    </row>
    <row r="277" spans="4:4">
      <c r="D277" t="e">
        <f>IF('Slit to Tube Conversion'!#REF!="","",'Slit to Tube Conversion'!#REF!)</f>
        <v>#REF!</v>
      </c>
    </row>
    <row r="278" spans="4:4">
      <c r="D278" t="e">
        <f>IF('Slit to Tube Conversion'!#REF!="","",'Slit to Tube Conversion'!#REF!)</f>
        <v>#REF!</v>
      </c>
    </row>
    <row r="279" spans="4:4">
      <c r="D279" t="e">
        <f>IF('Slit to Tube Conversion'!#REF!="","",'Slit to Tube Conversion'!#REF!)</f>
        <v>#REF!</v>
      </c>
    </row>
    <row r="280" spans="4:4">
      <c r="D280" t="e">
        <f>IF('Slit to Tube Conversion'!#REF!="","",'Slit to Tube Conversion'!#REF!)</f>
        <v>#REF!</v>
      </c>
    </row>
    <row r="281" spans="4:4">
      <c r="D281" t="e">
        <f>IF('Slit to Tube Conversion'!#REF!="","",'Slit to Tube Conversion'!#REF!)</f>
        <v>#REF!</v>
      </c>
    </row>
    <row r="282" spans="4:4">
      <c r="D282" t="e">
        <f>IF('Slit to Tube Conversion'!#REF!="","",'Slit to Tube Conversion'!#REF!)</f>
        <v>#REF!</v>
      </c>
    </row>
    <row r="283" spans="4:4">
      <c r="D283" t="e">
        <f>IF('Slit to Tube Conversion'!#REF!="","",'Slit to Tube Conversion'!#REF!)</f>
        <v>#REF!</v>
      </c>
    </row>
    <row r="284" spans="4:4">
      <c r="D284" t="e">
        <f>IF('Slit to Tube Conversion'!#REF!="","",'Slit to Tube Conversion'!#REF!)</f>
        <v>#REF!</v>
      </c>
    </row>
    <row r="285" spans="4:4">
      <c r="D285" t="e">
        <f>IF('Slit to Tube Conversion'!#REF!="","",'Slit to Tube Conversion'!#REF!)</f>
        <v>#REF!</v>
      </c>
    </row>
    <row r="286" spans="4:4">
      <c r="D286" t="e">
        <f>IF('Slit to Tube Conversion'!#REF!="","",'Slit to Tube Conversion'!#REF!)</f>
        <v>#REF!</v>
      </c>
    </row>
    <row r="287" spans="4:4">
      <c r="D287" t="e">
        <f>IF('Slit to Tube Conversion'!#REF!="","",'Slit to Tube Conversion'!#REF!)</f>
        <v>#REF!</v>
      </c>
    </row>
    <row r="288" spans="4:4">
      <c r="D288" t="e">
        <f>IF('Slit to Tube Conversion'!#REF!="","",'Slit to Tube Conversion'!#REF!)</f>
        <v>#REF!</v>
      </c>
    </row>
    <row r="289" spans="4:4">
      <c r="D289" t="e">
        <f>IF('Slit to Tube Conversion'!#REF!="","",'Slit to Tube Conversion'!#REF!)</f>
        <v>#REF!</v>
      </c>
    </row>
    <row r="290" spans="4:4">
      <c r="D290" t="e">
        <f>IF('Slit to Tube Conversion'!#REF!="","",'Slit to Tube Conversion'!#REF!)</f>
        <v>#REF!</v>
      </c>
    </row>
    <row r="291" spans="4:4">
      <c r="D291" t="e">
        <f>IF('Slit to Tube Conversion'!#REF!="","",'Slit to Tube Conversion'!#REF!)</f>
        <v>#REF!</v>
      </c>
    </row>
    <row r="292" spans="4:4">
      <c r="D292" t="e">
        <f>IF('Slit to Tube Conversion'!#REF!="","",'Slit to Tube Conversion'!#REF!)</f>
        <v>#REF!</v>
      </c>
    </row>
    <row r="293" spans="4:4">
      <c r="D293" t="e">
        <f>IF('Slit to Tube Conversion'!#REF!="","",'Slit to Tube Conversion'!#REF!)</f>
        <v>#REF!</v>
      </c>
    </row>
    <row r="294" spans="4:4">
      <c r="D294" t="e">
        <f>IF('Slit to Tube Conversion'!#REF!="","",'Slit to Tube Conversion'!#REF!)</f>
        <v>#REF!</v>
      </c>
    </row>
    <row r="295" spans="4:4">
      <c r="D295" t="e">
        <f>IF('Slit to Tube Conversion'!#REF!="","",'Slit to Tube Conversion'!#REF!)</f>
        <v>#REF!</v>
      </c>
    </row>
    <row r="296" spans="4:4">
      <c r="D296" t="e">
        <f>IF('Slit to Tube Conversion'!#REF!="","",'Slit to Tube Conversion'!#REF!)</f>
        <v>#REF!</v>
      </c>
    </row>
    <row r="297" spans="4:4">
      <c r="D297" t="e">
        <f>IF('Slit to Tube Conversion'!#REF!="","",'Slit to Tube Conversion'!#REF!)</f>
        <v>#REF!</v>
      </c>
    </row>
    <row r="298" spans="4:4">
      <c r="D298" t="e">
        <f>IF('Slit to Tube Conversion'!#REF!="","",'Slit to Tube Conversion'!#REF!)</f>
        <v>#REF!</v>
      </c>
    </row>
    <row r="299" spans="4:4">
      <c r="D299" t="e">
        <f>IF('Slit to Tube Conversion'!#REF!="","",'Slit to Tube Conversion'!#REF!)</f>
        <v>#REF!</v>
      </c>
    </row>
    <row r="300" spans="4:4">
      <c r="D300" t="e">
        <f>IF('Slit to Tube Conversion'!#REF!="","",'Slit to Tube Conversion'!#REF!)</f>
        <v>#REF!</v>
      </c>
    </row>
    <row r="301" spans="4:4">
      <c r="D301" t="e">
        <f>IF('Slit to Tube Conversion'!#REF!="","",'Slit to Tube Conversion'!#REF!)</f>
        <v>#REF!</v>
      </c>
    </row>
    <row r="302" spans="4:4">
      <c r="D302" t="e">
        <f>IF('Slit to Tube Conversion'!#REF!="","",'Slit to Tube Conversion'!#REF!)</f>
        <v>#REF!</v>
      </c>
    </row>
    <row r="303" spans="4:4">
      <c r="D303" t="e">
        <f>IF('Slit to Tube Conversion'!#REF!="","",'Slit to Tube Conversion'!#REF!)</f>
        <v>#REF!</v>
      </c>
    </row>
    <row r="304" spans="4:4">
      <c r="D304" t="e">
        <f>IF('Slit to Tube Conversion'!#REF!="","",'Slit to Tube Conversion'!#REF!)</f>
        <v>#REF!</v>
      </c>
    </row>
    <row r="305" spans="4:4">
      <c r="D305" t="e">
        <f>IF('Slit to Tube Conversion'!#REF!="","",'Slit to Tube Conversion'!#REF!)</f>
        <v>#REF!</v>
      </c>
    </row>
    <row r="306" spans="4:4">
      <c r="D306" t="e">
        <f>IF('Slit to Tube Conversion'!#REF!="","",'Slit to Tube Conversion'!#REF!)</f>
        <v>#REF!</v>
      </c>
    </row>
    <row r="307" spans="4:4">
      <c r="D307" t="e">
        <f>IF('Slit to Tube Conversion'!#REF!="","",'Slit to Tube Conversion'!#REF!)</f>
        <v>#REF!</v>
      </c>
    </row>
    <row r="308" spans="4:4">
      <c r="D308" t="e">
        <f>IF('Slit to Tube Conversion'!#REF!="","",'Slit to Tube Conversion'!#REF!)</f>
        <v>#REF!</v>
      </c>
    </row>
    <row r="309" spans="4:4">
      <c r="D309" t="e">
        <f>IF('Slit to Tube Conversion'!#REF!="","",'Slit to Tube Conversion'!#REF!)</f>
        <v>#REF!</v>
      </c>
    </row>
    <row r="310" spans="4:4">
      <c r="D310" t="e">
        <f>IF('Slit to Tube Conversion'!#REF!="","",'Slit to Tube Conversion'!#REF!)</f>
        <v>#REF!</v>
      </c>
    </row>
    <row r="311" spans="4:4">
      <c r="D311" t="e">
        <f>IF('Slit to Tube Conversion'!#REF!="","",'Slit to Tube Conversion'!#REF!)</f>
        <v>#REF!</v>
      </c>
    </row>
    <row r="312" spans="4:4">
      <c r="D312" t="e">
        <f>IF('Slit to Tube Conversion'!#REF!="","",'Slit to Tube Conversion'!#REF!)</f>
        <v>#REF!</v>
      </c>
    </row>
    <row r="313" spans="4:4">
      <c r="D313" t="e">
        <f>IF('Slit to Tube Conversion'!#REF!="","",'Slit to Tube Conversion'!#REF!)</f>
        <v>#REF!</v>
      </c>
    </row>
    <row r="314" spans="4:4">
      <c r="D314" t="e">
        <f>IF('Slit to Tube Conversion'!#REF!="","",'Slit to Tube Conversion'!#REF!)</f>
        <v>#REF!</v>
      </c>
    </row>
    <row r="315" spans="4:4">
      <c r="D315" t="e">
        <f>IF('Slit to Tube Conversion'!#REF!="","",'Slit to Tube Conversion'!#REF!)</f>
        <v>#REF!</v>
      </c>
    </row>
    <row r="316" spans="4:4">
      <c r="D316" t="e">
        <f>IF('Slit to Tube Conversion'!#REF!="","",'Slit to Tube Conversion'!#REF!)</f>
        <v>#REF!</v>
      </c>
    </row>
    <row r="317" spans="4:4">
      <c r="D317" t="e">
        <f>IF('Slit to Tube Conversion'!#REF!="","",'Slit to Tube Conversion'!#REF!)</f>
        <v>#REF!</v>
      </c>
    </row>
    <row r="318" spans="4:4">
      <c r="D318" t="e">
        <f>IF('Slit to Tube Conversion'!#REF!="","",'Slit to Tube Conversion'!#REF!)</f>
        <v>#REF!</v>
      </c>
    </row>
    <row r="319" spans="4:4">
      <c r="D319" t="e">
        <f>IF('Slit to Tube Conversion'!#REF!="","",'Slit to Tube Conversion'!#REF!)</f>
        <v>#REF!</v>
      </c>
    </row>
    <row r="320" spans="4:4">
      <c r="D320" t="e">
        <f>IF('Slit to Tube Conversion'!#REF!="","",'Slit to Tube Conversion'!#REF!)</f>
        <v>#REF!</v>
      </c>
    </row>
    <row r="321" spans="4:4">
      <c r="D321" t="e">
        <f>IF('Slit to Tube Conversion'!#REF!="","",'Slit to Tube Conversion'!#REF!)</f>
        <v>#REF!</v>
      </c>
    </row>
    <row r="322" spans="4:4">
      <c r="D322" t="e">
        <f>IF('Slit to Tube Conversion'!#REF!="","",'Slit to Tube Conversion'!#REF!)</f>
        <v>#REF!</v>
      </c>
    </row>
    <row r="323" spans="4:4">
      <c r="D323" t="e">
        <f>IF('Slit to Tube Conversion'!#REF!="","",'Slit to Tube Conversion'!#REF!)</f>
        <v>#REF!</v>
      </c>
    </row>
    <row r="324" spans="4:4">
      <c r="D324" t="e">
        <f>IF('Slit to Tube Conversion'!#REF!="","",'Slit to Tube Conversion'!#REF!)</f>
        <v>#REF!</v>
      </c>
    </row>
    <row r="325" spans="4:4">
      <c r="D325" t="e">
        <f>IF('Slit to Tube Conversion'!#REF!="","",'Slit to Tube Conversion'!#REF!)</f>
        <v>#REF!</v>
      </c>
    </row>
    <row r="326" spans="4:4">
      <c r="D326" t="e">
        <f>IF('Slit to Tube Conversion'!#REF!="","",'Slit to Tube Conversion'!#REF!)</f>
        <v>#REF!</v>
      </c>
    </row>
    <row r="327" spans="4:4">
      <c r="D327" t="e">
        <f>IF('Slit to Tube Conversion'!#REF!="","",'Slit to Tube Conversion'!#REF!)</f>
        <v>#REF!</v>
      </c>
    </row>
    <row r="328" spans="4:4">
      <c r="D328" t="e">
        <f>IF('Slit to Tube Conversion'!#REF!="","",'Slit to Tube Conversion'!#REF!)</f>
        <v>#REF!</v>
      </c>
    </row>
    <row r="329" spans="4:4">
      <c r="D329" t="e">
        <f>IF('Slit to Tube Conversion'!#REF!="","",'Slit to Tube Conversion'!#REF!)</f>
        <v>#REF!</v>
      </c>
    </row>
    <row r="330" spans="4:4">
      <c r="D330" t="e">
        <f>IF('Slit to Tube Conversion'!#REF!="","",'Slit to Tube Conversion'!#REF!)</f>
        <v>#REF!</v>
      </c>
    </row>
    <row r="331" spans="4:4">
      <c r="D331" t="e">
        <f>IF('Slit to Tube Conversion'!#REF!="","",'Slit to Tube Conversion'!#REF!)</f>
        <v>#REF!</v>
      </c>
    </row>
    <row r="332" spans="4:4">
      <c r="D332" t="e">
        <f>IF('Slit to Tube Conversion'!#REF!="","",'Slit to Tube Conversion'!#REF!)</f>
        <v>#REF!</v>
      </c>
    </row>
    <row r="333" spans="4:4">
      <c r="D333" t="e">
        <f>IF('Slit to Tube Conversion'!#REF!="","",'Slit to Tube Conversion'!#REF!)</f>
        <v>#REF!</v>
      </c>
    </row>
    <row r="334" spans="4:4">
      <c r="D334" t="e">
        <f>IF('Slit to Tube Conversion'!#REF!="","",'Slit to Tube Conversion'!#REF!)</f>
        <v>#REF!</v>
      </c>
    </row>
    <row r="335" spans="4:4">
      <c r="D335" t="e">
        <f>IF('Slit to Tube Conversion'!#REF!="","",'Slit to Tube Conversion'!#REF!)</f>
        <v>#REF!</v>
      </c>
    </row>
    <row r="336" spans="4:4">
      <c r="D336" t="e">
        <f>IF('Slit to Tube Conversion'!#REF!="","",'Slit to Tube Conversion'!#REF!)</f>
        <v>#REF!</v>
      </c>
    </row>
    <row r="337" spans="4:4">
      <c r="D337" t="e">
        <f>IF('Slit to Tube Conversion'!#REF!="","",'Slit to Tube Conversion'!#REF!)</f>
        <v>#REF!</v>
      </c>
    </row>
    <row r="338" spans="4:4">
      <c r="D338" t="e">
        <f>IF('Slit to Tube Conversion'!#REF!="","",'Slit to Tube Conversion'!#REF!)</f>
        <v>#REF!</v>
      </c>
    </row>
    <row r="339" spans="4:4">
      <c r="D339" t="e">
        <f>IF('Slit to Tube Conversion'!#REF!="","",'Slit to Tube Conversion'!#REF!)</f>
        <v>#REF!</v>
      </c>
    </row>
    <row r="340" spans="4:4">
      <c r="D340" t="e">
        <f>IF('Slit to Tube Conversion'!#REF!="","",'Slit to Tube Conversion'!#REF!)</f>
        <v>#REF!</v>
      </c>
    </row>
    <row r="341" spans="4:4">
      <c r="D341" t="e">
        <f>IF('Slit to Tube Conversion'!#REF!="","",'Slit to Tube Conversion'!#REF!)</f>
        <v>#REF!</v>
      </c>
    </row>
    <row r="342" spans="4:4">
      <c r="D342" t="e">
        <f>IF('Slit to Tube Conversion'!#REF!="","",'Slit to Tube Conversion'!#REF!)</f>
        <v>#REF!</v>
      </c>
    </row>
    <row r="343" spans="4:4">
      <c r="D343" t="e">
        <f>IF('Slit to Tube Conversion'!#REF!="","",'Slit to Tube Conversion'!#REF!)</f>
        <v>#REF!</v>
      </c>
    </row>
    <row r="344" spans="4:4">
      <c r="D344" t="e">
        <f>IF('Slit to Tube Conversion'!#REF!="","",'Slit to Tube Conversion'!#REF!)</f>
        <v>#REF!</v>
      </c>
    </row>
    <row r="345" spans="4:4">
      <c r="D345" t="e">
        <f>IF('Slit to Tube Conversion'!#REF!="","",'Slit to Tube Conversion'!#REF!)</f>
        <v>#REF!</v>
      </c>
    </row>
    <row r="346" spans="4:4">
      <c r="D346" t="e">
        <f>IF('Slit to Tube Conversion'!#REF!="","",'Slit to Tube Conversion'!#REF!)</f>
        <v>#REF!</v>
      </c>
    </row>
    <row r="347" spans="4:4">
      <c r="D347" t="e">
        <f>IF('Slit to Tube Conversion'!#REF!="","",'Slit to Tube Conversion'!#REF!)</f>
        <v>#REF!</v>
      </c>
    </row>
    <row r="348" spans="4:4">
      <c r="D348" t="e">
        <f>IF('Slit to Tube Conversion'!#REF!="","",'Slit to Tube Conversion'!#REF!)</f>
        <v>#REF!</v>
      </c>
    </row>
    <row r="349" spans="4:4">
      <c r="D349" t="e">
        <f>IF('Slit to Tube Conversion'!#REF!="","",'Slit to Tube Conversion'!#REF!)</f>
        <v>#REF!</v>
      </c>
    </row>
    <row r="350" spans="4:4">
      <c r="D350" t="e">
        <f>IF('Slit to Tube Conversion'!#REF!="","",'Slit to Tube Conversion'!#REF!)</f>
        <v>#REF!</v>
      </c>
    </row>
    <row r="351" spans="4:4">
      <c r="D351" t="e">
        <f>IF('Slit to Tube Conversion'!#REF!="","",'Slit to Tube Conversion'!#REF!)</f>
        <v>#REF!</v>
      </c>
    </row>
    <row r="352" spans="4:4">
      <c r="D352" t="e">
        <f>IF('Slit to Tube Conversion'!#REF!="","",'Slit to Tube Conversion'!#REF!)</f>
        <v>#REF!</v>
      </c>
    </row>
    <row r="353" spans="4:4">
      <c r="D353" t="e">
        <f>IF('Slit to Tube Conversion'!#REF!="","",'Slit to Tube Conversion'!#REF!)</f>
        <v>#REF!</v>
      </c>
    </row>
    <row r="354" spans="4:4">
      <c r="D354" t="e">
        <f>IF('Slit to Tube Conversion'!#REF!="","",'Slit to Tube Conversion'!#REF!)</f>
        <v>#REF!</v>
      </c>
    </row>
    <row r="355" spans="4:4">
      <c r="D355" t="e">
        <f>IF('Slit to Tube Conversion'!#REF!="","",'Slit to Tube Conversion'!#REF!)</f>
        <v>#REF!</v>
      </c>
    </row>
    <row r="356" spans="4:4">
      <c r="D356" t="e">
        <f>IF('Slit to Tube Conversion'!#REF!="","",'Slit to Tube Conversion'!#REF!)</f>
        <v>#REF!</v>
      </c>
    </row>
    <row r="357" spans="4:4">
      <c r="D357" t="e">
        <f>IF('Slit to Tube Conversion'!#REF!="","",'Slit to Tube Conversion'!#REF!)</f>
        <v>#REF!</v>
      </c>
    </row>
    <row r="358" spans="4:4">
      <c r="D358" t="e">
        <f>IF('Slit to Tube Conversion'!#REF!="","",'Slit to Tube Conversion'!#REF!)</f>
        <v>#REF!</v>
      </c>
    </row>
    <row r="359" spans="4:4">
      <c r="D359" t="e">
        <f>IF('Slit to Tube Conversion'!#REF!="","",'Slit to Tube Conversion'!#REF!)</f>
        <v>#REF!</v>
      </c>
    </row>
    <row r="360" spans="4:4">
      <c r="D360" t="e">
        <f>IF('Slit to Tube Conversion'!#REF!="","",'Slit to Tube Conversion'!#REF!)</f>
        <v>#REF!</v>
      </c>
    </row>
    <row r="361" spans="4:4">
      <c r="D361" t="e">
        <f>IF('Slit to Tube Conversion'!#REF!="","",'Slit to Tube Conversion'!#REF!)</f>
        <v>#REF!</v>
      </c>
    </row>
    <row r="362" spans="4:4">
      <c r="D362" t="e">
        <f>IF('Slit to Tube Conversion'!#REF!="","",'Slit to Tube Conversion'!#REF!)</f>
        <v>#REF!</v>
      </c>
    </row>
    <row r="363" spans="4:4">
      <c r="D363" t="e">
        <f>IF('Slit to Tube Conversion'!#REF!="","",'Slit to Tube Conversion'!#REF!)</f>
        <v>#REF!</v>
      </c>
    </row>
    <row r="364" spans="4:4">
      <c r="D364" t="e">
        <f>IF('Slit to Tube Conversion'!#REF!="","",'Slit to Tube Conversion'!#REF!)</f>
        <v>#REF!</v>
      </c>
    </row>
    <row r="365" spans="4:4">
      <c r="D365" t="e">
        <f>IF('Slit to Tube Conversion'!#REF!="","",'Slit to Tube Conversion'!#REF!)</f>
        <v>#REF!</v>
      </c>
    </row>
    <row r="366" spans="4:4">
      <c r="D366" t="e">
        <f>IF('Slit to Tube Conversion'!#REF!="","",'Slit to Tube Conversion'!#REF!)</f>
        <v>#REF!</v>
      </c>
    </row>
    <row r="367" spans="4:4">
      <c r="D367" t="e">
        <f>IF('Slit to Tube Conversion'!#REF!="","",'Slit to Tube Conversion'!#REF!)</f>
        <v>#REF!</v>
      </c>
    </row>
    <row r="368" spans="4:4">
      <c r="D368" t="e">
        <f>IF('Slit to Tube Conversion'!#REF!="","",'Slit to Tube Conversion'!#REF!)</f>
        <v>#REF!</v>
      </c>
    </row>
    <row r="369" spans="4:4">
      <c r="D369" t="e">
        <f>IF('Slit to Tube Conversion'!#REF!="","",'Slit to Tube Conversion'!#REF!)</f>
        <v>#REF!</v>
      </c>
    </row>
    <row r="370" spans="4:4">
      <c r="D370" t="e">
        <f>IF('Slit to Tube Conversion'!#REF!="","",'Slit to Tube Conversion'!#REF!)</f>
        <v>#REF!</v>
      </c>
    </row>
    <row r="371" spans="4:4">
      <c r="D371" t="e">
        <f>IF('Slit to Tube Conversion'!#REF!="","",'Slit to Tube Conversion'!#REF!)</f>
        <v>#REF!</v>
      </c>
    </row>
    <row r="372" spans="4:4">
      <c r="D372" t="e">
        <f>IF('Slit to Tube Conversion'!#REF!="","",'Slit to Tube Conversion'!#REF!)</f>
        <v>#REF!</v>
      </c>
    </row>
    <row r="373" spans="4:4">
      <c r="D373" t="e">
        <f>IF('Slit to Tube Conversion'!#REF!="","",'Slit to Tube Conversion'!#REF!)</f>
        <v>#REF!</v>
      </c>
    </row>
    <row r="374" spans="4:4">
      <c r="D374" t="e">
        <f>IF('Slit to Tube Conversion'!#REF!="","",'Slit to Tube Conversion'!#REF!)</f>
        <v>#REF!</v>
      </c>
    </row>
    <row r="375" spans="4:4">
      <c r="D375" t="e">
        <f>IF('Slit to Tube Conversion'!#REF!="","",'Slit to Tube Conversion'!#REF!)</f>
        <v>#REF!</v>
      </c>
    </row>
    <row r="376" spans="4:4">
      <c r="D376" t="e">
        <f>IF('Slit to Tube Conversion'!#REF!="","",'Slit to Tube Conversion'!#REF!)</f>
        <v>#REF!</v>
      </c>
    </row>
    <row r="377" spans="4:4">
      <c r="D377" t="e">
        <f>IF('Slit to Tube Conversion'!#REF!="","",'Slit to Tube Conversion'!#REF!)</f>
        <v>#REF!</v>
      </c>
    </row>
    <row r="378" spans="4:4">
      <c r="D378" t="e">
        <f>IF('Slit to Tube Conversion'!#REF!="","",'Slit to Tube Conversion'!#REF!)</f>
        <v>#REF!</v>
      </c>
    </row>
    <row r="379" spans="4:4">
      <c r="D379" t="e">
        <f>IF('Slit to Tube Conversion'!#REF!="","",'Slit to Tube Conversion'!#REF!)</f>
        <v>#REF!</v>
      </c>
    </row>
    <row r="380" spans="4:4">
      <c r="D380" t="e">
        <f>IF('Slit to Tube Conversion'!#REF!="","",'Slit to Tube Conversion'!#REF!)</f>
        <v>#REF!</v>
      </c>
    </row>
    <row r="381" spans="4:4">
      <c r="D381" t="e">
        <f>IF('Slit to Tube Conversion'!#REF!="","",'Slit to Tube Conversion'!#REF!)</f>
        <v>#REF!</v>
      </c>
    </row>
    <row r="382" spans="4:4">
      <c r="D382" t="e">
        <f>IF('Slit to Tube Conversion'!#REF!="","",'Slit to Tube Conversion'!#REF!)</f>
        <v>#REF!</v>
      </c>
    </row>
    <row r="383" spans="4:4">
      <c r="D383" t="e">
        <f>IF('Slit to Tube Conversion'!#REF!="","",'Slit to Tube Conversion'!#REF!)</f>
        <v>#REF!</v>
      </c>
    </row>
    <row r="384" spans="4:4">
      <c r="D384" t="e">
        <f>IF('Slit to Tube Conversion'!#REF!="","",'Slit to Tube Conversion'!#REF!)</f>
        <v>#REF!</v>
      </c>
    </row>
    <row r="385" spans="4:4">
      <c r="D385" t="e">
        <f>IF('Slit to Tube Conversion'!#REF!="","",'Slit to Tube Conversion'!#REF!)</f>
        <v>#REF!</v>
      </c>
    </row>
    <row r="386" spans="4:4">
      <c r="D386" t="e">
        <f>IF('Slit to Tube Conversion'!#REF!="","",'Slit to Tube Conversion'!#REF!)</f>
        <v>#REF!</v>
      </c>
    </row>
    <row r="387" spans="4:4">
      <c r="D387" t="e">
        <f>IF('Slit to Tube Conversion'!#REF!="","",'Slit to Tube Conversion'!#REF!)</f>
        <v>#REF!</v>
      </c>
    </row>
    <row r="388" spans="4:4">
      <c r="D388" t="e">
        <f>IF('Slit to Tube Conversion'!#REF!="","",'Slit to Tube Conversion'!#REF!)</f>
        <v>#REF!</v>
      </c>
    </row>
    <row r="389" spans="4:4">
      <c r="D389" t="e">
        <f>IF('Slit to Tube Conversion'!#REF!="","",'Slit to Tube Conversion'!#REF!)</f>
        <v>#REF!</v>
      </c>
    </row>
    <row r="390" spans="4:4">
      <c r="D390" t="e">
        <f>IF('Slit to Tube Conversion'!#REF!="","",'Slit to Tube Conversion'!#REF!)</f>
        <v>#REF!</v>
      </c>
    </row>
    <row r="391" spans="4:4">
      <c r="D391" t="e">
        <f>IF('Slit to Tube Conversion'!#REF!="","",'Slit to Tube Conversion'!#REF!)</f>
        <v>#REF!</v>
      </c>
    </row>
    <row r="392" spans="4:4">
      <c r="D392" t="e">
        <f>IF('Slit to Tube Conversion'!#REF!="","",'Slit to Tube Conversion'!#REF!)</f>
        <v>#REF!</v>
      </c>
    </row>
    <row r="393" spans="4:4">
      <c r="D393" t="e">
        <f>IF('Slit to Tube Conversion'!#REF!="","",'Slit to Tube Conversion'!#REF!)</f>
        <v>#REF!</v>
      </c>
    </row>
    <row r="394" spans="4:4">
      <c r="D394" t="e">
        <f>IF('Slit to Tube Conversion'!#REF!="","",'Slit to Tube Conversion'!#REF!)</f>
        <v>#REF!</v>
      </c>
    </row>
    <row r="395" spans="4:4">
      <c r="D395" t="e">
        <f>IF('Slit to Tube Conversion'!#REF!="","",'Slit to Tube Conversion'!#REF!)</f>
        <v>#REF!</v>
      </c>
    </row>
    <row r="396" spans="4:4">
      <c r="D396" t="e">
        <f>IF('Slit to Tube Conversion'!#REF!="","",'Slit to Tube Conversion'!#REF!)</f>
        <v>#REF!</v>
      </c>
    </row>
    <row r="397" spans="4:4">
      <c r="D397" t="e">
        <f>IF('Slit to Tube Conversion'!#REF!="","",'Slit to Tube Conversion'!#REF!)</f>
        <v>#REF!</v>
      </c>
    </row>
    <row r="398" spans="4:4">
      <c r="D398" t="e">
        <f>IF('Slit to Tube Conversion'!#REF!="","",'Slit to Tube Conversion'!#REF!)</f>
        <v>#REF!</v>
      </c>
    </row>
    <row r="399" spans="4:4">
      <c r="D399" t="e">
        <f>IF('Slit to Tube Conversion'!#REF!="","",'Slit to Tube Conversion'!#REF!)</f>
        <v>#REF!</v>
      </c>
    </row>
    <row r="400" spans="4:4">
      <c r="D400" t="e">
        <f>IF('Slit to Tube Conversion'!#REF!="","",'Slit to Tube Conversion'!#REF!)</f>
        <v>#REF!</v>
      </c>
    </row>
    <row r="401" spans="4:4">
      <c r="D401" t="e">
        <f>IF('Slit to Tube Conversion'!#REF!="","",'Slit to Tube Conversion'!#REF!)</f>
        <v>#REF!</v>
      </c>
    </row>
    <row r="402" spans="4:4">
      <c r="D402" t="e">
        <f>IF('Slit to Tube Conversion'!#REF!="","",'Slit to Tube Conversion'!#REF!)</f>
        <v>#REF!</v>
      </c>
    </row>
    <row r="403" spans="4:4">
      <c r="D403" t="e">
        <f>IF('Slit to Tube Conversion'!#REF!="","",'Slit to Tube Conversion'!#REF!)</f>
        <v>#REF!</v>
      </c>
    </row>
    <row r="404" spans="4:4">
      <c r="D404" t="e">
        <f>IF('Slit to Tube Conversion'!#REF!="","",'Slit to Tube Conversion'!#REF!)</f>
        <v>#REF!</v>
      </c>
    </row>
    <row r="405" spans="4:4">
      <c r="D405" t="e">
        <f>IF('Slit to Tube Conversion'!#REF!="","",'Slit to Tube Conversion'!#REF!)</f>
        <v>#REF!</v>
      </c>
    </row>
    <row r="406" spans="4:4">
      <c r="D406" t="e">
        <f>IF('Slit to Tube Conversion'!#REF!="","",'Slit to Tube Conversion'!#REF!)</f>
        <v>#REF!</v>
      </c>
    </row>
    <row r="407" spans="4:4">
      <c r="D407" t="e">
        <f>IF('Slit to Tube Conversion'!#REF!="","",'Slit to Tube Conversion'!#REF!)</f>
        <v>#REF!</v>
      </c>
    </row>
    <row r="408" spans="4:4">
      <c r="D408" t="e">
        <f>IF('Slit to Tube Conversion'!#REF!="","",'Slit to Tube Conversion'!#REF!)</f>
        <v>#REF!</v>
      </c>
    </row>
    <row r="409" spans="4:4">
      <c r="D409" t="e">
        <f>IF('Slit to Tube Conversion'!#REF!="","",'Slit to Tube Conversion'!#REF!)</f>
        <v>#REF!</v>
      </c>
    </row>
    <row r="410" spans="4:4">
      <c r="D410" t="e">
        <f>IF('Slit to Tube Conversion'!#REF!="","",'Slit to Tube Conversion'!#REF!)</f>
        <v>#REF!</v>
      </c>
    </row>
    <row r="411" spans="4:4">
      <c r="D411" t="e">
        <f>IF('Slit to Tube Conversion'!#REF!="","",'Slit to Tube Conversion'!#REF!)</f>
        <v>#REF!</v>
      </c>
    </row>
    <row r="412" spans="4:4">
      <c r="D412" t="e">
        <f>IF('Slit to Tube Conversion'!#REF!="","",'Slit to Tube Conversion'!#REF!)</f>
        <v>#REF!</v>
      </c>
    </row>
    <row r="413" spans="4:4">
      <c r="D413" t="e">
        <f>IF('Slit to Tube Conversion'!#REF!="","",'Slit to Tube Conversion'!#REF!)</f>
        <v>#REF!</v>
      </c>
    </row>
    <row r="414" spans="4:4">
      <c r="D414" t="e">
        <f>IF('Slit to Tube Conversion'!#REF!="","",'Slit to Tube Conversion'!#REF!)</f>
        <v>#REF!</v>
      </c>
    </row>
    <row r="415" spans="4:4">
      <c r="D415" t="e">
        <f>IF('Slit to Tube Conversion'!#REF!="","",'Slit to Tube Conversion'!#REF!)</f>
        <v>#REF!</v>
      </c>
    </row>
    <row r="416" spans="4:4">
      <c r="D416" t="e">
        <f>IF('Slit to Tube Conversion'!#REF!="","",'Slit to Tube Conversion'!#REF!)</f>
        <v>#REF!</v>
      </c>
    </row>
    <row r="417" spans="4:4">
      <c r="D417" t="e">
        <f>IF('Slit to Tube Conversion'!#REF!="","",'Slit to Tube Conversion'!#REF!)</f>
        <v>#REF!</v>
      </c>
    </row>
    <row r="418" spans="4:4">
      <c r="D418" t="e">
        <f>IF('Slit to Tube Conversion'!#REF!="","",'Slit to Tube Conversion'!#REF!)</f>
        <v>#REF!</v>
      </c>
    </row>
    <row r="419" spans="4:4">
      <c r="D419" t="e">
        <f>IF('Slit to Tube Conversion'!#REF!="","",'Slit to Tube Conversion'!#REF!)</f>
        <v>#REF!</v>
      </c>
    </row>
    <row r="420" spans="4:4">
      <c r="D420" t="e">
        <f>IF('Slit to Tube Conversion'!#REF!="","",'Slit to Tube Conversion'!#REF!)</f>
        <v>#REF!</v>
      </c>
    </row>
    <row r="421" spans="4:4">
      <c r="D421" t="e">
        <f>IF('Slit to Tube Conversion'!#REF!="","",'Slit to Tube Conversion'!#REF!)</f>
        <v>#REF!</v>
      </c>
    </row>
    <row r="422" spans="4:4">
      <c r="D422" t="e">
        <f>IF('Slit to Tube Conversion'!#REF!="","",'Slit to Tube Conversion'!#REF!)</f>
        <v>#REF!</v>
      </c>
    </row>
    <row r="423" spans="4:4">
      <c r="D423" t="e">
        <f>IF('Slit to Tube Conversion'!#REF!="","",'Slit to Tube Conversion'!#REF!)</f>
        <v>#REF!</v>
      </c>
    </row>
    <row r="424" spans="4:4">
      <c r="D424" t="e">
        <f>IF('Slit to Tube Conversion'!#REF!="","",'Slit to Tube Conversion'!#REF!)</f>
        <v>#REF!</v>
      </c>
    </row>
    <row r="425" spans="4:4">
      <c r="D425" t="e">
        <f>IF('Slit to Tube Conversion'!#REF!="","",'Slit to Tube Conversion'!#REF!)</f>
        <v>#REF!</v>
      </c>
    </row>
    <row r="426" spans="4:4">
      <c r="D426" t="e">
        <f>IF('Slit to Tube Conversion'!#REF!="","",'Slit to Tube Conversion'!#REF!)</f>
        <v>#REF!</v>
      </c>
    </row>
    <row r="427" spans="4:4">
      <c r="D427" t="e">
        <f>IF('Slit to Tube Conversion'!#REF!="","",'Slit to Tube Conversion'!#REF!)</f>
        <v>#REF!</v>
      </c>
    </row>
    <row r="428" spans="4:4">
      <c r="D428" t="e">
        <f>IF('Slit to Tube Conversion'!#REF!="","",'Slit to Tube Conversion'!#REF!)</f>
        <v>#REF!</v>
      </c>
    </row>
    <row r="429" spans="4:4">
      <c r="D429" t="e">
        <f>IF('Slit to Tube Conversion'!#REF!="","",'Slit to Tube Conversion'!#REF!)</f>
        <v>#REF!</v>
      </c>
    </row>
    <row r="430" spans="4:4">
      <c r="D430" t="e">
        <f>IF('Slit to Tube Conversion'!#REF!="","",'Slit to Tube Conversion'!#REF!)</f>
        <v>#REF!</v>
      </c>
    </row>
    <row r="431" spans="4:4">
      <c r="D431" t="e">
        <f>IF('Slit to Tube Conversion'!#REF!="","",'Slit to Tube Conversion'!#REF!)</f>
        <v>#REF!</v>
      </c>
    </row>
    <row r="432" spans="4:4">
      <c r="D432" t="e">
        <f>IF('Slit to Tube Conversion'!#REF!="","",'Slit to Tube Conversion'!#REF!)</f>
        <v>#REF!</v>
      </c>
    </row>
    <row r="433" spans="4:4">
      <c r="D433" t="e">
        <f>IF('Slit to Tube Conversion'!#REF!="","",'Slit to Tube Conversion'!#REF!)</f>
        <v>#REF!</v>
      </c>
    </row>
    <row r="434" spans="4:4">
      <c r="D434" t="e">
        <f>IF('Slit to Tube Conversion'!#REF!="","",'Slit to Tube Conversion'!#REF!)</f>
        <v>#REF!</v>
      </c>
    </row>
    <row r="435" spans="4:4">
      <c r="D435" t="e">
        <f>IF('Slit to Tube Conversion'!#REF!="","",'Slit to Tube Conversion'!#REF!)</f>
        <v>#REF!</v>
      </c>
    </row>
    <row r="436" spans="4:4">
      <c r="D436" t="e">
        <f>IF('Slit to Tube Conversion'!#REF!="","",'Slit to Tube Conversion'!#REF!)</f>
        <v>#REF!</v>
      </c>
    </row>
    <row r="437" spans="4:4">
      <c r="D437" t="e">
        <f>IF('Slit to Tube Conversion'!#REF!="","",'Slit to Tube Conversion'!#REF!)</f>
        <v>#REF!</v>
      </c>
    </row>
    <row r="438" spans="4:4">
      <c r="D438" t="e">
        <f>IF('Slit to Tube Conversion'!#REF!="","",'Slit to Tube Conversion'!#REF!)</f>
        <v>#REF!</v>
      </c>
    </row>
    <row r="439" spans="4:4">
      <c r="D439" t="e">
        <f>IF('Slit to Tube Conversion'!#REF!="","",'Slit to Tube Conversion'!#REF!)</f>
        <v>#REF!</v>
      </c>
    </row>
    <row r="440" spans="4:4">
      <c r="D440" t="e">
        <f>IF('Slit to Tube Conversion'!#REF!="","",'Slit to Tube Conversion'!#REF!)</f>
        <v>#REF!</v>
      </c>
    </row>
    <row r="441" spans="4:4">
      <c r="D441" t="e">
        <f>IF('Slit to Tube Conversion'!#REF!="","",'Slit to Tube Conversion'!#REF!)</f>
        <v>#REF!</v>
      </c>
    </row>
    <row r="442" spans="4:4">
      <c r="D442" t="e">
        <f>IF('Slit to Tube Conversion'!#REF!="","",'Slit to Tube Conversion'!#REF!)</f>
        <v>#REF!</v>
      </c>
    </row>
    <row r="443" spans="4:4">
      <c r="D443" t="e">
        <f>IF('Slit to Tube Conversion'!#REF!="","",'Slit to Tube Conversion'!#REF!)</f>
        <v>#REF!</v>
      </c>
    </row>
    <row r="444" spans="4:4">
      <c r="D444" t="e">
        <f>IF('Slit to Tube Conversion'!#REF!="","",'Slit to Tube Conversion'!#REF!)</f>
        <v>#REF!</v>
      </c>
    </row>
    <row r="445" spans="4:4">
      <c r="D445" t="e">
        <f>IF('Slit to Tube Conversion'!#REF!="","",'Slit to Tube Conversion'!#REF!)</f>
        <v>#REF!</v>
      </c>
    </row>
    <row r="446" spans="4:4">
      <c r="D446" t="e">
        <f>IF('Slit to Tube Conversion'!#REF!="","",'Slit to Tube Conversion'!#REF!)</f>
        <v>#REF!</v>
      </c>
    </row>
    <row r="447" spans="4:4">
      <c r="D447" t="e">
        <f>IF('Slit to Tube Conversion'!#REF!="","",'Slit to Tube Conversion'!#REF!)</f>
        <v>#REF!</v>
      </c>
    </row>
    <row r="448" spans="4:4">
      <c r="D448" t="e">
        <f>IF('Slit to Tube Conversion'!#REF!="","",'Slit to Tube Conversion'!#REF!)</f>
        <v>#REF!</v>
      </c>
    </row>
    <row r="449" spans="4:4">
      <c r="D449" t="e">
        <f>IF('Slit to Tube Conversion'!#REF!="","",'Slit to Tube Conversion'!#REF!)</f>
        <v>#REF!</v>
      </c>
    </row>
    <row r="450" spans="4:4">
      <c r="D450" t="e">
        <f>IF('Slit to Tube Conversion'!#REF!="","",'Slit to Tube Conversion'!#REF!)</f>
        <v>#REF!</v>
      </c>
    </row>
    <row r="451" spans="4:4">
      <c r="D451" t="e">
        <f>IF('Slit to Tube Conversion'!#REF!="","",'Slit to Tube Conversion'!#REF!)</f>
        <v>#REF!</v>
      </c>
    </row>
    <row r="452" spans="4:4">
      <c r="D452" t="e">
        <f>IF('Slit to Tube Conversion'!#REF!="","",'Slit to Tube Conversion'!#REF!)</f>
        <v>#REF!</v>
      </c>
    </row>
    <row r="453" spans="4:4">
      <c r="D453" t="e">
        <f>IF('Slit to Tube Conversion'!#REF!="","",'Slit to Tube Conversion'!#REF!)</f>
        <v>#REF!</v>
      </c>
    </row>
    <row r="454" spans="4:4">
      <c r="D454" t="e">
        <f>IF('Slit to Tube Conversion'!#REF!="","",'Slit to Tube Conversion'!#REF!)</f>
        <v>#REF!</v>
      </c>
    </row>
    <row r="455" spans="4:4">
      <c r="D455" t="e">
        <f>IF('Slit to Tube Conversion'!#REF!="","",'Slit to Tube Conversion'!#REF!)</f>
        <v>#REF!</v>
      </c>
    </row>
    <row r="456" spans="4:4">
      <c r="D456" t="e">
        <f>IF('Slit to Tube Conversion'!#REF!="","",'Slit to Tube Conversion'!#REF!)</f>
        <v>#REF!</v>
      </c>
    </row>
    <row r="457" spans="4:4">
      <c r="D457" t="e">
        <f>IF('Slit to Tube Conversion'!#REF!="","",'Slit to Tube Conversion'!#REF!)</f>
        <v>#REF!</v>
      </c>
    </row>
    <row r="458" spans="4:4">
      <c r="D458" t="e">
        <f>IF('Slit to Tube Conversion'!#REF!="","",'Slit to Tube Conversion'!#REF!)</f>
        <v>#REF!</v>
      </c>
    </row>
    <row r="459" spans="4:4">
      <c r="D459" t="e">
        <f>IF('Slit to Tube Conversion'!#REF!="","",'Slit to Tube Conversion'!#REF!)</f>
        <v>#REF!</v>
      </c>
    </row>
    <row r="460" spans="4:4">
      <c r="D460" t="e">
        <f>IF('Slit to Tube Conversion'!#REF!="","",'Slit to Tube Conversion'!#REF!)</f>
        <v>#REF!</v>
      </c>
    </row>
    <row r="461" spans="4:4">
      <c r="D461" t="e">
        <f>IF('Slit to Tube Conversion'!#REF!="","",'Slit to Tube Conversion'!#REF!)</f>
        <v>#REF!</v>
      </c>
    </row>
    <row r="462" spans="4:4">
      <c r="D462" t="e">
        <f>IF('Slit to Tube Conversion'!#REF!="","",'Slit to Tube Conversion'!#REF!)</f>
        <v>#REF!</v>
      </c>
    </row>
    <row r="463" spans="4:4">
      <c r="D463" t="e">
        <f>IF('Slit to Tube Conversion'!#REF!="","",'Slit to Tube Conversion'!#REF!)</f>
        <v>#REF!</v>
      </c>
    </row>
    <row r="464" spans="4:4">
      <c r="D464" t="e">
        <f>IF('Slit to Tube Conversion'!#REF!="","",'Slit to Tube Conversion'!#REF!)</f>
        <v>#REF!</v>
      </c>
    </row>
    <row r="465" spans="4:4">
      <c r="D465" t="e">
        <f>IF('Slit to Tube Conversion'!#REF!="","",'Slit to Tube Conversion'!#REF!)</f>
        <v>#REF!</v>
      </c>
    </row>
    <row r="466" spans="4:4">
      <c r="D466" t="e">
        <f>IF('Slit to Tube Conversion'!#REF!="","",'Slit to Tube Conversion'!#REF!)</f>
        <v>#REF!</v>
      </c>
    </row>
    <row r="467" spans="4:4">
      <c r="D467" t="e">
        <f>IF('Slit to Tube Conversion'!#REF!="","",'Slit to Tube Conversion'!#REF!)</f>
        <v>#REF!</v>
      </c>
    </row>
    <row r="468" spans="4:4">
      <c r="D468" t="e">
        <f>IF('Slit to Tube Conversion'!#REF!="","",'Slit to Tube Conversion'!#REF!)</f>
        <v>#REF!</v>
      </c>
    </row>
    <row r="469" spans="4:4">
      <c r="D469" t="e">
        <f>IF('Slit to Tube Conversion'!#REF!="","",'Slit to Tube Conversion'!#REF!)</f>
        <v>#REF!</v>
      </c>
    </row>
    <row r="470" spans="4:4">
      <c r="D470" t="e">
        <f>IF('Slit to Tube Conversion'!#REF!="","",'Slit to Tube Conversion'!#REF!)</f>
        <v>#REF!</v>
      </c>
    </row>
    <row r="471" spans="4:4">
      <c r="D471" t="e">
        <f>IF('Slit to Tube Conversion'!#REF!="","",'Slit to Tube Conversion'!#REF!)</f>
        <v>#REF!</v>
      </c>
    </row>
    <row r="472" spans="4:4">
      <c r="D472" t="e">
        <f>IF('Slit to Tube Conversion'!#REF!="","",'Slit to Tube Conversion'!#REF!)</f>
        <v>#REF!</v>
      </c>
    </row>
    <row r="473" spans="4:4">
      <c r="D473" t="e">
        <f>IF('Slit to Tube Conversion'!#REF!="","",'Slit to Tube Conversion'!#REF!)</f>
        <v>#REF!</v>
      </c>
    </row>
    <row r="474" spans="4:4">
      <c r="D474" t="e">
        <f>IF('Slit to Tube Conversion'!#REF!="","",'Slit to Tube Conversion'!#REF!)</f>
        <v>#REF!</v>
      </c>
    </row>
    <row r="475" spans="4:4">
      <c r="D475" t="e">
        <f>IF('Slit to Tube Conversion'!#REF!="","",'Slit to Tube Conversion'!#REF!)</f>
        <v>#REF!</v>
      </c>
    </row>
    <row r="476" spans="4:4">
      <c r="D476" t="e">
        <f>IF('Slit to Tube Conversion'!#REF!="","",'Slit to Tube Conversion'!#REF!)</f>
        <v>#REF!</v>
      </c>
    </row>
    <row r="477" spans="4:4">
      <c r="D477" t="e">
        <f>IF('Slit to Tube Conversion'!#REF!="","",'Slit to Tube Conversion'!#REF!)</f>
        <v>#REF!</v>
      </c>
    </row>
    <row r="478" spans="4:4">
      <c r="D478" t="e">
        <f>IF('Slit to Tube Conversion'!#REF!="","",'Slit to Tube Conversion'!#REF!)</f>
        <v>#REF!</v>
      </c>
    </row>
    <row r="479" spans="4:4">
      <c r="D479" t="e">
        <f>IF('Slit to Tube Conversion'!#REF!="","",'Slit to Tube Conversion'!#REF!)</f>
        <v>#REF!</v>
      </c>
    </row>
    <row r="480" spans="4:4">
      <c r="D480" t="e">
        <f>IF('Slit to Tube Conversion'!#REF!="","",'Slit to Tube Conversion'!#REF!)</f>
        <v>#REF!</v>
      </c>
    </row>
    <row r="481" spans="4:4">
      <c r="D481" t="e">
        <f>IF('Slit to Tube Conversion'!#REF!="","",'Slit to Tube Conversion'!#REF!)</f>
        <v>#REF!</v>
      </c>
    </row>
    <row r="482" spans="4:4">
      <c r="D482" t="e">
        <f>IF('Slit to Tube Conversion'!#REF!="","",'Slit to Tube Conversion'!#REF!)</f>
        <v>#REF!</v>
      </c>
    </row>
    <row r="483" spans="4:4">
      <c r="D483" t="e">
        <f>IF('Slit to Tube Conversion'!#REF!="","",'Slit to Tube Conversion'!#REF!)</f>
        <v>#REF!</v>
      </c>
    </row>
    <row r="484" spans="4:4">
      <c r="D484" t="e">
        <f>IF('Slit to Tube Conversion'!#REF!="","",'Slit to Tube Conversion'!#REF!)</f>
        <v>#REF!</v>
      </c>
    </row>
    <row r="485" spans="4:4">
      <c r="D485" t="e">
        <f>IF('Slit to Tube Conversion'!#REF!="","",'Slit to Tube Conversion'!#REF!)</f>
        <v>#REF!</v>
      </c>
    </row>
    <row r="486" spans="4:4">
      <c r="D486" t="e">
        <f>IF('Slit to Tube Conversion'!#REF!="","",'Slit to Tube Conversion'!#REF!)</f>
        <v>#REF!</v>
      </c>
    </row>
    <row r="487" spans="4:4">
      <c r="D487" t="e">
        <f>IF('Slit to Tube Conversion'!#REF!="","",'Slit to Tube Conversion'!#REF!)</f>
        <v>#REF!</v>
      </c>
    </row>
    <row r="488" spans="4:4">
      <c r="D488" t="e">
        <f>IF('Slit to Tube Conversion'!#REF!="","",'Slit to Tube Conversion'!#REF!)</f>
        <v>#REF!</v>
      </c>
    </row>
    <row r="489" spans="4:4">
      <c r="D489" t="e">
        <f>IF('Slit to Tube Conversion'!#REF!="","",'Slit to Tube Conversion'!#REF!)</f>
        <v>#REF!</v>
      </c>
    </row>
    <row r="490" spans="4:4">
      <c r="D490" t="e">
        <f>IF('Slit to Tube Conversion'!#REF!="","",'Slit to Tube Conversion'!#REF!)</f>
        <v>#REF!</v>
      </c>
    </row>
    <row r="491" spans="4:4">
      <c r="D491" t="e">
        <f>IF('Slit to Tube Conversion'!#REF!="","",'Slit to Tube Conversion'!#REF!)</f>
        <v>#REF!</v>
      </c>
    </row>
    <row r="492" spans="4:4">
      <c r="D492" t="e">
        <f>IF('Slit to Tube Conversion'!#REF!="","",'Slit to Tube Conversion'!#REF!)</f>
        <v>#REF!</v>
      </c>
    </row>
    <row r="493" spans="4:4">
      <c r="D493" t="e">
        <f>IF('Slit to Tube Conversion'!#REF!="","",'Slit to Tube Conversion'!#REF!)</f>
        <v>#REF!</v>
      </c>
    </row>
    <row r="494" spans="4:4">
      <c r="D494" t="e">
        <f>IF('Slit to Tube Conversion'!#REF!="","",'Slit to Tube Conversion'!#REF!)</f>
        <v>#REF!</v>
      </c>
    </row>
    <row r="495" spans="4:4">
      <c r="D495" t="e">
        <f>IF('Slit to Tube Conversion'!#REF!="","",'Slit to Tube Conversion'!#REF!)</f>
        <v>#REF!</v>
      </c>
    </row>
    <row r="496" spans="4:4">
      <c r="D496" t="e">
        <f>IF('Slit to Tube Conversion'!#REF!="","",'Slit to Tube Conversion'!#REF!)</f>
        <v>#REF!</v>
      </c>
    </row>
    <row r="497" spans="4:4">
      <c r="D497" t="e">
        <f>IF('Slit to Tube Conversion'!#REF!="","",'Slit to Tube Conversion'!#REF!)</f>
        <v>#REF!</v>
      </c>
    </row>
    <row r="498" spans="4:4">
      <c r="D498" t="e">
        <f>IF('Slit to Tube Conversion'!#REF!="","",'Slit to Tube Conversion'!#REF!)</f>
        <v>#REF!</v>
      </c>
    </row>
    <row r="499" spans="4:4">
      <c r="D499" t="e">
        <f>IF('Slit to Tube Conversion'!#REF!="","",'Slit to Tube Conversion'!#REF!)</f>
        <v>#REF!</v>
      </c>
    </row>
  </sheetData>
  <dataValidations count="1">
    <dataValidation type="custom" allowBlank="1" showInputMessage="1" promptTitle="Material Density (g/cm³)" prompt="Enter steel density in g/cm³. Default: 7.85 for mild steel. Change only if using a different grade." sqref="B7" xr:uid="{CB8FF13E-1663-414D-AC10-865DFD2FFA8D}">
      <formula1>TRUE</formula1>
    </dataValidation>
  </dataValidations>
  <hyperlinks>
    <hyperlink ref="B4" r:id="rId1" xr:uid="{F946A5A7-6A5C-4F11-B023-9C2ED12AA36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5FBF-AE14-449B-9A10-988D7F8D6C36}">
  <dimension ref="A1:F26"/>
  <sheetViews>
    <sheetView topLeftCell="A16" workbookViewId="0">
      <selection activeCell="C9" sqref="C9"/>
    </sheetView>
  </sheetViews>
  <sheetFormatPr defaultRowHeight="15"/>
  <cols>
    <col min="1" max="1" width="9.5703125" customWidth="1"/>
    <col min="2" max="2" width="16" customWidth="1"/>
    <col min="3" max="3" width="62.140625" style="14" customWidth="1"/>
    <col min="4" max="4" width="44.28515625" customWidth="1"/>
    <col min="5" max="5" width="57.140625" customWidth="1"/>
    <col min="6" max="6" width="38.140625" customWidth="1"/>
  </cols>
  <sheetData>
    <row r="1" spans="1:6">
      <c r="A1" s="23" t="s">
        <v>673</v>
      </c>
      <c r="B1" s="23" t="s">
        <v>674</v>
      </c>
      <c r="C1" s="171" t="s">
        <v>675</v>
      </c>
      <c r="D1" s="23" t="s">
        <v>676</v>
      </c>
      <c r="E1" s="23" t="s">
        <v>677</v>
      </c>
      <c r="F1" s="23" t="s">
        <v>678</v>
      </c>
    </row>
    <row r="2" spans="1:6" ht="29.25">
      <c r="A2">
        <v>1</v>
      </c>
      <c r="B2" s="24">
        <v>46113</v>
      </c>
      <c r="C2" s="14" t="s">
        <v>679</v>
      </c>
      <c r="D2" t="s">
        <v>680</v>
      </c>
      <c r="E2" t="s">
        <v>681</v>
      </c>
      <c r="F2" t="s">
        <v>682</v>
      </c>
    </row>
    <row r="3" spans="1:6" ht="29.25">
      <c r="A3">
        <v>2</v>
      </c>
      <c r="B3" s="24">
        <v>46113</v>
      </c>
      <c r="C3" s="14" t="s">
        <v>683</v>
      </c>
      <c r="D3" t="s">
        <v>684</v>
      </c>
      <c r="E3" t="s">
        <v>685</v>
      </c>
      <c r="F3" t="s">
        <v>686</v>
      </c>
    </row>
    <row r="4" spans="1:6">
      <c r="A4">
        <v>3</v>
      </c>
      <c r="B4" s="24">
        <v>46113</v>
      </c>
      <c r="C4" s="14" t="s">
        <v>687</v>
      </c>
      <c r="D4" t="s">
        <v>688</v>
      </c>
      <c r="E4" t="s">
        <v>689</v>
      </c>
      <c r="F4" t="s">
        <v>690</v>
      </c>
    </row>
    <row r="5" spans="1:6">
      <c r="A5">
        <v>4</v>
      </c>
      <c r="B5" s="24">
        <v>46113</v>
      </c>
      <c r="C5" s="14" t="s">
        <v>691</v>
      </c>
      <c r="D5" t="s">
        <v>692</v>
      </c>
      <c r="E5" t="s">
        <v>693</v>
      </c>
      <c r="F5" t="s">
        <v>694</v>
      </c>
    </row>
    <row r="6" spans="1:6">
      <c r="A6">
        <v>5</v>
      </c>
      <c r="B6" s="24">
        <v>46113</v>
      </c>
      <c r="C6" s="14" t="s">
        <v>695</v>
      </c>
      <c r="D6" t="s">
        <v>696</v>
      </c>
      <c r="E6" t="s">
        <v>697</v>
      </c>
      <c r="F6" t="s">
        <v>698</v>
      </c>
    </row>
    <row r="7" spans="1:6">
      <c r="A7">
        <v>6</v>
      </c>
      <c r="B7" s="24">
        <v>46113</v>
      </c>
      <c r="C7" s="14" t="s">
        <v>699</v>
      </c>
      <c r="D7" t="s">
        <v>700</v>
      </c>
      <c r="E7" t="s">
        <v>701</v>
      </c>
      <c r="F7" t="s">
        <v>702</v>
      </c>
    </row>
    <row r="9" spans="1:6" ht="29.25">
      <c r="A9">
        <v>7</v>
      </c>
      <c r="B9" s="24">
        <v>46056</v>
      </c>
      <c r="C9" s="14" t="s">
        <v>703</v>
      </c>
      <c r="D9" t="s">
        <v>704</v>
      </c>
      <c r="E9" t="s">
        <v>705</v>
      </c>
      <c r="F9" t="s">
        <v>706</v>
      </c>
    </row>
    <row r="10" spans="1:6" ht="43.5">
      <c r="A10">
        <v>8</v>
      </c>
      <c r="B10" s="24">
        <v>46118</v>
      </c>
      <c r="C10" s="14" t="s">
        <v>707</v>
      </c>
      <c r="D10" t="s">
        <v>708</v>
      </c>
      <c r="E10" t="s">
        <v>709</v>
      </c>
      <c r="F10" t="s">
        <v>710</v>
      </c>
    </row>
    <row r="11" spans="1:6" ht="29.25">
      <c r="A11">
        <v>9</v>
      </c>
      <c r="B11" s="24">
        <v>46118</v>
      </c>
      <c r="C11" s="14" t="s">
        <v>711</v>
      </c>
      <c r="D11" t="s">
        <v>712</v>
      </c>
      <c r="E11" t="s">
        <v>713</v>
      </c>
      <c r="F11" t="s">
        <v>714</v>
      </c>
    </row>
    <row r="12" spans="1:6" ht="57.75">
      <c r="A12">
        <v>10</v>
      </c>
      <c r="B12" s="24">
        <v>46118</v>
      </c>
      <c r="C12" s="14" t="s">
        <v>715</v>
      </c>
      <c r="D12" t="s">
        <v>716</v>
      </c>
      <c r="E12" t="s">
        <v>717</v>
      </c>
      <c r="F12" t="s">
        <v>718</v>
      </c>
    </row>
    <row r="13" spans="1:6" ht="43.5">
      <c r="A13">
        <v>11</v>
      </c>
      <c r="B13" s="24">
        <v>46118</v>
      </c>
      <c r="C13" s="14" t="s">
        <v>719</v>
      </c>
      <c r="D13" t="s">
        <v>720</v>
      </c>
      <c r="E13" t="s">
        <v>721</v>
      </c>
      <c r="F13" t="s">
        <v>722</v>
      </c>
    </row>
    <row r="14" spans="1:6" ht="72.75">
      <c r="A14" s="234">
        <v>1</v>
      </c>
      <c r="B14" s="235">
        <v>46118</v>
      </c>
      <c r="C14" s="234" t="s">
        <v>723</v>
      </c>
      <c r="D14" s="234" t="s">
        <v>724</v>
      </c>
      <c r="E14" s="234" t="s">
        <v>725</v>
      </c>
      <c r="F14" s="234" t="s">
        <v>726</v>
      </c>
    </row>
    <row r="15" spans="1:6" ht="57.75">
      <c r="A15" s="234">
        <v>2</v>
      </c>
      <c r="B15" s="235">
        <v>46118</v>
      </c>
      <c r="C15" s="234" t="s">
        <v>727</v>
      </c>
      <c r="D15" s="234" t="s">
        <v>728</v>
      </c>
      <c r="E15" s="234" t="s">
        <v>729</v>
      </c>
      <c r="F15" s="234" t="s">
        <v>730</v>
      </c>
    </row>
    <row r="16" spans="1:6" ht="101.25">
      <c r="A16" s="234">
        <v>3</v>
      </c>
      <c r="B16" s="235">
        <v>46118</v>
      </c>
      <c r="C16" s="234" t="s">
        <v>731</v>
      </c>
      <c r="D16" s="234" t="s">
        <v>732</v>
      </c>
      <c r="E16" s="234" t="s">
        <v>733</v>
      </c>
      <c r="F16" s="234" t="s">
        <v>734</v>
      </c>
    </row>
    <row r="17" spans="1:6" ht="117.75">
      <c r="A17" s="234">
        <v>4</v>
      </c>
      <c r="B17" s="235">
        <v>46118</v>
      </c>
      <c r="C17" s="234" t="s">
        <v>735</v>
      </c>
      <c r="D17" s="234" t="s">
        <v>736</v>
      </c>
      <c r="E17" s="234" t="s">
        <v>737</v>
      </c>
      <c r="F17" s="234" t="s">
        <v>738</v>
      </c>
    </row>
    <row r="18" spans="1:6" ht="29.25">
      <c r="A18">
        <v>18</v>
      </c>
      <c r="B18" s="24">
        <v>46118</v>
      </c>
      <c r="C18" s="14" t="s">
        <v>739</v>
      </c>
      <c r="D18" t="s">
        <v>740</v>
      </c>
      <c r="E18" t="s">
        <v>741</v>
      </c>
      <c r="F18" t="s">
        <v>742</v>
      </c>
    </row>
    <row r="19" spans="1:6">
      <c r="A19">
        <v>19</v>
      </c>
      <c r="B19" s="24">
        <v>46118</v>
      </c>
      <c r="C19" s="14" t="s">
        <v>743</v>
      </c>
      <c r="D19" t="s">
        <v>744</v>
      </c>
      <c r="E19" t="s">
        <v>745</v>
      </c>
      <c r="F19" t="s">
        <v>746</v>
      </c>
    </row>
    <row r="20" spans="1:6">
      <c r="A20">
        <v>20</v>
      </c>
      <c r="B20" s="24">
        <v>46118</v>
      </c>
      <c r="C20" s="14" t="s">
        <v>747</v>
      </c>
      <c r="D20" t="s">
        <v>748</v>
      </c>
      <c r="E20" t="s">
        <v>749</v>
      </c>
      <c r="F20" t="s">
        <v>750</v>
      </c>
    </row>
    <row r="21" spans="1:6" ht="43.5">
      <c r="A21">
        <v>21</v>
      </c>
      <c r="B21" s="24">
        <v>46119</v>
      </c>
      <c r="C21" s="14" t="s">
        <v>751</v>
      </c>
      <c r="D21" t="s">
        <v>752</v>
      </c>
      <c r="E21" t="s">
        <v>753</v>
      </c>
      <c r="F21" t="s">
        <v>754</v>
      </c>
    </row>
    <row r="22" spans="1:6" ht="43.5">
      <c r="A22">
        <v>22</v>
      </c>
      <c r="B22" s="24">
        <v>46119</v>
      </c>
      <c r="C22" s="14" t="s">
        <v>755</v>
      </c>
      <c r="D22" t="s">
        <v>756</v>
      </c>
      <c r="E22" t="s">
        <v>757</v>
      </c>
      <c r="F22" t="s">
        <v>758</v>
      </c>
    </row>
    <row r="23" spans="1:6" ht="43.5">
      <c r="A23">
        <v>23</v>
      </c>
      <c r="B23" s="24">
        <v>46207</v>
      </c>
      <c r="C23" s="14" t="s">
        <v>759</v>
      </c>
      <c r="D23" t="s">
        <v>760</v>
      </c>
      <c r="E23" t="s">
        <v>761</v>
      </c>
      <c r="F23" t="s">
        <v>762</v>
      </c>
    </row>
    <row r="24" spans="1:6" ht="29.25">
      <c r="A24">
        <v>24</v>
      </c>
      <c r="B24" s="24">
        <v>46119</v>
      </c>
      <c r="C24" s="14" t="s">
        <v>763</v>
      </c>
      <c r="D24" t="s">
        <v>764</v>
      </c>
      <c r="E24" t="s">
        <v>765</v>
      </c>
      <c r="F24" t="s">
        <v>766</v>
      </c>
    </row>
    <row r="25" spans="1:6" ht="29.25">
      <c r="A25">
        <v>25</v>
      </c>
      <c r="B25" s="24">
        <v>46120</v>
      </c>
      <c r="C25" s="14" t="s">
        <v>767</v>
      </c>
      <c r="D25" t="s">
        <v>768</v>
      </c>
      <c r="E25" t="s">
        <v>769</v>
      </c>
      <c r="F25" t="s">
        <v>770</v>
      </c>
    </row>
    <row r="26" spans="1:6" ht="29.25">
      <c r="A26">
        <v>26</v>
      </c>
      <c r="B26" s="24">
        <v>46120</v>
      </c>
      <c r="C26" s="14" t="s">
        <v>771</v>
      </c>
      <c r="D26" t="s">
        <v>772</v>
      </c>
      <c r="E26" t="s">
        <v>773</v>
      </c>
      <c r="F26" t="s">
        <v>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AFF3-291A-4899-AA98-C33BC40DF936}">
  <dimension ref="A1:AA500"/>
  <sheetViews>
    <sheetView workbookViewId="0"/>
  </sheetViews>
  <sheetFormatPr defaultRowHeight="15"/>
  <sheetData>
    <row r="1" spans="1:27">
      <c r="A1" s="233" t="s">
        <v>51</v>
      </c>
      <c r="B1" s="233" t="s">
        <v>77</v>
      </c>
      <c r="D1" s="233" t="s">
        <v>775</v>
      </c>
      <c r="F1" s="233" t="s">
        <v>776</v>
      </c>
      <c r="H1" t="s">
        <v>138</v>
      </c>
      <c r="I1" t="s">
        <v>777</v>
      </c>
      <c r="K1" t="s">
        <v>84</v>
      </c>
      <c r="L1" t="s">
        <v>104</v>
      </c>
      <c r="M1" t="s">
        <v>95</v>
      </c>
      <c r="N1" t="s">
        <v>100</v>
      </c>
      <c r="O1" t="s">
        <v>112</v>
      </c>
      <c r="P1" t="s">
        <v>109</v>
      </c>
      <c r="R1" t="s">
        <v>778</v>
      </c>
      <c r="S1" t="s">
        <v>779</v>
      </c>
      <c r="T1" t="s">
        <v>780</v>
      </c>
      <c r="U1" t="s">
        <v>781</v>
      </c>
      <c r="V1" t="s">
        <v>782</v>
      </c>
      <c r="W1" t="s">
        <v>783</v>
      </c>
      <c r="X1" t="s">
        <v>784</v>
      </c>
      <c r="Y1" t="s">
        <v>785</v>
      </c>
      <c r="AA1" t="s">
        <v>786</v>
      </c>
    </row>
    <row r="2" spans="1:27">
      <c r="A2" t="s">
        <v>85</v>
      </c>
      <c r="B2" t="s">
        <v>84</v>
      </c>
      <c r="D2" t="str">
        <f>IFERROR(INDEX(B:B,MATCH('Bundle Formation'!B3,A:A,0)),"")</f>
        <v>MS SHS One Helix IS 4923 YSt 210 Black 38x38x2.80x6000</v>
      </c>
      <c r="F2" t="s">
        <v>84</v>
      </c>
      <c r="H2" t="str" cm="1">
        <f t="array" ref="H2:H39">IFERROR(_xlfn._xlws.SORT(_xlfn.UNIQUE(_xlfn._xlws.FILTER('Bundle Formation'!$G$3:$G$117,'Bundle Formation'!$G$3:$G$117&lt;&gt;""))),"")</f>
        <v>BND-1</v>
      </c>
      <c r="I2" t="str">
        <f>IF(H2="","",INDEX('Bundle Formation'!$C:$C,MATCH(H2,'Bundle Formation'!$G:$G,0)))</f>
        <v>MS SHS One Helix IS 4923 YSt 210 Black 38x38x2.80x6000</v>
      </c>
      <c r="K2" t="str" cm="1">
        <f t="array" ref="K2:K12">IFERROR(_xlfn._xlws.FILTER($H$2:$H$60,$I$2:$I$60="MS SHS One Helix IS 4923 YSt 210 Black 38x38x2.80x6000"),"")</f>
        <v>BND-1</v>
      </c>
      <c r="L2" t="str" cm="1">
        <f t="array" ref="L2:L7">IFERROR(_xlfn._xlws.FILTER($H$2:$H$60,$I$2:$I$60="MS SHS One Helix IS 4923 YSt 210 Black 50x50x2.80x6000"),"")</f>
        <v>BND-12</v>
      </c>
      <c r="M2" t="str" cm="1">
        <f t="array" ref="M2:M6">IFERROR(_xlfn._xlws.FILTER($H$2:$H$60,$I$2:$I$60="MS SHS One Helix IS 4923 YSt 210 Black 38x38x2.50x6000"),"")</f>
        <v>BND-18</v>
      </c>
      <c r="N2" t="str" cm="1">
        <f t="array" ref="N2:N6">IFERROR(_xlfn._xlws.FILTER($H$2:$H$60,$I$2:$I$60="MS SHS One Helix IS 4923 YSt 210 Black 50x50x2.50x6000"),"")</f>
        <v>BND-23</v>
      </c>
      <c r="O2" t="str" cm="1">
        <f t="array" ref="O2:O9">IFERROR(_xlfn._xlws.FILTER($H$2:$H$60,$I$2:$I$60="MS SHS One Helix IS 4923 YSt 210 Black 38x38x2.20x6000"),"")</f>
        <v>BND-28</v>
      </c>
      <c r="P2" t="str" cm="1">
        <f t="array" ref="P2:P4">IFERROR(_xlfn._xlws.FILTER($H$2:$H$60,$I$2:$I$60="MS SHS One Helix IS 4923 YSt 210 Black 50x50x2.20x6000"),"")</f>
        <v>BND-36</v>
      </c>
      <c r="R2" t="s">
        <v>84</v>
      </c>
      <c r="S2" t="s">
        <v>787</v>
      </c>
      <c r="T2" t="str" cm="1">
        <f t="array" ref="T2">IFERROR(_xlfn._xlws.FILTER($H$2:$H$60,($I$2:$I$60="MS SHS One Helix IS 4923 YSt 210 Black 38x38x2.80x6000")*(COUNTIF('Dispatch Sheet'!$F$3:$F$100,$H$2:$H$60)=0)),"")</f>
        <v>BND-3</v>
      </c>
      <c r="U2" t="str" cm="1">
        <f t="array" ref="U2">IFERROR(_xlfn._xlws.FILTER($H$2:$H$60,($I$2:$I$60="MS SHS One Helix IS 4923 YSt 210 Black 50x50x2.80x6000")*(COUNTIF('Dispatch Sheet'!$F$3:$F$100,$H$2:$H$60)=0)),"")</f>
        <v/>
      </c>
      <c r="V2" t="str" cm="1">
        <f t="array" ref="V2">IFERROR(_xlfn._xlws.FILTER($H$2:$H$60,($I$2:$I$60="MS SHS One Helix IS 4923 YSt 210 Black 38x38x2.50x6000")*(COUNTIF('Dispatch Sheet'!$F$3:$F$100,$H$2:$H$60)=0)),"")</f>
        <v/>
      </c>
      <c r="W2" t="str" cm="1">
        <f t="array" ref="W2">IFERROR(_xlfn._xlws.FILTER($H$2:$H$60,($I$2:$I$60="MS SHS One Helix IS 4923 YSt 210 Black 50x50x2.50x6000")*(COUNTIF('Dispatch Sheet'!$F$3:$F$100,$H$2:$H$60)=0)),"")</f>
        <v/>
      </c>
      <c r="X2" t="str" cm="1">
        <f t="array" ref="X2">IFERROR(_xlfn._xlws.FILTER($H$2:$H$60,($I$2:$I$60="MS SHS One Helix IS 4923 YSt 210 Black 38x38x2.20x6000")*(COUNTIF('Dispatch Sheet'!$F$3:$F$100,$H$2:$H$60)=0)),"")</f>
        <v>BND-30</v>
      </c>
      <c r="Y2" t="str" cm="1">
        <f t="array" ref="Y2">IFERROR(_xlfn._xlws.FILTER($H$2:$H$60,($I$2:$I$60="MS SHS One Helix IS 4923 YSt 210 Black 50x50x2.20x6000")*(COUNTIF('Dispatch Sheet'!$F$3:$F$100,$H$2:$H$60)=0)),"")</f>
        <v>BND-38</v>
      </c>
      <c r="AA2" t="str" cm="1">
        <f t="array" ref="AA2:AA4">IFERROR(_xlfn._xlws.SORT(_xlfn._xlws.FILTER($H$2:$H$60,($H$2:$H$60&lt;&gt;"")*(COUNTIF('Dispatch Sheet'!$F$3:$F$100,$H$2:$H$60)=0))),"")</f>
        <v>BND-3</v>
      </c>
    </row>
    <row r="3" spans="1:27">
      <c r="A3" t="s">
        <v>86</v>
      </c>
      <c r="B3" t="s">
        <v>84</v>
      </c>
      <c r="D3" t="str">
        <f>IFERROR(INDEX(B:B,MATCH('Bundle Formation'!B4,A:A,0)),"")</f>
        <v>MS SHS One Helix IS 4923 YSt 210 Black 38x38x2.80x6000</v>
      </c>
      <c r="F3" t="s">
        <v>104</v>
      </c>
      <c r="H3" t="str">
        <v>BND-10</v>
      </c>
      <c r="I3" t="str">
        <f>IF(H3="","",INDEX('Bundle Formation'!$C:$C,MATCH(H3,'Bundle Formation'!$G:$G,0)))</f>
        <v>MS SHS One Helix IS 4923 YSt 210 Black 38x38x2.80x6000</v>
      </c>
      <c r="K3" t="str">
        <v>BND-10</v>
      </c>
      <c r="L3" t="str">
        <v>BND-13</v>
      </c>
      <c r="M3" t="str">
        <v>BND-19</v>
      </c>
      <c r="N3" t="str">
        <v>BND-24</v>
      </c>
      <c r="O3" t="str">
        <v>BND-29</v>
      </c>
      <c r="P3" t="str">
        <v>BND-37</v>
      </c>
      <c r="R3" t="s">
        <v>104</v>
      </c>
      <c r="S3" t="s">
        <v>788</v>
      </c>
      <c r="AA3" t="str">
        <v>BND-30</v>
      </c>
    </row>
    <row r="4" spans="1:27">
      <c r="A4" t="s">
        <v>87</v>
      </c>
      <c r="B4" t="s">
        <v>84</v>
      </c>
      <c r="D4" t="str">
        <f>IFERROR(INDEX(B:B,MATCH('Bundle Formation'!B5,A:A,0)),"")</f>
        <v>MS SHS One Helix IS 4923 YSt 210 Black 38x38x2.80x6000</v>
      </c>
      <c r="F4" t="s">
        <v>95</v>
      </c>
      <c r="H4" t="str">
        <v>BND-11</v>
      </c>
      <c r="I4" t="str">
        <f>IF(H4="","",INDEX('Bundle Formation'!$C:$C,MATCH(H4,'Bundle Formation'!$G:$G,0)))</f>
        <v>MS SHS One Helix IS 4923 YSt 210 Black 38x38x2.80x6000</v>
      </c>
      <c r="K4" t="str">
        <v>BND-11</v>
      </c>
      <c r="L4" t="str">
        <v>BND-14</v>
      </c>
      <c r="M4" t="str">
        <v>BND-20</v>
      </c>
      <c r="N4" t="str">
        <v>BND-25</v>
      </c>
      <c r="O4" t="str">
        <v>BND-30</v>
      </c>
      <c r="P4" t="str">
        <v>BND-38</v>
      </c>
      <c r="R4" t="s">
        <v>95</v>
      </c>
      <c r="S4" t="s">
        <v>789</v>
      </c>
      <c r="AA4" t="str">
        <v>BND-38</v>
      </c>
    </row>
    <row r="5" spans="1:27">
      <c r="A5" t="s">
        <v>88</v>
      </c>
      <c r="B5" t="s">
        <v>84</v>
      </c>
      <c r="D5" t="str">
        <f>IFERROR(INDEX(B:B,MATCH('Bundle Formation'!B6,A:A,0)),"")</f>
        <v>MS SHS One Helix IS 4923 YSt 210 Black 38x38x2.80x6000</v>
      </c>
      <c r="F5" t="s">
        <v>100</v>
      </c>
      <c r="H5" t="str">
        <v>BND-12</v>
      </c>
      <c r="I5" t="str">
        <f>IF(H5="","",INDEX('Bundle Formation'!$C:$C,MATCH(H5,'Bundle Formation'!$G:$G,0)))</f>
        <v>MS SHS One Helix IS 4923 YSt 210 Black 50x50x2.80x6000</v>
      </c>
      <c r="K5" t="str">
        <v>BND-2</v>
      </c>
      <c r="L5" t="str">
        <v>BND-15</v>
      </c>
      <c r="M5" t="str">
        <v>BND-21</v>
      </c>
      <c r="N5" t="str">
        <v>BND-26</v>
      </c>
      <c r="O5" t="str">
        <v>BND-31</v>
      </c>
      <c r="R5" t="s">
        <v>100</v>
      </c>
      <c r="S5" t="s">
        <v>790</v>
      </c>
    </row>
    <row r="6" spans="1:27">
      <c r="A6" t="s">
        <v>89</v>
      </c>
      <c r="B6" t="s">
        <v>84</v>
      </c>
      <c r="D6" t="str">
        <f>IFERROR(INDEX(B:B,MATCH('Bundle Formation'!B7,A:A,0)),"")</f>
        <v>MS SHS One Helix IS 4923 YSt 210 Black 38x38x2.80x6000</v>
      </c>
      <c r="F6" t="s">
        <v>112</v>
      </c>
      <c r="H6" t="str">
        <v>BND-13</v>
      </c>
      <c r="I6" t="str">
        <f>IF(H6="","",INDEX('Bundle Formation'!$C:$C,MATCH(H6,'Bundle Formation'!$G:$G,0)))</f>
        <v>MS SHS One Helix IS 4923 YSt 210 Black 50x50x2.80x6000</v>
      </c>
      <c r="K6" t="str">
        <v>BND-3</v>
      </c>
      <c r="L6" t="str">
        <v>BND-16</v>
      </c>
      <c r="M6" t="str">
        <v>BND-22</v>
      </c>
      <c r="N6" t="str">
        <v>BND-27</v>
      </c>
      <c r="O6" t="str">
        <v>BND-32</v>
      </c>
      <c r="R6" t="s">
        <v>112</v>
      </c>
      <c r="S6" t="s">
        <v>791</v>
      </c>
    </row>
    <row r="7" spans="1:27">
      <c r="A7" t="s">
        <v>90</v>
      </c>
      <c r="B7" t="s">
        <v>84</v>
      </c>
      <c r="D7" t="str">
        <f>IFERROR(INDEX(B:B,MATCH('Bundle Formation'!B8,A:A,0)),"")</f>
        <v>MS SHS One Helix IS 4923 YSt 210 Black 38x38x2.80x6000</v>
      </c>
      <c r="F7" t="s">
        <v>109</v>
      </c>
      <c r="H7" t="str">
        <v>BND-14</v>
      </c>
      <c r="I7" t="str">
        <f>IF(H7="","",INDEX('Bundle Formation'!$C:$C,MATCH(H7,'Bundle Formation'!$G:$G,0)))</f>
        <v>MS SHS One Helix IS 4923 YSt 210 Black 50x50x2.80x6000</v>
      </c>
      <c r="K7" t="str">
        <v>BND-4</v>
      </c>
      <c r="L7" t="str">
        <v>BND-17</v>
      </c>
      <c r="O7" t="str">
        <v>BND-33</v>
      </c>
      <c r="R7" t="s">
        <v>109</v>
      </c>
      <c r="S7" t="s">
        <v>792</v>
      </c>
    </row>
    <row r="8" spans="1:27">
      <c r="A8" t="s">
        <v>91</v>
      </c>
      <c r="B8" t="s">
        <v>84</v>
      </c>
      <c r="D8" t="str">
        <f>IFERROR(INDEX(B:B,MATCH('Bundle Formation'!B9,A:A,0)),"")</f>
        <v>MS SHS One Helix IS 4923 YSt 210 Black 38x38x2.80x6000</v>
      </c>
      <c r="H8" t="str">
        <v>BND-15</v>
      </c>
      <c r="I8" t="str">
        <f>IF(H8="","",INDEX('Bundle Formation'!$C:$C,MATCH(H8,'Bundle Formation'!$G:$G,0)))</f>
        <v>MS SHS One Helix IS 4923 YSt 210 Black 50x50x2.80x6000</v>
      </c>
      <c r="K8" t="str">
        <v>BND-5</v>
      </c>
      <c r="O8" t="str">
        <v>BND-34</v>
      </c>
    </row>
    <row r="9" spans="1:27">
      <c r="A9" t="s">
        <v>92</v>
      </c>
      <c r="B9" t="s">
        <v>84</v>
      </c>
      <c r="D9" t="str">
        <f>IFERROR(INDEX(B:B,MATCH('Bundle Formation'!B10,A:A,0)),"")</f>
        <v>MS SHS One Helix IS 4923 YSt 210 Black 38x38x2.80x6000</v>
      </c>
      <c r="H9" t="str">
        <v>BND-16</v>
      </c>
      <c r="I9" t="str">
        <f>IF(H9="","",INDEX('Bundle Formation'!$C:$C,MATCH(H9,'Bundle Formation'!$G:$G,0)))</f>
        <v>MS SHS One Helix IS 4923 YSt 210 Black 50x50x2.80x6000</v>
      </c>
      <c r="K9" t="str">
        <v>BND-6</v>
      </c>
      <c r="O9" t="str">
        <v>BND-35</v>
      </c>
    </row>
    <row r="10" spans="1:27">
      <c r="A10" t="s">
        <v>93</v>
      </c>
      <c r="B10" t="s">
        <v>84</v>
      </c>
      <c r="D10" t="str">
        <f>IFERROR(INDEX(B:B,MATCH('Bundle Formation'!B11,A:A,0)),"")</f>
        <v>MS SHS One Helix IS 4923 YSt 210 Black 38x38x2.80x6000</v>
      </c>
      <c r="H10" t="str">
        <v>BND-17</v>
      </c>
      <c r="I10" t="str">
        <f>IF(H10="","",INDEX('Bundle Formation'!$C:$C,MATCH(H10,'Bundle Formation'!$G:$G,0)))</f>
        <v>MS SHS One Helix IS 4923 YSt 210 Black 50x50x2.80x6000</v>
      </c>
      <c r="K10" t="str">
        <v>BND-7</v>
      </c>
    </row>
    <row r="11" spans="1:27">
      <c r="A11" t="s">
        <v>94</v>
      </c>
      <c r="B11" t="s">
        <v>84</v>
      </c>
      <c r="D11" t="str">
        <f>IFERROR(INDEX(B:B,MATCH('Bundle Formation'!B12,A:A,0)),"")</f>
        <v>MS SHS One Helix IS 4923 YSt 210 Black 38x38x2.80x6000</v>
      </c>
      <c r="H11" t="str">
        <v>BND-18</v>
      </c>
      <c r="I11" t="str">
        <f>IF(H11="","",INDEX('Bundle Formation'!$C:$C,MATCH(H11,'Bundle Formation'!$G:$G,0)))</f>
        <v>MS SHS One Helix IS 4923 YSt 210 Black 38x38x2.50x6000</v>
      </c>
      <c r="K11" t="str">
        <v>BND-8</v>
      </c>
    </row>
    <row r="12" spans="1:27">
      <c r="A12" t="s">
        <v>793</v>
      </c>
      <c r="B12" t="s">
        <v>104</v>
      </c>
      <c r="D12" t="str">
        <f>IFERROR(INDEX(B:B,MATCH('Bundle Formation'!B24,A:A,0)),"")</f>
        <v/>
      </c>
      <c r="H12" t="str">
        <v>BND-19</v>
      </c>
      <c r="I12" t="str">
        <f>IF(H12="","",INDEX('Bundle Formation'!$C:$C,MATCH(H12,'Bundle Formation'!$G:$G,0)))</f>
        <v>MS SHS One Helix IS 4923 YSt 210 Black 38x38x2.50x6000</v>
      </c>
      <c r="K12" t="str">
        <v>BND-9</v>
      </c>
    </row>
    <row r="13" spans="1:27">
      <c r="A13" t="s">
        <v>794</v>
      </c>
      <c r="B13" t="s">
        <v>104</v>
      </c>
      <c r="D13" t="str">
        <f>IFERROR(INDEX(B:B,MATCH('Bundle Formation'!B25,A:A,0)),"")</f>
        <v/>
      </c>
      <c r="H13" t="str">
        <v>BND-2</v>
      </c>
      <c r="I13" t="str">
        <f>IF(H13="","",INDEX('Bundle Formation'!$C:$C,MATCH(H13,'Bundle Formation'!$G:$G,0)))</f>
        <v>MS SHS One Helix IS 4923 YSt 210 Black 38x38x2.80x6000</v>
      </c>
    </row>
    <row r="14" spans="1:27">
      <c r="A14" t="s">
        <v>795</v>
      </c>
      <c r="B14" t="s">
        <v>104</v>
      </c>
      <c r="D14" t="str">
        <f>IFERROR(INDEX(B:B,MATCH('Bundle Formation'!B26,A:A,0)),"")</f>
        <v/>
      </c>
      <c r="H14" t="str">
        <v>BND-20</v>
      </c>
      <c r="I14" t="str">
        <f>IF(H14="","",INDEX('Bundle Formation'!$C:$C,MATCH(H14,'Bundle Formation'!$G:$G,0)))</f>
        <v>MS SHS One Helix IS 4923 YSt 210 Black 38x38x2.50x6000</v>
      </c>
    </row>
    <row r="15" spans="1:27">
      <c r="A15" t="s">
        <v>796</v>
      </c>
      <c r="B15" t="s">
        <v>104</v>
      </c>
      <c r="D15" t="str">
        <f>IFERROR(INDEX(B:B,MATCH('Bundle Formation'!B27,A:A,0)),"")</f>
        <v/>
      </c>
      <c r="H15" t="str">
        <v>BND-21</v>
      </c>
      <c r="I15" t="str">
        <f>IF(H15="","",INDEX('Bundle Formation'!$C:$C,MATCH(H15,'Bundle Formation'!$G:$G,0)))</f>
        <v>MS SHS One Helix IS 4923 YSt 210 Black 38x38x2.50x6000</v>
      </c>
    </row>
    <row r="16" spans="1:27">
      <c r="A16" t="s">
        <v>797</v>
      </c>
      <c r="B16" t="s">
        <v>95</v>
      </c>
      <c r="D16" t="str">
        <f>IFERROR(INDEX(B:B,MATCH('Bundle Formation'!B28,A:A,0)),"")</f>
        <v/>
      </c>
      <c r="H16" t="str">
        <v>BND-22</v>
      </c>
      <c r="I16" t="str">
        <f>IF(H16="","",INDEX('Bundle Formation'!$C:$C,MATCH(H16,'Bundle Formation'!$G:$G,0)))</f>
        <v>MS SHS One Helix IS 4923 YSt 210 Black 38x38x2.50x6000</v>
      </c>
    </row>
    <row r="17" spans="1:9">
      <c r="A17" t="s">
        <v>798</v>
      </c>
      <c r="B17" t="s">
        <v>95</v>
      </c>
      <c r="D17" t="str">
        <f>IFERROR(INDEX(B:B,MATCH('Bundle Formation'!B32,A:A,0)),"")</f>
        <v/>
      </c>
      <c r="H17" t="str">
        <v>BND-23</v>
      </c>
      <c r="I17" t="str">
        <f>IF(H17="","",INDEX('Bundle Formation'!$C:$C,MATCH(H17,'Bundle Formation'!$G:$G,0)))</f>
        <v>MS SHS One Helix IS 4923 YSt 210 Black 50x50x2.50x6000</v>
      </c>
    </row>
    <row r="18" spans="1:9">
      <c r="A18" t="s">
        <v>799</v>
      </c>
      <c r="B18" t="s">
        <v>95</v>
      </c>
      <c r="D18" t="str">
        <f>IFERROR(INDEX(B:B,MATCH('Bundle Formation'!B33,A:A,0)),"")</f>
        <v/>
      </c>
      <c r="H18" t="str">
        <v>BND-24</v>
      </c>
      <c r="I18" t="str">
        <f>IF(H18="","",INDEX('Bundle Formation'!$C:$C,MATCH(H18,'Bundle Formation'!$G:$G,0)))</f>
        <v>MS SHS One Helix IS 4923 YSt 210 Black 50x50x2.50x6000</v>
      </c>
    </row>
    <row r="19" spans="1:9">
      <c r="A19" t="s">
        <v>800</v>
      </c>
      <c r="B19" t="s">
        <v>95</v>
      </c>
      <c r="D19" t="str">
        <f>IFERROR(INDEX(B:B,MATCH('Bundle Formation'!B34,A:A,0)),"")</f>
        <v/>
      </c>
      <c r="H19" t="str">
        <v>BND-25</v>
      </c>
      <c r="I19" t="str">
        <f>IF(H19="","",INDEX('Bundle Formation'!$C:$C,MATCH(H19,'Bundle Formation'!$G:$G,0)))</f>
        <v>MS SHS One Helix IS 4923 YSt 210 Black 50x50x2.50x6000</v>
      </c>
    </row>
    <row r="20" spans="1:9">
      <c r="A20" t="s">
        <v>800</v>
      </c>
      <c r="B20" t="s">
        <v>95</v>
      </c>
      <c r="D20" t="str">
        <f>IFERROR(INDEX(B:B,MATCH('Bundle Formation'!B35,A:A,0)),"")</f>
        <v/>
      </c>
      <c r="H20" t="str">
        <v>BND-26</v>
      </c>
      <c r="I20" t="str">
        <f>IF(H20="","",INDEX('Bundle Formation'!$C:$C,MATCH(H20,'Bundle Formation'!$G:$G,0)))</f>
        <v>MS SHS One Helix IS 4923 YSt 210 Black 50x50x2.50x6000</v>
      </c>
    </row>
    <row r="21" spans="1:9">
      <c r="A21" t="s">
        <v>801</v>
      </c>
      <c r="B21" t="s">
        <v>100</v>
      </c>
      <c r="D21" t="str">
        <f>IFERROR(INDEX(B:B,MATCH('Bundle Formation'!B36,A:A,0)),"")</f>
        <v/>
      </c>
      <c r="H21" t="str">
        <v>BND-27</v>
      </c>
      <c r="I21" t="str">
        <f>IF(H21="","",INDEX('Bundle Formation'!$C:$C,MATCH(H21,'Bundle Formation'!$G:$G,0)))</f>
        <v>MS SHS One Helix IS 4923 YSt 210 Black 50x50x2.50x6000</v>
      </c>
    </row>
    <row r="22" spans="1:9">
      <c r="A22" t="s">
        <v>802</v>
      </c>
      <c r="B22" t="s">
        <v>100</v>
      </c>
      <c r="D22" t="str">
        <f>IFERROR(INDEX(B:B,MATCH('Bundle Formation'!B40,A:A,0)),"")</f>
        <v/>
      </c>
      <c r="H22" t="str">
        <v>BND-28</v>
      </c>
      <c r="I22" t="str">
        <f>IF(H22="","",INDEX('Bundle Formation'!$C:$C,MATCH(H22,'Bundle Formation'!$G:$G,0)))</f>
        <v>MS SHS One Helix IS 4923 YSt 210 Black 38x38x2.20x6000</v>
      </c>
    </row>
    <row r="23" spans="1:9">
      <c r="A23" t="s">
        <v>803</v>
      </c>
      <c r="B23" t="s">
        <v>100</v>
      </c>
      <c r="D23" t="str">
        <f>IFERROR(INDEX(B:B,MATCH('Bundle Formation'!B41,A:A,0)),"")</f>
        <v/>
      </c>
      <c r="H23" t="str">
        <v>BND-29</v>
      </c>
      <c r="I23" t="str">
        <f>IF(H23="","",INDEX('Bundle Formation'!$C:$C,MATCH(H23,'Bundle Formation'!$G:$G,0)))</f>
        <v>MS SHS One Helix IS 4923 YSt 210 Black 38x38x2.20x6000</v>
      </c>
    </row>
    <row r="24" spans="1:9">
      <c r="A24" t="s">
        <v>804</v>
      </c>
      <c r="B24" t="s">
        <v>112</v>
      </c>
      <c r="D24" t="str">
        <f>IFERROR(INDEX(B:B,MATCH('Bundle Formation'!B42,A:A,0)),"")</f>
        <v/>
      </c>
      <c r="H24" t="str">
        <v>BND-3</v>
      </c>
      <c r="I24" t="str">
        <f>IF(H24="","",INDEX('Bundle Formation'!$C:$C,MATCH(H24,'Bundle Formation'!$G:$G,0)))</f>
        <v>MS SHS One Helix IS 4923 YSt 210 Black 38x38x2.80x6000</v>
      </c>
    </row>
    <row r="25" spans="1:9">
      <c r="A25" t="s">
        <v>805</v>
      </c>
      <c r="B25" t="s">
        <v>112</v>
      </c>
      <c r="D25" t="str">
        <f>IFERROR(INDEX(B:B,MATCH('Bundle Formation'!B43,A:A,0)),"")</f>
        <v/>
      </c>
      <c r="H25" t="str">
        <v>BND-30</v>
      </c>
      <c r="I25" t="str">
        <f>IF(H25="","",INDEX('Bundle Formation'!$C:$C,MATCH(H25,'Bundle Formation'!$G:$G,0)))</f>
        <v>MS SHS One Helix IS 4923 YSt 210 Black 38x38x2.20x6000</v>
      </c>
    </row>
    <row r="26" spans="1:9">
      <c r="A26" t="s">
        <v>806</v>
      </c>
      <c r="B26" t="s">
        <v>112</v>
      </c>
      <c r="D26" t="str">
        <f>IFERROR(INDEX(B:B,MATCH('Bundle Formation'!B44,A:A,0)),"")</f>
        <v/>
      </c>
      <c r="H26" t="str">
        <v>BND-31</v>
      </c>
      <c r="I26" t="str">
        <f>IF(H26="","",INDEX('Bundle Formation'!$C:$C,MATCH(H26,'Bundle Formation'!$G:$G,0)))</f>
        <v>MS SHS One Helix IS 4923 YSt 210 Black 38x38x2.20x6000</v>
      </c>
    </row>
    <row r="27" spans="1:9">
      <c r="A27" t="s">
        <v>807</v>
      </c>
      <c r="B27" t="s">
        <v>112</v>
      </c>
      <c r="D27" t="str">
        <f>IFERROR(INDEX(B:B,MATCH('Bundle Formation'!B45,A:A,0)),"")</f>
        <v/>
      </c>
      <c r="H27" t="str">
        <v>BND-32</v>
      </c>
      <c r="I27" t="str">
        <f>IF(H27="","",INDEX('Bundle Formation'!$C:$C,MATCH(H27,'Bundle Formation'!$G:$G,0)))</f>
        <v>MS SHS One Helix IS 4923 YSt 210 Black 38x38x2.20x6000</v>
      </c>
    </row>
    <row r="28" spans="1:9">
      <c r="A28" t="s">
        <v>808</v>
      </c>
      <c r="B28" t="s">
        <v>109</v>
      </c>
      <c r="D28" t="str">
        <f>IFERROR(INDEX(B:B,MATCH('Bundle Formation'!B46,A:A,0)),"")</f>
        <v/>
      </c>
      <c r="H28" t="str">
        <v>BND-33</v>
      </c>
      <c r="I28" t="str">
        <f>IF(H28="","",INDEX('Bundle Formation'!$C:$C,MATCH(H28,'Bundle Formation'!$G:$G,0)))</f>
        <v>MS SHS One Helix IS 4923 YSt 210 Black 38x38x2.20x6000</v>
      </c>
    </row>
    <row r="29" spans="1:9">
      <c r="A29" t="s">
        <v>809</v>
      </c>
      <c r="B29" t="s">
        <v>109</v>
      </c>
      <c r="D29" t="str">
        <f>IFERROR(INDEX(B:B,MATCH('Bundle Formation'!B47,A:A,0)),"")</f>
        <v/>
      </c>
      <c r="H29" t="str">
        <v>BND-34</v>
      </c>
      <c r="I29" t="str">
        <f>IF(H29="","",INDEX('Bundle Formation'!$C:$C,MATCH(H29,'Bundle Formation'!$G:$G,0)))</f>
        <v>MS SHS One Helix IS 4923 YSt 210 Black 38x38x2.20x6000</v>
      </c>
    </row>
    <row r="30" spans="1:9">
      <c r="D30" t="str">
        <f>IFERROR(INDEX(B:B,MATCH('Bundle Formation'!B48,A:A,0)),"")</f>
        <v/>
      </c>
      <c r="H30" t="str">
        <v>BND-35</v>
      </c>
      <c r="I30" t="str">
        <f>IF(H30="","",INDEX('Bundle Formation'!$C:$C,MATCH(H30,'Bundle Formation'!$G:$G,0)))</f>
        <v>MS SHS One Helix IS 4923 YSt 210 Black 38x38x2.20x6000</v>
      </c>
    </row>
    <row r="31" spans="1:9">
      <c r="D31" t="str">
        <f>IFERROR(INDEX(B:B,MATCH('Bundle Formation'!B49,A:A,0)),"")</f>
        <v/>
      </c>
      <c r="H31" t="str">
        <v>BND-36</v>
      </c>
      <c r="I31" t="str">
        <f>IF(H31="","",INDEX('Bundle Formation'!$C:$C,MATCH(H31,'Bundle Formation'!$G:$G,0)))</f>
        <v>MS SHS One Helix IS 4923 YSt 210 Black 50x50x2.20x6000</v>
      </c>
    </row>
    <row r="32" spans="1:9">
      <c r="D32" t="str">
        <f>IFERROR(INDEX(B:B,MATCH('Bundle Formation'!B50,A:A,0)),"")</f>
        <v/>
      </c>
      <c r="H32" t="str">
        <v>BND-37</v>
      </c>
      <c r="I32" t="str">
        <f>IF(H32="","",INDEX('Bundle Formation'!$C:$C,MATCH(H32,'Bundle Formation'!$G:$G,0)))</f>
        <v>MS SHS One Helix IS 4923 YSt 210 Black 50x50x2.20x6000</v>
      </c>
    </row>
    <row r="33" spans="4:9">
      <c r="D33" t="str">
        <f>IFERROR(INDEX(B:B,MATCH('Bundle Formation'!B51,A:A,0)),"")</f>
        <v/>
      </c>
      <c r="H33" t="str">
        <v>BND-38</v>
      </c>
      <c r="I33" t="str">
        <f>IF(H33="","",INDEX('Bundle Formation'!$C:$C,MATCH(H33,'Bundle Formation'!$G:$G,0)))</f>
        <v>MS SHS One Helix IS 4923 YSt 210 Black 50x50x2.20x6000</v>
      </c>
    </row>
    <row r="34" spans="4:9">
      <c r="D34" t="str">
        <f>IFERROR(INDEX(B:B,MATCH('Bundle Formation'!B52,A:A,0)),"")</f>
        <v/>
      </c>
      <c r="H34" t="str">
        <v>BND-4</v>
      </c>
      <c r="I34" t="str">
        <f>IF(H34="","",INDEX('Bundle Formation'!$C:$C,MATCH(H34,'Bundle Formation'!$G:$G,0)))</f>
        <v>MS SHS One Helix IS 4923 YSt 210 Black 38x38x2.80x6000</v>
      </c>
    </row>
    <row r="35" spans="4:9">
      <c r="D35" t="str">
        <f>IFERROR(INDEX(B:B,MATCH('Bundle Formation'!B53,A:A,0)),"")</f>
        <v/>
      </c>
      <c r="H35" t="str">
        <v>BND-5</v>
      </c>
      <c r="I35" t="str">
        <f>IF(H35="","",INDEX('Bundle Formation'!$C:$C,MATCH(H35,'Bundle Formation'!$G:$G,0)))</f>
        <v>MS SHS One Helix IS 4923 YSt 210 Black 38x38x2.80x6000</v>
      </c>
    </row>
    <row r="36" spans="4:9">
      <c r="D36" t="str">
        <f>IFERROR(INDEX(B:B,MATCH('Bundle Formation'!B54,A:A,0)),"")</f>
        <v/>
      </c>
      <c r="H36" t="str">
        <v>BND-6</v>
      </c>
      <c r="I36" t="str">
        <f>IF(H36="","",INDEX('Bundle Formation'!$C:$C,MATCH(H36,'Bundle Formation'!$G:$G,0)))</f>
        <v>MS SHS One Helix IS 4923 YSt 210 Black 38x38x2.80x6000</v>
      </c>
    </row>
    <row r="37" spans="4:9">
      <c r="D37" t="str">
        <f>IFERROR(INDEX(B:B,MATCH('Bundle Formation'!B55,A:A,0)),"")</f>
        <v/>
      </c>
      <c r="H37" t="str">
        <v>BND-7</v>
      </c>
      <c r="I37" t="str">
        <f>IF(H37="","",INDEX('Bundle Formation'!$C:$C,MATCH(H37,'Bundle Formation'!$G:$G,0)))</f>
        <v>MS SHS One Helix IS 4923 YSt 210 Black 38x38x2.80x6000</v>
      </c>
    </row>
    <row r="38" spans="4:9">
      <c r="D38" t="str">
        <f>IFERROR(INDEX(B:B,MATCH('Bundle Formation'!B56,A:A,0)),"")</f>
        <v/>
      </c>
      <c r="H38" t="str">
        <v>BND-8</v>
      </c>
      <c r="I38" t="str">
        <f>IF(H38="","",INDEX('Bundle Formation'!$C:$C,MATCH(H38,'Bundle Formation'!$G:$G,0)))</f>
        <v>MS SHS One Helix IS 4923 YSt 210 Black 38x38x2.80x6000</v>
      </c>
    </row>
    <row r="39" spans="4:9">
      <c r="D39" t="str">
        <f>IFERROR(INDEX(B:B,MATCH('Bundle Formation'!B57,A:A,0)),"")</f>
        <v/>
      </c>
      <c r="H39" t="str">
        <v>BND-9</v>
      </c>
      <c r="I39" t="str">
        <f>IF(H39="","",INDEX('Bundle Formation'!$C:$C,MATCH(H39,'Bundle Formation'!$G:$G,0)))</f>
        <v>MS SHS One Helix IS 4923 YSt 210 Black 38x38x2.80x6000</v>
      </c>
    </row>
    <row r="40" spans="4:9">
      <c r="D40" t="str">
        <f>IFERROR(INDEX(B:B,MATCH('Bundle Formation'!B58,A:A,0)),"")</f>
        <v/>
      </c>
      <c r="I40" t="str">
        <f>IF(H40="","",INDEX('Bundle Formation'!$C:$C,MATCH(H40,'Bundle Formation'!$G:$G,0)))</f>
        <v/>
      </c>
    </row>
    <row r="41" spans="4:9">
      <c r="D41" t="str">
        <f>IFERROR(INDEX(B:B,MATCH('Bundle Formation'!B59,A:A,0)),"")</f>
        <v/>
      </c>
      <c r="I41" t="str">
        <f>IF(H41="","",INDEX('Bundle Formation'!$C:$C,MATCH(H41,'Bundle Formation'!$G:$G,0)))</f>
        <v/>
      </c>
    </row>
    <row r="42" spans="4:9">
      <c r="D42" t="str">
        <f>IFERROR(INDEX(B:B,MATCH('Bundle Formation'!B60,A:A,0)),"")</f>
        <v/>
      </c>
      <c r="I42" t="str">
        <f>IF(H42="","",INDEX('Bundle Formation'!$C:$C,MATCH(H42,'Bundle Formation'!$G:$G,0)))</f>
        <v/>
      </c>
    </row>
    <row r="43" spans="4:9">
      <c r="D43" t="str">
        <f>IFERROR(INDEX(B:B,MATCH('Bundle Formation'!B61,A:A,0)),"")</f>
        <v/>
      </c>
      <c r="I43" t="str">
        <f>IF(H43="","",INDEX('Bundle Formation'!$C:$C,MATCH(H43,'Bundle Formation'!$G:$G,0)))</f>
        <v/>
      </c>
    </row>
    <row r="44" spans="4:9">
      <c r="D44" t="str">
        <f>IFERROR(INDEX(B:B,MATCH('Bundle Formation'!B62,A:A,0)),"")</f>
        <v/>
      </c>
      <c r="I44" t="str">
        <f>IF(H44="","",INDEX('Bundle Formation'!$C:$C,MATCH(H44,'Bundle Formation'!$G:$G,0)))</f>
        <v/>
      </c>
    </row>
    <row r="45" spans="4:9">
      <c r="D45" t="str">
        <f>IFERROR(INDEX(B:B,MATCH('Bundle Formation'!B63,A:A,0)),"")</f>
        <v/>
      </c>
      <c r="I45" t="str">
        <f>IF(H45="","",INDEX('Bundle Formation'!$C:$C,MATCH(H45,'Bundle Formation'!$G:$G,0)))</f>
        <v/>
      </c>
    </row>
    <row r="46" spans="4:9">
      <c r="D46" t="str">
        <f>IFERROR(INDEX(B:B,MATCH('Bundle Formation'!B64,A:A,0)),"")</f>
        <v/>
      </c>
      <c r="I46" t="str">
        <f>IF(H46="","",INDEX('Bundle Formation'!$C:$C,MATCH(H46,'Bundle Formation'!$G:$G,0)))</f>
        <v/>
      </c>
    </row>
    <row r="47" spans="4:9">
      <c r="D47" t="str">
        <f>IFERROR(INDEX(B:B,MATCH('Bundle Formation'!B65,A:A,0)),"")</f>
        <v/>
      </c>
      <c r="I47" t="str">
        <f>IF(H47="","",INDEX('Bundle Formation'!$C:$C,MATCH(H47,'Bundle Formation'!$G:$G,0)))</f>
        <v/>
      </c>
    </row>
    <row r="48" spans="4:9">
      <c r="D48" t="str">
        <f>IFERROR(INDEX(B:B,MATCH('Bundle Formation'!B66,A:A,0)),"")</f>
        <v/>
      </c>
      <c r="I48" t="str">
        <f>IF(H48="","",INDEX('Bundle Formation'!$C:$C,MATCH(H48,'Bundle Formation'!$G:$G,0)))</f>
        <v/>
      </c>
    </row>
    <row r="49" spans="4:9">
      <c r="D49" t="str">
        <f>IFERROR(INDEX(B:B,MATCH('Bundle Formation'!B67,A:A,0)),"")</f>
        <v/>
      </c>
      <c r="I49" t="str">
        <f>IF(H49="","",INDEX('Bundle Formation'!$C:$C,MATCH(H49,'Bundle Formation'!$G:$G,0)))</f>
        <v/>
      </c>
    </row>
    <row r="50" spans="4:9">
      <c r="D50" t="str">
        <f>IFERROR(INDEX(B:B,MATCH('Bundle Formation'!B68,A:A,0)),"")</f>
        <v/>
      </c>
      <c r="I50" t="str">
        <f>IF(H50="","",INDEX('Bundle Formation'!$C:$C,MATCH(H50,'Bundle Formation'!$G:$G,0)))</f>
        <v/>
      </c>
    </row>
    <row r="51" spans="4:9">
      <c r="D51" t="str">
        <f>IFERROR(INDEX(B:B,MATCH('Bundle Formation'!B69,A:A,0)),"")</f>
        <v/>
      </c>
      <c r="I51" t="str">
        <f>IF(H51="","",INDEX('Bundle Formation'!$C:$C,MATCH(H51,'Bundle Formation'!$G:$G,0)))</f>
        <v/>
      </c>
    </row>
    <row r="52" spans="4:9">
      <c r="D52" t="str">
        <f>IFERROR(INDEX(B:B,MATCH('Bundle Formation'!B70,A:A,0)),"")</f>
        <v/>
      </c>
      <c r="I52" t="str">
        <f>IF(H52="","",INDEX('Bundle Formation'!$C:$C,MATCH(H52,'Bundle Formation'!$G:$G,0)))</f>
        <v/>
      </c>
    </row>
    <row r="53" spans="4:9">
      <c r="D53" t="str">
        <f>IFERROR(INDEX(B:B,MATCH('Bundle Formation'!B71,A:A,0)),"")</f>
        <v/>
      </c>
      <c r="I53" t="str">
        <f>IF(H53="","",INDEX('Bundle Formation'!$C:$C,MATCH(H53,'Bundle Formation'!$G:$G,0)))</f>
        <v/>
      </c>
    </row>
    <row r="54" spans="4:9">
      <c r="D54" t="str">
        <f>IFERROR(INDEX(B:B,MATCH('Bundle Formation'!B72,A:A,0)),"")</f>
        <v/>
      </c>
      <c r="I54" t="str">
        <f>IF(H54="","",INDEX('Bundle Formation'!$C:$C,MATCH(H54,'Bundle Formation'!$G:$G,0)))</f>
        <v/>
      </c>
    </row>
    <row r="55" spans="4:9">
      <c r="D55" t="str">
        <f>IFERROR(INDEX(B:B,MATCH('Bundle Formation'!B73,A:A,0)),"")</f>
        <v/>
      </c>
      <c r="I55" t="str">
        <f>IF(H55="","",INDEX('Bundle Formation'!$C:$C,MATCH(H55,'Bundle Formation'!$G:$G,0)))</f>
        <v/>
      </c>
    </row>
    <row r="56" spans="4:9">
      <c r="D56" t="str">
        <f>IFERROR(INDEX(B:B,MATCH('Bundle Formation'!B74,A:A,0)),"")</f>
        <v/>
      </c>
      <c r="I56" t="str">
        <f>IF(H56="","",INDEX('Bundle Formation'!$C:$C,MATCH(H56,'Bundle Formation'!$G:$G,0)))</f>
        <v/>
      </c>
    </row>
    <row r="57" spans="4:9">
      <c r="D57" t="str">
        <f>IFERROR(INDEX(B:B,MATCH('Bundle Formation'!B75,A:A,0)),"")</f>
        <v/>
      </c>
      <c r="I57" t="str">
        <f>IF(H57="","",INDEX('Bundle Formation'!$C:$C,MATCH(H57,'Bundle Formation'!$G:$G,0)))</f>
        <v/>
      </c>
    </row>
    <row r="58" spans="4:9">
      <c r="D58" t="str">
        <f>IFERROR(INDEX(B:B,MATCH('Bundle Formation'!B76,A:A,0)),"")</f>
        <v/>
      </c>
      <c r="I58" t="str">
        <f>IF(H58="","",INDEX('Bundle Formation'!$C:$C,MATCH(H58,'Bundle Formation'!$G:$G,0)))</f>
        <v/>
      </c>
    </row>
    <row r="59" spans="4:9">
      <c r="D59" t="str">
        <f>IFERROR(INDEX(B:B,MATCH('Bundle Formation'!B77,A:A,0)),"")</f>
        <v/>
      </c>
      <c r="I59" t="str">
        <f>IF(H59="","",INDEX('Bundle Formation'!$C:$C,MATCH(H59,'Bundle Formation'!$G:$G,0)))</f>
        <v/>
      </c>
    </row>
    <row r="60" spans="4:9">
      <c r="D60" t="str">
        <f>IFERROR(INDEX(B:B,MATCH('Bundle Formation'!B78,A:A,0)),"")</f>
        <v/>
      </c>
      <c r="I60" t="str">
        <f>IF(H60="","",INDEX('Bundle Formation'!$C:$C,MATCH(H60,'Bundle Formation'!$G:$G,0)))</f>
        <v/>
      </c>
    </row>
    <row r="61" spans="4:9">
      <c r="D61" t="str">
        <f>IFERROR(INDEX(B:B,MATCH('Bundle Formation'!B79,A:A,0)),"")</f>
        <v/>
      </c>
    </row>
    <row r="62" spans="4:9">
      <c r="D62" t="str">
        <f>IFERROR(INDEX(B:B,MATCH('Bundle Formation'!B80,A:A,0)),"")</f>
        <v/>
      </c>
    </row>
    <row r="63" spans="4:9">
      <c r="D63" t="str">
        <f>IFERROR(INDEX(B:B,MATCH('Bundle Formation'!B81,A:A,0)),"")</f>
        <v/>
      </c>
    </row>
    <row r="64" spans="4:9">
      <c r="D64" t="str">
        <f>IFERROR(INDEX(B:B,MATCH('Bundle Formation'!B82,A:A,0)),"")</f>
        <v/>
      </c>
    </row>
    <row r="65" spans="4:4">
      <c r="D65" t="str">
        <f>IFERROR(INDEX(B:B,MATCH('Bundle Formation'!B83,A:A,0)),"")</f>
        <v/>
      </c>
    </row>
    <row r="66" spans="4:4">
      <c r="D66" t="str">
        <f>IFERROR(INDEX(B:B,MATCH('Bundle Formation'!B84,A:A,0)),"")</f>
        <v/>
      </c>
    </row>
    <row r="67" spans="4:4">
      <c r="D67" t="str">
        <f>IFERROR(INDEX(B:B,MATCH('Bundle Formation'!B85,A:A,0)),"")</f>
        <v/>
      </c>
    </row>
    <row r="68" spans="4:4">
      <c r="D68" t="str">
        <f>IFERROR(INDEX(B:B,MATCH('Bundle Formation'!B86,A:A,0)),"")</f>
        <v/>
      </c>
    </row>
    <row r="69" spans="4:4">
      <c r="D69" t="str">
        <f>IFERROR(INDEX(B:B,MATCH('Bundle Formation'!B87,A:A,0)),"")</f>
        <v/>
      </c>
    </row>
    <row r="70" spans="4:4">
      <c r="D70" t="str">
        <f>IFERROR(INDEX(B:B,MATCH('Bundle Formation'!B88,A:A,0)),"")</f>
        <v/>
      </c>
    </row>
    <row r="71" spans="4:4">
      <c r="D71" t="str">
        <f>IFERROR(INDEX(B:B,MATCH('Bundle Formation'!B89,A:A,0)),"")</f>
        <v/>
      </c>
    </row>
    <row r="72" spans="4:4">
      <c r="D72" t="str">
        <f>IFERROR(INDEX(B:B,MATCH('Bundle Formation'!B90,A:A,0)),"")</f>
        <v/>
      </c>
    </row>
    <row r="73" spans="4:4">
      <c r="D73" t="str">
        <f>IFERROR(INDEX(B:B,MATCH('Bundle Formation'!B91,A:A,0)),"")</f>
        <v/>
      </c>
    </row>
    <row r="74" spans="4:4">
      <c r="D74" t="str">
        <f>IFERROR(INDEX(B:B,MATCH('Bundle Formation'!B92,A:A,0)),"")</f>
        <v/>
      </c>
    </row>
    <row r="75" spans="4:4">
      <c r="D75" t="str">
        <f>IFERROR(INDEX(B:B,MATCH('Bundle Formation'!B93,A:A,0)),"")</f>
        <v/>
      </c>
    </row>
    <row r="76" spans="4:4">
      <c r="D76" t="str">
        <f>IFERROR(INDEX(B:B,MATCH('Bundle Formation'!B94,A:A,0)),"")</f>
        <v/>
      </c>
    </row>
    <row r="77" spans="4:4">
      <c r="D77" t="str">
        <f>IFERROR(INDEX(B:B,MATCH('Bundle Formation'!B95,A:A,0)),"")</f>
        <v/>
      </c>
    </row>
    <row r="78" spans="4:4">
      <c r="D78" t="str">
        <f>IFERROR(INDEX(B:B,MATCH('Bundle Formation'!B96,A:A,0)),"")</f>
        <v/>
      </c>
    </row>
    <row r="79" spans="4:4">
      <c r="D79" t="str">
        <f>IFERROR(INDEX(B:B,MATCH('Bundle Formation'!B97,A:A,0)),"")</f>
        <v/>
      </c>
    </row>
    <row r="80" spans="4:4">
      <c r="D80" t="str">
        <f>IFERROR(INDEX(B:B,MATCH('Bundle Formation'!B98,A:A,0)),"")</f>
        <v/>
      </c>
    </row>
    <row r="81" spans="4:4">
      <c r="D81" t="str">
        <f>IFERROR(INDEX(B:B,MATCH('Bundle Formation'!B99,A:A,0)),"")</f>
        <v/>
      </c>
    </row>
    <row r="82" spans="4:4">
      <c r="D82" t="str">
        <f>IFERROR(INDEX(B:B,MATCH('Bundle Formation'!B100,A:A,0)),"")</f>
        <v/>
      </c>
    </row>
    <row r="83" spans="4:4">
      <c r="D83" t="str">
        <f>IFERROR(INDEX(B:B,MATCH('Bundle Formation'!B101,A:A,0)),"")</f>
        <v/>
      </c>
    </row>
    <row r="84" spans="4:4">
      <c r="D84" t="str">
        <f>IFERROR(INDEX(B:B,MATCH('Bundle Formation'!B102,A:A,0)),"")</f>
        <v/>
      </c>
    </row>
    <row r="85" spans="4:4">
      <c r="D85" t="str">
        <f>IFERROR(INDEX(B:B,MATCH('Bundle Formation'!B103,A:A,0)),"")</f>
        <v/>
      </c>
    </row>
    <row r="86" spans="4:4">
      <c r="D86" t="str">
        <f>IFERROR(INDEX(B:B,MATCH('Bundle Formation'!B104,A:A,0)),"")</f>
        <v/>
      </c>
    </row>
    <row r="87" spans="4:4">
      <c r="D87" t="str">
        <f>IFERROR(INDEX(B:B,MATCH('Bundle Formation'!B105,A:A,0)),"")</f>
        <v/>
      </c>
    </row>
    <row r="88" spans="4:4">
      <c r="D88" t="str">
        <f>IFERROR(INDEX(B:B,MATCH('Bundle Formation'!B106,A:A,0)),"")</f>
        <v/>
      </c>
    </row>
    <row r="89" spans="4:4">
      <c r="D89" t="str">
        <f>IFERROR(INDEX(B:B,MATCH('Bundle Formation'!B107,A:A,0)),"")</f>
        <v/>
      </c>
    </row>
    <row r="90" spans="4:4">
      <c r="D90" t="str">
        <f>IFERROR(INDEX(B:B,MATCH('Bundle Formation'!B108,A:A,0)),"")</f>
        <v/>
      </c>
    </row>
    <row r="91" spans="4:4">
      <c r="D91" t="str">
        <f>IFERROR(INDEX(B:B,MATCH('Bundle Formation'!B109,A:A,0)),"")</f>
        <v/>
      </c>
    </row>
    <row r="92" spans="4:4">
      <c r="D92" t="str">
        <f>IFERROR(INDEX(B:B,MATCH('Bundle Formation'!B110,A:A,0)),"")</f>
        <v/>
      </c>
    </row>
    <row r="93" spans="4:4">
      <c r="D93" t="str">
        <f>IFERROR(INDEX(B:B,MATCH('Bundle Formation'!B111,A:A,0)),"")</f>
        <v/>
      </c>
    </row>
    <row r="94" spans="4:4">
      <c r="D94" t="str">
        <f>IFERROR(INDEX(B:B,MATCH('Bundle Formation'!B112,A:A,0)),"")</f>
        <v/>
      </c>
    </row>
    <row r="95" spans="4:4">
      <c r="D95" t="str">
        <f>IFERROR(INDEX(B:B,MATCH('Bundle Formation'!B113,A:A,0)),"")</f>
        <v/>
      </c>
    </row>
    <row r="96" spans="4:4">
      <c r="D96" t="str">
        <f>IFERROR(INDEX(B:B,MATCH('Bundle Formation'!B114,A:A,0)),"")</f>
        <v/>
      </c>
    </row>
    <row r="97" spans="4:4">
      <c r="D97" t="str">
        <f>IFERROR(INDEX(B:B,MATCH('Bundle Formation'!B115,A:A,0)),"")</f>
        <v/>
      </c>
    </row>
    <row r="98" spans="4:4">
      <c r="D98" t="str">
        <f>IFERROR(INDEX(B:B,MATCH('Bundle Formation'!B116,A:A,0)),"")</f>
        <v/>
      </c>
    </row>
    <row r="99" spans="4:4">
      <c r="D99" t="str">
        <f>IFERROR(INDEX(B:B,MATCH('Bundle Formation'!B117,A:A,0)),"")</f>
        <v/>
      </c>
    </row>
    <row r="100" spans="4:4">
      <c r="D100" t="str">
        <f>IFERROR(INDEX(B:B,MATCH('Bundle Formation'!B118,A:A,0)),"")</f>
        <v/>
      </c>
    </row>
    <row r="101" spans="4:4">
      <c r="D101" t="str">
        <f>IFERROR(INDEX(B:B,MATCH('Bundle Formation'!B119,A:A,0)),"")</f>
        <v/>
      </c>
    </row>
    <row r="102" spans="4:4">
      <c r="D102" t="str">
        <f>IFERROR(INDEX(B:B,MATCH('Bundle Formation'!B120,A:A,0)),"")</f>
        <v/>
      </c>
    </row>
    <row r="103" spans="4:4">
      <c r="D103" t="str">
        <f>IFERROR(INDEX(B:B,MATCH('Bundle Formation'!B121,A:A,0)),"")</f>
        <v/>
      </c>
    </row>
    <row r="104" spans="4:4">
      <c r="D104" t="str">
        <f>IFERROR(INDEX(B:B,MATCH('Bundle Formation'!B122,A:A,0)),"")</f>
        <v/>
      </c>
    </row>
    <row r="105" spans="4:4">
      <c r="D105" t="str">
        <f>IFERROR(INDEX(B:B,MATCH('Bundle Formation'!B123,A:A,0)),"")</f>
        <v/>
      </c>
    </row>
    <row r="106" spans="4:4">
      <c r="D106" t="str">
        <f>IFERROR(INDEX(B:B,MATCH('Bundle Formation'!B124,A:A,0)),"")</f>
        <v/>
      </c>
    </row>
    <row r="107" spans="4:4">
      <c r="D107" t="str">
        <f>IFERROR(INDEX(B:B,MATCH('Bundle Formation'!B125,A:A,0)),"")</f>
        <v/>
      </c>
    </row>
    <row r="108" spans="4:4">
      <c r="D108" t="str">
        <f>IFERROR(INDEX(B:B,MATCH('Bundle Formation'!B126,A:A,0)),"")</f>
        <v/>
      </c>
    </row>
    <row r="109" spans="4:4">
      <c r="D109" t="str">
        <f>IFERROR(INDEX(B:B,MATCH('Bundle Formation'!B127,A:A,0)),"")</f>
        <v/>
      </c>
    </row>
    <row r="110" spans="4:4">
      <c r="D110" t="str">
        <f>IFERROR(INDEX(B:B,MATCH('Bundle Formation'!B128,A:A,0)),"")</f>
        <v/>
      </c>
    </row>
    <row r="111" spans="4:4">
      <c r="D111" t="str">
        <f>IFERROR(INDEX(B:B,MATCH('Bundle Formation'!B129,A:A,0)),"")</f>
        <v/>
      </c>
    </row>
    <row r="112" spans="4:4">
      <c r="D112" t="str">
        <f>IFERROR(INDEX(B:B,MATCH('Bundle Formation'!B130,A:A,0)),"")</f>
        <v/>
      </c>
    </row>
    <row r="113" spans="4:4">
      <c r="D113" t="str">
        <f>IFERROR(INDEX(B:B,MATCH('Bundle Formation'!B131,A:A,0)),"")</f>
        <v/>
      </c>
    </row>
    <row r="114" spans="4:4">
      <c r="D114" t="str">
        <f>IFERROR(INDEX(B:B,MATCH('Bundle Formation'!B132,A:A,0)),"")</f>
        <v/>
      </c>
    </row>
    <row r="115" spans="4:4">
      <c r="D115" t="str">
        <f>IFERROR(INDEX(B:B,MATCH('Bundle Formation'!B133,A:A,0)),"")</f>
        <v/>
      </c>
    </row>
    <row r="116" spans="4:4">
      <c r="D116" t="str">
        <f>IFERROR(INDEX(B:B,MATCH('Bundle Formation'!B134,A:A,0)),"")</f>
        <v/>
      </c>
    </row>
    <row r="117" spans="4:4">
      <c r="D117" t="str">
        <f>IFERROR(INDEX(B:B,MATCH('Bundle Formation'!B135,A:A,0)),"")</f>
        <v/>
      </c>
    </row>
    <row r="118" spans="4:4">
      <c r="D118" t="str">
        <f>IFERROR(INDEX(B:B,MATCH('Bundle Formation'!B136,A:A,0)),"")</f>
        <v/>
      </c>
    </row>
    <row r="119" spans="4:4">
      <c r="D119" t="str">
        <f>IFERROR(INDEX(B:B,MATCH('Bundle Formation'!B137,A:A,0)),"")</f>
        <v/>
      </c>
    </row>
    <row r="120" spans="4:4">
      <c r="D120" t="str">
        <f>IFERROR(INDEX(B:B,MATCH('Bundle Formation'!B138,A:A,0)),"")</f>
        <v/>
      </c>
    </row>
    <row r="121" spans="4:4">
      <c r="D121" t="str">
        <f>IFERROR(INDEX(B:B,MATCH('Bundle Formation'!B139,A:A,0)),"")</f>
        <v/>
      </c>
    </row>
    <row r="122" spans="4:4">
      <c r="D122" t="str">
        <f>IFERROR(INDEX(B:B,MATCH('Bundle Formation'!B140,A:A,0)),"")</f>
        <v/>
      </c>
    </row>
    <row r="123" spans="4:4">
      <c r="D123" t="str">
        <f>IFERROR(INDEX(B:B,MATCH('Bundle Formation'!B141,A:A,0)),"")</f>
        <v/>
      </c>
    </row>
    <row r="124" spans="4:4">
      <c r="D124" t="str">
        <f>IFERROR(INDEX(B:B,MATCH('Bundle Formation'!B142,A:A,0)),"")</f>
        <v/>
      </c>
    </row>
    <row r="125" spans="4:4">
      <c r="D125" t="str">
        <f>IFERROR(INDEX(B:B,MATCH('Bundle Formation'!B143,A:A,0)),"")</f>
        <v/>
      </c>
    </row>
    <row r="126" spans="4:4">
      <c r="D126" t="str">
        <f>IFERROR(INDEX(B:B,MATCH('Bundle Formation'!B144,A:A,0)),"")</f>
        <v/>
      </c>
    </row>
    <row r="127" spans="4:4">
      <c r="D127" t="str">
        <f>IFERROR(INDEX(B:B,MATCH('Bundle Formation'!B145,A:A,0)),"")</f>
        <v/>
      </c>
    </row>
    <row r="128" spans="4:4">
      <c r="D128" t="str">
        <f>IFERROR(INDEX(B:B,MATCH('Bundle Formation'!B146,A:A,0)),"")</f>
        <v/>
      </c>
    </row>
    <row r="129" spans="4:4">
      <c r="D129" t="str">
        <f>IFERROR(INDEX(B:B,MATCH('Bundle Formation'!B147,A:A,0)),"")</f>
        <v/>
      </c>
    </row>
    <row r="130" spans="4:4">
      <c r="D130" t="str">
        <f>IFERROR(INDEX(B:B,MATCH('Bundle Formation'!B148,A:A,0)),"")</f>
        <v/>
      </c>
    </row>
    <row r="131" spans="4:4">
      <c r="D131" t="str">
        <f>IFERROR(INDEX(B:B,MATCH('Bundle Formation'!B149,A:A,0)),"")</f>
        <v/>
      </c>
    </row>
    <row r="132" spans="4:4">
      <c r="D132" t="str">
        <f>IFERROR(INDEX(B:B,MATCH('Bundle Formation'!B150,A:A,0)),"")</f>
        <v/>
      </c>
    </row>
    <row r="133" spans="4:4">
      <c r="D133" t="str">
        <f>IFERROR(INDEX(B:B,MATCH('Bundle Formation'!B151,A:A,0)),"")</f>
        <v/>
      </c>
    </row>
    <row r="134" spans="4:4">
      <c r="D134" t="str">
        <f>IFERROR(INDEX(B:B,MATCH('Bundle Formation'!B152,A:A,0)),"")</f>
        <v/>
      </c>
    </row>
    <row r="135" spans="4:4">
      <c r="D135" t="str">
        <f>IFERROR(INDEX(B:B,MATCH('Bundle Formation'!B153,A:A,0)),"")</f>
        <v/>
      </c>
    </row>
    <row r="136" spans="4:4">
      <c r="D136" t="str">
        <f>IFERROR(INDEX(B:B,MATCH('Bundle Formation'!B154,A:A,0)),"")</f>
        <v/>
      </c>
    </row>
    <row r="137" spans="4:4">
      <c r="D137" t="str">
        <f>IFERROR(INDEX(B:B,MATCH('Bundle Formation'!B155,A:A,0)),"")</f>
        <v/>
      </c>
    </row>
    <row r="138" spans="4:4">
      <c r="D138" t="str">
        <f>IFERROR(INDEX(B:B,MATCH('Bundle Formation'!B156,A:A,0)),"")</f>
        <v/>
      </c>
    </row>
    <row r="139" spans="4:4">
      <c r="D139" t="str">
        <f>IFERROR(INDEX(B:B,MATCH('Bundle Formation'!B157,A:A,0)),"")</f>
        <v/>
      </c>
    </row>
    <row r="140" spans="4:4">
      <c r="D140" t="str">
        <f>IFERROR(INDEX(B:B,MATCH('Bundle Formation'!B158,A:A,0)),"")</f>
        <v/>
      </c>
    </row>
    <row r="141" spans="4:4">
      <c r="D141" t="str">
        <f>IFERROR(INDEX(B:B,MATCH('Bundle Formation'!B159,A:A,0)),"")</f>
        <v/>
      </c>
    </row>
    <row r="142" spans="4:4">
      <c r="D142" t="str">
        <f>IFERROR(INDEX(B:B,MATCH('Bundle Formation'!B160,A:A,0)),"")</f>
        <v/>
      </c>
    </row>
    <row r="143" spans="4:4">
      <c r="D143" t="str">
        <f>IFERROR(INDEX(B:B,MATCH('Bundle Formation'!B161,A:A,0)),"")</f>
        <v/>
      </c>
    </row>
    <row r="144" spans="4:4">
      <c r="D144" t="str">
        <f>IFERROR(INDEX(B:B,MATCH('Bundle Formation'!B162,A:A,0)),"")</f>
        <v/>
      </c>
    </row>
    <row r="145" spans="4:4">
      <c r="D145" t="str">
        <f>IFERROR(INDEX(B:B,MATCH('Bundle Formation'!B163,A:A,0)),"")</f>
        <v/>
      </c>
    </row>
    <row r="146" spans="4:4">
      <c r="D146" t="str">
        <f>IFERROR(INDEX(B:B,MATCH('Bundle Formation'!B164,A:A,0)),"")</f>
        <v/>
      </c>
    </row>
    <row r="147" spans="4:4">
      <c r="D147" t="str">
        <f>IFERROR(INDEX(B:B,MATCH('Bundle Formation'!B165,A:A,0)),"")</f>
        <v/>
      </c>
    </row>
    <row r="148" spans="4:4">
      <c r="D148" t="str">
        <f>IFERROR(INDEX(B:B,MATCH('Bundle Formation'!B166,A:A,0)),"")</f>
        <v/>
      </c>
    </row>
    <row r="149" spans="4:4">
      <c r="D149" t="str">
        <f>IFERROR(INDEX(B:B,MATCH('Bundle Formation'!B167,A:A,0)),"")</f>
        <v/>
      </c>
    </row>
    <row r="150" spans="4:4">
      <c r="D150" t="str">
        <f>IFERROR(INDEX(B:B,MATCH('Bundle Formation'!B168,A:A,0)),"")</f>
        <v/>
      </c>
    </row>
    <row r="151" spans="4:4">
      <c r="D151" t="str">
        <f>IFERROR(INDEX(B:B,MATCH('Bundle Formation'!B169,A:A,0)),"")</f>
        <v/>
      </c>
    </row>
    <row r="152" spans="4:4">
      <c r="D152" t="str">
        <f>IFERROR(INDEX(B:B,MATCH('Bundle Formation'!B170,A:A,0)),"")</f>
        <v/>
      </c>
    </row>
    <row r="153" spans="4:4">
      <c r="D153" t="str">
        <f>IFERROR(INDEX(B:B,MATCH('Bundle Formation'!B171,A:A,0)),"")</f>
        <v/>
      </c>
    </row>
    <row r="154" spans="4:4">
      <c r="D154" t="str">
        <f>IFERROR(INDEX(B:B,MATCH('Bundle Formation'!B172,A:A,0)),"")</f>
        <v/>
      </c>
    </row>
    <row r="155" spans="4:4">
      <c r="D155" t="str">
        <f>IFERROR(INDEX(B:B,MATCH('Bundle Formation'!B173,A:A,0)),"")</f>
        <v/>
      </c>
    </row>
    <row r="156" spans="4:4">
      <c r="D156" t="str">
        <f>IFERROR(INDEX(B:B,MATCH('Bundle Formation'!B174,A:A,0)),"")</f>
        <v/>
      </c>
    </row>
    <row r="157" spans="4:4">
      <c r="D157" t="str">
        <f>IFERROR(INDEX(B:B,MATCH('Bundle Formation'!B175,A:A,0)),"")</f>
        <v/>
      </c>
    </row>
    <row r="158" spans="4:4">
      <c r="D158" t="str">
        <f>IFERROR(INDEX(B:B,MATCH('Bundle Formation'!B176,A:A,0)),"")</f>
        <v/>
      </c>
    </row>
    <row r="159" spans="4:4">
      <c r="D159" t="str">
        <f>IFERROR(INDEX(B:B,MATCH('Bundle Formation'!B177,A:A,0)),"")</f>
        <v/>
      </c>
    </row>
    <row r="160" spans="4:4">
      <c r="D160" t="str">
        <f>IFERROR(INDEX(B:B,MATCH('Bundle Formation'!B178,A:A,0)),"")</f>
        <v/>
      </c>
    </row>
    <row r="161" spans="4:4">
      <c r="D161" t="str">
        <f>IFERROR(INDEX(B:B,MATCH('Bundle Formation'!B179,A:A,0)),"")</f>
        <v/>
      </c>
    </row>
    <row r="162" spans="4:4">
      <c r="D162" t="str">
        <f>IFERROR(INDEX(B:B,MATCH('Bundle Formation'!B180,A:A,0)),"")</f>
        <v/>
      </c>
    </row>
    <row r="163" spans="4:4">
      <c r="D163" t="str">
        <f>IFERROR(INDEX(B:B,MATCH('Bundle Formation'!B181,A:A,0)),"")</f>
        <v/>
      </c>
    </row>
    <row r="164" spans="4:4">
      <c r="D164" t="str">
        <f>IFERROR(INDEX(B:B,MATCH('Bundle Formation'!B182,A:A,0)),"")</f>
        <v/>
      </c>
    </row>
    <row r="165" spans="4:4">
      <c r="D165" t="str">
        <f>IFERROR(INDEX(B:B,MATCH('Bundle Formation'!B183,A:A,0)),"")</f>
        <v/>
      </c>
    </row>
    <row r="166" spans="4:4">
      <c r="D166" t="str">
        <f>IFERROR(INDEX(B:B,MATCH('Bundle Formation'!B184,A:A,0)),"")</f>
        <v/>
      </c>
    </row>
    <row r="167" spans="4:4">
      <c r="D167" t="str">
        <f>IFERROR(INDEX(B:B,MATCH('Bundle Formation'!B185,A:A,0)),"")</f>
        <v/>
      </c>
    </row>
    <row r="168" spans="4:4">
      <c r="D168" t="str">
        <f>IFERROR(INDEX(B:B,MATCH('Bundle Formation'!B186,A:A,0)),"")</f>
        <v/>
      </c>
    </row>
    <row r="169" spans="4:4">
      <c r="D169" t="str">
        <f>IFERROR(INDEX(B:B,MATCH('Bundle Formation'!B187,A:A,0)),"")</f>
        <v/>
      </c>
    </row>
    <row r="170" spans="4:4">
      <c r="D170" t="str">
        <f>IFERROR(INDEX(B:B,MATCH('Bundle Formation'!B188,A:A,0)),"")</f>
        <v/>
      </c>
    </row>
    <row r="171" spans="4:4">
      <c r="D171" t="str">
        <f>IFERROR(INDEX(B:B,MATCH('Bundle Formation'!B189,A:A,0)),"")</f>
        <v/>
      </c>
    </row>
    <row r="172" spans="4:4">
      <c r="D172" t="str">
        <f>IFERROR(INDEX(B:B,MATCH('Bundle Formation'!B190,A:A,0)),"")</f>
        <v/>
      </c>
    </row>
    <row r="173" spans="4:4">
      <c r="D173" t="str">
        <f>IFERROR(INDEX(B:B,MATCH('Bundle Formation'!B191,A:A,0)),"")</f>
        <v/>
      </c>
    </row>
    <row r="174" spans="4:4">
      <c r="D174" t="str">
        <f>IFERROR(INDEX(B:B,MATCH('Bundle Formation'!B192,A:A,0)),"")</f>
        <v/>
      </c>
    </row>
    <row r="175" spans="4:4">
      <c r="D175" t="str">
        <f>IFERROR(INDEX(B:B,MATCH('Bundle Formation'!B193,A:A,0)),"")</f>
        <v/>
      </c>
    </row>
    <row r="176" spans="4:4">
      <c r="D176" t="str">
        <f>IFERROR(INDEX(B:B,MATCH('Bundle Formation'!B194,A:A,0)),"")</f>
        <v/>
      </c>
    </row>
    <row r="177" spans="4:4">
      <c r="D177" t="str">
        <f>IFERROR(INDEX(B:B,MATCH('Bundle Formation'!B195,A:A,0)),"")</f>
        <v/>
      </c>
    </row>
    <row r="178" spans="4:4">
      <c r="D178" t="str">
        <f>IFERROR(INDEX(B:B,MATCH('Bundle Formation'!B196,A:A,0)),"")</f>
        <v/>
      </c>
    </row>
    <row r="179" spans="4:4">
      <c r="D179" t="str">
        <f>IFERROR(INDEX(B:B,MATCH('Bundle Formation'!B197,A:A,0)),"")</f>
        <v/>
      </c>
    </row>
    <row r="180" spans="4:4">
      <c r="D180" t="str">
        <f>IFERROR(INDEX(B:B,MATCH('Bundle Formation'!B198,A:A,0)),"")</f>
        <v/>
      </c>
    </row>
    <row r="181" spans="4:4">
      <c r="D181" t="str">
        <f>IFERROR(INDEX(B:B,MATCH('Bundle Formation'!B199,A:A,0)),"")</f>
        <v/>
      </c>
    </row>
    <row r="182" spans="4:4">
      <c r="D182" t="str">
        <f>IFERROR(INDEX(B:B,MATCH('Bundle Formation'!B200,A:A,0)),"")</f>
        <v/>
      </c>
    </row>
    <row r="183" spans="4:4">
      <c r="D183" t="str">
        <f>IFERROR(INDEX(B:B,MATCH('Bundle Formation'!B201,A:A,0)),"")</f>
        <v/>
      </c>
    </row>
    <row r="184" spans="4:4">
      <c r="D184" t="str">
        <f>IFERROR(INDEX(B:B,MATCH('Bundle Formation'!B202,A:A,0)),"")</f>
        <v/>
      </c>
    </row>
    <row r="185" spans="4:4">
      <c r="D185" t="str">
        <f>IFERROR(INDEX(B:B,MATCH('Bundle Formation'!B203,A:A,0)),"")</f>
        <v/>
      </c>
    </row>
    <row r="186" spans="4:4">
      <c r="D186" t="str">
        <f>IFERROR(INDEX(B:B,MATCH('Bundle Formation'!B204,A:A,0)),"")</f>
        <v/>
      </c>
    </row>
    <row r="187" spans="4:4">
      <c r="D187" t="str">
        <f>IFERROR(INDEX(B:B,MATCH('Bundle Formation'!B205,A:A,0)),"")</f>
        <v/>
      </c>
    </row>
    <row r="188" spans="4:4">
      <c r="D188" t="str">
        <f>IFERROR(INDEX(B:B,MATCH('Bundle Formation'!B206,A:A,0)),"")</f>
        <v/>
      </c>
    </row>
    <row r="189" spans="4:4">
      <c r="D189" t="str">
        <f>IFERROR(INDEX(B:B,MATCH('Bundle Formation'!B207,A:A,0)),"")</f>
        <v/>
      </c>
    </row>
    <row r="190" spans="4:4">
      <c r="D190" t="str">
        <f>IFERROR(INDEX(B:B,MATCH('Bundle Formation'!B208,A:A,0)),"")</f>
        <v/>
      </c>
    </row>
    <row r="191" spans="4:4">
      <c r="D191" t="str">
        <f>IFERROR(INDEX(B:B,MATCH('Bundle Formation'!B209,A:A,0)),"")</f>
        <v/>
      </c>
    </row>
    <row r="192" spans="4:4">
      <c r="D192" t="str">
        <f>IFERROR(INDEX(B:B,MATCH('Bundle Formation'!B210,A:A,0)),"")</f>
        <v/>
      </c>
    </row>
    <row r="193" spans="4:4">
      <c r="D193" t="str">
        <f>IFERROR(INDEX(B:B,MATCH('Bundle Formation'!B211,A:A,0)),"")</f>
        <v/>
      </c>
    </row>
    <row r="194" spans="4:4">
      <c r="D194" t="str">
        <f>IFERROR(INDEX(B:B,MATCH('Bundle Formation'!B212,A:A,0)),"")</f>
        <v/>
      </c>
    </row>
    <row r="195" spans="4:4">
      <c r="D195" t="str">
        <f>IFERROR(INDEX(B:B,MATCH('Bundle Formation'!B213,A:A,0)),"")</f>
        <v/>
      </c>
    </row>
    <row r="196" spans="4:4">
      <c r="D196" t="str">
        <f>IFERROR(INDEX(B:B,MATCH('Bundle Formation'!B214,A:A,0)),"")</f>
        <v/>
      </c>
    </row>
    <row r="197" spans="4:4">
      <c r="D197" t="str">
        <f>IFERROR(INDEX(B:B,MATCH('Bundle Formation'!B215,A:A,0)),"")</f>
        <v/>
      </c>
    </row>
    <row r="198" spans="4:4">
      <c r="D198" t="str">
        <f>IFERROR(INDEX(B:B,MATCH('Bundle Formation'!B216,A:A,0)),"")</f>
        <v/>
      </c>
    </row>
    <row r="199" spans="4:4">
      <c r="D199" t="str">
        <f>IFERROR(INDEX(B:B,MATCH('Bundle Formation'!B217,A:A,0)),"")</f>
        <v/>
      </c>
    </row>
    <row r="200" spans="4:4">
      <c r="D200" t="str">
        <f>IFERROR(INDEX(B:B,MATCH('Bundle Formation'!B218,A:A,0)),"")</f>
        <v/>
      </c>
    </row>
    <row r="201" spans="4:4">
      <c r="D201" t="str">
        <f>IFERROR(INDEX(B:B,MATCH('Bundle Formation'!B219,A:A,0)),"")</f>
        <v/>
      </c>
    </row>
    <row r="202" spans="4:4">
      <c r="D202" t="str">
        <f>IFERROR(INDEX(B:B,MATCH('Bundle Formation'!B220,A:A,0)),"")</f>
        <v/>
      </c>
    </row>
    <row r="203" spans="4:4">
      <c r="D203" t="str">
        <f>IFERROR(INDEX(B:B,MATCH('Bundle Formation'!B221,A:A,0)),"")</f>
        <v/>
      </c>
    </row>
    <row r="204" spans="4:4">
      <c r="D204" t="str">
        <f>IFERROR(INDEX(B:B,MATCH('Bundle Formation'!B222,A:A,0)),"")</f>
        <v/>
      </c>
    </row>
    <row r="205" spans="4:4">
      <c r="D205" t="str">
        <f>IFERROR(INDEX(B:B,MATCH('Bundle Formation'!B223,A:A,0)),"")</f>
        <v/>
      </c>
    </row>
    <row r="206" spans="4:4">
      <c r="D206" t="str">
        <f>IFERROR(INDEX(B:B,MATCH('Bundle Formation'!B224,A:A,0)),"")</f>
        <v/>
      </c>
    </row>
    <row r="207" spans="4:4">
      <c r="D207" t="str">
        <f>IFERROR(INDEX(B:B,MATCH('Bundle Formation'!B225,A:A,0)),"")</f>
        <v/>
      </c>
    </row>
    <row r="208" spans="4:4">
      <c r="D208" t="str">
        <f>IFERROR(INDEX(B:B,MATCH('Bundle Formation'!B226,A:A,0)),"")</f>
        <v/>
      </c>
    </row>
    <row r="209" spans="4:4">
      <c r="D209" t="str">
        <f>IFERROR(INDEX(B:B,MATCH('Bundle Formation'!B227,A:A,0)),"")</f>
        <v/>
      </c>
    </row>
    <row r="210" spans="4:4">
      <c r="D210" t="str">
        <f>IFERROR(INDEX(B:B,MATCH('Bundle Formation'!B228,A:A,0)),"")</f>
        <v/>
      </c>
    </row>
    <row r="211" spans="4:4">
      <c r="D211" t="str">
        <f>IFERROR(INDEX(B:B,MATCH('Bundle Formation'!B229,A:A,0)),"")</f>
        <v/>
      </c>
    </row>
    <row r="212" spans="4:4">
      <c r="D212" t="str">
        <f>IFERROR(INDEX(B:B,MATCH('Bundle Formation'!B230,A:A,0)),"")</f>
        <v/>
      </c>
    </row>
    <row r="213" spans="4:4">
      <c r="D213" t="str">
        <f>IFERROR(INDEX(B:B,MATCH('Bundle Formation'!B231,A:A,0)),"")</f>
        <v/>
      </c>
    </row>
    <row r="214" spans="4:4">
      <c r="D214" t="str">
        <f>IFERROR(INDEX(B:B,MATCH('Bundle Formation'!B232,A:A,0)),"")</f>
        <v/>
      </c>
    </row>
    <row r="215" spans="4:4">
      <c r="D215" t="str">
        <f>IFERROR(INDEX(B:B,MATCH('Bundle Formation'!B233,A:A,0)),"")</f>
        <v/>
      </c>
    </row>
    <row r="216" spans="4:4">
      <c r="D216" t="str">
        <f>IFERROR(INDEX(B:B,MATCH('Bundle Formation'!B234,A:A,0)),"")</f>
        <v/>
      </c>
    </row>
    <row r="217" spans="4:4">
      <c r="D217" t="str">
        <f>IFERROR(INDEX(B:B,MATCH('Bundle Formation'!B235,A:A,0)),"")</f>
        <v/>
      </c>
    </row>
    <row r="218" spans="4:4">
      <c r="D218" t="str">
        <f>IFERROR(INDEX(B:B,MATCH('Bundle Formation'!B236,A:A,0)),"")</f>
        <v/>
      </c>
    </row>
    <row r="219" spans="4:4">
      <c r="D219" t="str">
        <f>IFERROR(INDEX(B:B,MATCH('Bundle Formation'!B237,A:A,0)),"")</f>
        <v/>
      </c>
    </row>
    <row r="220" spans="4:4">
      <c r="D220" t="str">
        <f>IFERROR(INDEX(B:B,MATCH('Bundle Formation'!B238,A:A,0)),"")</f>
        <v/>
      </c>
    </row>
    <row r="221" spans="4:4">
      <c r="D221" t="str">
        <f>IFERROR(INDEX(B:B,MATCH('Bundle Formation'!B239,A:A,0)),"")</f>
        <v/>
      </c>
    </row>
    <row r="222" spans="4:4">
      <c r="D222" t="str">
        <f>IFERROR(INDEX(B:B,MATCH('Bundle Formation'!B240,A:A,0)),"")</f>
        <v/>
      </c>
    </row>
    <row r="223" spans="4:4">
      <c r="D223" t="str">
        <f>IFERROR(INDEX(B:B,MATCH('Bundle Formation'!B241,A:A,0)),"")</f>
        <v/>
      </c>
    </row>
    <row r="224" spans="4:4">
      <c r="D224" t="str">
        <f>IFERROR(INDEX(B:B,MATCH('Bundle Formation'!B242,A:A,0)),"")</f>
        <v/>
      </c>
    </row>
    <row r="225" spans="4:4">
      <c r="D225" t="str">
        <f>IFERROR(INDEX(B:B,MATCH('Bundle Formation'!B243,A:A,0)),"")</f>
        <v/>
      </c>
    </row>
    <row r="226" spans="4:4">
      <c r="D226" t="str">
        <f>IFERROR(INDEX(B:B,MATCH('Bundle Formation'!B244,A:A,0)),"")</f>
        <v/>
      </c>
    </row>
    <row r="227" spans="4:4">
      <c r="D227" t="str">
        <f>IFERROR(INDEX(B:B,MATCH('Bundle Formation'!B245,A:A,0)),"")</f>
        <v/>
      </c>
    </row>
    <row r="228" spans="4:4">
      <c r="D228" t="str">
        <f>IFERROR(INDEX(B:B,MATCH('Bundle Formation'!B246,A:A,0)),"")</f>
        <v/>
      </c>
    </row>
    <row r="229" spans="4:4">
      <c r="D229" t="str">
        <f>IFERROR(INDEX(B:B,MATCH('Bundle Formation'!B247,A:A,0)),"")</f>
        <v/>
      </c>
    </row>
    <row r="230" spans="4:4">
      <c r="D230" t="str">
        <f>IFERROR(INDEX(B:B,MATCH('Bundle Formation'!B248,A:A,0)),"")</f>
        <v/>
      </c>
    </row>
    <row r="231" spans="4:4">
      <c r="D231" t="str">
        <f>IFERROR(INDEX(B:B,MATCH('Bundle Formation'!B249,A:A,0)),"")</f>
        <v/>
      </c>
    </row>
    <row r="232" spans="4:4">
      <c r="D232" t="str">
        <f>IFERROR(INDEX(B:B,MATCH('Bundle Formation'!B250,A:A,0)),"")</f>
        <v/>
      </c>
    </row>
    <row r="233" spans="4:4">
      <c r="D233" t="str">
        <f>IFERROR(INDEX(B:B,MATCH('Bundle Formation'!B251,A:A,0)),"")</f>
        <v/>
      </c>
    </row>
    <row r="234" spans="4:4">
      <c r="D234" t="str">
        <f>IFERROR(INDEX(B:B,MATCH('Bundle Formation'!B252,A:A,0)),"")</f>
        <v/>
      </c>
    </row>
    <row r="235" spans="4:4">
      <c r="D235" t="str">
        <f>IFERROR(INDEX(B:B,MATCH('Bundle Formation'!B253,A:A,0)),"")</f>
        <v/>
      </c>
    </row>
    <row r="236" spans="4:4">
      <c r="D236" t="str">
        <f>IFERROR(INDEX(B:B,MATCH('Bundle Formation'!B254,A:A,0)),"")</f>
        <v/>
      </c>
    </row>
    <row r="237" spans="4:4">
      <c r="D237" t="str">
        <f>IFERROR(INDEX(B:B,MATCH('Bundle Formation'!B255,A:A,0)),"")</f>
        <v/>
      </c>
    </row>
    <row r="238" spans="4:4">
      <c r="D238" t="str">
        <f>IFERROR(INDEX(B:B,MATCH('Bundle Formation'!B256,A:A,0)),"")</f>
        <v/>
      </c>
    </row>
    <row r="239" spans="4:4">
      <c r="D239" t="str">
        <f>IFERROR(INDEX(B:B,MATCH('Bundle Formation'!B257,A:A,0)),"")</f>
        <v/>
      </c>
    </row>
    <row r="240" spans="4:4">
      <c r="D240" t="str">
        <f>IFERROR(INDEX(B:B,MATCH('Bundle Formation'!B258,A:A,0)),"")</f>
        <v/>
      </c>
    </row>
    <row r="241" spans="4:4">
      <c r="D241" t="str">
        <f>IFERROR(INDEX(B:B,MATCH('Bundle Formation'!B259,A:A,0)),"")</f>
        <v/>
      </c>
    </row>
    <row r="242" spans="4:4">
      <c r="D242" t="str">
        <f>IFERROR(INDEX(B:B,MATCH('Bundle Formation'!B260,A:A,0)),"")</f>
        <v/>
      </c>
    </row>
    <row r="243" spans="4:4">
      <c r="D243" t="str">
        <f>IFERROR(INDEX(B:B,MATCH('Bundle Formation'!B261,A:A,0)),"")</f>
        <v/>
      </c>
    </row>
    <row r="244" spans="4:4">
      <c r="D244" t="str">
        <f>IFERROR(INDEX(B:B,MATCH('Bundle Formation'!B262,A:A,0)),"")</f>
        <v/>
      </c>
    </row>
    <row r="245" spans="4:4">
      <c r="D245" t="str">
        <f>IFERROR(INDEX(B:B,MATCH('Bundle Formation'!B263,A:A,0)),"")</f>
        <v/>
      </c>
    </row>
    <row r="246" spans="4:4">
      <c r="D246" t="str">
        <f>IFERROR(INDEX(B:B,MATCH('Bundle Formation'!B264,A:A,0)),"")</f>
        <v/>
      </c>
    </row>
    <row r="247" spans="4:4">
      <c r="D247" t="str">
        <f>IFERROR(INDEX(B:B,MATCH('Bundle Formation'!B265,A:A,0)),"")</f>
        <v/>
      </c>
    </row>
    <row r="248" spans="4:4">
      <c r="D248" t="str">
        <f>IFERROR(INDEX(B:B,MATCH('Bundle Formation'!B266,A:A,0)),"")</f>
        <v/>
      </c>
    </row>
    <row r="249" spans="4:4">
      <c r="D249" t="str">
        <f>IFERROR(INDEX(B:B,MATCH('Bundle Formation'!B267,A:A,0)),"")</f>
        <v/>
      </c>
    </row>
    <row r="250" spans="4:4">
      <c r="D250" t="str">
        <f>IFERROR(INDEX(B:B,MATCH('Bundle Formation'!B268,A:A,0)),"")</f>
        <v/>
      </c>
    </row>
    <row r="251" spans="4:4">
      <c r="D251" t="str">
        <f>IFERROR(INDEX(B:B,MATCH('Bundle Formation'!B269,A:A,0)),"")</f>
        <v/>
      </c>
    </row>
    <row r="252" spans="4:4">
      <c r="D252" t="str">
        <f>IFERROR(INDEX(B:B,MATCH('Bundle Formation'!B270,A:A,0)),"")</f>
        <v/>
      </c>
    </row>
    <row r="253" spans="4:4">
      <c r="D253" t="str">
        <f>IFERROR(INDEX(B:B,MATCH('Bundle Formation'!B271,A:A,0)),"")</f>
        <v/>
      </c>
    </row>
    <row r="254" spans="4:4">
      <c r="D254" t="str">
        <f>IFERROR(INDEX(B:B,MATCH('Bundle Formation'!B272,A:A,0)),"")</f>
        <v/>
      </c>
    </row>
    <row r="255" spans="4:4">
      <c r="D255" t="str">
        <f>IFERROR(INDEX(B:B,MATCH('Bundle Formation'!B273,A:A,0)),"")</f>
        <v/>
      </c>
    </row>
    <row r="256" spans="4:4">
      <c r="D256" t="str">
        <f>IFERROR(INDEX(B:B,MATCH('Bundle Formation'!B274,A:A,0)),"")</f>
        <v/>
      </c>
    </row>
    <row r="257" spans="4:4">
      <c r="D257" t="str">
        <f>IFERROR(INDEX(B:B,MATCH('Bundle Formation'!B275,A:A,0)),"")</f>
        <v/>
      </c>
    </row>
    <row r="258" spans="4:4">
      <c r="D258" t="str">
        <f>IFERROR(INDEX(B:B,MATCH('Bundle Formation'!B276,A:A,0)),"")</f>
        <v/>
      </c>
    </row>
    <row r="259" spans="4:4">
      <c r="D259" t="str">
        <f>IFERROR(INDEX(B:B,MATCH('Bundle Formation'!B277,A:A,0)),"")</f>
        <v/>
      </c>
    </row>
    <row r="260" spans="4:4">
      <c r="D260" t="str">
        <f>IFERROR(INDEX(B:B,MATCH('Bundle Formation'!B278,A:A,0)),"")</f>
        <v/>
      </c>
    </row>
    <row r="261" spans="4:4">
      <c r="D261" t="str">
        <f>IFERROR(INDEX(B:B,MATCH('Bundle Formation'!B279,A:A,0)),"")</f>
        <v/>
      </c>
    </row>
    <row r="262" spans="4:4">
      <c r="D262" t="str">
        <f>IFERROR(INDEX(B:B,MATCH('Bundle Formation'!B280,A:A,0)),"")</f>
        <v/>
      </c>
    </row>
    <row r="263" spans="4:4">
      <c r="D263" t="str">
        <f>IFERROR(INDEX(B:B,MATCH('Bundle Formation'!B281,A:A,0)),"")</f>
        <v/>
      </c>
    </row>
    <row r="264" spans="4:4">
      <c r="D264" t="str">
        <f>IFERROR(INDEX(B:B,MATCH('Bundle Formation'!B282,A:A,0)),"")</f>
        <v/>
      </c>
    </row>
    <row r="265" spans="4:4">
      <c r="D265" t="str">
        <f>IFERROR(INDEX(B:B,MATCH('Bundle Formation'!B283,A:A,0)),"")</f>
        <v/>
      </c>
    </row>
    <row r="266" spans="4:4">
      <c r="D266" t="str">
        <f>IFERROR(INDEX(B:B,MATCH('Bundle Formation'!B284,A:A,0)),"")</f>
        <v/>
      </c>
    </row>
    <row r="267" spans="4:4">
      <c r="D267" t="str">
        <f>IFERROR(INDEX(B:B,MATCH('Bundle Formation'!B285,A:A,0)),"")</f>
        <v/>
      </c>
    </row>
    <row r="268" spans="4:4">
      <c r="D268" t="str">
        <f>IFERROR(INDEX(B:B,MATCH('Bundle Formation'!B286,A:A,0)),"")</f>
        <v/>
      </c>
    </row>
    <row r="269" spans="4:4">
      <c r="D269" t="str">
        <f>IFERROR(INDEX(B:B,MATCH('Bundle Formation'!B287,A:A,0)),"")</f>
        <v/>
      </c>
    </row>
    <row r="270" spans="4:4">
      <c r="D270" t="str">
        <f>IFERROR(INDEX(B:B,MATCH('Bundle Formation'!B288,A:A,0)),"")</f>
        <v/>
      </c>
    </row>
    <row r="271" spans="4:4">
      <c r="D271" t="str">
        <f>IFERROR(INDEX(B:B,MATCH('Bundle Formation'!B289,A:A,0)),"")</f>
        <v/>
      </c>
    </row>
    <row r="272" spans="4:4">
      <c r="D272" t="str">
        <f>IFERROR(INDEX(B:B,MATCH('Bundle Formation'!B290,A:A,0)),"")</f>
        <v/>
      </c>
    </row>
    <row r="273" spans="4:4">
      <c r="D273" t="str">
        <f>IFERROR(INDEX(B:B,MATCH('Bundle Formation'!B291,A:A,0)),"")</f>
        <v/>
      </c>
    </row>
    <row r="274" spans="4:4">
      <c r="D274" t="str">
        <f>IFERROR(INDEX(B:B,MATCH('Bundle Formation'!B292,A:A,0)),"")</f>
        <v/>
      </c>
    </row>
    <row r="275" spans="4:4">
      <c r="D275" t="str">
        <f>IFERROR(INDEX(B:B,MATCH('Bundle Formation'!B293,A:A,0)),"")</f>
        <v/>
      </c>
    </row>
    <row r="276" spans="4:4">
      <c r="D276" t="str">
        <f>IFERROR(INDEX(B:B,MATCH('Bundle Formation'!B294,A:A,0)),"")</f>
        <v/>
      </c>
    </row>
    <row r="277" spans="4:4">
      <c r="D277" t="str">
        <f>IFERROR(INDEX(B:B,MATCH('Bundle Formation'!B295,A:A,0)),"")</f>
        <v/>
      </c>
    </row>
    <row r="278" spans="4:4">
      <c r="D278" t="str">
        <f>IFERROR(INDEX(B:B,MATCH('Bundle Formation'!B296,A:A,0)),"")</f>
        <v/>
      </c>
    </row>
    <row r="279" spans="4:4">
      <c r="D279" t="str">
        <f>IFERROR(INDEX(B:B,MATCH('Bundle Formation'!B297,A:A,0)),"")</f>
        <v/>
      </c>
    </row>
    <row r="280" spans="4:4">
      <c r="D280" t="str">
        <f>IFERROR(INDEX(B:B,MATCH('Bundle Formation'!B298,A:A,0)),"")</f>
        <v/>
      </c>
    </row>
    <row r="281" spans="4:4">
      <c r="D281" t="str">
        <f>IFERROR(INDEX(B:B,MATCH('Bundle Formation'!B299,A:A,0)),"")</f>
        <v/>
      </c>
    </row>
    <row r="282" spans="4:4">
      <c r="D282" t="str">
        <f>IFERROR(INDEX(B:B,MATCH('Bundle Formation'!B300,A:A,0)),"")</f>
        <v/>
      </c>
    </row>
    <row r="283" spans="4:4">
      <c r="D283" t="str">
        <f>IFERROR(INDEX(B:B,MATCH('Bundle Formation'!B301,A:A,0)),"")</f>
        <v/>
      </c>
    </row>
    <row r="284" spans="4:4">
      <c r="D284" t="str">
        <f>IFERROR(INDEX(B:B,MATCH('Bundle Formation'!B302,A:A,0)),"")</f>
        <v/>
      </c>
    </row>
    <row r="285" spans="4:4">
      <c r="D285" t="str">
        <f>IFERROR(INDEX(B:B,MATCH('Bundle Formation'!B303,A:A,0)),"")</f>
        <v/>
      </c>
    </row>
    <row r="286" spans="4:4">
      <c r="D286" t="str">
        <f>IFERROR(INDEX(B:B,MATCH('Bundle Formation'!B304,A:A,0)),"")</f>
        <v/>
      </c>
    </row>
    <row r="287" spans="4:4">
      <c r="D287" t="str">
        <f>IFERROR(INDEX(B:B,MATCH('Bundle Formation'!B305,A:A,0)),"")</f>
        <v/>
      </c>
    </row>
    <row r="288" spans="4:4">
      <c r="D288" t="str">
        <f>IFERROR(INDEX(B:B,MATCH('Bundle Formation'!B306,A:A,0)),"")</f>
        <v/>
      </c>
    </row>
    <row r="289" spans="4:4">
      <c r="D289" t="str">
        <f>IFERROR(INDEX(B:B,MATCH('Bundle Formation'!B307,A:A,0)),"")</f>
        <v/>
      </c>
    </row>
    <row r="290" spans="4:4">
      <c r="D290" t="str">
        <f>IFERROR(INDEX(B:B,MATCH('Bundle Formation'!B308,A:A,0)),"")</f>
        <v/>
      </c>
    </row>
    <row r="291" spans="4:4">
      <c r="D291" t="str">
        <f>IFERROR(INDEX(B:B,MATCH('Bundle Formation'!B309,A:A,0)),"")</f>
        <v/>
      </c>
    </row>
    <row r="292" spans="4:4">
      <c r="D292" t="str">
        <f>IFERROR(INDEX(B:B,MATCH('Bundle Formation'!B310,A:A,0)),"")</f>
        <v/>
      </c>
    </row>
    <row r="293" spans="4:4">
      <c r="D293" t="str">
        <f>IFERROR(INDEX(B:B,MATCH('Bundle Formation'!B311,A:A,0)),"")</f>
        <v/>
      </c>
    </row>
    <row r="294" spans="4:4">
      <c r="D294" t="str">
        <f>IFERROR(INDEX(B:B,MATCH('Bundle Formation'!B312,A:A,0)),"")</f>
        <v/>
      </c>
    </row>
    <row r="295" spans="4:4">
      <c r="D295" t="str">
        <f>IFERROR(INDEX(B:B,MATCH('Bundle Formation'!B313,A:A,0)),"")</f>
        <v/>
      </c>
    </row>
    <row r="296" spans="4:4">
      <c r="D296" t="str">
        <f>IFERROR(INDEX(B:B,MATCH('Bundle Formation'!B314,A:A,0)),"")</f>
        <v/>
      </c>
    </row>
    <row r="297" spans="4:4">
      <c r="D297" t="str">
        <f>IFERROR(INDEX(B:B,MATCH('Bundle Formation'!B315,A:A,0)),"")</f>
        <v/>
      </c>
    </row>
    <row r="298" spans="4:4">
      <c r="D298" t="str">
        <f>IFERROR(INDEX(B:B,MATCH('Bundle Formation'!B316,A:A,0)),"")</f>
        <v/>
      </c>
    </row>
    <row r="299" spans="4:4">
      <c r="D299" t="str">
        <f>IFERROR(INDEX(B:B,MATCH('Bundle Formation'!B317,A:A,0)),"")</f>
        <v/>
      </c>
    </row>
    <row r="300" spans="4:4">
      <c r="D300" t="str">
        <f>IFERROR(INDEX(B:B,MATCH('Bundle Formation'!B318,A:A,0)),"")</f>
        <v/>
      </c>
    </row>
    <row r="301" spans="4:4">
      <c r="D301" t="str">
        <f>IFERROR(INDEX(B:B,MATCH('Bundle Formation'!B319,A:A,0)),"")</f>
        <v/>
      </c>
    </row>
    <row r="302" spans="4:4">
      <c r="D302" t="str">
        <f>IFERROR(INDEX(B:B,MATCH('Bundle Formation'!B320,A:A,0)),"")</f>
        <v/>
      </c>
    </row>
    <row r="303" spans="4:4">
      <c r="D303" t="str">
        <f>IFERROR(INDEX(B:B,MATCH('Bundle Formation'!B321,A:A,0)),"")</f>
        <v/>
      </c>
    </row>
    <row r="304" spans="4:4">
      <c r="D304" t="str">
        <f>IFERROR(INDEX(B:B,MATCH('Bundle Formation'!B322,A:A,0)),"")</f>
        <v/>
      </c>
    </row>
    <row r="305" spans="4:4">
      <c r="D305" t="str">
        <f>IFERROR(INDEX(B:B,MATCH('Bundle Formation'!B323,A:A,0)),"")</f>
        <v/>
      </c>
    </row>
    <row r="306" spans="4:4">
      <c r="D306" t="str">
        <f>IFERROR(INDEX(B:B,MATCH('Bundle Formation'!B324,A:A,0)),"")</f>
        <v/>
      </c>
    </row>
    <row r="307" spans="4:4">
      <c r="D307" t="str">
        <f>IFERROR(INDEX(B:B,MATCH('Bundle Formation'!B325,A:A,0)),"")</f>
        <v/>
      </c>
    </row>
    <row r="308" spans="4:4">
      <c r="D308" t="str">
        <f>IFERROR(INDEX(B:B,MATCH('Bundle Formation'!B326,A:A,0)),"")</f>
        <v/>
      </c>
    </row>
    <row r="309" spans="4:4">
      <c r="D309" t="str">
        <f>IFERROR(INDEX(B:B,MATCH('Bundle Formation'!B327,A:A,0)),"")</f>
        <v/>
      </c>
    </row>
    <row r="310" spans="4:4">
      <c r="D310" t="str">
        <f>IFERROR(INDEX(B:B,MATCH('Bundle Formation'!B328,A:A,0)),"")</f>
        <v/>
      </c>
    </row>
    <row r="311" spans="4:4">
      <c r="D311" t="str">
        <f>IFERROR(INDEX(B:B,MATCH('Bundle Formation'!B329,A:A,0)),"")</f>
        <v/>
      </c>
    </row>
    <row r="312" spans="4:4">
      <c r="D312" t="str">
        <f>IFERROR(INDEX(B:B,MATCH('Bundle Formation'!B330,A:A,0)),"")</f>
        <v/>
      </c>
    </row>
    <row r="313" spans="4:4">
      <c r="D313" t="str">
        <f>IFERROR(INDEX(B:B,MATCH('Bundle Formation'!B331,A:A,0)),"")</f>
        <v/>
      </c>
    </row>
    <row r="314" spans="4:4">
      <c r="D314" t="str">
        <f>IFERROR(INDEX(B:B,MATCH('Bundle Formation'!B332,A:A,0)),"")</f>
        <v/>
      </c>
    </row>
    <row r="315" spans="4:4">
      <c r="D315" t="str">
        <f>IFERROR(INDEX(B:B,MATCH('Bundle Formation'!B333,A:A,0)),"")</f>
        <v/>
      </c>
    </row>
    <row r="316" spans="4:4">
      <c r="D316" t="str">
        <f>IFERROR(INDEX(B:B,MATCH('Bundle Formation'!B334,A:A,0)),"")</f>
        <v/>
      </c>
    </row>
    <row r="317" spans="4:4">
      <c r="D317" t="str">
        <f>IFERROR(INDEX(B:B,MATCH('Bundle Formation'!B335,A:A,0)),"")</f>
        <v/>
      </c>
    </row>
    <row r="318" spans="4:4">
      <c r="D318" t="str">
        <f>IFERROR(INDEX(B:B,MATCH('Bundle Formation'!B336,A:A,0)),"")</f>
        <v/>
      </c>
    </row>
    <row r="319" spans="4:4">
      <c r="D319" t="str">
        <f>IFERROR(INDEX(B:B,MATCH('Bundle Formation'!B337,A:A,0)),"")</f>
        <v/>
      </c>
    </row>
    <row r="320" spans="4:4">
      <c r="D320" t="str">
        <f>IFERROR(INDEX(B:B,MATCH('Bundle Formation'!B338,A:A,0)),"")</f>
        <v/>
      </c>
    </row>
    <row r="321" spans="4:4">
      <c r="D321" t="str">
        <f>IFERROR(INDEX(B:B,MATCH('Bundle Formation'!B339,A:A,0)),"")</f>
        <v/>
      </c>
    </row>
    <row r="322" spans="4:4">
      <c r="D322" t="str">
        <f>IFERROR(INDEX(B:B,MATCH('Bundle Formation'!B340,A:A,0)),"")</f>
        <v/>
      </c>
    </row>
    <row r="323" spans="4:4">
      <c r="D323" t="str">
        <f>IFERROR(INDEX(B:B,MATCH('Bundle Formation'!B341,A:A,0)),"")</f>
        <v/>
      </c>
    </row>
    <row r="324" spans="4:4">
      <c r="D324" t="str">
        <f>IFERROR(INDEX(B:B,MATCH('Bundle Formation'!B342,A:A,0)),"")</f>
        <v/>
      </c>
    </row>
    <row r="325" spans="4:4">
      <c r="D325" t="str">
        <f>IFERROR(INDEX(B:B,MATCH('Bundle Formation'!B343,A:A,0)),"")</f>
        <v/>
      </c>
    </row>
    <row r="326" spans="4:4">
      <c r="D326" t="str">
        <f>IFERROR(INDEX(B:B,MATCH('Bundle Formation'!B344,A:A,0)),"")</f>
        <v/>
      </c>
    </row>
    <row r="327" spans="4:4">
      <c r="D327" t="str">
        <f>IFERROR(INDEX(B:B,MATCH('Bundle Formation'!B345,A:A,0)),"")</f>
        <v/>
      </c>
    </row>
    <row r="328" spans="4:4">
      <c r="D328" t="str">
        <f>IFERROR(INDEX(B:B,MATCH('Bundle Formation'!B346,A:A,0)),"")</f>
        <v/>
      </c>
    </row>
    <row r="329" spans="4:4">
      <c r="D329" t="str">
        <f>IFERROR(INDEX(B:B,MATCH('Bundle Formation'!B347,A:A,0)),"")</f>
        <v/>
      </c>
    </row>
    <row r="330" spans="4:4">
      <c r="D330" t="str">
        <f>IFERROR(INDEX(B:B,MATCH('Bundle Formation'!B348,A:A,0)),"")</f>
        <v/>
      </c>
    </row>
    <row r="331" spans="4:4">
      <c r="D331" t="str">
        <f>IFERROR(INDEX(B:B,MATCH('Bundle Formation'!B349,A:A,0)),"")</f>
        <v/>
      </c>
    </row>
    <row r="332" spans="4:4">
      <c r="D332" t="str">
        <f>IFERROR(INDEX(B:B,MATCH('Bundle Formation'!B350,A:A,0)),"")</f>
        <v/>
      </c>
    </row>
    <row r="333" spans="4:4">
      <c r="D333" t="str">
        <f>IFERROR(INDEX(B:B,MATCH('Bundle Formation'!B351,A:A,0)),"")</f>
        <v/>
      </c>
    </row>
    <row r="334" spans="4:4">
      <c r="D334" t="str">
        <f>IFERROR(INDEX(B:B,MATCH('Bundle Formation'!B352,A:A,0)),"")</f>
        <v/>
      </c>
    </row>
    <row r="335" spans="4:4">
      <c r="D335" t="str">
        <f>IFERROR(INDEX(B:B,MATCH('Bundle Formation'!B353,A:A,0)),"")</f>
        <v/>
      </c>
    </row>
    <row r="336" spans="4:4">
      <c r="D336" t="str">
        <f>IFERROR(INDEX(B:B,MATCH('Bundle Formation'!B354,A:A,0)),"")</f>
        <v/>
      </c>
    </row>
    <row r="337" spans="4:4">
      <c r="D337" t="str">
        <f>IFERROR(INDEX(B:B,MATCH('Bundle Formation'!B355,A:A,0)),"")</f>
        <v/>
      </c>
    </row>
    <row r="338" spans="4:4">
      <c r="D338" t="str">
        <f>IFERROR(INDEX(B:B,MATCH('Bundle Formation'!B356,A:A,0)),"")</f>
        <v/>
      </c>
    </row>
    <row r="339" spans="4:4">
      <c r="D339" t="str">
        <f>IFERROR(INDEX(B:B,MATCH('Bundle Formation'!B357,A:A,0)),"")</f>
        <v/>
      </c>
    </row>
    <row r="340" spans="4:4">
      <c r="D340" t="str">
        <f>IFERROR(INDEX(B:B,MATCH('Bundle Formation'!B358,A:A,0)),"")</f>
        <v/>
      </c>
    </row>
    <row r="341" spans="4:4">
      <c r="D341" t="str">
        <f>IFERROR(INDEX(B:B,MATCH('Bundle Formation'!B359,A:A,0)),"")</f>
        <v/>
      </c>
    </row>
    <row r="342" spans="4:4">
      <c r="D342" t="str">
        <f>IFERROR(INDEX(B:B,MATCH('Bundle Formation'!B360,A:A,0)),"")</f>
        <v/>
      </c>
    </row>
    <row r="343" spans="4:4">
      <c r="D343" t="str">
        <f>IFERROR(INDEX(B:B,MATCH('Bundle Formation'!B361,A:A,0)),"")</f>
        <v/>
      </c>
    </row>
    <row r="344" spans="4:4">
      <c r="D344" t="str">
        <f>IFERROR(INDEX(B:B,MATCH('Bundle Formation'!B362,A:A,0)),"")</f>
        <v/>
      </c>
    </row>
    <row r="345" spans="4:4">
      <c r="D345" t="str">
        <f>IFERROR(INDEX(B:B,MATCH('Bundle Formation'!B363,A:A,0)),"")</f>
        <v/>
      </c>
    </row>
    <row r="346" spans="4:4">
      <c r="D346" t="str">
        <f>IFERROR(INDEX(B:B,MATCH('Bundle Formation'!B364,A:A,0)),"")</f>
        <v/>
      </c>
    </row>
    <row r="347" spans="4:4">
      <c r="D347" t="str">
        <f>IFERROR(INDEX(B:B,MATCH('Bundle Formation'!B365,A:A,0)),"")</f>
        <v/>
      </c>
    </row>
    <row r="348" spans="4:4">
      <c r="D348" t="str">
        <f>IFERROR(INDEX(B:B,MATCH('Bundle Formation'!B366,A:A,0)),"")</f>
        <v/>
      </c>
    </row>
    <row r="349" spans="4:4">
      <c r="D349" t="str">
        <f>IFERROR(INDEX(B:B,MATCH('Bundle Formation'!B367,A:A,0)),"")</f>
        <v/>
      </c>
    </row>
    <row r="350" spans="4:4">
      <c r="D350" t="str">
        <f>IFERROR(INDEX(B:B,MATCH('Bundle Formation'!B368,A:A,0)),"")</f>
        <v/>
      </c>
    </row>
    <row r="351" spans="4:4">
      <c r="D351" t="str">
        <f>IFERROR(INDEX(B:B,MATCH('Bundle Formation'!B369,A:A,0)),"")</f>
        <v/>
      </c>
    </row>
    <row r="352" spans="4:4">
      <c r="D352" t="str">
        <f>IFERROR(INDEX(B:B,MATCH('Bundle Formation'!B370,A:A,0)),"")</f>
        <v/>
      </c>
    </row>
    <row r="353" spans="4:4">
      <c r="D353" t="str">
        <f>IFERROR(INDEX(B:B,MATCH('Bundle Formation'!B371,A:A,0)),"")</f>
        <v/>
      </c>
    </row>
    <row r="354" spans="4:4">
      <c r="D354" t="str">
        <f>IFERROR(INDEX(B:B,MATCH('Bundle Formation'!B372,A:A,0)),"")</f>
        <v/>
      </c>
    </row>
    <row r="355" spans="4:4">
      <c r="D355" t="str">
        <f>IFERROR(INDEX(B:B,MATCH('Bundle Formation'!B373,A:A,0)),"")</f>
        <v/>
      </c>
    </row>
    <row r="356" spans="4:4">
      <c r="D356" t="str">
        <f>IFERROR(INDEX(B:B,MATCH('Bundle Formation'!B374,A:A,0)),"")</f>
        <v/>
      </c>
    </row>
    <row r="357" spans="4:4">
      <c r="D357" t="str">
        <f>IFERROR(INDEX(B:B,MATCH('Bundle Formation'!B375,A:A,0)),"")</f>
        <v/>
      </c>
    </row>
    <row r="358" spans="4:4">
      <c r="D358" t="str">
        <f>IFERROR(INDEX(B:B,MATCH('Bundle Formation'!B376,A:A,0)),"")</f>
        <v/>
      </c>
    </row>
    <row r="359" spans="4:4">
      <c r="D359" t="str">
        <f>IFERROR(INDEX(B:B,MATCH('Bundle Formation'!B377,A:A,0)),"")</f>
        <v/>
      </c>
    </row>
    <row r="360" spans="4:4">
      <c r="D360" t="str">
        <f>IFERROR(INDEX(B:B,MATCH('Bundle Formation'!B378,A:A,0)),"")</f>
        <v/>
      </c>
    </row>
    <row r="361" spans="4:4">
      <c r="D361" t="str">
        <f>IFERROR(INDEX(B:B,MATCH('Bundle Formation'!B379,A:A,0)),"")</f>
        <v/>
      </c>
    </row>
    <row r="362" spans="4:4">
      <c r="D362" t="str">
        <f>IFERROR(INDEX(B:B,MATCH('Bundle Formation'!B380,A:A,0)),"")</f>
        <v/>
      </c>
    </row>
    <row r="363" spans="4:4">
      <c r="D363" t="str">
        <f>IFERROR(INDEX(B:B,MATCH('Bundle Formation'!B381,A:A,0)),"")</f>
        <v/>
      </c>
    </row>
    <row r="364" spans="4:4">
      <c r="D364" t="str">
        <f>IFERROR(INDEX(B:B,MATCH('Bundle Formation'!B382,A:A,0)),"")</f>
        <v/>
      </c>
    </row>
    <row r="365" spans="4:4">
      <c r="D365" t="str">
        <f>IFERROR(INDEX(B:B,MATCH('Bundle Formation'!B383,A:A,0)),"")</f>
        <v/>
      </c>
    </row>
    <row r="366" spans="4:4">
      <c r="D366" t="str">
        <f>IFERROR(INDEX(B:B,MATCH('Bundle Formation'!B384,A:A,0)),"")</f>
        <v/>
      </c>
    </row>
    <row r="367" spans="4:4">
      <c r="D367" t="str">
        <f>IFERROR(INDEX(B:B,MATCH('Bundle Formation'!B385,A:A,0)),"")</f>
        <v/>
      </c>
    </row>
    <row r="368" spans="4:4">
      <c r="D368" t="str">
        <f>IFERROR(INDEX(B:B,MATCH('Bundle Formation'!B386,A:A,0)),"")</f>
        <v/>
      </c>
    </row>
    <row r="369" spans="4:4">
      <c r="D369" t="str">
        <f>IFERROR(INDEX(B:B,MATCH('Bundle Formation'!B387,A:A,0)),"")</f>
        <v/>
      </c>
    </row>
    <row r="370" spans="4:4">
      <c r="D370" t="str">
        <f>IFERROR(INDEX(B:B,MATCH('Bundle Formation'!B388,A:A,0)),"")</f>
        <v/>
      </c>
    </row>
    <row r="371" spans="4:4">
      <c r="D371" t="str">
        <f>IFERROR(INDEX(B:B,MATCH('Bundle Formation'!B389,A:A,0)),"")</f>
        <v/>
      </c>
    </row>
    <row r="372" spans="4:4">
      <c r="D372" t="str">
        <f>IFERROR(INDEX(B:B,MATCH('Bundle Formation'!B390,A:A,0)),"")</f>
        <v/>
      </c>
    </row>
    <row r="373" spans="4:4">
      <c r="D373" t="str">
        <f>IFERROR(INDEX(B:B,MATCH('Bundle Formation'!B391,A:A,0)),"")</f>
        <v/>
      </c>
    </row>
    <row r="374" spans="4:4">
      <c r="D374" t="str">
        <f>IFERROR(INDEX(B:B,MATCH('Bundle Formation'!B392,A:A,0)),"")</f>
        <v/>
      </c>
    </row>
    <row r="375" spans="4:4">
      <c r="D375" t="str">
        <f>IFERROR(INDEX(B:B,MATCH('Bundle Formation'!B393,A:A,0)),"")</f>
        <v/>
      </c>
    </row>
    <row r="376" spans="4:4">
      <c r="D376" t="str">
        <f>IFERROR(INDEX(B:B,MATCH('Bundle Formation'!B394,A:A,0)),"")</f>
        <v/>
      </c>
    </row>
    <row r="377" spans="4:4">
      <c r="D377" t="str">
        <f>IFERROR(INDEX(B:B,MATCH('Bundle Formation'!B395,A:A,0)),"")</f>
        <v/>
      </c>
    </row>
    <row r="378" spans="4:4">
      <c r="D378" t="str">
        <f>IFERROR(INDEX(B:B,MATCH('Bundle Formation'!B396,A:A,0)),"")</f>
        <v/>
      </c>
    </row>
    <row r="379" spans="4:4">
      <c r="D379" t="str">
        <f>IFERROR(INDEX(B:B,MATCH('Bundle Formation'!B397,A:A,0)),"")</f>
        <v/>
      </c>
    </row>
    <row r="380" spans="4:4">
      <c r="D380" t="str">
        <f>IFERROR(INDEX(B:B,MATCH('Bundle Formation'!B398,A:A,0)),"")</f>
        <v/>
      </c>
    </row>
    <row r="381" spans="4:4">
      <c r="D381" t="str">
        <f>IFERROR(INDEX(B:B,MATCH('Bundle Formation'!B399,A:A,0)),"")</f>
        <v/>
      </c>
    </row>
    <row r="382" spans="4:4">
      <c r="D382" t="str">
        <f>IFERROR(INDEX(B:B,MATCH('Bundle Formation'!B400,A:A,0)),"")</f>
        <v/>
      </c>
    </row>
    <row r="383" spans="4:4">
      <c r="D383" t="str">
        <f>IFERROR(INDEX(B:B,MATCH('Bundle Formation'!B401,A:A,0)),"")</f>
        <v/>
      </c>
    </row>
    <row r="384" spans="4:4">
      <c r="D384" t="str">
        <f>IFERROR(INDEX(B:B,MATCH('Bundle Formation'!B402,A:A,0)),"")</f>
        <v/>
      </c>
    </row>
    <row r="385" spans="4:4">
      <c r="D385" t="str">
        <f>IFERROR(INDEX(B:B,MATCH('Bundle Formation'!B403,A:A,0)),"")</f>
        <v/>
      </c>
    </row>
    <row r="386" spans="4:4">
      <c r="D386" t="str">
        <f>IFERROR(INDEX(B:B,MATCH('Bundle Formation'!B404,A:A,0)),"")</f>
        <v/>
      </c>
    </row>
    <row r="387" spans="4:4">
      <c r="D387" t="str">
        <f>IFERROR(INDEX(B:B,MATCH('Bundle Formation'!B405,A:A,0)),"")</f>
        <v/>
      </c>
    </row>
    <row r="388" spans="4:4">
      <c r="D388" t="str">
        <f>IFERROR(INDEX(B:B,MATCH('Bundle Formation'!B406,A:A,0)),"")</f>
        <v/>
      </c>
    </row>
    <row r="389" spans="4:4">
      <c r="D389" t="str">
        <f>IFERROR(INDEX(B:B,MATCH('Bundle Formation'!B407,A:A,0)),"")</f>
        <v/>
      </c>
    </row>
    <row r="390" spans="4:4">
      <c r="D390" t="str">
        <f>IFERROR(INDEX(B:B,MATCH('Bundle Formation'!B408,A:A,0)),"")</f>
        <v/>
      </c>
    </row>
    <row r="391" spans="4:4">
      <c r="D391" t="str">
        <f>IFERROR(INDEX(B:B,MATCH('Bundle Formation'!B409,A:A,0)),"")</f>
        <v/>
      </c>
    </row>
    <row r="392" spans="4:4">
      <c r="D392" t="str">
        <f>IFERROR(INDEX(B:B,MATCH('Bundle Formation'!B410,A:A,0)),"")</f>
        <v/>
      </c>
    </row>
    <row r="393" spans="4:4">
      <c r="D393" t="str">
        <f>IFERROR(INDEX(B:B,MATCH('Bundle Formation'!B411,A:A,0)),"")</f>
        <v/>
      </c>
    </row>
    <row r="394" spans="4:4">
      <c r="D394" t="str">
        <f>IFERROR(INDEX(B:B,MATCH('Bundle Formation'!B412,A:A,0)),"")</f>
        <v/>
      </c>
    </row>
    <row r="395" spans="4:4">
      <c r="D395" t="str">
        <f>IFERROR(INDEX(B:B,MATCH('Bundle Formation'!B413,A:A,0)),"")</f>
        <v/>
      </c>
    </row>
    <row r="396" spans="4:4">
      <c r="D396" t="str">
        <f>IFERROR(INDEX(B:B,MATCH('Bundle Formation'!B414,A:A,0)),"")</f>
        <v/>
      </c>
    </row>
    <row r="397" spans="4:4">
      <c r="D397" t="str">
        <f>IFERROR(INDEX(B:B,MATCH('Bundle Formation'!B415,A:A,0)),"")</f>
        <v/>
      </c>
    </row>
    <row r="398" spans="4:4">
      <c r="D398" t="str">
        <f>IFERROR(INDEX(B:B,MATCH('Bundle Formation'!B416,A:A,0)),"")</f>
        <v/>
      </c>
    </row>
    <row r="399" spans="4:4">
      <c r="D399" t="str">
        <f>IFERROR(INDEX(B:B,MATCH('Bundle Formation'!B417,A:A,0)),"")</f>
        <v/>
      </c>
    </row>
    <row r="400" spans="4:4">
      <c r="D400" t="str">
        <f>IFERROR(INDEX(B:B,MATCH('Bundle Formation'!B418,A:A,0)),"")</f>
        <v/>
      </c>
    </row>
    <row r="401" spans="4:4">
      <c r="D401" t="str">
        <f>IFERROR(INDEX(B:B,MATCH('Bundle Formation'!B419,A:A,0)),"")</f>
        <v/>
      </c>
    </row>
    <row r="402" spans="4:4">
      <c r="D402" t="str">
        <f>IFERROR(INDEX(B:B,MATCH('Bundle Formation'!B420,A:A,0)),"")</f>
        <v/>
      </c>
    </row>
    <row r="403" spans="4:4">
      <c r="D403" t="str">
        <f>IFERROR(INDEX(B:B,MATCH('Bundle Formation'!B421,A:A,0)),"")</f>
        <v/>
      </c>
    </row>
    <row r="404" spans="4:4">
      <c r="D404" t="str">
        <f>IFERROR(INDEX(B:B,MATCH('Bundle Formation'!B422,A:A,0)),"")</f>
        <v/>
      </c>
    </row>
    <row r="405" spans="4:4">
      <c r="D405" t="str">
        <f>IFERROR(INDEX(B:B,MATCH('Bundle Formation'!B423,A:A,0)),"")</f>
        <v/>
      </c>
    </row>
    <row r="406" spans="4:4">
      <c r="D406" t="str">
        <f>IFERROR(INDEX(B:B,MATCH('Bundle Formation'!B424,A:A,0)),"")</f>
        <v/>
      </c>
    </row>
    <row r="407" spans="4:4">
      <c r="D407" t="str">
        <f>IFERROR(INDEX(B:B,MATCH('Bundle Formation'!B425,A:A,0)),"")</f>
        <v/>
      </c>
    </row>
    <row r="408" spans="4:4">
      <c r="D408" t="str">
        <f>IFERROR(INDEX(B:B,MATCH('Bundle Formation'!B426,A:A,0)),"")</f>
        <v/>
      </c>
    </row>
    <row r="409" spans="4:4">
      <c r="D409" t="str">
        <f>IFERROR(INDEX(B:B,MATCH('Bundle Formation'!B427,A:A,0)),"")</f>
        <v/>
      </c>
    </row>
    <row r="410" spans="4:4">
      <c r="D410" t="str">
        <f>IFERROR(INDEX(B:B,MATCH('Bundle Formation'!B428,A:A,0)),"")</f>
        <v/>
      </c>
    </row>
    <row r="411" spans="4:4">
      <c r="D411" t="str">
        <f>IFERROR(INDEX(B:B,MATCH('Bundle Formation'!B429,A:A,0)),"")</f>
        <v/>
      </c>
    </row>
    <row r="412" spans="4:4">
      <c r="D412" t="str">
        <f>IFERROR(INDEX(B:B,MATCH('Bundle Formation'!B430,A:A,0)),"")</f>
        <v/>
      </c>
    </row>
    <row r="413" spans="4:4">
      <c r="D413" t="str">
        <f>IFERROR(INDEX(B:B,MATCH('Bundle Formation'!B431,A:A,0)),"")</f>
        <v/>
      </c>
    </row>
    <row r="414" spans="4:4">
      <c r="D414" t="str">
        <f>IFERROR(INDEX(B:B,MATCH('Bundle Formation'!B432,A:A,0)),"")</f>
        <v/>
      </c>
    </row>
    <row r="415" spans="4:4">
      <c r="D415" t="str">
        <f>IFERROR(INDEX(B:B,MATCH('Bundle Formation'!B433,A:A,0)),"")</f>
        <v/>
      </c>
    </row>
    <row r="416" spans="4:4">
      <c r="D416" t="str">
        <f>IFERROR(INDEX(B:B,MATCH('Bundle Formation'!B434,A:A,0)),"")</f>
        <v/>
      </c>
    </row>
    <row r="417" spans="4:4">
      <c r="D417" t="str">
        <f>IFERROR(INDEX(B:B,MATCH('Bundle Formation'!B435,A:A,0)),"")</f>
        <v/>
      </c>
    </row>
    <row r="418" spans="4:4">
      <c r="D418" t="str">
        <f>IFERROR(INDEX(B:B,MATCH('Bundle Formation'!B436,A:A,0)),"")</f>
        <v/>
      </c>
    </row>
    <row r="419" spans="4:4">
      <c r="D419" t="str">
        <f>IFERROR(INDEX(B:B,MATCH('Bundle Formation'!B437,A:A,0)),"")</f>
        <v/>
      </c>
    </row>
    <row r="420" spans="4:4">
      <c r="D420" t="str">
        <f>IFERROR(INDEX(B:B,MATCH('Bundle Formation'!B438,A:A,0)),"")</f>
        <v/>
      </c>
    </row>
    <row r="421" spans="4:4">
      <c r="D421" t="str">
        <f>IFERROR(INDEX(B:B,MATCH('Bundle Formation'!B439,A:A,0)),"")</f>
        <v/>
      </c>
    </row>
    <row r="422" spans="4:4">
      <c r="D422" t="str">
        <f>IFERROR(INDEX(B:B,MATCH('Bundle Formation'!B440,A:A,0)),"")</f>
        <v/>
      </c>
    </row>
    <row r="423" spans="4:4">
      <c r="D423" t="str">
        <f>IFERROR(INDEX(B:B,MATCH('Bundle Formation'!B441,A:A,0)),"")</f>
        <v/>
      </c>
    </row>
    <row r="424" spans="4:4">
      <c r="D424" t="str">
        <f>IFERROR(INDEX(B:B,MATCH('Bundle Formation'!B442,A:A,0)),"")</f>
        <v/>
      </c>
    </row>
    <row r="425" spans="4:4">
      <c r="D425" t="str">
        <f>IFERROR(INDEX(B:B,MATCH('Bundle Formation'!B443,A:A,0)),"")</f>
        <v/>
      </c>
    </row>
    <row r="426" spans="4:4">
      <c r="D426" t="str">
        <f>IFERROR(INDEX(B:B,MATCH('Bundle Formation'!B444,A:A,0)),"")</f>
        <v/>
      </c>
    </row>
    <row r="427" spans="4:4">
      <c r="D427" t="str">
        <f>IFERROR(INDEX(B:B,MATCH('Bundle Formation'!B445,A:A,0)),"")</f>
        <v/>
      </c>
    </row>
    <row r="428" spans="4:4">
      <c r="D428" t="str">
        <f>IFERROR(INDEX(B:B,MATCH('Bundle Formation'!B446,A:A,0)),"")</f>
        <v/>
      </c>
    </row>
    <row r="429" spans="4:4">
      <c r="D429" t="str">
        <f>IFERROR(INDEX(B:B,MATCH('Bundle Formation'!B447,A:A,0)),"")</f>
        <v/>
      </c>
    </row>
    <row r="430" spans="4:4">
      <c r="D430" t="str">
        <f>IFERROR(INDEX(B:B,MATCH('Bundle Formation'!B448,A:A,0)),"")</f>
        <v/>
      </c>
    </row>
    <row r="431" spans="4:4">
      <c r="D431" t="str">
        <f>IFERROR(INDEX(B:B,MATCH('Bundle Formation'!B449,A:A,0)),"")</f>
        <v/>
      </c>
    </row>
    <row r="432" spans="4:4">
      <c r="D432" t="str">
        <f>IFERROR(INDEX(B:B,MATCH('Bundle Formation'!B450,A:A,0)),"")</f>
        <v/>
      </c>
    </row>
    <row r="433" spans="4:4">
      <c r="D433" t="str">
        <f>IFERROR(INDEX(B:B,MATCH('Bundle Formation'!B451,A:A,0)),"")</f>
        <v/>
      </c>
    </row>
    <row r="434" spans="4:4">
      <c r="D434" t="str">
        <f>IFERROR(INDEX(B:B,MATCH('Bundle Formation'!B452,A:A,0)),"")</f>
        <v/>
      </c>
    </row>
    <row r="435" spans="4:4">
      <c r="D435" t="str">
        <f>IFERROR(INDEX(B:B,MATCH('Bundle Formation'!B453,A:A,0)),"")</f>
        <v/>
      </c>
    </row>
    <row r="436" spans="4:4">
      <c r="D436" t="str">
        <f>IFERROR(INDEX(B:B,MATCH('Bundle Formation'!B454,A:A,0)),"")</f>
        <v/>
      </c>
    </row>
    <row r="437" spans="4:4">
      <c r="D437" t="str">
        <f>IFERROR(INDEX(B:B,MATCH('Bundle Formation'!B455,A:A,0)),"")</f>
        <v/>
      </c>
    </row>
    <row r="438" spans="4:4">
      <c r="D438" t="str">
        <f>IFERROR(INDEX(B:B,MATCH('Bundle Formation'!B456,A:A,0)),"")</f>
        <v/>
      </c>
    </row>
    <row r="439" spans="4:4">
      <c r="D439" t="str">
        <f>IFERROR(INDEX(B:B,MATCH('Bundle Formation'!B457,A:A,0)),"")</f>
        <v/>
      </c>
    </row>
    <row r="440" spans="4:4">
      <c r="D440" t="str">
        <f>IFERROR(INDEX(B:B,MATCH('Bundle Formation'!B458,A:A,0)),"")</f>
        <v/>
      </c>
    </row>
    <row r="441" spans="4:4">
      <c r="D441" t="str">
        <f>IFERROR(INDEX(B:B,MATCH('Bundle Formation'!B459,A:A,0)),"")</f>
        <v/>
      </c>
    </row>
    <row r="442" spans="4:4">
      <c r="D442" t="str">
        <f>IFERROR(INDEX(B:B,MATCH('Bundle Formation'!B460,A:A,0)),"")</f>
        <v/>
      </c>
    </row>
    <row r="443" spans="4:4">
      <c r="D443" t="str">
        <f>IFERROR(INDEX(B:B,MATCH('Bundle Formation'!B461,A:A,0)),"")</f>
        <v/>
      </c>
    </row>
    <row r="444" spans="4:4">
      <c r="D444" t="str">
        <f>IFERROR(INDEX(B:B,MATCH('Bundle Formation'!B462,A:A,0)),"")</f>
        <v/>
      </c>
    </row>
    <row r="445" spans="4:4">
      <c r="D445" t="str">
        <f>IFERROR(INDEX(B:B,MATCH('Bundle Formation'!B463,A:A,0)),"")</f>
        <v/>
      </c>
    </row>
    <row r="446" spans="4:4">
      <c r="D446" t="str">
        <f>IFERROR(INDEX(B:B,MATCH('Bundle Formation'!B464,A:A,0)),"")</f>
        <v/>
      </c>
    </row>
    <row r="447" spans="4:4">
      <c r="D447" t="str">
        <f>IFERROR(INDEX(B:B,MATCH('Bundle Formation'!B465,A:A,0)),"")</f>
        <v/>
      </c>
    </row>
    <row r="448" spans="4:4">
      <c r="D448" t="str">
        <f>IFERROR(INDEX(B:B,MATCH('Bundle Formation'!B466,A:A,0)),"")</f>
        <v/>
      </c>
    </row>
    <row r="449" spans="4:4">
      <c r="D449" t="str">
        <f>IFERROR(INDEX(B:B,MATCH('Bundle Formation'!B467,A:A,0)),"")</f>
        <v/>
      </c>
    </row>
    <row r="450" spans="4:4">
      <c r="D450" t="str">
        <f>IFERROR(INDEX(B:B,MATCH('Bundle Formation'!B468,A:A,0)),"")</f>
        <v/>
      </c>
    </row>
    <row r="451" spans="4:4">
      <c r="D451" t="str">
        <f>IFERROR(INDEX(B:B,MATCH('Bundle Formation'!B469,A:A,0)),"")</f>
        <v/>
      </c>
    </row>
    <row r="452" spans="4:4">
      <c r="D452" t="str">
        <f>IFERROR(INDEX(B:B,MATCH('Bundle Formation'!B470,A:A,0)),"")</f>
        <v/>
      </c>
    </row>
    <row r="453" spans="4:4">
      <c r="D453" t="str">
        <f>IFERROR(INDEX(B:B,MATCH('Bundle Formation'!B471,A:A,0)),"")</f>
        <v/>
      </c>
    </row>
    <row r="454" spans="4:4">
      <c r="D454" t="str">
        <f>IFERROR(INDEX(B:B,MATCH('Bundle Formation'!B472,A:A,0)),"")</f>
        <v/>
      </c>
    </row>
    <row r="455" spans="4:4">
      <c r="D455" t="str">
        <f>IFERROR(INDEX(B:B,MATCH('Bundle Formation'!B473,A:A,0)),"")</f>
        <v/>
      </c>
    </row>
    <row r="456" spans="4:4">
      <c r="D456" t="str">
        <f>IFERROR(INDEX(B:B,MATCH('Bundle Formation'!B474,A:A,0)),"")</f>
        <v/>
      </c>
    </row>
    <row r="457" spans="4:4">
      <c r="D457" t="str">
        <f>IFERROR(INDEX(B:B,MATCH('Bundle Formation'!B475,A:A,0)),"")</f>
        <v/>
      </c>
    </row>
    <row r="458" spans="4:4">
      <c r="D458" t="str">
        <f>IFERROR(INDEX(B:B,MATCH('Bundle Formation'!B476,A:A,0)),"")</f>
        <v/>
      </c>
    </row>
    <row r="459" spans="4:4">
      <c r="D459" t="str">
        <f>IFERROR(INDEX(B:B,MATCH('Bundle Formation'!B477,A:A,0)),"")</f>
        <v/>
      </c>
    </row>
    <row r="460" spans="4:4">
      <c r="D460" t="str">
        <f>IFERROR(INDEX(B:B,MATCH('Bundle Formation'!B478,A:A,0)),"")</f>
        <v/>
      </c>
    </row>
    <row r="461" spans="4:4">
      <c r="D461" t="str">
        <f>IFERROR(INDEX(B:B,MATCH('Bundle Formation'!B479,A:A,0)),"")</f>
        <v/>
      </c>
    </row>
    <row r="462" spans="4:4">
      <c r="D462" t="str">
        <f>IFERROR(INDEX(B:B,MATCH('Bundle Formation'!B480,A:A,0)),"")</f>
        <v/>
      </c>
    </row>
    <row r="463" spans="4:4">
      <c r="D463" t="str">
        <f>IFERROR(INDEX(B:B,MATCH('Bundle Formation'!B481,A:A,0)),"")</f>
        <v/>
      </c>
    </row>
    <row r="464" spans="4:4">
      <c r="D464" t="str">
        <f>IFERROR(INDEX(B:B,MATCH('Bundle Formation'!B482,A:A,0)),"")</f>
        <v/>
      </c>
    </row>
    <row r="465" spans="4:4">
      <c r="D465" t="str">
        <f>IFERROR(INDEX(B:B,MATCH('Bundle Formation'!B483,A:A,0)),"")</f>
        <v/>
      </c>
    </row>
    <row r="466" spans="4:4">
      <c r="D466" t="str">
        <f>IFERROR(INDEX(B:B,MATCH('Bundle Formation'!B484,A:A,0)),"")</f>
        <v/>
      </c>
    </row>
    <row r="467" spans="4:4">
      <c r="D467" t="str">
        <f>IFERROR(INDEX(B:B,MATCH('Bundle Formation'!B485,A:A,0)),"")</f>
        <v/>
      </c>
    </row>
    <row r="468" spans="4:4">
      <c r="D468" t="str">
        <f>IFERROR(INDEX(B:B,MATCH('Bundle Formation'!B486,A:A,0)),"")</f>
        <v/>
      </c>
    </row>
    <row r="469" spans="4:4">
      <c r="D469" t="str">
        <f>IFERROR(INDEX(B:B,MATCH('Bundle Formation'!B487,A:A,0)),"")</f>
        <v/>
      </c>
    </row>
    <row r="470" spans="4:4">
      <c r="D470" t="str">
        <f>IFERROR(INDEX(B:B,MATCH('Bundle Formation'!B488,A:A,0)),"")</f>
        <v/>
      </c>
    </row>
    <row r="471" spans="4:4">
      <c r="D471" t="str">
        <f>IFERROR(INDEX(B:B,MATCH('Bundle Formation'!B489,A:A,0)),"")</f>
        <v/>
      </c>
    </row>
    <row r="472" spans="4:4">
      <c r="D472" t="str">
        <f>IFERROR(INDEX(B:B,MATCH('Bundle Formation'!B490,A:A,0)),"")</f>
        <v/>
      </c>
    </row>
    <row r="473" spans="4:4">
      <c r="D473" t="str">
        <f>IFERROR(INDEX(B:B,MATCH('Bundle Formation'!B491,A:A,0)),"")</f>
        <v/>
      </c>
    </row>
    <row r="474" spans="4:4">
      <c r="D474" t="str">
        <f>IFERROR(INDEX(B:B,MATCH('Bundle Formation'!B492,A:A,0)),"")</f>
        <v/>
      </c>
    </row>
    <row r="475" spans="4:4">
      <c r="D475" t="str">
        <f>IFERROR(INDEX(B:B,MATCH('Bundle Formation'!B493,A:A,0)),"")</f>
        <v/>
      </c>
    </row>
    <row r="476" spans="4:4">
      <c r="D476" t="str">
        <f>IFERROR(INDEX(B:B,MATCH('Bundle Formation'!B494,A:A,0)),"")</f>
        <v/>
      </c>
    </row>
    <row r="477" spans="4:4">
      <c r="D477" t="str">
        <f>IFERROR(INDEX(B:B,MATCH('Bundle Formation'!B495,A:A,0)),"")</f>
        <v/>
      </c>
    </row>
    <row r="478" spans="4:4">
      <c r="D478" t="str">
        <f>IFERROR(INDEX(B:B,MATCH('Bundle Formation'!B496,A:A,0)),"")</f>
        <v/>
      </c>
    </row>
    <row r="479" spans="4:4">
      <c r="D479" t="str">
        <f>IFERROR(INDEX(B:B,MATCH('Bundle Formation'!B497,A:A,0)),"")</f>
        <v/>
      </c>
    </row>
    <row r="480" spans="4:4">
      <c r="D480" t="str">
        <f>IFERROR(INDEX(B:B,MATCH('Bundle Formation'!B498,A:A,0)),"")</f>
        <v/>
      </c>
    </row>
    <row r="481" spans="4:4">
      <c r="D481" t="str">
        <f>IFERROR(INDEX(B:B,MATCH('Bundle Formation'!B499,A:A,0)),"")</f>
        <v/>
      </c>
    </row>
    <row r="482" spans="4:4">
      <c r="D482" t="str">
        <f>IFERROR(INDEX(B:B,MATCH('Bundle Formation'!B500,A:A,0)),"")</f>
        <v/>
      </c>
    </row>
    <row r="483" spans="4:4">
      <c r="D483" t="str">
        <f>IFERROR(INDEX(B:B,MATCH('Bundle Formation'!B501,A:A,0)),"")</f>
        <v/>
      </c>
    </row>
    <row r="484" spans="4:4">
      <c r="D484" t="str">
        <f>IFERROR(INDEX(B:B,MATCH('Bundle Formation'!B502,A:A,0)),"")</f>
        <v/>
      </c>
    </row>
    <row r="485" spans="4:4">
      <c r="D485" t="str">
        <f>IFERROR(INDEX(B:B,MATCH('Bundle Formation'!B503,A:A,0)),"")</f>
        <v/>
      </c>
    </row>
    <row r="486" spans="4:4">
      <c r="D486" t="str">
        <f>IFERROR(INDEX(B:B,MATCH('Bundle Formation'!B504,A:A,0)),"")</f>
        <v/>
      </c>
    </row>
    <row r="487" spans="4:4">
      <c r="D487" t="str">
        <f>IFERROR(INDEX(B:B,MATCH('Bundle Formation'!B505,A:A,0)),"")</f>
        <v/>
      </c>
    </row>
    <row r="488" spans="4:4">
      <c r="D488" t="str">
        <f>IFERROR(INDEX(B:B,MATCH('Bundle Formation'!B506,A:A,0)),"")</f>
        <v/>
      </c>
    </row>
    <row r="489" spans="4:4">
      <c r="D489" t="str">
        <f>IFERROR(INDEX(B:B,MATCH('Bundle Formation'!B507,A:A,0)),"")</f>
        <v/>
      </c>
    </row>
    <row r="490" spans="4:4">
      <c r="D490" t="str">
        <f>IFERROR(INDEX(B:B,MATCH('Bundle Formation'!B508,A:A,0)),"")</f>
        <v/>
      </c>
    </row>
    <row r="491" spans="4:4">
      <c r="D491" t="str">
        <f>IFERROR(INDEX(B:B,MATCH('Bundle Formation'!B509,A:A,0)),"")</f>
        <v/>
      </c>
    </row>
    <row r="492" spans="4:4">
      <c r="D492" t="str">
        <f>IFERROR(INDEX(B:B,MATCH('Bundle Formation'!B510,A:A,0)),"")</f>
        <v/>
      </c>
    </row>
    <row r="493" spans="4:4">
      <c r="D493" t="str">
        <f>IFERROR(INDEX(B:B,MATCH('Bundle Formation'!B511,A:A,0)),"")</f>
        <v/>
      </c>
    </row>
    <row r="494" spans="4:4">
      <c r="D494" t="str">
        <f>IFERROR(INDEX(B:B,MATCH('Bundle Formation'!B512,A:A,0)),"")</f>
        <v/>
      </c>
    </row>
    <row r="495" spans="4:4">
      <c r="D495" t="str">
        <f>IFERROR(INDEX(B:B,MATCH('Bundle Formation'!B513,A:A,0)),"")</f>
        <v/>
      </c>
    </row>
    <row r="496" spans="4:4">
      <c r="D496" t="str">
        <f>IFERROR(INDEX(B:B,MATCH('Bundle Formation'!B514,A:A,0)),"")</f>
        <v/>
      </c>
    </row>
    <row r="497" spans="4:4">
      <c r="D497" t="str">
        <f>IFERROR(INDEX(B:B,MATCH('Bundle Formation'!B515,A:A,0)),"")</f>
        <v/>
      </c>
    </row>
    <row r="498" spans="4:4">
      <c r="D498" t="str">
        <f>IFERROR(INDEX(B:B,MATCH('Bundle Formation'!B516,A:A,0)),"")</f>
        <v/>
      </c>
    </row>
    <row r="499" spans="4:4">
      <c r="D499" t="str">
        <f>IFERROR(INDEX(B:B,MATCH('Bundle Formation'!B517,A:A,0)),"")</f>
        <v/>
      </c>
    </row>
    <row r="500" spans="4:4">
      <c r="D500" t="str">
        <f>IFERROR(INDEX(B:B,MATCH('Bundle Formation'!B518,A:A,0)),"")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2025-12-11T13:17:02Z</dcterms:created>
  <dcterms:modified xsi:type="dcterms:W3CDTF">2026-04-08T13:45:11Z</dcterms:modified>
  <cp:category/>
  <cp:contentStatus/>
</cp:coreProperties>
</file>