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by plant" sheetId="1" state="visible" r:id="rId3"/>
    <sheet name="Over 30 days" sheetId="2" state="visible" r:id="rId4"/>
  </sheets>
  <definedNames>
    <definedName function="false" hidden="true" localSheetId="1" name="_xlnm._FilterDatabase" vbProcedure="false">'Over 30 days'!$A$4:$J$54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<sst xmlns="http://schemas.openxmlformats.org/spreadsheetml/2006/main" count="237" uniqueCount="82">
  <si>
    <t xml:space="preserve">Finished stock over 30 days, by plant (MT) - 29-Oct-2026</t>
  </si>
  <si>
    <t xml:space="preserve">Plant</t>
  </si>
  <si>
    <t xml:space="preserve">Sells to</t>
  </si>
  <si>
    <t xml:space="preserve">SKUs</t>
  </si>
  <si>
    <t xml:space="preserve">Over 30 days</t>
  </si>
  <si>
    <t xml:space="preserve">31-60 days</t>
  </si>
  <si>
    <t xml:space="preserve">61-90 days</t>
  </si>
  <si>
    <t xml:space="preserve">90+ days</t>
  </si>
  <si>
    <t xml:space="preserve">Over 60 days</t>
  </si>
  <si>
    <t xml:space="preserve">Hyderabad</t>
  </si>
  <si>
    <t xml:space="preserve">South</t>
  </si>
  <si>
    <t xml:space="preserve">NPMD</t>
  </si>
  <si>
    <t xml:space="preserve">West</t>
  </si>
  <si>
    <t xml:space="preserve">Lepakshi</t>
  </si>
  <si>
    <t xml:space="preserve">Tapi</t>
  </si>
  <si>
    <t xml:space="preserve">Total</t>
  </si>
  <si>
    <t xml:space="preserve">JSW Pipes &amp; Tubes - finished stock older than 30 days, by plant and SKU (reconciled to plant FG statements)</t>
  </si>
  <si>
    <t xml:space="preserve">As of 29-Oct-2026 · stock per SKU = plant FG statement of 29-Oct, age split from system production dates (FIFO) · 29-Oct invoices not counted · MT</t>
  </si>
  <si>
    <t xml:space="preserve">Priority</t>
  </si>
  <si>
    <t xml:space="preserve">SKU</t>
  </si>
  <si>
    <t xml:space="preserve">Over 30 days (MT)</t>
  </si>
  <si>
    <t xml:space="preserve">31-60 days (MT)</t>
  </si>
  <si>
    <t xml:space="preserve">61-90 days (MT)</t>
  </si>
  <si>
    <t xml:space="preserve">90+ days (MT)</t>
  </si>
  <si>
    <t xml:space="preserve">Oldest batch (days)</t>
  </si>
  <si>
    <t xml:space="preserve">Total FG of this SKU at the plant (MT)</t>
  </si>
  <si>
    <t xml:space="preserve">P1: oldest batch over 90 days</t>
  </si>
  <si>
    <t xml:space="preserve">CHS 80 NB x 2.5</t>
  </si>
  <si>
    <t xml:space="preserve">CHS 50 NB x 2</t>
  </si>
  <si>
    <t xml:space="preserve">CHS 40 NB x 2</t>
  </si>
  <si>
    <t xml:space="preserve">CHS 32 NB x 2.5</t>
  </si>
  <si>
    <t xml:space="preserve">RHS 75x25 x 3</t>
  </si>
  <si>
    <t xml:space="preserve">CHS 80 NB x 2</t>
  </si>
  <si>
    <t xml:space="preserve">CHS 80 NB x 1.6</t>
  </si>
  <si>
    <t xml:space="preserve">CHS 50 NB x 2.5</t>
  </si>
  <si>
    <t xml:space="preserve">RHS 75x25 x 2</t>
  </si>
  <si>
    <t xml:space="preserve">CHS 20 NB x 1.6</t>
  </si>
  <si>
    <t xml:space="preserve">CHS 80 NB x 3</t>
  </si>
  <si>
    <t xml:space="preserve">CHS 65 NB x 2.5</t>
  </si>
  <si>
    <t xml:space="preserve">CHS 20 NB x 3</t>
  </si>
  <si>
    <t xml:space="preserve">CHS 40 NB x 4</t>
  </si>
  <si>
    <t xml:space="preserve">CHS 20 NB x 2.5</t>
  </si>
  <si>
    <t xml:space="preserve">SHS 60x60 x 2.5</t>
  </si>
  <si>
    <t xml:space="preserve">SHS 30x30 x 2.5</t>
  </si>
  <si>
    <t xml:space="preserve">CHS 50 NB x 1.6</t>
  </si>
  <si>
    <t xml:space="preserve">P2: oldest batch 61-90 days</t>
  </si>
  <si>
    <t xml:space="preserve">CHS 32 NB x 2</t>
  </si>
  <si>
    <t xml:space="preserve">CHS 25 NB x 1.6</t>
  </si>
  <si>
    <t xml:space="preserve">P3: 31-60 days</t>
  </si>
  <si>
    <t xml:space="preserve">SHS 38x38 x 3</t>
  </si>
  <si>
    <t xml:space="preserve">RHS 60x40 x 2.5</t>
  </si>
  <si>
    <t xml:space="preserve">CHS 65 NB x 2</t>
  </si>
  <si>
    <t xml:space="preserve">CHS 20 NB x 2</t>
  </si>
  <si>
    <t xml:space="preserve">CHS 15 NB x 2.5</t>
  </si>
  <si>
    <t xml:space="preserve">CHS 15 NB x 2</t>
  </si>
  <si>
    <t xml:space="preserve">RHS 100x50 x 4</t>
  </si>
  <si>
    <t xml:space="preserve">RHS 80x40 x 3</t>
  </si>
  <si>
    <t xml:space="preserve">SHS 38x38 x 2.5</t>
  </si>
  <si>
    <t xml:space="preserve">SHS 60x60 x 4</t>
  </si>
  <si>
    <t xml:space="preserve">RHS 80x40 x 2.5</t>
  </si>
  <si>
    <t xml:space="preserve">SHS 50x50 x 4</t>
  </si>
  <si>
    <t xml:space="preserve">SHS 50x50 x 2.5</t>
  </si>
  <si>
    <t xml:space="preserve">RHS 80x40 x 2</t>
  </si>
  <si>
    <t xml:space="preserve">SHS 50x50 x 2</t>
  </si>
  <si>
    <t xml:space="preserve">RHS 60x40 x 3</t>
  </si>
  <si>
    <t xml:space="preserve">RHS 50x25 x 1.6</t>
  </si>
  <si>
    <t xml:space="preserve">SHS 72x72 x 5</t>
  </si>
  <si>
    <t xml:space="preserve">SHS 72x72 x 2.5</t>
  </si>
  <si>
    <t xml:space="preserve">SHS 100x100 x 5</t>
  </si>
  <si>
    <t xml:space="preserve">RHS 96x48 x 2.5</t>
  </si>
  <si>
    <t xml:space="preserve">SHS 100x100 x 2.5</t>
  </si>
  <si>
    <t xml:space="preserve">SHS 50x50 x 3</t>
  </si>
  <si>
    <t xml:space="preserve">SHS 150x150 x 2.5</t>
  </si>
  <si>
    <t xml:space="preserve">RHS 145x82 x 3</t>
  </si>
  <si>
    <t xml:space="preserve">RHS 145x82 x 4</t>
  </si>
  <si>
    <t xml:space="preserve">Total (follows the filter)</t>
  </si>
  <si>
    <t xml:space="preserve">Notes</t>
  </si>
  <si>
    <t xml:space="preserve">Priority is set by the age of the oldest batch: P1 over 90 days, P2 61-90, P3 31-60.</t>
  </si>
  <si>
    <t xml:space="preserve">Stock per SKU is each plant's own FG statement of 29-Oct; the age split is the system's first-in-first-out ageing of that SKU, scaled to the plant figure.</t>
  </si>
  <si>
    <t xml:space="preserve">Thickness is grouped to 1.6 / 2 / 2.5 / 3 / 4 / 5 / 6 mm. Stock the plants hold but the system has no production record for is not aged and not listed.</t>
  </si>
  <si>
    <t xml:space="preserve">Sells to: Hyderabad and Lepakshi serve South distributors; NPMD and Tapi serve West. Use the filter arrows to pick a plant, region or priority.</t>
  </si>
  <si>
    <t xml:space="preserve">Figures come from the plants' statements and the system. Please check availability with the plant before committing quantities.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</si>
</sst>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-#,##0.00;\-"/>
    <numFmt numFmtId="166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555555"/>
      <name val="Arial"/>
      <family val="0"/>
      <charset val="1"/>
    </font>
    <font>
      <sz val="9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EF2F6"/>
        <bgColor rgb="FFFFFFFF"/>
      </patternFill>
    </fill>
    <fill>
      <patternFill patternType="solid">
        <fgColor rgb="FFFBE3E1"/>
        <bgColor rgb="FFFFF1D6"/>
      </patternFill>
    </fill>
    <fill>
      <patternFill patternType="solid">
        <fgColor rgb="FFFFF1D6"/>
        <bgColor rgb="FFFFF9DB"/>
      </patternFill>
    </fill>
    <fill>
      <patternFill patternType="solid">
        <fgColor rgb="FFFFF9DB"/>
        <bgColor rgb="FFFFF1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BE3E1"/>
          <bgColor rgb="FF000000"/>
        </patternFill>
      </fill>
    </dxf>
    <dxf>
      <fill>
        <patternFill patternType="solid">
          <fgColor rgb="FFFFF1D6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EEF2F6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1D6"/>
      <rgbColor rgb="FF99CCFF"/>
      <rgbColor rgb="FFFF99CC"/>
      <rgbColor rgb="FFCC99FF"/>
      <rgbColor rgb="FFFBE3E1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8" min="5" style="0" width="1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4" t="s">
        <v>10</v>
      </c>
      <c r="C4" s="5" t="n">
        <f aca="false">COUNTIF('Over 30 days'!$B$5:$B$54,A4)</f>
        <v>33</v>
      </c>
      <c r="D4" s="4" t="n">
        <f aca="false">SUMIF('Over 30 days'!$B$5:$B$54,A4,'Over 30 days'!$E$5:$E$54)</f>
        <v>309.424484601741</v>
      </c>
      <c r="E4" s="4" t="n">
        <f aca="false">SUMIF('Over 30 days'!$B$5:$B$54,A4,'Over 30 days'!$F$5:$F$54)</f>
        <v>89.235476583338</v>
      </c>
      <c r="F4" s="4" t="n">
        <f aca="false">SUMIF('Over 30 days'!$B$5:$B$54,A4,'Over 30 days'!$G$5:$G$54)</f>
        <v>14.464</v>
      </c>
      <c r="G4" s="4" t="n">
        <f aca="false">SUMIF('Over 30 days'!$B$5:$B$54,A4,'Over 30 days'!$H$5:$H$54)</f>
        <v>205.725008018403</v>
      </c>
      <c r="H4" s="4" t="n">
        <f aca="false">F4+G4</f>
        <v>220.189008018403</v>
      </c>
    </row>
    <row r="5" customFormat="false" ht="15" hidden="false" customHeight="false" outlineLevel="0" collapsed="false">
      <c r="A5" s="3" t="s">
        <v>11</v>
      </c>
      <c r="B5" s="4" t="s">
        <v>12</v>
      </c>
      <c r="C5" s="5" t="n">
        <f aca="false">COUNTIF('Over 30 days'!$B$5:$B$54,A5)</f>
        <v>5</v>
      </c>
      <c r="D5" s="4" t="n">
        <f aca="false">SUMIF('Over 30 days'!$B$5:$B$54,A5,'Over 30 days'!$E$5:$E$54)</f>
        <v>121.056067037178</v>
      </c>
      <c r="E5" s="4" t="n">
        <f aca="false">SUMIF('Over 30 days'!$B$5:$B$54,A5,'Over 30 days'!$F$5:$F$54)</f>
        <v>121.056067037178</v>
      </c>
      <c r="F5" s="4" t="n">
        <f aca="false">SUMIF('Over 30 days'!$B$5:$B$54,A5,'Over 30 days'!$G$5:$G$54)</f>
        <v>0</v>
      </c>
      <c r="G5" s="4" t="n">
        <f aca="false">SUMIF('Over 30 days'!$B$5:$B$54,A5,'Over 30 days'!$H$5:$H$54)</f>
        <v>0</v>
      </c>
      <c r="H5" s="4" t="n">
        <f aca="false">F5+G5</f>
        <v>0</v>
      </c>
    </row>
    <row r="6" customFormat="false" ht="15" hidden="false" customHeight="false" outlineLevel="0" collapsed="false">
      <c r="A6" s="3" t="s">
        <v>13</v>
      </c>
      <c r="B6" s="4" t="s">
        <v>10</v>
      </c>
      <c r="C6" s="5" t="n">
        <f aca="false">COUNTIF('Over 30 days'!$B$5:$B$54,A6)</f>
        <v>5</v>
      </c>
      <c r="D6" s="4" t="n">
        <f aca="false">SUMIF('Over 30 days'!$B$5:$B$54,A6,'Over 30 days'!$E$5:$E$54)</f>
        <v>80.1</v>
      </c>
      <c r="E6" s="4" t="n">
        <f aca="false">SUMIF('Over 30 days'!$B$5:$B$54,A6,'Over 30 days'!$F$5:$F$54)</f>
        <v>80.1</v>
      </c>
      <c r="F6" s="4" t="n">
        <f aca="false">SUMIF('Over 30 days'!$B$5:$B$54,A6,'Over 30 days'!$G$5:$G$54)</f>
        <v>0</v>
      </c>
      <c r="G6" s="4" t="n">
        <f aca="false">SUMIF('Over 30 days'!$B$5:$B$54,A6,'Over 30 days'!$H$5:$H$54)</f>
        <v>0</v>
      </c>
      <c r="H6" s="4" t="n">
        <f aca="false">F6+G6</f>
        <v>0</v>
      </c>
    </row>
    <row r="7" customFormat="false" ht="15" hidden="false" customHeight="false" outlineLevel="0" collapsed="false">
      <c r="A7" s="3" t="s">
        <v>14</v>
      </c>
      <c r="B7" s="4" t="s">
        <v>12</v>
      </c>
      <c r="C7" s="5" t="n">
        <f aca="false">COUNTIF('Over 30 days'!$B$5:$B$54,A7)</f>
        <v>7</v>
      </c>
      <c r="D7" s="4" t="n">
        <f aca="false">SUMIF('Over 30 days'!$B$5:$B$54,A7,'Over 30 days'!$E$5:$E$54)</f>
        <v>24.6600492700294</v>
      </c>
      <c r="E7" s="4" t="n">
        <f aca="false">SUMIF('Over 30 days'!$B$5:$B$54,A7,'Over 30 days'!$F$5:$F$54)</f>
        <v>24.6600492700294</v>
      </c>
      <c r="F7" s="4" t="n">
        <f aca="false">SUMIF('Over 30 days'!$B$5:$B$54,A7,'Over 30 days'!$G$5:$G$54)</f>
        <v>0</v>
      </c>
      <c r="G7" s="4" t="n">
        <f aca="false">SUMIF('Over 30 days'!$B$5:$B$54,A7,'Over 30 days'!$H$5:$H$54)</f>
        <v>0</v>
      </c>
      <c r="H7" s="4" t="n">
        <f aca="false">F7+G7</f>
        <v>0</v>
      </c>
    </row>
    <row r="8" customFormat="false" ht="15" hidden="false" customHeight="false" outlineLevel="0" collapsed="false">
      <c r="A8" s="6" t="s">
        <v>15</v>
      </c>
      <c r="B8" s="6"/>
      <c r="C8" s="7" t="n">
        <f aca="false">SUM(C4:C7)</f>
        <v>50</v>
      </c>
      <c r="D8" s="8" t="n">
        <f aca="false">SUM(D4:D7)</f>
        <v>535.240600908948</v>
      </c>
      <c r="E8" s="8" t="n">
        <f aca="false">SUM(E4:E7)</f>
        <v>315.051592890545</v>
      </c>
      <c r="F8" s="8" t="n">
        <f aca="false">SUM(F4:F7)</f>
        <v>14.464</v>
      </c>
      <c r="G8" s="8" t="n">
        <f aca="false">SUM(G4:G7)</f>
        <v>205.725008018403</v>
      </c>
      <c r="H8" s="8" t="n">
        <f aca="false">SUM(H4:H7)</f>
        <v>220.189008018403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8" min="6" style="0" width="12"/>
    <col collapsed="false" customWidth="true" hidden="false" outlineLevel="0" max="9" min="9" style="0" width="11"/>
    <col collapsed="false" customWidth="true" hidden="false" outlineLevel="0" max="10" min="10" style="0" width="15"/>
  </cols>
  <sheetData>
    <row r="1" customFormat="false" ht="16.15" hidden="false" customHeight="false" outlineLevel="0" collapsed="false">
      <c r="A1" s="1" t="s">
        <v>16</v>
      </c>
    </row>
    <row r="2" customFormat="false" ht="15" hidden="false" customHeight="false" outlineLevel="0" collapsed="false">
      <c r="A2" s="9" t="s">
        <v>17</v>
      </c>
    </row>
    <row r="4" customFormat="false" ht="31.5" hidden="false" customHeight="true" outlineLevel="0" collapsed="false">
      <c r="A4" s="10" t="s">
        <v>18</v>
      </c>
      <c r="B4" s="10" t="s">
        <v>1</v>
      </c>
      <c r="C4" s="10" t="s">
        <v>2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10" t="s">
        <v>24</v>
      </c>
      <c r="J4" s="10" t="s">
        <v>25</v>
      </c>
    </row>
    <row r="5" customFormat="false" ht="15" hidden="false" customHeight="false" outlineLevel="0" collapsed="false">
      <c r="A5" s="11" t="s">
        <v>26</v>
      </c>
      <c r="B5" s="12" t="s">
        <v>9</v>
      </c>
      <c r="C5" s="12" t="s">
        <v>10</v>
      </c>
      <c r="D5" s="13" t="s">
        <v>27</v>
      </c>
      <c r="E5" s="3" t="n">
        <f aca="false">SUM(F5:H5)</f>
        <v>29.0650131191129</v>
      </c>
      <c r="F5" s="4" t="n">
        <v>0</v>
      </c>
      <c r="G5" s="4" t="n">
        <v>0</v>
      </c>
      <c r="H5" s="4" t="n">
        <v>29.0650131191129</v>
      </c>
      <c r="I5" s="12" t="n">
        <v>114</v>
      </c>
      <c r="J5" s="4" t="n">
        <v>33.383</v>
      </c>
    </row>
    <row r="6" customFormat="false" ht="15" hidden="false" customHeight="false" outlineLevel="0" collapsed="false">
      <c r="A6" s="11" t="s">
        <v>26</v>
      </c>
      <c r="B6" s="12" t="s">
        <v>9</v>
      </c>
      <c r="C6" s="12" t="s">
        <v>10</v>
      </c>
      <c r="D6" s="13" t="s">
        <v>28</v>
      </c>
      <c r="E6" s="3" t="n">
        <f aca="false">SUM(F6:H6)</f>
        <v>27.325</v>
      </c>
      <c r="F6" s="4" t="n">
        <v>0</v>
      </c>
      <c r="G6" s="4" t="n">
        <v>0</v>
      </c>
      <c r="H6" s="4" t="n">
        <v>27.325</v>
      </c>
      <c r="I6" s="12" t="n">
        <v>128</v>
      </c>
      <c r="J6" s="4" t="n">
        <v>27.325</v>
      </c>
    </row>
    <row r="7" customFormat="false" ht="15" hidden="false" customHeight="false" outlineLevel="0" collapsed="false">
      <c r="A7" s="11" t="s">
        <v>26</v>
      </c>
      <c r="B7" s="12" t="s">
        <v>9</v>
      </c>
      <c r="C7" s="12" t="s">
        <v>10</v>
      </c>
      <c r="D7" s="13" t="s">
        <v>29</v>
      </c>
      <c r="E7" s="3" t="n">
        <f aca="false">SUM(F7:H7)</f>
        <v>25.549</v>
      </c>
      <c r="F7" s="4" t="n">
        <v>21.290347618233</v>
      </c>
      <c r="G7" s="4" t="n">
        <v>0</v>
      </c>
      <c r="H7" s="4" t="n">
        <v>4.25865238176696</v>
      </c>
      <c r="I7" s="12" t="n">
        <v>104</v>
      </c>
      <c r="J7" s="4" t="n">
        <v>25.549</v>
      </c>
    </row>
    <row r="8" customFormat="false" ht="15" hidden="false" customHeight="false" outlineLevel="0" collapsed="false">
      <c r="A8" s="11" t="s">
        <v>26</v>
      </c>
      <c r="B8" s="12" t="s">
        <v>9</v>
      </c>
      <c r="C8" s="12" t="s">
        <v>10</v>
      </c>
      <c r="D8" s="13" t="s">
        <v>30</v>
      </c>
      <c r="E8" s="3" t="n">
        <f aca="false">SUM(F8:H8)</f>
        <v>20.8701170459605</v>
      </c>
      <c r="F8" s="4" t="n">
        <v>0</v>
      </c>
      <c r="G8" s="4" t="n">
        <v>0</v>
      </c>
      <c r="H8" s="4" t="n">
        <v>20.8701170459605</v>
      </c>
      <c r="I8" s="12" t="n">
        <v>111</v>
      </c>
      <c r="J8" s="4" t="n">
        <v>25.051</v>
      </c>
    </row>
    <row r="9" customFormat="false" ht="15" hidden="false" customHeight="false" outlineLevel="0" collapsed="false">
      <c r="A9" s="11" t="s">
        <v>26</v>
      </c>
      <c r="B9" s="12" t="s">
        <v>9</v>
      </c>
      <c r="C9" s="12" t="s">
        <v>10</v>
      </c>
      <c r="D9" s="13" t="s">
        <v>31</v>
      </c>
      <c r="E9" s="3" t="n">
        <f aca="false">SUM(F9:H9)</f>
        <v>18.573</v>
      </c>
      <c r="F9" s="4" t="n">
        <v>0</v>
      </c>
      <c r="G9" s="4" t="n">
        <v>0</v>
      </c>
      <c r="H9" s="4" t="n">
        <v>18.573</v>
      </c>
      <c r="I9" s="12" t="n">
        <v>189</v>
      </c>
      <c r="J9" s="4" t="n">
        <v>18.573</v>
      </c>
    </row>
    <row r="10" customFormat="false" ht="15" hidden="false" customHeight="false" outlineLevel="0" collapsed="false">
      <c r="A10" s="11" t="s">
        <v>26</v>
      </c>
      <c r="B10" s="12" t="s">
        <v>9</v>
      </c>
      <c r="C10" s="12" t="s">
        <v>10</v>
      </c>
      <c r="D10" s="13" t="s">
        <v>32</v>
      </c>
      <c r="E10" s="3" t="n">
        <f aca="false">SUM(F10:H10)</f>
        <v>17.065</v>
      </c>
      <c r="F10" s="4" t="n">
        <v>0</v>
      </c>
      <c r="G10" s="4" t="n">
        <v>0</v>
      </c>
      <c r="H10" s="4" t="n">
        <v>17.065</v>
      </c>
      <c r="I10" s="12" t="n">
        <v>114</v>
      </c>
      <c r="J10" s="4" t="n">
        <v>17.065</v>
      </c>
    </row>
    <row r="11" customFormat="false" ht="15" hidden="false" customHeight="false" outlineLevel="0" collapsed="false">
      <c r="A11" s="11" t="s">
        <v>26</v>
      </c>
      <c r="B11" s="12" t="s">
        <v>9</v>
      </c>
      <c r="C11" s="12" t="s">
        <v>10</v>
      </c>
      <c r="D11" s="13" t="s">
        <v>33</v>
      </c>
      <c r="E11" s="3" t="n">
        <f aca="false">SUM(F11:H11)</f>
        <v>15.096</v>
      </c>
      <c r="F11" s="4" t="n">
        <v>0</v>
      </c>
      <c r="G11" s="4" t="n">
        <v>0</v>
      </c>
      <c r="H11" s="4" t="n">
        <v>15.096</v>
      </c>
      <c r="I11" s="12" t="n">
        <v>113</v>
      </c>
      <c r="J11" s="4" t="n">
        <v>15.096</v>
      </c>
    </row>
    <row r="12" customFormat="false" ht="15" hidden="false" customHeight="false" outlineLevel="0" collapsed="false">
      <c r="A12" s="11" t="s">
        <v>26</v>
      </c>
      <c r="B12" s="12" t="s">
        <v>9</v>
      </c>
      <c r="C12" s="12" t="s">
        <v>10</v>
      </c>
      <c r="D12" s="13" t="s">
        <v>34</v>
      </c>
      <c r="E12" s="3" t="n">
        <f aca="false">SUM(F12:H12)</f>
        <v>12.48</v>
      </c>
      <c r="F12" s="4" t="n">
        <v>0</v>
      </c>
      <c r="G12" s="4" t="n">
        <v>0</v>
      </c>
      <c r="H12" s="4" t="n">
        <v>12.48</v>
      </c>
      <c r="I12" s="12" t="n">
        <v>127</v>
      </c>
      <c r="J12" s="4" t="n">
        <v>12.48</v>
      </c>
    </row>
    <row r="13" customFormat="false" ht="15" hidden="false" customHeight="false" outlineLevel="0" collapsed="false">
      <c r="A13" s="11" t="s">
        <v>26</v>
      </c>
      <c r="B13" s="12" t="s">
        <v>9</v>
      </c>
      <c r="C13" s="12" t="s">
        <v>10</v>
      </c>
      <c r="D13" s="13" t="s">
        <v>35</v>
      </c>
      <c r="E13" s="3" t="n">
        <f aca="false">SUM(F13:H13)</f>
        <v>9.983</v>
      </c>
      <c r="F13" s="4" t="n">
        <v>0</v>
      </c>
      <c r="G13" s="4" t="n">
        <v>0</v>
      </c>
      <c r="H13" s="4" t="n">
        <v>9.983</v>
      </c>
      <c r="I13" s="12" t="n">
        <v>187</v>
      </c>
      <c r="J13" s="4" t="n">
        <v>9.983</v>
      </c>
    </row>
    <row r="14" customFormat="false" ht="15" hidden="false" customHeight="false" outlineLevel="0" collapsed="false">
      <c r="A14" s="11" t="s">
        <v>26</v>
      </c>
      <c r="B14" s="12" t="s">
        <v>9</v>
      </c>
      <c r="C14" s="12" t="s">
        <v>10</v>
      </c>
      <c r="D14" s="13" t="s">
        <v>36</v>
      </c>
      <c r="E14" s="3" t="n">
        <f aca="false">SUM(F14:H14)</f>
        <v>9.70464731636379</v>
      </c>
      <c r="F14" s="4" t="n">
        <v>0</v>
      </c>
      <c r="G14" s="4" t="n">
        <v>0</v>
      </c>
      <c r="H14" s="4" t="n">
        <v>9.70464731636379</v>
      </c>
      <c r="I14" s="12" t="n">
        <v>99</v>
      </c>
      <c r="J14" s="4" t="n">
        <v>18.327</v>
      </c>
    </row>
    <row r="15" customFormat="false" ht="15" hidden="false" customHeight="false" outlineLevel="0" collapsed="false">
      <c r="A15" s="11" t="s">
        <v>26</v>
      </c>
      <c r="B15" s="12" t="s">
        <v>9</v>
      </c>
      <c r="C15" s="12" t="s">
        <v>10</v>
      </c>
      <c r="D15" s="13" t="s">
        <v>37</v>
      </c>
      <c r="E15" s="3" t="n">
        <f aca="false">SUM(F15:H15)</f>
        <v>9.52274105432948</v>
      </c>
      <c r="F15" s="4" t="n">
        <v>0</v>
      </c>
      <c r="G15" s="4" t="n">
        <v>0</v>
      </c>
      <c r="H15" s="4" t="n">
        <v>9.52274105432948</v>
      </c>
      <c r="I15" s="12" t="n">
        <v>91</v>
      </c>
      <c r="J15" s="4" t="n">
        <v>12.496</v>
      </c>
    </row>
    <row r="16" customFormat="false" ht="15" hidden="false" customHeight="false" outlineLevel="0" collapsed="false">
      <c r="A16" s="11" t="s">
        <v>26</v>
      </c>
      <c r="B16" s="12" t="s">
        <v>9</v>
      </c>
      <c r="C16" s="12" t="s">
        <v>10</v>
      </c>
      <c r="D16" s="13" t="s">
        <v>38</v>
      </c>
      <c r="E16" s="3" t="n">
        <f aca="false">SUM(F16:H16)</f>
        <v>9.126</v>
      </c>
      <c r="F16" s="4" t="n">
        <v>0</v>
      </c>
      <c r="G16" s="4" t="n">
        <v>0</v>
      </c>
      <c r="H16" s="4" t="n">
        <v>9.126</v>
      </c>
      <c r="I16" s="12" t="n">
        <v>123</v>
      </c>
      <c r="J16" s="4" t="n">
        <v>9.126</v>
      </c>
    </row>
    <row r="17" customFormat="false" ht="15" hidden="false" customHeight="false" outlineLevel="0" collapsed="false">
      <c r="A17" s="11" t="s">
        <v>26</v>
      </c>
      <c r="B17" s="12" t="s">
        <v>9</v>
      </c>
      <c r="C17" s="12" t="s">
        <v>10</v>
      </c>
      <c r="D17" s="13" t="s">
        <v>39</v>
      </c>
      <c r="E17" s="3" t="n">
        <f aca="false">SUM(F17:H17)</f>
        <v>8.76362094261573</v>
      </c>
      <c r="F17" s="4" t="n">
        <v>0</v>
      </c>
      <c r="G17" s="4" t="n">
        <v>0</v>
      </c>
      <c r="H17" s="4" t="n">
        <v>8.76362094261573</v>
      </c>
      <c r="I17" s="12" t="n">
        <v>136</v>
      </c>
      <c r="J17" s="4" t="n">
        <v>10.119</v>
      </c>
    </row>
    <row r="18" customFormat="false" ht="15" hidden="false" customHeight="false" outlineLevel="0" collapsed="false">
      <c r="A18" s="11" t="s">
        <v>26</v>
      </c>
      <c r="B18" s="12" t="s">
        <v>9</v>
      </c>
      <c r="C18" s="12" t="s">
        <v>10</v>
      </c>
      <c r="D18" s="13" t="s">
        <v>40</v>
      </c>
      <c r="E18" s="3" t="n">
        <f aca="false">SUM(F18:H18)</f>
        <v>5.509</v>
      </c>
      <c r="F18" s="4" t="n">
        <v>0</v>
      </c>
      <c r="G18" s="4" t="n">
        <v>0</v>
      </c>
      <c r="H18" s="4" t="n">
        <v>5.509</v>
      </c>
      <c r="I18" s="12" t="n">
        <v>128</v>
      </c>
      <c r="J18" s="4" t="n">
        <v>5.509</v>
      </c>
    </row>
    <row r="19" customFormat="false" ht="15" hidden="false" customHeight="false" outlineLevel="0" collapsed="false">
      <c r="A19" s="11" t="s">
        <v>26</v>
      </c>
      <c r="B19" s="12" t="s">
        <v>9</v>
      </c>
      <c r="C19" s="12" t="s">
        <v>10</v>
      </c>
      <c r="D19" s="13" t="s">
        <v>41</v>
      </c>
      <c r="E19" s="3" t="n">
        <f aca="false">SUM(F19:H19)</f>
        <v>2.31970749760539</v>
      </c>
      <c r="F19" s="4" t="n">
        <v>0</v>
      </c>
      <c r="G19" s="4" t="n">
        <v>0</v>
      </c>
      <c r="H19" s="4" t="n">
        <v>2.31970749760539</v>
      </c>
      <c r="I19" s="12" t="n">
        <v>99</v>
      </c>
      <c r="J19" s="4" t="n">
        <v>8.571</v>
      </c>
    </row>
    <row r="20" customFormat="false" ht="15" hidden="false" customHeight="false" outlineLevel="0" collapsed="false">
      <c r="A20" s="11" t="s">
        <v>26</v>
      </c>
      <c r="B20" s="12" t="s">
        <v>9</v>
      </c>
      <c r="C20" s="12" t="s">
        <v>10</v>
      </c>
      <c r="D20" s="13" t="s">
        <v>42</v>
      </c>
      <c r="E20" s="3" t="n">
        <f aca="false">SUM(F20:H20)</f>
        <v>2.182</v>
      </c>
      <c r="F20" s="4" t="n">
        <v>0</v>
      </c>
      <c r="G20" s="4" t="n">
        <v>0</v>
      </c>
      <c r="H20" s="4" t="n">
        <v>2.182</v>
      </c>
      <c r="I20" s="12" t="n">
        <v>122</v>
      </c>
      <c r="J20" s="4" t="n">
        <v>2.182</v>
      </c>
    </row>
    <row r="21" customFormat="false" ht="15" hidden="false" customHeight="false" outlineLevel="0" collapsed="false">
      <c r="A21" s="11" t="s">
        <v>26</v>
      </c>
      <c r="B21" s="12" t="s">
        <v>9</v>
      </c>
      <c r="C21" s="12" t="s">
        <v>10</v>
      </c>
      <c r="D21" s="13" t="s">
        <v>43</v>
      </c>
      <c r="E21" s="3" t="n">
        <f aca="false">SUM(F21:H21)</f>
        <v>2.13250866064806</v>
      </c>
      <c r="F21" s="4" t="n">
        <v>0</v>
      </c>
      <c r="G21" s="4" t="n">
        <v>0</v>
      </c>
      <c r="H21" s="4" t="n">
        <v>2.13250866064806</v>
      </c>
      <c r="I21" s="12" t="n">
        <v>115</v>
      </c>
      <c r="J21" s="4" t="n">
        <v>3.03</v>
      </c>
    </row>
    <row r="22" customFormat="false" ht="15" hidden="false" customHeight="false" outlineLevel="0" collapsed="false">
      <c r="A22" s="11" t="s">
        <v>26</v>
      </c>
      <c r="B22" s="12" t="s">
        <v>9</v>
      </c>
      <c r="C22" s="12" t="s">
        <v>10</v>
      </c>
      <c r="D22" s="13" t="s">
        <v>44</v>
      </c>
      <c r="E22" s="3" t="n">
        <f aca="false">SUM(F22:H22)</f>
        <v>1.749</v>
      </c>
      <c r="F22" s="4" t="n">
        <v>0</v>
      </c>
      <c r="G22" s="4" t="n">
        <v>0</v>
      </c>
      <c r="H22" s="4" t="n">
        <v>1.749</v>
      </c>
      <c r="I22" s="12" t="n">
        <v>97</v>
      </c>
      <c r="J22" s="4" t="n">
        <v>1.749</v>
      </c>
    </row>
    <row r="23" customFormat="false" ht="15" hidden="false" customHeight="false" outlineLevel="0" collapsed="false">
      <c r="A23" s="14" t="s">
        <v>45</v>
      </c>
      <c r="B23" s="12" t="s">
        <v>9</v>
      </c>
      <c r="C23" s="12" t="s">
        <v>10</v>
      </c>
      <c r="D23" s="13" t="s">
        <v>46</v>
      </c>
      <c r="E23" s="3" t="n">
        <f aca="false">SUM(F23:H23)</f>
        <v>7.702</v>
      </c>
      <c r="F23" s="4" t="n">
        <v>0</v>
      </c>
      <c r="G23" s="4" t="n">
        <v>7.702</v>
      </c>
      <c r="H23" s="4" t="n">
        <v>0</v>
      </c>
      <c r="I23" s="12" t="n">
        <v>71</v>
      </c>
      <c r="J23" s="4" t="n">
        <v>7.702</v>
      </c>
    </row>
    <row r="24" customFormat="false" ht="15" hidden="false" customHeight="false" outlineLevel="0" collapsed="false">
      <c r="A24" s="14" t="s">
        <v>45</v>
      </c>
      <c r="B24" s="12" t="s">
        <v>9</v>
      </c>
      <c r="C24" s="12" t="s">
        <v>10</v>
      </c>
      <c r="D24" s="13" t="s">
        <v>47</v>
      </c>
      <c r="E24" s="3" t="n">
        <f aca="false">SUM(F24:H24)</f>
        <v>6.762</v>
      </c>
      <c r="F24" s="4" t="n">
        <v>0</v>
      </c>
      <c r="G24" s="4" t="n">
        <v>6.762</v>
      </c>
      <c r="H24" s="4" t="n">
        <v>0</v>
      </c>
      <c r="I24" s="12" t="n">
        <v>68</v>
      </c>
      <c r="J24" s="4" t="n">
        <v>6.762</v>
      </c>
    </row>
    <row r="25" customFormat="false" ht="15" hidden="false" customHeight="false" outlineLevel="0" collapsed="false">
      <c r="A25" s="15" t="s">
        <v>48</v>
      </c>
      <c r="B25" s="12" t="s">
        <v>9</v>
      </c>
      <c r="C25" s="12" t="s">
        <v>10</v>
      </c>
      <c r="D25" s="13" t="s">
        <v>49</v>
      </c>
      <c r="E25" s="3" t="n">
        <f aca="false">SUM(F25:H25)</f>
        <v>13.237</v>
      </c>
      <c r="F25" s="4" t="n">
        <v>13.237</v>
      </c>
      <c r="G25" s="4" t="n">
        <v>0</v>
      </c>
      <c r="H25" s="4" t="n">
        <v>0</v>
      </c>
      <c r="I25" s="12" t="n">
        <v>40</v>
      </c>
      <c r="J25" s="4" t="n">
        <v>13.237</v>
      </c>
    </row>
    <row r="26" customFormat="false" ht="15" hidden="false" customHeight="false" outlineLevel="0" collapsed="false">
      <c r="A26" s="15" t="s">
        <v>48</v>
      </c>
      <c r="B26" s="12" t="s">
        <v>9</v>
      </c>
      <c r="C26" s="12" t="s">
        <v>10</v>
      </c>
      <c r="D26" s="13" t="s">
        <v>50</v>
      </c>
      <c r="E26" s="3" t="n">
        <f aca="false">SUM(F26:H26)</f>
        <v>11.674</v>
      </c>
      <c r="F26" s="4" t="n">
        <v>11.674</v>
      </c>
      <c r="G26" s="4" t="n">
        <v>0</v>
      </c>
      <c r="H26" s="4" t="n">
        <v>0</v>
      </c>
      <c r="I26" s="12" t="n">
        <v>48</v>
      </c>
      <c r="J26" s="4" t="n">
        <v>11.674</v>
      </c>
    </row>
    <row r="27" customFormat="false" ht="15" hidden="false" customHeight="false" outlineLevel="0" collapsed="false">
      <c r="A27" s="15" t="s">
        <v>48</v>
      </c>
      <c r="B27" s="12" t="s">
        <v>9</v>
      </c>
      <c r="C27" s="12" t="s">
        <v>10</v>
      </c>
      <c r="D27" s="13" t="s">
        <v>51</v>
      </c>
      <c r="E27" s="3" t="n">
        <f aca="false">SUM(F27:H27)</f>
        <v>10.076</v>
      </c>
      <c r="F27" s="4" t="n">
        <v>10.076</v>
      </c>
      <c r="G27" s="4" t="n">
        <v>0</v>
      </c>
      <c r="H27" s="4" t="n">
        <v>0</v>
      </c>
      <c r="I27" s="12" t="n">
        <v>45</v>
      </c>
      <c r="J27" s="4" t="n">
        <v>10.076</v>
      </c>
    </row>
    <row r="28" customFormat="false" ht="15" hidden="false" customHeight="false" outlineLevel="0" collapsed="false">
      <c r="A28" s="15" t="s">
        <v>48</v>
      </c>
      <c r="B28" s="12" t="s">
        <v>9</v>
      </c>
      <c r="C28" s="12" t="s">
        <v>10</v>
      </c>
      <c r="D28" s="13" t="s">
        <v>52</v>
      </c>
      <c r="E28" s="3" t="n">
        <f aca="false">SUM(F28:H28)</f>
        <v>5.30751566195904</v>
      </c>
      <c r="F28" s="4" t="n">
        <v>5.30751566195904</v>
      </c>
      <c r="G28" s="4" t="n">
        <v>0</v>
      </c>
      <c r="H28" s="4" t="n">
        <v>0</v>
      </c>
      <c r="I28" s="12" t="n">
        <v>41</v>
      </c>
      <c r="J28" s="4" t="n">
        <v>11.431</v>
      </c>
    </row>
    <row r="29" customFormat="false" ht="15" hidden="false" customHeight="false" outlineLevel="0" collapsed="false">
      <c r="A29" s="15" t="s">
        <v>48</v>
      </c>
      <c r="B29" s="12" t="s">
        <v>9</v>
      </c>
      <c r="C29" s="12" t="s">
        <v>10</v>
      </c>
      <c r="D29" s="13" t="s">
        <v>53</v>
      </c>
      <c r="E29" s="3" t="n">
        <f aca="false">SUM(F29:H29)</f>
        <v>5.21</v>
      </c>
      <c r="F29" s="4" t="n">
        <v>5.21</v>
      </c>
      <c r="G29" s="4" t="n">
        <v>0</v>
      </c>
      <c r="H29" s="4" t="n">
        <v>0</v>
      </c>
      <c r="I29" s="12" t="n">
        <v>31</v>
      </c>
      <c r="J29" s="4" t="n">
        <v>5.21</v>
      </c>
    </row>
    <row r="30" customFormat="false" ht="15" hidden="false" customHeight="false" outlineLevel="0" collapsed="false">
      <c r="A30" s="15" t="s">
        <v>48</v>
      </c>
      <c r="B30" s="12" t="s">
        <v>9</v>
      </c>
      <c r="C30" s="12" t="s">
        <v>10</v>
      </c>
      <c r="D30" s="13" t="s">
        <v>54</v>
      </c>
      <c r="E30" s="3" t="n">
        <f aca="false">SUM(F30:H30)</f>
        <v>4.761</v>
      </c>
      <c r="F30" s="4" t="n">
        <v>4.761</v>
      </c>
      <c r="G30" s="4" t="n">
        <v>0</v>
      </c>
      <c r="H30" s="4" t="n">
        <v>0</v>
      </c>
      <c r="I30" s="12" t="n">
        <v>33</v>
      </c>
      <c r="J30" s="4" t="n">
        <v>4.761</v>
      </c>
    </row>
    <row r="31" customFormat="false" ht="15" hidden="false" customHeight="false" outlineLevel="0" collapsed="false">
      <c r="A31" s="15" t="s">
        <v>48</v>
      </c>
      <c r="B31" s="12" t="s">
        <v>9</v>
      </c>
      <c r="C31" s="12" t="s">
        <v>10</v>
      </c>
      <c r="D31" s="13" t="s">
        <v>55</v>
      </c>
      <c r="E31" s="3" t="n">
        <f aca="false">SUM(F31:H31)</f>
        <v>4.26658532728962</v>
      </c>
      <c r="F31" s="4" t="n">
        <v>4.26658532728962</v>
      </c>
      <c r="G31" s="4" t="n">
        <v>0</v>
      </c>
      <c r="H31" s="4" t="n">
        <v>0</v>
      </c>
      <c r="I31" s="12" t="n">
        <v>31</v>
      </c>
      <c r="J31" s="4" t="n">
        <v>14.408</v>
      </c>
    </row>
    <row r="32" customFormat="false" ht="15" hidden="false" customHeight="false" outlineLevel="0" collapsed="false">
      <c r="A32" s="15" t="s">
        <v>48</v>
      </c>
      <c r="B32" s="12" t="s">
        <v>9</v>
      </c>
      <c r="C32" s="12" t="s">
        <v>10</v>
      </c>
      <c r="D32" s="13" t="s">
        <v>56</v>
      </c>
      <c r="E32" s="3" t="n">
        <f aca="false">SUM(F32:H32)</f>
        <v>3.30084360684026</v>
      </c>
      <c r="F32" s="4" t="n">
        <v>3.30084360684026</v>
      </c>
      <c r="G32" s="4" t="n">
        <v>0</v>
      </c>
      <c r="H32" s="4" t="n">
        <v>0</v>
      </c>
      <c r="I32" s="12" t="n">
        <v>47</v>
      </c>
      <c r="J32" s="4" t="n">
        <v>20.704</v>
      </c>
    </row>
    <row r="33" customFormat="false" ht="15" hidden="false" customHeight="false" outlineLevel="0" collapsed="false">
      <c r="A33" s="15" t="s">
        <v>48</v>
      </c>
      <c r="B33" s="12" t="s">
        <v>9</v>
      </c>
      <c r="C33" s="12" t="s">
        <v>10</v>
      </c>
      <c r="D33" s="13" t="s">
        <v>57</v>
      </c>
      <c r="E33" s="3" t="n">
        <f aca="false">SUM(F33:H33)</f>
        <v>2.57439115616155</v>
      </c>
      <c r="F33" s="4" t="n">
        <v>2.57439115616155</v>
      </c>
      <c r="G33" s="4" t="n">
        <v>0</v>
      </c>
      <c r="H33" s="4" t="n">
        <v>0</v>
      </c>
      <c r="I33" s="12" t="n">
        <v>40</v>
      </c>
      <c r="J33" s="4" t="n">
        <v>19.677</v>
      </c>
    </row>
    <row r="34" customFormat="false" ht="15" hidden="false" customHeight="false" outlineLevel="0" collapsed="false">
      <c r="A34" s="15" t="s">
        <v>48</v>
      </c>
      <c r="B34" s="12" t="s">
        <v>9</v>
      </c>
      <c r="C34" s="12" t="s">
        <v>10</v>
      </c>
      <c r="D34" s="13" t="s">
        <v>58</v>
      </c>
      <c r="E34" s="3" t="n">
        <f aca="false">SUM(F34:H34)</f>
        <v>2.548</v>
      </c>
      <c r="F34" s="4" t="n">
        <v>2.548</v>
      </c>
      <c r="G34" s="4" t="n">
        <v>0</v>
      </c>
      <c r="H34" s="4" t="n">
        <v>0</v>
      </c>
      <c r="I34" s="12" t="n">
        <v>35</v>
      </c>
      <c r="J34" s="4" t="n">
        <v>2.548</v>
      </c>
    </row>
    <row r="35" customFormat="false" ht="15" hidden="false" customHeight="false" outlineLevel="0" collapsed="false">
      <c r="A35" s="15" t="s">
        <v>48</v>
      </c>
      <c r="B35" s="12" t="s">
        <v>9</v>
      </c>
      <c r="C35" s="12" t="s">
        <v>10</v>
      </c>
      <c r="D35" s="13" t="s">
        <v>59</v>
      </c>
      <c r="E35" s="3" t="n">
        <f aca="false">SUM(F35:H35)</f>
        <v>2.22179321285452</v>
      </c>
      <c r="F35" s="4" t="n">
        <v>2.22179321285452</v>
      </c>
      <c r="G35" s="4" t="n">
        <v>0</v>
      </c>
      <c r="H35" s="4" t="n">
        <v>0</v>
      </c>
      <c r="I35" s="12" t="n">
        <v>47</v>
      </c>
      <c r="J35" s="4" t="n">
        <v>18.884</v>
      </c>
    </row>
    <row r="36" customFormat="false" ht="15" hidden="false" customHeight="false" outlineLevel="0" collapsed="false">
      <c r="A36" s="15" t="s">
        <v>48</v>
      </c>
      <c r="B36" s="12" t="s">
        <v>9</v>
      </c>
      <c r="C36" s="12" t="s">
        <v>10</v>
      </c>
      <c r="D36" s="13" t="s">
        <v>60</v>
      </c>
      <c r="E36" s="3" t="n">
        <f aca="false">SUM(F36:H36)</f>
        <v>1.397</v>
      </c>
      <c r="F36" s="4" t="n">
        <v>1.397</v>
      </c>
      <c r="G36" s="4" t="n">
        <v>0</v>
      </c>
      <c r="H36" s="4" t="n">
        <v>0</v>
      </c>
      <c r="I36" s="12" t="n">
        <v>36</v>
      </c>
      <c r="J36" s="4" t="n">
        <v>1.397</v>
      </c>
    </row>
    <row r="37" customFormat="false" ht="15" hidden="false" customHeight="false" outlineLevel="0" collapsed="false">
      <c r="A37" s="15" t="s">
        <v>48</v>
      </c>
      <c r="B37" s="12" t="s">
        <v>9</v>
      </c>
      <c r="C37" s="12" t="s">
        <v>10</v>
      </c>
      <c r="D37" s="13" t="s">
        <v>61</v>
      </c>
      <c r="E37" s="3" t="n">
        <f aca="false">SUM(F37:H37)</f>
        <v>1.371</v>
      </c>
      <c r="F37" s="4" t="n">
        <v>1.371</v>
      </c>
      <c r="G37" s="4" t="n">
        <v>0</v>
      </c>
      <c r="H37" s="4" t="n">
        <v>0</v>
      </c>
      <c r="I37" s="12" t="n">
        <v>50</v>
      </c>
      <c r="J37" s="4" t="n">
        <v>1.371</v>
      </c>
    </row>
    <row r="38" customFormat="false" ht="15" hidden="false" customHeight="false" outlineLevel="0" collapsed="false">
      <c r="A38" s="15" t="s">
        <v>48</v>
      </c>
      <c r="B38" s="12" t="s">
        <v>11</v>
      </c>
      <c r="C38" s="12" t="s">
        <v>12</v>
      </c>
      <c r="D38" s="13" t="s">
        <v>62</v>
      </c>
      <c r="E38" s="3" t="n">
        <f aca="false">SUM(F38:H38)</f>
        <v>53.1364321091784</v>
      </c>
      <c r="F38" s="4" t="n">
        <v>53.1364321091784</v>
      </c>
      <c r="G38" s="4" t="n">
        <v>0</v>
      </c>
      <c r="H38" s="4" t="n">
        <v>0</v>
      </c>
      <c r="I38" s="12" t="n">
        <v>44</v>
      </c>
      <c r="J38" s="4" t="n">
        <v>104</v>
      </c>
    </row>
    <row r="39" customFormat="false" ht="15" hidden="false" customHeight="false" outlineLevel="0" collapsed="false">
      <c r="A39" s="15" t="s">
        <v>48</v>
      </c>
      <c r="B39" s="12" t="s">
        <v>11</v>
      </c>
      <c r="C39" s="12" t="s">
        <v>12</v>
      </c>
      <c r="D39" s="13" t="s">
        <v>56</v>
      </c>
      <c r="E39" s="3" t="n">
        <f aca="false">SUM(F39:H39)</f>
        <v>29.6</v>
      </c>
      <c r="F39" s="4" t="n">
        <v>29.6</v>
      </c>
      <c r="G39" s="4" t="n">
        <v>0</v>
      </c>
      <c r="H39" s="4" t="n">
        <v>0</v>
      </c>
      <c r="I39" s="12" t="n">
        <v>48</v>
      </c>
      <c r="J39" s="4" t="n">
        <v>29.6</v>
      </c>
    </row>
    <row r="40" customFormat="false" ht="15" hidden="false" customHeight="false" outlineLevel="0" collapsed="false">
      <c r="A40" s="15" t="s">
        <v>48</v>
      </c>
      <c r="B40" s="12" t="s">
        <v>11</v>
      </c>
      <c r="C40" s="12" t="s">
        <v>12</v>
      </c>
      <c r="D40" s="13" t="s">
        <v>63</v>
      </c>
      <c r="E40" s="3" t="n">
        <f aca="false">SUM(F40:H40)</f>
        <v>19.9196349279994</v>
      </c>
      <c r="F40" s="4" t="n">
        <v>19.9196349279994</v>
      </c>
      <c r="G40" s="4" t="n">
        <v>0</v>
      </c>
      <c r="H40" s="4" t="n">
        <v>0</v>
      </c>
      <c r="I40" s="12" t="n">
        <v>54</v>
      </c>
      <c r="J40" s="4" t="n">
        <v>69.5</v>
      </c>
    </row>
    <row r="41" customFormat="false" ht="15" hidden="false" customHeight="false" outlineLevel="0" collapsed="false">
      <c r="A41" s="15" t="s">
        <v>48</v>
      </c>
      <c r="B41" s="12" t="s">
        <v>11</v>
      </c>
      <c r="C41" s="12" t="s">
        <v>12</v>
      </c>
      <c r="D41" s="13" t="s">
        <v>64</v>
      </c>
      <c r="E41" s="3" t="n">
        <f aca="false">SUM(F41:H41)</f>
        <v>17.4</v>
      </c>
      <c r="F41" s="4" t="n">
        <v>17.4</v>
      </c>
      <c r="G41" s="4" t="n">
        <v>0</v>
      </c>
      <c r="H41" s="4" t="n">
        <v>0</v>
      </c>
      <c r="I41" s="12" t="n">
        <v>52</v>
      </c>
      <c r="J41" s="4" t="n">
        <v>17.4</v>
      </c>
    </row>
    <row r="42" customFormat="false" ht="15" hidden="false" customHeight="false" outlineLevel="0" collapsed="false">
      <c r="A42" s="15" t="s">
        <v>48</v>
      </c>
      <c r="B42" s="12" t="s">
        <v>11</v>
      </c>
      <c r="C42" s="12" t="s">
        <v>12</v>
      </c>
      <c r="D42" s="13" t="s">
        <v>65</v>
      </c>
      <c r="E42" s="3" t="n">
        <f aca="false">SUM(F42:H42)</f>
        <v>1</v>
      </c>
      <c r="F42" s="4" t="n">
        <v>1</v>
      </c>
      <c r="G42" s="4" t="n">
        <v>0</v>
      </c>
      <c r="H42" s="4" t="n">
        <v>0</v>
      </c>
      <c r="I42" s="12" t="n">
        <v>36</v>
      </c>
      <c r="J42" s="4" t="n">
        <v>1</v>
      </c>
    </row>
    <row r="43" customFormat="false" ht="15" hidden="false" customHeight="false" outlineLevel="0" collapsed="false">
      <c r="A43" s="15" t="s">
        <v>48</v>
      </c>
      <c r="B43" s="12" t="s">
        <v>13</v>
      </c>
      <c r="C43" s="12" t="s">
        <v>10</v>
      </c>
      <c r="D43" s="13" t="s">
        <v>66</v>
      </c>
      <c r="E43" s="3" t="n">
        <f aca="false">SUM(F43:H43)</f>
        <v>49</v>
      </c>
      <c r="F43" s="4" t="n">
        <v>49</v>
      </c>
      <c r="G43" s="4" t="n">
        <v>0</v>
      </c>
      <c r="H43" s="4" t="n">
        <v>0</v>
      </c>
      <c r="I43" s="12" t="n">
        <v>37</v>
      </c>
      <c r="J43" s="4" t="n">
        <v>49</v>
      </c>
    </row>
    <row r="44" customFormat="false" ht="15" hidden="false" customHeight="false" outlineLevel="0" collapsed="false">
      <c r="A44" s="15" t="s">
        <v>48</v>
      </c>
      <c r="B44" s="12" t="s">
        <v>13</v>
      </c>
      <c r="C44" s="12" t="s">
        <v>10</v>
      </c>
      <c r="D44" s="13" t="s">
        <v>67</v>
      </c>
      <c r="E44" s="3" t="n">
        <f aca="false">SUM(F44:H44)</f>
        <v>18.8</v>
      </c>
      <c r="F44" s="4" t="n">
        <v>18.8</v>
      </c>
      <c r="G44" s="4" t="n">
        <v>0</v>
      </c>
      <c r="H44" s="4" t="n">
        <v>0</v>
      </c>
      <c r="I44" s="12" t="n">
        <v>35</v>
      </c>
      <c r="J44" s="4" t="n">
        <v>18.8</v>
      </c>
    </row>
    <row r="45" customFormat="false" ht="15" hidden="false" customHeight="false" outlineLevel="0" collapsed="false">
      <c r="A45" s="15" t="s">
        <v>48</v>
      </c>
      <c r="B45" s="12" t="s">
        <v>13</v>
      </c>
      <c r="C45" s="12" t="s">
        <v>10</v>
      </c>
      <c r="D45" s="13" t="s">
        <v>68</v>
      </c>
      <c r="E45" s="3" t="n">
        <f aca="false">SUM(F45:H45)</f>
        <v>8.3</v>
      </c>
      <c r="F45" s="4" t="n">
        <v>8.3</v>
      </c>
      <c r="G45" s="4" t="n">
        <v>0</v>
      </c>
      <c r="H45" s="4" t="n">
        <v>0</v>
      </c>
      <c r="I45" s="12" t="n">
        <v>40</v>
      </c>
      <c r="J45" s="4" t="n">
        <v>8.3</v>
      </c>
    </row>
    <row r="46" customFormat="false" ht="15" hidden="false" customHeight="false" outlineLevel="0" collapsed="false">
      <c r="A46" s="15" t="s">
        <v>48</v>
      </c>
      <c r="B46" s="12" t="s">
        <v>13</v>
      </c>
      <c r="C46" s="12" t="s">
        <v>10</v>
      </c>
      <c r="D46" s="13" t="s">
        <v>69</v>
      </c>
      <c r="E46" s="3" t="n">
        <f aca="false">SUM(F46:H46)</f>
        <v>3</v>
      </c>
      <c r="F46" s="4" t="n">
        <v>3</v>
      </c>
      <c r="G46" s="4" t="n">
        <v>0</v>
      </c>
      <c r="H46" s="4" t="n">
        <v>0</v>
      </c>
      <c r="I46" s="12" t="n">
        <v>33</v>
      </c>
      <c r="J46" s="4" t="n">
        <v>3</v>
      </c>
    </row>
    <row r="47" customFormat="false" ht="15" hidden="false" customHeight="false" outlineLevel="0" collapsed="false">
      <c r="A47" s="15" t="s">
        <v>48</v>
      </c>
      <c r="B47" s="12" t="s">
        <v>13</v>
      </c>
      <c r="C47" s="12" t="s">
        <v>10</v>
      </c>
      <c r="D47" s="13" t="s">
        <v>70</v>
      </c>
      <c r="E47" s="3" t="n">
        <f aca="false">SUM(F47:H47)</f>
        <v>1</v>
      </c>
      <c r="F47" s="4" t="n">
        <v>1</v>
      </c>
      <c r="G47" s="4" t="n">
        <v>0</v>
      </c>
      <c r="H47" s="4" t="n">
        <v>0</v>
      </c>
      <c r="I47" s="12" t="n">
        <v>40</v>
      </c>
      <c r="J47" s="4" t="n">
        <v>1</v>
      </c>
    </row>
    <row r="48" customFormat="false" ht="15" hidden="false" customHeight="false" outlineLevel="0" collapsed="false">
      <c r="A48" s="15" t="s">
        <v>48</v>
      </c>
      <c r="B48" s="12" t="s">
        <v>14</v>
      </c>
      <c r="C48" s="12" t="s">
        <v>12</v>
      </c>
      <c r="D48" s="13" t="s">
        <v>63</v>
      </c>
      <c r="E48" s="3" t="n">
        <f aca="false">SUM(F48:H48)</f>
        <v>11.2930826137372</v>
      </c>
      <c r="F48" s="4" t="n">
        <v>11.2930826137372</v>
      </c>
      <c r="G48" s="4" t="n">
        <v>0</v>
      </c>
      <c r="H48" s="4" t="n">
        <v>0</v>
      </c>
      <c r="I48" s="12" t="n">
        <v>31</v>
      </c>
      <c r="J48" s="4" t="n">
        <v>26</v>
      </c>
    </row>
    <row r="49" customFormat="false" ht="15" hidden="false" customHeight="false" outlineLevel="0" collapsed="false">
      <c r="A49" s="15" t="s">
        <v>48</v>
      </c>
      <c r="B49" s="12" t="s">
        <v>14</v>
      </c>
      <c r="C49" s="12" t="s">
        <v>12</v>
      </c>
      <c r="D49" s="13" t="s">
        <v>61</v>
      </c>
      <c r="E49" s="3" t="n">
        <f aca="false">SUM(F49:H49)</f>
        <v>6</v>
      </c>
      <c r="F49" s="4" t="n">
        <v>6</v>
      </c>
      <c r="G49" s="4" t="n">
        <v>0</v>
      </c>
      <c r="H49" s="4" t="n">
        <v>0</v>
      </c>
      <c r="I49" s="12" t="n">
        <v>33</v>
      </c>
      <c r="J49" s="4" t="n">
        <v>6</v>
      </c>
    </row>
    <row r="50" customFormat="false" ht="15" hidden="false" customHeight="false" outlineLevel="0" collapsed="false">
      <c r="A50" s="15" t="s">
        <v>48</v>
      </c>
      <c r="B50" s="12" t="s">
        <v>14</v>
      </c>
      <c r="C50" s="12" t="s">
        <v>12</v>
      </c>
      <c r="D50" s="13" t="s">
        <v>71</v>
      </c>
      <c r="E50" s="3" t="n">
        <f aca="false">SUM(F50:H50)</f>
        <v>3</v>
      </c>
      <c r="F50" s="4" t="n">
        <v>3</v>
      </c>
      <c r="G50" s="4" t="n">
        <v>0</v>
      </c>
      <c r="H50" s="4" t="n">
        <v>0</v>
      </c>
      <c r="I50" s="12" t="n">
        <v>32</v>
      </c>
      <c r="J50" s="4" t="n">
        <v>3</v>
      </c>
    </row>
    <row r="51" customFormat="false" ht="15" hidden="false" customHeight="false" outlineLevel="0" collapsed="false">
      <c r="A51" s="15" t="s">
        <v>48</v>
      </c>
      <c r="B51" s="12" t="s">
        <v>14</v>
      </c>
      <c r="C51" s="12" t="s">
        <v>12</v>
      </c>
      <c r="D51" s="13" t="s">
        <v>72</v>
      </c>
      <c r="E51" s="3" t="n">
        <f aca="false">SUM(F51:H51)</f>
        <v>2.6914669995602</v>
      </c>
      <c r="F51" s="4" t="n">
        <v>2.6914669995602</v>
      </c>
      <c r="G51" s="4" t="n">
        <v>0</v>
      </c>
      <c r="H51" s="4" t="n">
        <v>0</v>
      </c>
      <c r="I51" s="12" t="n">
        <v>31</v>
      </c>
      <c r="J51" s="4" t="n">
        <v>59</v>
      </c>
    </row>
    <row r="52" customFormat="false" ht="15" hidden="false" customHeight="false" outlineLevel="0" collapsed="false">
      <c r="A52" s="15" t="s">
        <v>48</v>
      </c>
      <c r="B52" s="12" t="s">
        <v>14</v>
      </c>
      <c r="C52" s="12" t="s">
        <v>12</v>
      </c>
      <c r="D52" s="13" t="s">
        <v>73</v>
      </c>
      <c r="E52" s="3" t="n">
        <f aca="false">SUM(F52:H52)</f>
        <v>0.947886827981485</v>
      </c>
      <c r="F52" s="4" t="n">
        <v>0.947886827981485</v>
      </c>
      <c r="G52" s="4" t="n">
        <v>0</v>
      </c>
      <c r="H52" s="4" t="n">
        <v>0</v>
      </c>
      <c r="I52" s="12" t="n">
        <v>36</v>
      </c>
      <c r="J52" s="4" t="n">
        <v>16</v>
      </c>
    </row>
    <row r="53" customFormat="false" ht="15" hidden="false" customHeight="false" outlineLevel="0" collapsed="false">
      <c r="A53" s="15" t="s">
        <v>48</v>
      </c>
      <c r="B53" s="12" t="s">
        <v>14</v>
      </c>
      <c r="C53" s="12" t="s">
        <v>12</v>
      </c>
      <c r="D53" s="13" t="s">
        <v>74</v>
      </c>
      <c r="E53" s="3" t="n">
        <f aca="false">SUM(F53:H53)</f>
        <v>0.701721705388288</v>
      </c>
      <c r="F53" s="4" t="n">
        <v>0.701721705388288</v>
      </c>
      <c r="G53" s="4" t="n">
        <v>0</v>
      </c>
      <c r="H53" s="4" t="n">
        <v>0</v>
      </c>
      <c r="I53" s="12" t="n">
        <v>35</v>
      </c>
      <c r="J53" s="4" t="n">
        <v>44</v>
      </c>
    </row>
    <row r="54" customFormat="false" ht="15" hidden="false" customHeight="false" outlineLevel="0" collapsed="false">
      <c r="A54" s="15" t="s">
        <v>48</v>
      </c>
      <c r="B54" s="12" t="s">
        <v>14</v>
      </c>
      <c r="C54" s="12" t="s">
        <v>12</v>
      </c>
      <c r="D54" s="13" t="s">
        <v>68</v>
      </c>
      <c r="E54" s="3" t="n">
        <f aca="false">SUM(F54:H54)</f>
        <v>0.0258911233622709</v>
      </c>
      <c r="F54" s="4" t="n">
        <v>0.0258911233622709</v>
      </c>
      <c r="G54" s="4" t="n">
        <v>0</v>
      </c>
      <c r="H54" s="4" t="n">
        <v>0</v>
      </c>
      <c r="I54" s="12" t="n">
        <v>60</v>
      </c>
      <c r="J54" s="4" t="n">
        <v>20</v>
      </c>
    </row>
    <row r="55" customFormat="false" ht="15" hidden="false" customHeight="false" outlineLevel="0" collapsed="false">
      <c r="A55" s="6"/>
      <c r="B55" s="6"/>
      <c r="C55" s="6"/>
      <c r="D55" s="6" t="s">
        <v>75</v>
      </c>
      <c r="E55" s="8" t="n">
        <f aca="false">SUBTOTAL(9,E5:E54)</f>
        <v>535.240600908948</v>
      </c>
      <c r="F55" s="8" t="n">
        <f aca="false">SUBTOTAL(9,F5:F54)</f>
        <v>315.051592890545</v>
      </c>
      <c r="G55" s="8" t="n">
        <f aca="false">SUBTOTAL(9,G5:G54)</f>
        <v>14.464</v>
      </c>
      <c r="H55" s="8" t="n">
        <f aca="false">SUBTOTAL(9,H5:H54)</f>
        <v>205.725008018403</v>
      </c>
      <c r="I55" s="6"/>
      <c r="J55" s="8" t="n">
        <f aca="false">SUBTOTAL(9,J5:J54)</f>
        <v>881.056</v>
      </c>
    </row>
    <row r="57" customFormat="false" ht="15" hidden="false" customHeight="false" outlineLevel="0" collapsed="false">
      <c r="A57" s="16" t="s">
        <v>76</v>
      </c>
    </row>
    <row r="58" customFormat="false" ht="15" hidden="false" customHeight="false" outlineLevel="0" collapsed="false">
      <c r="A58" s="17" t="s">
        <v>77</v>
      </c>
    </row>
    <row r="59" customFormat="false" ht="15" hidden="false" customHeight="false" outlineLevel="0" collapsed="false">
      <c r="A59" s="17" t="s">
        <v>78</v>
      </c>
    </row>
    <row r="60" customFormat="false" ht="15" hidden="false" customHeight="false" outlineLevel="0" collapsed="false">
      <c r="A60" s="17" t="s">
        <v>79</v>
      </c>
    </row>
    <row r="61" customFormat="false" ht="15" hidden="false" customHeight="false" outlineLevel="0" collapsed="false">
      <c r="A61" s="17" t="s">
        <v>80</v>
      </c>
    </row>
    <row r="62" customFormat="false" ht="15" hidden="false" customHeight="false" outlineLevel="0" collapsed="false">
      <c r="A62" s="17" t="s">
        <v>81</v>
      </c>
    </row>
  </sheetData>
  <autoFilter ref="A4:J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2026-10-29T13:05:11Z</dcterms:created>
  <dc:creator>openpyxl</dc:creator>
  <dc:description/>
  <dc:language>en-US</dc:language>
  <cp:lastModifiedBy/>
  <dcterms:modified xsi:type="dcterms:W3CDTF">2026-10-29T13:05:11Z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