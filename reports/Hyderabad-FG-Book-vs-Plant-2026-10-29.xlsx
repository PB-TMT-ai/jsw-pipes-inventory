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y size" sheetId="2" state="visible" r:id="rId4"/>
  </sheets>
  <definedNames>
    <definedName function="false" hidden="false" localSheetId="1" name="_xlnm.Print_Titles" vbProcedure="false">'By size'!$4:$4</definedName>
    <definedName function="false" hidden="true" localSheetId="1" name="_xlnm._FilterDatabase" vbProcedure="false">'By size'!$A$4:$M$99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<sst xmlns="http://schemas.openxmlformats.org/spreadsheetml/2006/main" count="233" uniqueCount="141">
  <si>
    <t xml:space="preserve">Hyderabad FG - book (produced minus invoiced) vs plant sheet, 29-Oct-2026</t>
  </si>
  <si>
    <t xml:space="preserve">System produced since 28-Mar (MT)</t>
  </si>
  <si>
    <t xml:space="preserve">Tubes x SKU master weight per tube; Hyderabad production entered up to 28-Oct</t>
  </si>
  <si>
    <t xml:space="preserve">System invoiced (MT)</t>
  </si>
  <si>
    <t xml:space="preserve">Zoho invoice register; Hyderabad invoices up to 26-Oct (30-Sep re-uploaded on 29-Oct)</t>
  </si>
  <si>
    <t xml:space="preserve">System produced - invoiced (MT)</t>
  </si>
  <si>
    <t xml:space="preserve">The book stock, all sizes netted together</t>
  </si>
  <si>
    <t xml:space="preserve">Plant sheet Grand Total (MT)</t>
  </si>
  <si>
    <t xml:space="preserve">As printed on the plant sheet</t>
  </si>
  <si>
    <t xml:space="preserve">Plant sheet, 55 visible rows (MT)</t>
  </si>
  <si>
    <t xml:space="preserve">Typed from the sheet image</t>
  </si>
  <si>
    <t xml:space="preserve">Plant sheet rows not visible (MT)</t>
  </si>
  <si>
    <t xml:space="preserve">Hidden or filtered rows on the sheet</t>
  </si>
  <si>
    <t xml:space="preserve">Plant Grand Total - system book (MT)</t>
  </si>
  <si>
    <t xml:space="preserve">Remaining difference</t>
  </si>
  <si>
    <t xml:space="preserve">Plant visible rows - system book (MT)</t>
  </si>
  <si>
    <t xml:space="preserve">Average Hyderabad production per day, last 30 days (MT)</t>
  </si>
  <si>
    <t xml:space="preserve">29-Sep to 28-Oct, from the database</t>
  </si>
  <si>
    <t xml:space="preserve">Remaining difference in days of production</t>
  </si>
  <si>
    <t xml:space="preserve">Production of 29-Oct is not yet entered in the system</t>
  </si>
  <si>
    <t xml:space="preserve">Sizes matching within 0.5 MT (of all sizes)</t>
  </si>
  <si>
    <t xml:space="preserve">Plant sheet FG within 0.5 MT of produced - invoiced</t>
  </si>
  <si>
    <t xml:space="preserve">Why this view</t>
  </si>
  <si>
    <t xml:space="preserve">The FG mismatch file counts each size at no less than 0 (2.8-3.2 as one size), so a size billed beyond its production (usually made under one code and billed under a neighbouring one) cannot cancel stock held under the other code; it read 683.8 MT. The 29-Oct ageing files read 895.2 MT for Hyderabad: they were built before the 30-Sep invoices were re-uploaded and keep 2.8-3.2 separate (720.6 MT on today's data).</t>
  </si>
  <si>
    <t xml:space="preserve">Netting every size together, as here, gives the book stock of 636.5 MT. Against the plant sheet the gap is 13.0 MT (Grand Total) or 6.9 MT (visible rows), about half a day of production: Hyderabad production for 29-Oct is not yet entered.</t>
  </si>
  <si>
    <t xml:space="preserve">Size by size, a difference usually means stock produced under one code and billed or counted under another; see the companion file Hyderabad-FG-Mismatch-2026-10-29.xlsx.</t>
  </si>
  <si>
    <t xml:space="preserve">Plant sheet rows "25.4OD" are matched to the system's CHS 20 NB (assumption). Thickness 2.8, 2.9, 3.0 and 3.2 of a size are one size (3.0), as decided on 29-Oct.</t>
  </si>
  <si>
    <t xml:space="preserve">Hyderabad FG on a book basis: produced minus invoiced, by size, vs the plant FG sheet</t>
  </si>
  <si>
    <t xml:space="preserve">Plant sheet 29-Oct-2026 vs system (production to 28-Oct, invoices to 26-Oct). Totals since tracking began (28-Mar-2026). Thickness 2.8-3.2 counted as 3.0. Produced - invoiced is NOT floored at 0: a negative means more was billed than produced under that size.</t>
  </si>
  <si>
    <t xml:space="preserve">Size</t>
  </si>
  <si>
    <t xml:space="preserve">Section</t>
  </si>
  <si>
    <t xml:space="preserve">Produced (MT)</t>
  </si>
  <si>
    <t xml:space="preserve">Produced (tubes)</t>
  </si>
  <si>
    <t xml:space="preserve">Invoiced (MT)</t>
  </si>
  <si>
    <t xml:space="preserve">Invoiced (pieces)</t>
  </si>
  <si>
    <t xml:space="preserve">Produced - invoiced (MT)</t>
  </si>
  <si>
    <t xml:space="preserve">Produced - invoiced (pieces)</t>
  </si>
  <si>
    <t xml:space="preserve">Plant sheet FG (MT)</t>
  </si>
  <si>
    <t xml:space="preserve">Plant - system (MT)</t>
  </si>
  <si>
    <t xml:space="preserve">Matches within 0.5 MT</t>
  </si>
  <si>
    <t xml:space="preserve">Last produced</t>
  </si>
  <si>
    <t xml:space="preserve">Last invoiced</t>
  </si>
  <si>
    <t xml:space="preserve">15X15X1.6</t>
  </si>
  <si>
    <t xml:space="preserve">SHS</t>
  </si>
  <si>
    <t xml:space="preserve">20X20X1.2</t>
  </si>
  <si>
    <t xml:space="preserve">20X20X1.6</t>
  </si>
  <si>
    <t xml:space="preserve">20X20X2</t>
  </si>
  <si>
    <t xml:space="preserve">25X25X1.2</t>
  </si>
  <si>
    <t xml:space="preserve">25X25X1.6</t>
  </si>
  <si>
    <t xml:space="preserve">25X25X2</t>
  </si>
  <si>
    <t xml:space="preserve">25X25X2.5</t>
  </si>
  <si>
    <t xml:space="preserve">25X25X3 (2.8-3.2)</t>
  </si>
  <si>
    <t xml:space="preserve">30X30X1.6</t>
  </si>
  <si>
    <t xml:space="preserve">30X30X2</t>
  </si>
  <si>
    <t xml:space="preserve">30X30X2.5</t>
  </si>
  <si>
    <t xml:space="preserve">38X38X1.6</t>
  </si>
  <si>
    <t xml:space="preserve">38X38X2</t>
  </si>
  <si>
    <t xml:space="preserve">38X38X2.2</t>
  </si>
  <si>
    <t xml:space="preserve">38X38X2.5</t>
  </si>
  <si>
    <t xml:space="preserve">38X38X3 (2.8-3.2)</t>
  </si>
  <si>
    <t xml:space="preserve">38X38X4</t>
  </si>
  <si>
    <t xml:space="preserve">50X50X1.2</t>
  </si>
  <si>
    <t xml:space="preserve">50X50X1.6</t>
  </si>
  <si>
    <t xml:space="preserve">50X50X2</t>
  </si>
  <si>
    <t xml:space="preserve">50X50X2.2</t>
  </si>
  <si>
    <t xml:space="preserve">50X50X2.5</t>
  </si>
  <si>
    <t xml:space="preserve">50X50X3 (2.8-3.2)</t>
  </si>
  <si>
    <t xml:space="preserve">50X50X4</t>
  </si>
  <si>
    <t xml:space="preserve">60X60X2</t>
  </si>
  <si>
    <t xml:space="preserve">60X60X2.5</t>
  </si>
  <si>
    <t xml:space="preserve">60X60X2.8</t>
  </si>
  <si>
    <t xml:space="preserve">60X60X4</t>
  </si>
  <si>
    <t xml:space="preserve">75X75X2</t>
  </si>
  <si>
    <t xml:space="preserve">75X75X2.5</t>
  </si>
  <si>
    <t xml:space="preserve">40X20X1.2</t>
  </si>
  <si>
    <t xml:space="preserve">RHS</t>
  </si>
  <si>
    <t xml:space="preserve">40X20X1.6</t>
  </si>
  <si>
    <t xml:space="preserve">40X20X2</t>
  </si>
  <si>
    <t xml:space="preserve">40X20X2.2</t>
  </si>
  <si>
    <t xml:space="preserve">40X20X2.5</t>
  </si>
  <si>
    <t xml:space="preserve">40X20X3 (2.8-3.2)</t>
  </si>
  <si>
    <t xml:space="preserve">50X25X1.6</t>
  </si>
  <si>
    <t xml:space="preserve">50X25X2</t>
  </si>
  <si>
    <t xml:space="preserve">50X25X2.5</t>
  </si>
  <si>
    <t xml:space="preserve">50X25X2.8</t>
  </si>
  <si>
    <t xml:space="preserve">60X40X1.6</t>
  </si>
  <si>
    <t xml:space="preserve">60X40X2</t>
  </si>
  <si>
    <t xml:space="preserve">60X40X2.5</t>
  </si>
  <si>
    <t xml:space="preserve">60X40X2.8</t>
  </si>
  <si>
    <t xml:space="preserve">75X25X1.6</t>
  </si>
  <si>
    <t xml:space="preserve">75X25X2</t>
  </si>
  <si>
    <t xml:space="preserve">75X25X2.5</t>
  </si>
  <si>
    <t xml:space="preserve">75X25X2.8</t>
  </si>
  <si>
    <t xml:space="preserve">80X40X1.6</t>
  </si>
  <si>
    <t xml:space="preserve">80X40X2</t>
  </si>
  <si>
    <t xml:space="preserve">80X40X2.5</t>
  </si>
  <si>
    <t xml:space="preserve">80X40X3 (2.8-3.2)</t>
  </si>
  <si>
    <t xml:space="preserve">80X40X4</t>
  </si>
  <si>
    <t xml:space="preserve">100X50X1.6</t>
  </si>
  <si>
    <t xml:space="preserve">100X50X2</t>
  </si>
  <si>
    <t xml:space="preserve">100X50X2.5</t>
  </si>
  <si>
    <t xml:space="preserve">100X50X3 (2.8-3.2)</t>
  </si>
  <si>
    <t xml:space="preserve">100X50X4</t>
  </si>
  <si>
    <t xml:space="preserve">15NBX1.6</t>
  </si>
  <si>
    <t xml:space="preserve">CHS</t>
  </si>
  <si>
    <t xml:space="preserve">15NBX2</t>
  </si>
  <si>
    <t xml:space="preserve">15NBX2.5</t>
  </si>
  <si>
    <t xml:space="preserve">25.4ODX1.6 (20 NB)</t>
  </si>
  <si>
    <t xml:space="preserve">25.4ODX2 (20 NB)</t>
  </si>
  <si>
    <t xml:space="preserve">25.4ODX2.5 (20 NB)</t>
  </si>
  <si>
    <t xml:space="preserve">25.4ODX3 (2.8-3.2) (20 NB)</t>
  </si>
  <si>
    <t xml:space="preserve">25NBX1.6</t>
  </si>
  <si>
    <t xml:space="preserve">25NBX2</t>
  </si>
  <si>
    <t xml:space="preserve">25NBX2.5</t>
  </si>
  <si>
    <t xml:space="preserve">25NBX2.8</t>
  </si>
  <si>
    <t xml:space="preserve">25NBX4</t>
  </si>
  <si>
    <t xml:space="preserve">32NBX1.6</t>
  </si>
  <si>
    <t xml:space="preserve">32NBX2</t>
  </si>
  <si>
    <t xml:space="preserve">32NBX2.5</t>
  </si>
  <si>
    <t xml:space="preserve">32NBX2.8</t>
  </si>
  <si>
    <t xml:space="preserve">32NBX4</t>
  </si>
  <si>
    <t xml:space="preserve">40NBX1.6</t>
  </si>
  <si>
    <t xml:space="preserve">40NBX2</t>
  </si>
  <si>
    <t xml:space="preserve">40NBX2.5</t>
  </si>
  <si>
    <t xml:space="preserve">40NBX3 (2.8-3.2)</t>
  </si>
  <si>
    <t xml:space="preserve">40NBX4</t>
  </si>
  <si>
    <t xml:space="preserve">50NBX1.6</t>
  </si>
  <si>
    <t xml:space="preserve">50NBX2</t>
  </si>
  <si>
    <t xml:space="preserve">50NBX2.5</t>
  </si>
  <si>
    <t xml:space="preserve">50NBX3 (2.8-3.2)</t>
  </si>
  <si>
    <t xml:space="preserve">50NBX4</t>
  </si>
  <si>
    <t xml:space="preserve">65NBX2</t>
  </si>
  <si>
    <t xml:space="preserve">65NBX2.5</t>
  </si>
  <si>
    <t xml:space="preserve">65NBX2.8</t>
  </si>
  <si>
    <t xml:space="preserve">65NBX4</t>
  </si>
  <si>
    <t xml:space="preserve">80NBX1.6</t>
  </si>
  <si>
    <t xml:space="preserve">80NBX2</t>
  </si>
  <si>
    <t xml:space="preserve">80NBX2.5</t>
  </si>
  <si>
    <t xml:space="preserve">80NBX3 (2.8-3.2)</t>
  </si>
  <si>
    <t xml:space="preserve">80NBX4</t>
  </si>
  <si>
    <t xml:space="preserve">Total (follows the filter)</t>
  </si>
</sst>
</file>

<file path=xl/styles.xml><?xml version="1.0" encoding="utf-8"?>
<styleSheet xmlns="http://schemas.openxmlformats.org/spreadsheetml/2006/main">
  <numFmts count="6">
    <numFmt numFmtId="164" formatCode="General"/>
    <numFmt numFmtId="165" formatCode="#,##0.000;[RED]\-#,##0.000"/>
    <numFmt numFmtId="166" formatCode="0.0"/>
    <numFmt numFmtId="167" formatCode="#,##0.000;[RED]\-#,##0.000;\-"/>
    <numFmt numFmtId="168" formatCode="#,##0;[RED]\-#,##0;\-"/>
    <numFmt numFmtId="169" formatCode="dd\-mmm\-yy"/>
  </numFmts>
  <fonts count="11">
    <font>
      <sz val="11"/>
      <color theme="1"/>
      <name val="Calibri"/>
      <family val="2"/>
      <charset val="1"/>
    </font>
    <font>
      <sz val="10"/>
      <name val="Arial"/>
      <family val="0"/>
    </font>
    <font>
      <sz val="10"/>
      <name val="Arial"/>
      <family val="0"/>
    </font>
    <font>
      <sz val="10"/>
      <name val="Arial"/>
      <family val="0"/>
    </font>
    <font>
      <b val="true"/>
      <sz val="13"/>
      <color rgb="FF1F3A5F"/>
      <name val="Arial"/>
      <family val="0"/>
      <charset val="1"/>
    </font>
    <font>
      <sz val="10"/>
      <name val="Arial"/>
      <family val="0"/>
      <charset val="1"/>
    </font>
    <font>
      <sz val="9"/>
      <color rgb="FF555555"/>
      <name val="Arial"/>
      <family val="0"/>
      <charset val="1"/>
    </font>
    <font>
      <b val="true"/>
      <sz val="10"/>
      <name val="Arial"/>
      <family val="0"/>
      <charset val="1"/>
    </font>
    <font>
      <b val="true"/>
      <sz val="9"/>
      <color rgb="FF333333"/>
      <name val="Arial"/>
      <family val="0"/>
      <charset val="1"/>
    </font>
    <font>
      <i val="true"/>
      <sz val="9"/>
      <color rgb="FF555555"/>
      <name val="Arial"/>
      <family val="0"/>
      <charset val="1"/>
    </font>
    <font>
      <b val="true"/>
      <sz val="10"/>
      <color rgb="FFFFFFFF"/>
      <name val="Arial"/>
      <family val="0"/>
      <charset val="1"/>
    </font>
  </fonts>
  <fills count="5">
    <fill>
      <patternFill patternType="none"/>
    </fill>
    <fill>
      <patternFill patternType="gray125"/>
    </fill>
    <fill>
      <patternFill patternType="solid">
        <fgColor rgb="FFEEF2F6"/>
        <bgColor rgb="FFE8F5E9"/>
      </patternFill>
    </fill>
    <fill>
      <patternFill patternType="solid">
        <fgColor rgb="FF1F3A5F"/>
        <bgColor rgb="FF333333"/>
      </patternFill>
    </fill>
    <fill>
      <patternFill patternType="solid">
        <fgColor rgb="FFF6F8FA"/>
        <bgColor rgb="FFEEF2F6"/>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5"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7" fontId="7" fillId="2" borderId="1" xfId="0" applyFont="true" applyBorder="true" applyAlignment="false" applyProtection="false">
      <alignment horizontal="general" vertical="bottom" textRotation="0" wrapText="false" indent="0" shrinkToFit="false"/>
      <protection locked="true" hidden="false"/>
    </xf>
    <xf numFmtId="168" fontId="7"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0000"/>
          <bgColor rgb="FF000000"/>
        </patternFill>
      </fill>
    </dxf>
    <dxf>
      <fill>
        <patternFill patternType="solid">
          <fgColor rgb="FFF6F8FA"/>
          <bgColor rgb="FF000000"/>
        </patternFill>
      </fill>
    </dxf>
    <dxf>
      <fill>
        <patternFill patternType="solid">
          <fgColor rgb="FFE8F5E9"/>
          <bgColor rgb="FF000000"/>
        </patternFill>
      </fill>
    </dxf>
    <dxf>
      <fill>
        <patternFill patternType="solid">
          <fgColor rgb="FFFBE3E1"/>
          <bgColor rgb="FF000000"/>
        </patternFill>
      </fill>
    </dxf>
    <dxf>
      <fill>
        <patternFill>
          <bgColor rgb="FFFBE3E1"/>
        </patternFill>
      </fill>
    </dxf>
    <dxf>
      <fill>
        <patternFill>
          <bgColor rgb="FFE8F5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8FA"/>
      <rgbColor rgb="FFE8F5E9"/>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EEF2F6"/>
      <rgbColor rgb="FFCCFFCC"/>
      <rgbColor rgb="FFFFFF99"/>
      <rgbColor rgb="FF99CCFF"/>
      <rgbColor rgb="FFFF99CC"/>
      <rgbColor rgb="FFCC99FF"/>
      <rgbColor rgb="FFFBE3E1"/>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80"/>
  </cols>
  <sheetData>
    <row r="1" customFormat="false" ht="16.15" hidden="false" customHeight="false" outlineLevel="0" collapsed="false">
      <c r="A1" s="1" t="s">
        <v>0</v>
      </c>
    </row>
    <row r="3" customFormat="false" ht="15" hidden="false" customHeight="false" outlineLevel="0" collapsed="false">
      <c r="A3" s="2" t="s">
        <v>1</v>
      </c>
      <c r="B3" s="3" t="n">
        <f aca="false">SUM('By size'!C5:C99)</f>
        <v>6960.10004706745</v>
      </c>
      <c r="C3" s="4" t="s">
        <v>2</v>
      </c>
    </row>
    <row r="4" customFormat="false" ht="15" hidden="false" customHeight="false" outlineLevel="0" collapsed="false">
      <c r="A4" s="2" t="s">
        <v>3</v>
      </c>
      <c r="B4" s="3" t="n">
        <f aca="false">SUM('By size'!E5:E99)</f>
        <v>6323.554</v>
      </c>
      <c r="C4" s="4" t="s">
        <v>4</v>
      </c>
    </row>
    <row r="5" customFormat="false" ht="15" hidden="false" customHeight="false" outlineLevel="0" collapsed="false">
      <c r="A5" s="5" t="s">
        <v>5</v>
      </c>
      <c r="B5" s="6" t="n">
        <f aca="false">B3-B4</f>
        <v>636.546047067445</v>
      </c>
      <c r="C5" s="4" t="s">
        <v>6</v>
      </c>
    </row>
    <row r="6" customFormat="false" ht="15" hidden="false" customHeight="false" outlineLevel="0" collapsed="false">
      <c r="A6" s="2" t="s">
        <v>7</v>
      </c>
      <c r="B6" s="3" t="n">
        <v>649.586</v>
      </c>
      <c r="C6" s="4" t="s">
        <v>8</v>
      </c>
    </row>
    <row r="7" customFormat="false" ht="15" hidden="false" customHeight="false" outlineLevel="0" collapsed="false">
      <c r="A7" s="2" t="s">
        <v>9</v>
      </c>
      <c r="B7" s="3" t="n">
        <f aca="false">SUM('By size'!I5:I99)</f>
        <v>643.432</v>
      </c>
      <c r="C7" s="4" t="s">
        <v>10</v>
      </c>
    </row>
    <row r="8" customFormat="false" ht="15" hidden="false" customHeight="false" outlineLevel="0" collapsed="false">
      <c r="A8" s="2" t="s">
        <v>11</v>
      </c>
      <c r="B8" s="3" t="n">
        <f aca="false">B6-B7</f>
        <v>6.154</v>
      </c>
      <c r="C8" s="4" t="s">
        <v>12</v>
      </c>
    </row>
    <row r="9" customFormat="false" ht="15" hidden="false" customHeight="false" outlineLevel="0" collapsed="false">
      <c r="A9" s="5" t="s">
        <v>13</v>
      </c>
      <c r="B9" s="6" t="n">
        <f aca="false">B6-B5</f>
        <v>13.0399529325548</v>
      </c>
      <c r="C9" s="4" t="s">
        <v>14</v>
      </c>
    </row>
    <row r="10" customFormat="false" ht="15" hidden="false" customHeight="false" outlineLevel="0" collapsed="false">
      <c r="A10" s="2" t="s">
        <v>15</v>
      </c>
      <c r="B10" s="3" t="n">
        <f aca="false">B7-B5</f>
        <v>6.8859529325548</v>
      </c>
      <c r="C10" s="4"/>
    </row>
    <row r="11" customFormat="false" ht="15" hidden="false" customHeight="false" outlineLevel="0" collapsed="false">
      <c r="A11" s="2" t="s">
        <v>16</v>
      </c>
      <c r="B11" s="3" t="n">
        <v>23.9</v>
      </c>
      <c r="C11" s="4" t="s">
        <v>17</v>
      </c>
    </row>
    <row r="12" customFormat="false" ht="15" hidden="false" customHeight="false" outlineLevel="0" collapsed="false">
      <c r="A12" s="2" t="s">
        <v>18</v>
      </c>
      <c r="B12" s="7" t="n">
        <f aca="false">B9/B11</f>
        <v>0.545604725211498</v>
      </c>
      <c r="C12" s="4" t="s">
        <v>19</v>
      </c>
    </row>
    <row r="13" customFormat="false" ht="15" hidden="false" customHeight="false" outlineLevel="0" collapsed="false">
      <c r="A13" s="2" t="s">
        <v>20</v>
      </c>
      <c r="B13" s="3" t="str">
        <f aca="false">COUNTIF('By size'!K5:K99,"Yes")&amp;" of "&amp;COUNTA('By size'!K5:K99)</f>
        <v>39 of 95</v>
      </c>
      <c r="C13" s="4" t="s">
        <v>21</v>
      </c>
    </row>
    <row r="15" customFormat="false" ht="15" hidden="false" customHeight="false" outlineLevel="0" collapsed="false">
      <c r="A15" s="8" t="s">
        <v>22</v>
      </c>
    </row>
    <row r="16" customFormat="false" ht="15" hidden="false" customHeight="false" outlineLevel="0" collapsed="false">
      <c r="A16" s="9" t="s">
        <v>23</v>
      </c>
    </row>
    <row r="17" customFormat="false" ht="15" hidden="false" customHeight="false" outlineLevel="0" collapsed="false">
      <c r="A17" s="9" t="s">
        <v>24</v>
      </c>
    </row>
    <row r="18" customFormat="false" ht="15" hidden="false" customHeight="false" outlineLevel="0" collapsed="false">
      <c r="A18" s="9" t="s">
        <v>25</v>
      </c>
    </row>
    <row r="19" customFormat="false" ht="15" hidden="false" customHeight="false" outlineLevel="0" collapsed="false">
      <c r="A19" s="9" t="s">
        <v>26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12"/>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7" min="7" style="0" width="13"/>
    <col collapsed="false" customWidth="true" hidden="false" outlineLevel="0" max="10" min="8" style="0" width="12"/>
    <col collapsed="false" customWidth="true" hidden="false" outlineLevel="0" max="13" min="11" style="0" width="10"/>
  </cols>
  <sheetData>
    <row r="1" customFormat="false" ht="16.15" hidden="false" customHeight="false" outlineLevel="0" collapsed="false">
      <c r="A1" s="1" t="s">
        <v>27</v>
      </c>
    </row>
    <row r="2" customFormat="false" ht="25.5" hidden="false" customHeight="true" outlineLevel="0" collapsed="false">
      <c r="A2" s="10" t="s">
        <v>28</v>
      </c>
    </row>
    <row r="4" customFormat="false" ht="39.75" hidden="false" customHeight="true" outlineLevel="0" collapsed="false">
      <c r="A4" s="11" t="s">
        <v>29</v>
      </c>
      <c r="B4" s="11" t="s">
        <v>30</v>
      </c>
      <c r="C4" s="11" t="s">
        <v>31</v>
      </c>
      <c r="D4" s="11" t="s">
        <v>32</v>
      </c>
      <c r="E4" s="11" t="s">
        <v>33</v>
      </c>
      <c r="F4" s="11" t="s">
        <v>34</v>
      </c>
      <c r="G4" s="11" t="s">
        <v>35</v>
      </c>
      <c r="H4" s="11" t="s">
        <v>36</v>
      </c>
      <c r="I4" s="11" t="s">
        <v>37</v>
      </c>
      <c r="J4" s="11" t="s">
        <v>38</v>
      </c>
      <c r="K4" s="11" t="s">
        <v>39</v>
      </c>
      <c r="L4" s="11" t="s">
        <v>40</v>
      </c>
      <c r="M4" s="11" t="s">
        <v>41</v>
      </c>
    </row>
    <row r="5" customFormat="false" ht="15" hidden="false" customHeight="false" outlineLevel="0" collapsed="false">
      <c r="A5" s="12" t="s">
        <v>42</v>
      </c>
      <c r="B5" s="2" t="s">
        <v>43</v>
      </c>
      <c r="C5" s="13" t="n">
        <v>1.93886208</v>
      </c>
      <c r="D5" s="14" t="n">
        <v>480</v>
      </c>
      <c r="E5" s="13" t="n">
        <v>2</v>
      </c>
      <c r="F5" s="14" t="n">
        <v>495</v>
      </c>
      <c r="G5" s="15" t="n">
        <f aca="false">C5-E5</f>
        <v>-0.06113792</v>
      </c>
      <c r="H5" s="14" t="n">
        <f aca="false">D5-F5</f>
        <v>-15</v>
      </c>
      <c r="I5" s="16" t="n">
        <v>0</v>
      </c>
      <c r="J5" s="13" t="n">
        <f aca="false">I5-G5</f>
        <v>0.06113792</v>
      </c>
      <c r="K5" s="17" t="str">
        <f aca="false">IF(ABS(J5)&lt;=0.5,"Yes","No")</f>
        <v>Yes</v>
      </c>
      <c r="L5" s="18" t="n">
        <v>46235</v>
      </c>
      <c r="M5" s="18" t="n">
        <v>46248</v>
      </c>
    </row>
    <row r="6" customFormat="false" ht="15" hidden="false" customHeight="false" outlineLevel="0" collapsed="false">
      <c r="A6" s="12" t="s">
        <v>44</v>
      </c>
      <c r="B6" s="2" t="s">
        <v>43</v>
      </c>
      <c r="C6" s="13" t="n">
        <v>22.692373056</v>
      </c>
      <c r="D6" s="14" t="n">
        <v>5339</v>
      </c>
      <c r="E6" s="13" t="n">
        <v>22.63</v>
      </c>
      <c r="F6" s="14" t="n">
        <v>5325</v>
      </c>
      <c r="G6" s="15" t="n">
        <f aca="false">C6-E6</f>
        <v>0.0623730559999913</v>
      </c>
      <c r="H6" s="14" t="n">
        <f aca="false">D6-F6</f>
        <v>14</v>
      </c>
      <c r="I6" s="16" t="n">
        <v>0</v>
      </c>
      <c r="J6" s="13" t="n">
        <f aca="false">I6-G6</f>
        <v>-0.0623730559999913</v>
      </c>
      <c r="K6" s="17" t="str">
        <f aca="false">IF(ABS(J6)&lt;=0.5,"Yes","No")</f>
        <v>Yes</v>
      </c>
      <c r="L6" s="18" t="n">
        <v>46308</v>
      </c>
      <c r="M6" s="18" t="n">
        <v>46314</v>
      </c>
    </row>
    <row r="7" customFormat="false" ht="15" hidden="false" customHeight="false" outlineLevel="0" collapsed="false">
      <c r="A7" s="12" t="s">
        <v>45</v>
      </c>
      <c r="B7" s="2" t="s">
        <v>43</v>
      </c>
      <c r="C7" s="13" t="n">
        <v>58.360230912</v>
      </c>
      <c r="D7" s="14" t="n">
        <v>10522</v>
      </c>
      <c r="E7" s="13" t="n">
        <v>58.775</v>
      </c>
      <c r="F7" s="14" t="n">
        <v>10597</v>
      </c>
      <c r="G7" s="15" t="n">
        <f aca="false">C7-E7</f>
        <v>-0.414769087999986</v>
      </c>
      <c r="H7" s="14" t="n">
        <f aca="false">D7-F7</f>
        <v>-75</v>
      </c>
      <c r="I7" s="16" t="n">
        <v>0</v>
      </c>
      <c r="J7" s="13" t="n">
        <f aca="false">I7-G7</f>
        <v>0.414769087999986</v>
      </c>
      <c r="K7" s="17" t="str">
        <f aca="false">IF(ABS(J7)&lt;=0.5,"Yes","No")</f>
        <v>Yes</v>
      </c>
      <c r="L7" s="18" t="n">
        <v>46224</v>
      </c>
      <c r="M7" s="18" t="n">
        <v>46235</v>
      </c>
    </row>
    <row r="8" customFormat="false" ht="15" hidden="false" customHeight="false" outlineLevel="0" collapsed="false">
      <c r="A8" s="12" t="s">
        <v>46</v>
      </c>
      <c r="B8" s="2" t="s">
        <v>43</v>
      </c>
      <c r="C8" s="13" t="n">
        <v>71.5068432</v>
      </c>
      <c r="D8" s="14" t="n">
        <v>10543</v>
      </c>
      <c r="E8" s="13" t="n">
        <v>74.28</v>
      </c>
      <c r="F8" s="14" t="n">
        <v>10951</v>
      </c>
      <c r="G8" s="15" t="n">
        <f aca="false">C8-E8</f>
        <v>-2.77315679999998</v>
      </c>
      <c r="H8" s="14" t="n">
        <f aca="false">D8-F8</f>
        <v>-408</v>
      </c>
      <c r="I8" s="16" t="n">
        <v>0</v>
      </c>
      <c r="J8" s="13" t="n">
        <f aca="false">I8-G8</f>
        <v>2.77315679999998</v>
      </c>
      <c r="K8" s="17" t="str">
        <f aca="false">IF(ABS(J8)&lt;=0.5,"Yes","No")</f>
        <v>No</v>
      </c>
      <c r="L8" s="18" t="n">
        <v>46280</v>
      </c>
      <c r="M8" s="18" t="n">
        <v>46310</v>
      </c>
    </row>
    <row r="9" customFormat="false" ht="15" hidden="false" customHeight="false" outlineLevel="0" collapsed="false">
      <c r="A9" s="12" t="s">
        <v>47</v>
      </c>
      <c r="B9" s="2" t="s">
        <v>43</v>
      </c>
      <c r="C9" s="13" t="n">
        <v>24.735096288</v>
      </c>
      <c r="D9" s="14" t="n">
        <v>4597</v>
      </c>
      <c r="E9" s="13" t="n">
        <v>26.3</v>
      </c>
      <c r="F9" s="14" t="n">
        <v>4887</v>
      </c>
      <c r="G9" s="15" t="n">
        <f aca="false">C9-E9</f>
        <v>-1.56490371200001</v>
      </c>
      <c r="H9" s="14" t="n">
        <f aca="false">D9-F9</f>
        <v>-290</v>
      </c>
      <c r="I9" s="16" t="n">
        <v>0</v>
      </c>
      <c r="J9" s="13" t="n">
        <f aca="false">I9-G9</f>
        <v>1.56490371200001</v>
      </c>
      <c r="K9" s="17" t="str">
        <f aca="false">IF(ABS(J9)&lt;=0.5,"Yes","No")</f>
        <v>No</v>
      </c>
      <c r="L9" s="18" t="n">
        <v>46275</v>
      </c>
      <c r="M9" s="18" t="n">
        <v>46286</v>
      </c>
    </row>
    <row r="10" customFormat="false" ht="15" hidden="false" customHeight="false" outlineLevel="0" collapsed="false">
      <c r="A10" s="12" t="s">
        <v>48</v>
      </c>
      <c r="B10" s="2" t="s">
        <v>43</v>
      </c>
      <c r="C10" s="13" t="n">
        <v>145.722305664</v>
      </c>
      <c r="D10" s="14" t="n">
        <v>20659</v>
      </c>
      <c r="E10" s="13" t="n">
        <v>145.693</v>
      </c>
      <c r="F10" s="14" t="n">
        <v>20658</v>
      </c>
      <c r="G10" s="15" t="n">
        <f aca="false">C10-E10</f>
        <v>0.0293056639999918</v>
      </c>
      <c r="H10" s="14" t="n">
        <f aca="false">D10-F10</f>
        <v>1</v>
      </c>
      <c r="I10" s="16" t="n">
        <v>0</v>
      </c>
      <c r="J10" s="13" t="n">
        <f aca="false">I10-G10</f>
        <v>-0.0293056639999918</v>
      </c>
      <c r="K10" s="17" t="str">
        <f aca="false">IF(ABS(J10)&lt;=0.5,"Yes","No")</f>
        <v>Yes</v>
      </c>
      <c r="L10" s="18" t="n">
        <v>46316</v>
      </c>
      <c r="M10" s="18" t="n">
        <v>46319</v>
      </c>
    </row>
    <row r="11" customFormat="false" ht="15" hidden="false" customHeight="false" outlineLevel="0" collapsed="false">
      <c r="A11" s="12" t="s">
        <v>49</v>
      </c>
      <c r="B11" s="2" t="s">
        <v>43</v>
      </c>
      <c r="C11" s="13" t="n">
        <v>213.7047576</v>
      </c>
      <c r="D11" s="14" t="n">
        <v>24659</v>
      </c>
      <c r="E11" s="13" t="n">
        <v>201.392</v>
      </c>
      <c r="F11" s="14" t="n">
        <v>23239</v>
      </c>
      <c r="G11" s="15" t="n">
        <f aca="false">C11-E11</f>
        <v>12.3127576</v>
      </c>
      <c r="H11" s="14" t="n">
        <f aca="false">D11-F11</f>
        <v>1420</v>
      </c>
      <c r="I11" s="13" t="n">
        <v>11.749</v>
      </c>
      <c r="J11" s="13" t="n">
        <f aca="false">I11-G11</f>
        <v>-0.563757599999997</v>
      </c>
      <c r="K11" s="17" t="str">
        <f aca="false">IF(ABS(J11)&lt;=0.5,"Yes","No")</f>
        <v>No</v>
      </c>
      <c r="L11" s="18" t="n">
        <v>46315</v>
      </c>
      <c r="M11" s="18" t="n">
        <v>46314</v>
      </c>
    </row>
    <row r="12" customFormat="false" ht="15" hidden="false" customHeight="false" outlineLevel="0" collapsed="false">
      <c r="A12" s="12" t="s">
        <v>50</v>
      </c>
      <c r="B12" s="2" t="s">
        <v>43</v>
      </c>
      <c r="C12" s="13" t="n">
        <v>80.41383</v>
      </c>
      <c r="D12" s="14" t="n">
        <v>7588</v>
      </c>
      <c r="E12" s="13" t="n">
        <v>81.107</v>
      </c>
      <c r="F12" s="14" t="n">
        <v>7654</v>
      </c>
      <c r="G12" s="15" t="n">
        <f aca="false">C12-E12</f>
        <v>-0.693170000000009</v>
      </c>
      <c r="H12" s="14" t="n">
        <f aca="false">D12-F12</f>
        <v>-66</v>
      </c>
      <c r="I12" s="16" t="n">
        <v>0</v>
      </c>
      <c r="J12" s="13" t="n">
        <f aca="false">I12-G12</f>
        <v>0.693170000000009</v>
      </c>
      <c r="K12" s="17" t="str">
        <f aca="false">IF(ABS(J12)&lt;=0.5,"Yes","No")</f>
        <v>No</v>
      </c>
      <c r="L12" s="18" t="n">
        <v>46275</v>
      </c>
      <c r="M12" s="18" t="n">
        <v>46286</v>
      </c>
    </row>
    <row r="13" customFormat="false" ht="15" hidden="false" customHeight="false" outlineLevel="0" collapsed="false">
      <c r="A13" s="12" t="s">
        <v>51</v>
      </c>
      <c r="B13" s="2" t="s">
        <v>43</v>
      </c>
      <c r="C13" s="13" t="n">
        <v>41.907798848</v>
      </c>
      <c r="D13" s="14" t="n">
        <v>3521</v>
      </c>
      <c r="E13" s="13" t="n">
        <v>42.495</v>
      </c>
      <c r="F13" s="14" t="n">
        <v>3587</v>
      </c>
      <c r="G13" s="15" t="n">
        <f aca="false">C13-E13</f>
        <v>-0.587201151999985</v>
      </c>
      <c r="H13" s="14" t="n">
        <f aca="false">D13-F13</f>
        <v>-66</v>
      </c>
      <c r="I13" s="13" t="n">
        <v>3.589</v>
      </c>
      <c r="J13" s="13" t="n">
        <f aca="false">I13-G13</f>
        <v>4.17620115199999</v>
      </c>
      <c r="K13" s="17" t="str">
        <f aca="false">IF(ABS(J13)&lt;=0.5,"Yes","No")</f>
        <v>No</v>
      </c>
      <c r="L13" s="18" t="n">
        <v>46298</v>
      </c>
      <c r="M13" s="18" t="n">
        <v>46312</v>
      </c>
    </row>
    <row r="14" customFormat="false" ht="15" hidden="false" customHeight="false" outlineLevel="0" collapsed="false">
      <c r="A14" s="12" t="s">
        <v>52</v>
      </c>
      <c r="B14" s="2" t="s">
        <v>43</v>
      </c>
      <c r="C14" s="13" t="n">
        <v>51.861907968</v>
      </c>
      <c r="D14" s="14" t="n">
        <v>6058</v>
      </c>
      <c r="E14" s="13" t="n">
        <v>51.463</v>
      </c>
      <c r="F14" s="14" t="n">
        <v>6011</v>
      </c>
      <c r="G14" s="15" t="n">
        <f aca="false">C14-E14</f>
        <v>0.398907967999996</v>
      </c>
      <c r="H14" s="14" t="n">
        <f aca="false">D14-F14</f>
        <v>47</v>
      </c>
      <c r="I14" s="16" t="n">
        <v>0</v>
      </c>
      <c r="J14" s="13" t="n">
        <f aca="false">I14-G14</f>
        <v>-0.398907967999996</v>
      </c>
      <c r="K14" s="17" t="str">
        <f aca="false">IF(ABS(J14)&lt;=0.5,"Yes","No")</f>
        <v>Yes</v>
      </c>
      <c r="L14" s="18" t="n">
        <v>46253</v>
      </c>
      <c r="M14" s="18" t="n">
        <v>46296</v>
      </c>
    </row>
    <row r="15" customFormat="false" ht="15" hidden="false" customHeight="false" outlineLevel="0" collapsed="false">
      <c r="A15" s="12" t="s">
        <v>53</v>
      </c>
      <c r="B15" s="2" t="s">
        <v>43</v>
      </c>
      <c r="C15" s="13" t="n">
        <v>40.0176672</v>
      </c>
      <c r="D15" s="14" t="n">
        <v>3793</v>
      </c>
      <c r="E15" s="13" t="n">
        <v>40.392</v>
      </c>
      <c r="F15" s="14" t="n">
        <v>3829</v>
      </c>
      <c r="G15" s="15" t="n">
        <f aca="false">C15-E15</f>
        <v>-0.374332800000005</v>
      </c>
      <c r="H15" s="14" t="n">
        <f aca="false">D15-F15</f>
        <v>-36</v>
      </c>
      <c r="I15" s="16" t="n">
        <v>0</v>
      </c>
      <c r="J15" s="13" t="n">
        <f aca="false">I15-G15</f>
        <v>0.374332800000005</v>
      </c>
      <c r="K15" s="17" t="str">
        <f aca="false">IF(ABS(J15)&lt;=0.5,"Yes","No")</f>
        <v>Yes</v>
      </c>
      <c r="L15" s="18" t="n">
        <v>46211</v>
      </c>
      <c r="M15" s="18" t="n">
        <v>46296</v>
      </c>
    </row>
    <row r="16" customFormat="false" ht="15" hidden="false" customHeight="false" outlineLevel="0" collapsed="false">
      <c r="A16" s="12" t="s">
        <v>54</v>
      </c>
      <c r="B16" s="2" t="s">
        <v>43</v>
      </c>
      <c r="C16" s="13" t="n">
        <v>30.1145625</v>
      </c>
      <c r="D16" s="14" t="n">
        <v>2325</v>
      </c>
      <c r="E16" s="13" t="n">
        <v>26.66</v>
      </c>
      <c r="F16" s="14" t="n">
        <v>2059</v>
      </c>
      <c r="G16" s="15" t="n">
        <f aca="false">C16-E16</f>
        <v>3.4545625</v>
      </c>
      <c r="H16" s="14" t="n">
        <f aca="false">D16-F16</f>
        <v>266</v>
      </c>
      <c r="I16" s="13" t="n">
        <v>3.03</v>
      </c>
      <c r="J16" s="13" t="n">
        <f aca="false">I16-G16</f>
        <v>-0.424562500000002</v>
      </c>
      <c r="K16" s="17" t="str">
        <f aca="false">IF(ABS(J16)&lt;=0.5,"Yes","No")</f>
        <v>Yes</v>
      </c>
      <c r="L16" s="18" t="n">
        <v>46310</v>
      </c>
      <c r="M16" s="18" t="n">
        <v>46310</v>
      </c>
    </row>
    <row r="17" customFormat="false" ht="15" hidden="false" customHeight="false" outlineLevel="0" collapsed="false">
      <c r="A17" s="12" t="s">
        <v>55</v>
      </c>
      <c r="B17" s="2" t="s">
        <v>43</v>
      </c>
      <c r="C17" s="13" t="n">
        <v>180.99000192</v>
      </c>
      <c r="D17" s="14" t="n">
        <v>16495</v>
      </c>
      <c r="E17" s="13" t="n">
        <v>179.814</v>
      </c>
      <c r="F17" s="14" t="n">
        <v>16387</v>
      </c>
      <c r="G17" s="15" t="n">
        <f aca="false">C17-E17</f>
        <v>1.1760019200002</v>
      </c>
      <c r="H17" s="14" t="n">
        <f aca="false">D17-F17</f>
        <v>108</v>
      </c>
      <c r="I17" s="16" t="n">
        <v>0</v>
      </c>
      <c r="J17" s="13" t="n">
        <f aca="false">I17-G17</f>
        <v>-1.1760019200002</v>
      </c>
      <c r="K17" s="17" t="str">
        <f aca="false">IF(ABS(J17)&lt;=0.5,"Yes","No")</f>
        <v>No</v>
      </c>
      <c r="L17" s="18" t="n">
        <v>46300</v>
      </c>
      <c r="M17" s="18" t="n">
        <v>46305</v>
      </c>
    </row>
    <row r="18" customFormat="false" ht="15" hidden="false" customHeight="false" outlineLevel="0" collapsed="false">
      <c r="A18" s="12" t="s">
        <v>56</v>
      </c>
      <c r="B18" s="2" t="s">
        <v>43</v>
      </c>
      <c r="C18" s="13" t="n">
        <v>229.380768</v>
      </c>
      <c r="D18" s="14" t="n">
        <v>16910</v>
      </c>
      <c r="E18" s="13" t="n">
        <v>204.175</v>
      </c>
      <c r="F18" s="14" t="n">
        <v>15051</v>
      </c>
      <c r="G18" s="15" t="n">
        <f aca="false">C18-E18</f>
        <v>25.205768</v>
      </c>
      <c r="H18" s="14" t="n">
        <f aca="false">D18-F18</f>
        <v>1859</v>
      </c>
      <c r="I18" s="13" t="n">
        <v>27.56</v>
      </c>
      <c r="J18" s="13" t="n">
        <f aca="false">I18-G18</f>
        <v>2.35423200000002</v>
      </c>
      <c r="K18" s="17" t="str">
        <f aca="false">IF(ABS(J18)&lt;=0.5,"Yes","No")</f>
        <v>No</v>
      </c>
      <c r="L18" s="18" t="n">
        <v>46323</v>
      </c>
      <c r="M18" s="18" t="n">
        <v>46310</v>
      </c>
    </row>
    <row r="19" customFormat="false" ht="15" hidden="false" customHeight="false" outlineLevel="0" collapsed="false">
      <c r="A19" s="12" t="s">
        <v>57</v>
      </c>
      <c r="B19" s="2" t="s">
        <v>43</v>
      </c>
      <c r="C19" s="13" t="n">
        <v>16.233192096</v>
      </c>
      <c r="D19" s="14" t="n">
        <v>1094</v>
      </c>
      <c r="E19" s="13" t="n">
        <v>9.442</v>
      </c>
      <c r="F19" s="14" t="n">
        <v>637</v>
      </c>
      <c r="G19" s="15" t="n">
        <f aca="false">C19-E19</f>
        <v>6.791192096</v>
      </c>
      <c r="H19" s="14" t="n">
        <f aca="false">D19-F19</f>
        <v>457</v>
      </c>
      <c r="I19" s="13" t="n">
        <v>6.943</v>
      </c>
      <c r="J19" s="13" t="n">
        <f aca="false">I19-G19</f>
        <v>0.151807904</v>
      </c>
      <c r="K19" s="17" t="str">
        <f aca="false">IF(ABS(J19)&lt;=0.5,"Yes","No")</f>
        <v>Yes</v>
      </c>
      <c r="L19" s="18" t="n">
        <v>46113</v>
      </c>
      <c r="M19" s="18" t="n">
        <v>46198</v>
      </c>
    </row>
    <row r="20" customFormat="false" ht="15" hidden="false" customHeight="false" outlineLevel="0" collapsed="false">
      <c r="A20" s="12" t="s">
        <v>58</v>
      </c>
      <c r="B20" s="2" t="s">
        <v>43</v>
      </c>
      <c r="C20" s="13" t="n">
        <v>149.748798</v>
      </c>
      <c r="D20" s="14" t="n">
        <v>8956</v>
      </c>
      <c r="E20" s="13" t="n">
        <v>126.587</v>
      </c>
      <c r="F20" s="14" t="n">
        <v>7573</v>
      </c>
      <c r="G20" s="15" t="n">
        <f aca="false">C20-E20</f>
        <v>23.161798</v>
      </c>
      <c r="H20" s="14" t="n">
        <f aca="false">D20-F20</f>
        <v>1383</v>
      </c>
      <c r="I20" s="13" t="n">
        <v>19.677</v>
      </c>
      <c r="J20" s="13" t="n">
        <f aca="false">I20-G20</f>
        <v>-3.48479799999999</v>
      </c>
      <c r="K20" s="17" t="str">
        <f aca="false">IF(ABS(J20)&lt;=0.5,"Yes","No")</f>
        <v>No</v>
      </c>
      <c r="L20" s="18" t="n">
        <v>46322</v>
      </c>
      <c r="M20" s="18" t="n">
        <v>46309</v>
      </c>
    </row>
    <row r="21" customFormat="false" ht="15" hidden="false" customHeight="false" outlineLevel="0" collapsed="false">
      <c r="A21" s="12" t="s">
        <v>59</v>
      </c>
      <c r="B21" s="2" t="s">
        <v>43</v>
      </c>
      <c r="C21" s="13" t="n">
        <v>93.382012416</v>
      </c>
      <c r="D21" s="14" t="n">
        <v>5029</v>
      </c>
      <c r="E21" s="13" t="n">
        <v>85.255</v>
      </c>
      <c r="F21" s="14" t="n">
        <v>4554</v>
      </c>
      <c r="G21" s="15" t="n">
        <f aca="false">C21-E21</f>
        <v>8.127012416</v>
      </c>
      <c r="H21" s="14" t="n">
        <f aca="false">D21-F21</f>
        <v>475</v>
      </c>
      <c r="I21" s="13" t="n">
        <v>13.237</v>
      </c>
      <c r="J21" s="13" t="n">
        <f aca="false">I21-G21</f>
        <v>5.109987584</v>
      </c>
      <c r="K21" s="17" t="str">
        <f aca="false">IF(ABS(J21)&lt;=0.5,"Yes","No")</f>
        <v>No</v>
      </c>
      <c r="L21" s="18" t="n">
        <v>46284</v>
      </c>
      <c r="M21" s="18" t="n">
        <v>46310</v>
      </c>
    </row>
    <row r="22" customFormat="false" ht="15" hidden="false" customHeight="false" outlineLevel="0" collapsed="false">
      <c r="A22" s="12" t="s">
        <v>60</v>
      </c>
      <c r="B22" s="2" t="s">
        <v>43</v>
      </c>
      <c r="C22" s="13" t="n">
        <v>16.592</v>
      </c>
      <c r="D22" s="14" t="n">
        <v>680</v>
      </c>
      <c r="E22" s="13" t="n">
        <v>16.53</v>
      </c>
      <c r="F22" s="14" t="n">
        <v>645</v>
      </c>
      <c r="G22" s="15" t="n">
        <f aca="false">C22-E22</f>
        <v>0.0619999999999976</v>
      </c>
      <c r="H22" s="14" t="n">
        <f aca="false">D22-F22</f>
        <v>35</v>
      </c>
      <c r="I22" s="16" t="n">
        <v>0</v>
      </c>
      <c r="J22" s="13" t="n">
        <f aca="false">I22-G22</f>
        <v>-0.0619999999999976</v>
      </c>
      <c r="K22" s="17" t="str">
        <f aca="false">IF(ABS(J22)&lt;=0.5,"Yes","No")</f>
        <v>Yes</v>
      </c>
      <c r="L22" s="18" t="n">
        <v>46197</v>
      </c>
      <c r="M22" s="18" t="n">
        <v>46263</v>
      </c>
    </row>
    <row r="23" customFormat="false" ht="15" hidden="false" customHeight="false" outlineLevel="0" collapsed="false">
      <c r="A23" s="12" t="s">
        <v>61</v>
      </c>
      <c r="B23" s="2" t="s">
        <v>43</v>
      </c>
      <c r="C23" s="13" t="n">
        <v>32.998817664</v>
      </c>
      <c r="D23" s="14" t="n">
        <v>2991</v>
      </c>
      <c r="E23" s="13" t="n">
        <v>33.27</v>
      </c>
      <c r="F23" s="14" t="n">
        <v>3014</v>
      </c>
      <c r="G23" s="15" t="n">
        <f aca="false">C23-E23</f>
        <v>-0.271182336000031</v>
      </c>
      <c r="H23" s="14" t="n">
        <f aca="false">D23-F23</f>
        <v>-23</v>
      </c>
      <c r="I23" s="16" t="n">
        <v>0</v>
      </c>
      <c r="J23" s="13" t="n">
        <f aca="false">I23-G23</f>
        <v>0.271182336000031</v>
      </c>
      <c r="K23" s="17" t="str">
        <f aca="false">IF(ABS(J23)&lt;=0.5,"Yes","No")</f>
        <v>Yes</v>
      </c>
      <c r="L23" s="18" t="n">
        <v>46274</v>
      </c>
      <c r="M23" s="18" t="n">
        <v>46296</v>
      </c>
    </row>
    <row r="24" customFormat="false" ht="15" hidden="false" customHeight="false" outlineLevel="0" collapsed="false">
      <c r="A24" s="12" t="s">
        <v>62</v>
      </c>
      <c r="B24" s="2" t="s">
        <v>43</v>
      </c>
      <c r="C24" s="13" t="n">
        <v>155.555338752</v>
      </c>
      <c r="D24" s="14" t="n">
        <v>10662</v>
      </c>
      <c r="E24" s="13" t="n">
        <v>148.012</v>
      </c>
      <c r="F24" s="14" t="n">
        <v>10145</v>
      </c>
      <c r="G24" s="15" t="n">
        <f aca="false">C24-E24</f>
        <v>7.5433387520001</v>
      </c>
      <c r="H24" s="14" t="n">
        <f aca="false">D24-F24</f>
        <v>517</v>
      </c>
      <c r="I24" s="13" t="n">
        <v>8.671</v>
      </c>
      <c r="J24" s="13" t="n">
        <f aca="false">I24-G24</f>
        <v>1.1276612479999</v>
      </c>
      <c r="K24" s="17" t="str">
        <f aca="false">IF(ABS(J24)&lt;=0.5,"Yes","No")</f>
        <v>No</v>
      </c>
      <c r="L24" s="18" t="n">
        <v>46302</v>
      </c>
      <c r="M24" s="18" t="n">
        <v>46317</v>
      </c>
    </row>
    <row r="25" customFormat="false" ht="15" hidden="false" customHeight="false" outlineLevel="0" collapsed="false">
      <c r="A25" s="12" t="s">
        <v>63</v>
      </c>
      <c r="B25" s="2" t="s">
        <v>43</v>
      </c>
      <c r="C25" s="13" t="n">
        <v>362.0354688</v>
      </c>
      <c r="D25" s="14" t="n">
        <v>20017</v>
      </c>
      <c r="E25" s="13" t="n">
        <v>357.894</v>
      </c>
      <c r="F25" s="14" t="n">
        <v>19794</v>
      </c>
      <c r="G25" s="15" t="n">
        <f aca="false">C25-E25</f>
        <v>4.1414688000001</v>
      </c>
      <c r="H25" s="14" t="n">
        <f aca="false">D25-F25</f>
        <v>223</v>
      </c>
      <c r="I25" s="13" t="n">
        <v>6.407</v>
      </c>
      <c r="J25" s="13" t="n">
        <f aca="false">I25-G25</f>
        <v>2.2655311999999</v>
      </c>
      <c r="K25" s="17" t="str">
        <f aca="false">IF(ABS(J25)&lt;=0.5,"Yes","No")</f>
        <v>No</v>
      </c>
      <c r="L25" s="18" t="n">
        <v>46302</v>
      </c>
      <c r="M25" s="18" t="n">
        <v>46314</v>
      </c>
    </row>
    <row r="26" customFormat="false" ht="15" hidden="false" customHeight="false" outlineLevel="0" collapsed="false">
      <c r="A26" s="12" t="s">
        <v>64</v>
      </c>
      <c r="B26" s="2" t="s">
        <v>43</v>
      </c>
      <c r="C26" s="13" t="n">
        <v>8.578658352</v>
      </c>
      <c r="D26" s="14" t="n">
        <v>433</v>
      </c>
      <c r="E26" s="13" t="n">
        <v>6.6</v>
      </c>
      <c r="F26" s="14" t="n">
        <v>333</v>
      </c>
      <c r="G26" s="15" t="n">
        <f aca="false">C26-E26</f>
        <v>1.978658352</v>
      </c>
      <c r="H26" s="14" t="n">
        <f aca="false">D26-F26</f>
        <v>100</v>
      </c>
      <c r="I26" s="13" t="n">
        <v>2.065</v>
      </c>
      <c r="J26" s="13" t="n">
        <f aca="false">I26-G26</f>
        <v>0.0863416480000017</v>
      </c>
      <c r="K26" s="17" t="str">
        <f aca="false">IF(ABS(J26)&lt;=0.5,"Yes","No")</f>
        <v>Yes</v>
      </c>
      <c r="L26" s="18" t="n">
        <v>46113</v>
      </c>
      <c r="M26" s="18" t="n">
        <v>46119</v>
      </c>
    </row>
    <row r="27" customFormat="false" ht="15" hidden="false" customHeight="false" outlineLevel="0" collapsed="false">
      <c r="A27" s="12" t="s">
        <v>65</v>
      </c>
      <c r="B27" s="2" t="s">
        <v>43</v>
      </c>
      <c r="C27" s="13" t="n">
        <v>159.0461025</v>
      </c>
      <c r="D27" s="14" t="n">
        <v>7109</v>
      </c>
      <c r="E27" s="13" t="n">
        <v>158.127</v>
      </c>
      <c r="F27" s="14" t="n">
        <v>7069</v>
      </c>
      <c r="G27" s="15" t="n">
        <f aca="false">C27-E27</f>
        <v>0.91910249999998</v>
      </c>
      <c r="H27" s="14" t="n">
        <f aca="false">D27-F27</f>
        <v>40</v>
      </c>
      <c r="I27" s="13" t="n">
        <v>1.371</v>
      </c>
      <c r="J27" s="13" t="n">
        <f aca="false">I27-G27</f>
        <v>0.45189750000002</v>
      </c>
      <c r="K27" s="17" t="str">
        <f aca="false">IF(ABS(J27)&lt;=0.5,"Yes","No")</f>
        <v>Yes</v>
      </c>
      <c r="L27" s="18" t="n">
        <v>46274</v>
      </c>
      <c r="M27" s="18" t="n">
        <v>46295</v>
      </c>
    </row>
    <row r="28" customFormat="false" ht="15" hidden="false" customHeight="false" outlineLevel="0" collapsed="false">
      <c r="A28" s="12" t="s">
        <v>66</v>
      </c>
      <c r="B28" s="2" t="s">
        <v>43</v>
      </c>
      <c r="C28" s="13" t="n">
        <v>187.846902816</v>
      </c>
      <c r="D28" s="14" t="n">
        <v>7392</v>
      </c>
      <c r="E28" s="13" t="n">
        <v>187.117</v>
      </c>
      <c r="F28" s="14" t="n">
        <v>7320</v>
      </c>
      <c r="G28" s="15" t="n">
        <f aca="false">C28-E28</f>
        <v>0.729902816000021</v>
      </c>
      <c r="H28" s="14" t="n">
        <f aca="false">D28-F28</f>
        <v>72</v>
      </c>
      <c r="I28" s="16" t="n">
        <v>0</v>
      </c>
      <c r="J28" s="13" t="n">
        <f aca="false">I28-G28</f>
        <v>-0.729902816000021</v>
      </c>
      <c r="K28" s="17" t="str">
        <f aca="false">IF(ABS(J28)&lt;=0.5,"Yes","No")</f>
        <v>No</v>
      </c>
      <c r="L28" s="18" t="n">
        <v>46274</v>
      </c>
      <c r="M28" s="18" t="n">
        <v>46317</v>
      </c>
    </row>
    <row r="29" customFormat="false" ht="15" hidden="false" customHeight="false" outlineLevel="0" collapsed="false">
      <c r="A29" s="12" t="s">
        <v>67</v>
      </c>
      <c r="B29" s="2" t="s">
        <v>43</v>
      </c>
      <c r="C29" s="13" t="n">
        <v>76.4723136</v>
      </c>
      <c r="D29" s="14" t="n">
        <v>2206</v>
      </c>
      <c r="E29" s="13" t="n">
        <v>75.48</v>
      </c>
      <c r="F29" s="14" t="n">
        <v>2178</v>
      </c>
      <c r="G29" s="15" t="n">
        <f aca="false">C29-E29</f>
        <v>0.992313600000003</v>
      </c>
      <c r="H29" s="14" t="n">
        <f aca="false">D29-F29</f>
        <v>28</v>
      </c>
      <c r="I29" s="13" t="n">
        <v>1.397</v>
      </c>
      <c r="J29" s="13" t="n">
        <f aca="false">I29-G29</f>
        <v>0.404686399999997</v>
      </c>
      <c r="K29" s="17" t="str">
        <f aca="false">IF(ABS(J29)&lt;=0.5,"Yes","No")</f>
        <v>Yes</v>
      </c>
      <c r="L29" s="18" t="n">
        <v>46288</v>
      </c>
      <c r="M29" s="18" t="n">
        <v>46301</v>
      </c>
    </row>
    <row r="30" customFormat="false" ht="15" hidden="false" customHeight="false" outlineLevel="0" collapsed="false">
      <c r="A30" s="12" t="s">
        <v>68</v>
      </c>
      <c r="B30" s="2" t="s">
        <v>43</v>
      </c>
      <c r="C30" s="13" t="n">
        <v>49.918</v>
      </c>
      <c r="D30" s="14" t="n">
        <v>2269</v>
      </c>
      <c r="E30" s="13" t="n">
        <v>52.215</v>
      </c>
      <c r="F30" s="14" t="n">
        <v>2374</v>
      </c>
      <c r="G30" s="15" t="n">
        <f aca="false">C30-E30</f>
        <v>-2.297</v>
      </c>
      <c r="H30" s="14" t="n">
        <f aca="false">D30-F30</f>
        <v>-105</v>
      </c>
      <c r="I30" s="16" t="n">
        <v>0</v>
      </c>
      <c r="J30" s="13" t="n">
        <f aca="false">I30-G30</f>
        <v>2.297</v>
      </c>
      <c r="K30" s="17" t="str">
        <f aca="false">IF(ABS(J30)&lt;=0.5,"Yes","No")</f>
        <v>No</v>
      </c>
      <c r="L30" s="18" t="n">
        <v>46284</v>
      </c>
      <c r="M30" s="18" t="n">
        <v>46310</v>
      </c>
    </row>
    <row r="31" customFormat="false" ht="15" hidden="false" customHeight="false" outlineLevel="0" collapsed="false">
      <c r="A31" s="12" t="s">
        <v>69</v>
      </c>
      <c r="B31" s="2" t="s">
        <v>43</v>
      </c>
      <c r="C31" s="13" t="n">
        <v>28.9511925</v>
      </c>
      <c r="D31" s="14" t="n">
        <v>1069</v>
      </c>
      <c r="E31" s="13" t="n">
        <v>26.49</v>
      </c>
      <c r="F31" s="14" t="n">
        <v>978</v>
      </c>
      <c r="G31" s="15" t="n">
        <f aca="false">C31-E31</f>
        <v>2.4611925</v>
      </c>
      <c r="H31" s="14" t="n">
        <f aca="false">D31-F31</f>
        <v>91</v>
      </c>
      <c r="I31" s="13" t="n">
        <v>2.182</v>
      </c>
      <c r="J31" s="13" t="n">
        <f aca="false">I31-G31</f>
        <v>-0.279192500000003</v>
      </c>
      <c r="K31" s="17" t="str">
        <f aca="false">IF(ABS(J31)&lt;=0.5,"Yes","No")</f>
        <v>Yes</v>
      </c>
      <c r="L31" s="18" t="n">
        <v>46202</v>
      </c>
      <c r="M31" s="18" t="n">
        <v>46312</v>
      </c>
    </row>
    <row r="32" customFormat="false" ht="15" hidden="false" customHeight="false" outlineLevel="0" collapsed="false">
      <c r="A32" s="12" t="s">
        <v>70</v>
      </c>
      <c r="B32" s="2" t="s">
        <v>43</v>
      </c>
      <c r="C32" s="13" t="n">
        <v>31.38110976</v>
      </c>
      <c r="D32" s="14" t="n">
        <v>1040</v>
      </c>
      <c r="E32" s="13" t="n">
        <v>42.865</v>
      </c>
      <c r="F32" s="14" t="n">
        <v>1420</v>
      </c>
      <c r="G32" s="15" t="n">
        <f aca="false">C32-E32</f>
        <v>-11.48389024</v>
      </c>
      <c r="H32" s="14" t="n">
        <f aca="false">D32-F32</f>
        <v>-380</v>
      </c>
      <c r="I32" s="16" t="n">
        <v>0</v>
      </c>
      <c r="J32" s="13" t="n">
        <f aca="false">I32-G32</f>
        <v>11.48389024</v>
      </c>
      <c r="K32" s="17" t="str">
        <f aca="false">IF(ABS(J32)&lt;=0.5,"Yes","No")</f>
        <v>No</v>
      </c>
      <c r="L32" s="18" t="n">
        <v>46284</v>
      </c>
      <c r="M32" s="18" t="n">
        <v>46307</v>
      </c>
    </row>
    <row r="33" customFormat="false" ht="15" hidden="false" customHeight="false" outlineLevel="0" collapsed="false">
      <c r="A33" s="12" t="s">
        <v>71</v>
      </c>
      <c r="B33" s="2" t="s">
        <v>43</v>
      </c>
      <c r="C33" s="13" t="n">
        <v>28.9502976</v>
      </c>
      <c r="D33" s="14" t="n">
        <v>686</v>
      </c>
      <c r="E33" s="13" t="n">
        <v>26.218</v>
      </c>
      <c r="F33" s="14" t="n">
        <v>622</v>
      </c>
      <c r="G33" s="15" t="n">
        <f aca="false">C33-E33</f>
        <v>2.7322976</v>
      </c>
      <c r="H33" s="14" t="n">
        <f aca="false">D33-F33</f>
        <v>64</v>
      </c>
      <c r="I33" s="13" t="n">
        <v>2.548</v>
      </c>
      <c r="J33" s="13" t="n">
        <f aca="false">I33-G33</f>
        <v>-0.184297599999999</v>
      </c>
      <c r="K33" s="17" t="str">
        <f aca="false">IF(ABS(J33)&lt;=0.5,"Yes","No")</f>
        <v>Yes</v>
      </c>
      <c r="L33" s="18" t="n">
        <v>46289</v>
      </c>
      <c r="M33" s="18" t="n">
        <v>46308</v>
      </c>
    </row>
    <row r="34" customFormat="false" ht="15" hidden="false" customHeight="false" outlineLevel="0" collapsed="false">
      <c r="A34" s="12" t="s">
        <v>72</v>
      </c>
      <c r="B34" s="2" t="s">
        <v>43</v>
      </c>
      <c r="C34" s="13" t="n">
        <v>25.3</v>
      </c>
      <c r="D34" s="14" t="n">
        <v>920</v>
      </c>
      <c r="E34" s="13" t="n">
        <v>24.49</v>
      </c>
      <c r="F34" s="14" t="n">
        <v>891</v>
      </c>
      <c r="G34" s="15" t="n">
        <f aca="false">C34-E34</f>
        <v>0.810000000000002</v>
      </c>
      <c r="H34" s="14" t="n">
        <f aca="false">D34-F34</f>
        <v>29</v>
      </c>
      <c r="I34" s="16" t="n">
        <v>0</v>
      </c>
      <c r="J34" s="13" t="n">
        <f aca="false">I34-G34</f>
        <v>-0.810000000000002</v>
      </c>
      <c r="K34" s="17" t="str">
        <f aca="false">IF(ABS(J34)&lt;=0.5,"Yes","No")</f>
        <v>No</v>
      </c>
      <c r="L34" s="18" t="n">
        <v>46203</v>
      </c>
      <c r="M34" s="18" t="n">
        <v>46207</v>
      </c>
    </row>
    <row r="35" customFormat="false" ht="15" hidden="false" customHeight="false" outlineLevel="0" collapsed="false">
      <c r="A35" s="12" t="s">
        <v>73</v>
      </c>
      <c r="B35" s="2" t="s">
        <v>43</v>
      </c>
      <c r="C35" s="13" t="n">
        <v>25.875</v>
      </c>
      <c r="D35" s="14" t="n">
        <v>750</v>
      </c>
      <c r="E35" s="13" t="n">
        <v>25.51</v>
      </c>
      <c r="F35" s="14" t="n">
        <v>739</v>
      </c>
      <c r="G35" s="15" t="n">
        <f aca="false">C35-E35</f>
        <v>0.364999999999998</v>
      </c>
      <c r="H35" s="14" t="n">
        <f aca="false">D35-F35</f>
        <v>11</v>
      </c>
      <c r="I35" s="16" t="n">
        <v>0</v>
      </c>
      <c r="J35" s="13" t="n">
        <f aca="false">I35-G35</f>
        <v>-0.364999999999998</v>
      </c>
      <c r="K35" s="17" t="str">
        <f aca="false">IF(ABS(J35)&lt;=0.5,"Yes","No")</f>
        <v>Yes</v>
      </c>
      <c r="L35" s="18" t="n">
        <v>46203</v>
      </c>
      <c r="M35" s="18" t="n">
        <v>46225</v>
      </c>
    </row>
    <row r="36" customFormat="false" ht="15" hidden="false" customHeight="false" outlineLevel="0" collapsed="false">
      <c r="A36" s="12" t="s">
        <v>74</v>
      </c>
      <c r="B36" s="2" t="s">
        <v>75</v>
      </c>
      <c r="C36" s="13" t="n">
        <v>20.24953344</v>
      </c>
      <c r="D36" s="14" t="n">
        <v>3110</v>
      </c>
      <c r="E36" s="13" t="n">
        <v>20.23</v>
      </c>
      <c r="F36" s="14" t="n">
        <v>3108</v>
      </c>
      <c r="G36" s="15" t="n">
        <f aca="false">C36-E36</f>
        <v>0.0195334399999894</v>
      </c>
      <c r="H36" s="14" t="n">
        <f aca="false">D36-F36</f>
        <v>2</v>
      </c>
      <c r="I36" s="16" t="n">
        <v>0</v>
      </c>
      <c r="J36" s="13" t="n">
        <f aca="false">I36-G36</f>
        <v>-0.0195334399999894</v>
      </c>
      <c r="K36" s="17" t="str">
        <f aca="false">IF(ABS(J36)&lt;=0.5,"Yes","No")</f>
        <v>Yes</v>
      </c>
      <c r="L36" s="18" t="n">
        <v>46268</v>
      </c>
      <c r="M36" s="18" t="n">
        <v>46276</v>
      </c>
    </row>
    <row r="37" customFormat="false" ht="15" hidden="false" customHeight="false" outlineLevel="0" collapsed="false">
      <c r="A37" s="12" t="s">
        <v>76</v>
      </c>
      <c r="B37" s="2" t="s">
        <v>75</v>
      </c>
      <c r="C37" s="13" t="n">
        <v>52.700875776</v>
      </c>
      <c r="D37" s="14" t="n">
        <v>6156</v>
      </c>
      <c r="E37" s="13" t="n">
        <v>55.063</v>
      </c>
      <c r="F37" s="14" t="n">
        <v>6432</v>
      </c>
      <c r="G37" s="15" t="n">
        <f aca="false">C37-E37</f>
        <v>-2.36212422400001</v>
      </c>
      <c r="H37" s="14" t="n">
        <f aca="false">D37-F37</f>
        <v>-276</v>
      </c>
      <c r="I37" s="16" t="n">
        <v>0</v>
      </c>
      <c r="J37" s="13" t="n">
        <f aca="false">I37-G37</f>
        <v>2.36212422400001</v>
      </c>
      <c r="K37" s="17" t="str">
        <f aca="false">IF(ABS(J37)&lt;=0.5,"Yes","No")</f>
        <v>No</v>
      </c>
      <c r="L37" s="18" t="n">
        <v>46212</v>
      </c>
      <c r="M37" s="18" t="n">
        <v>46247</v>
      </c>
    </row>
    <row r="38" customFormat="false" ht="15" hidden="false" customHeight="false" outlineLevel="0" collapsed="false">
      <c r="A38" s="12" t="s">
        <v>77</v>
      </c>
      <c r="B38" s="2" t="s">
        <v>75</v>
      </c>
      <c r="C38" s="13" t="n">
        <v>116.5397184</v>
      </c>
      <c r="D38" s="14" t="n">
        <v>11046</v>
      </c>
      <c r="E38" s="13" t="n">
        <v>114.887</v>
      </c>
      <c r="F38" s="14" t="n">
        <v>10890</v>
      </c>
      <c r="G38" s="15" t="n">
        <f aca="false">C38-E38</f>
        <v>1.6527184</v>
      </c>
      <c r="H38" s="14" t="n">
        <f aca="false">D38-F38</f>
        <v>156</v>
      </c>
      <c r="I38" s="16" t="n">
        <v>0</v>
      </c>
      <c r="J38" s="13" t="n">
        <f aca="false">I38-G38</f>
        <v>-1.6527184</v>
      </c>
      <c r="K38" s="17" t="str">
        <f aca="false">IF(ABS(J38)&lt;=0.5,"Yes","No")</f>
        <v>No</v>
      </c>
      <c r="L38" s="18" t="n">
        <v>46287</v>
      </c>
      <c r="M38" s="18" t="n">
        <v>46305</v>
      </c>
    </row>
    <row r="39" customFormat="false" ht="15" hidden="false" customHeight="false" outlineLevel="0" collapsed="false">
      <c r="A39" s="12" t="s">
        <v>78</v>
      </c>
      <c r="B39" s="2" t="s">
        <v>75</v>
      </c>
      <c r="C39" s="13" t="n">
        <v>2.47734696</v>
      </c>
      <c r="D39" s="14" t="n">
        <v>215</v>
      </c>
      <c r="E39" s="13" t="n">
        <v>2.3</v>
      </c>
      <c r="F39" s="14" t="n">
        <v>200</v>
      </c>
      <c r="G39" s="15" t="n">
        <f aca="false">C39-E39</f>
        <v>0.177346959999999</v>
      </c>
      <c r="H39" s="14" t="n">
        <f aca="false">D39-F39</f>
        <v>15</v>
      </c>
      <c r="I39" s="16" t="n">
        <v>0</v>
      </c>
      <c r="J39" s="13" t="n">
        <f aca="false">I39-G39</f>
        <v>-0.177346959999999</v>
      </c>
      <c r="K39" s="17" t="str">
        <f aca="false">IF(ABS(J39)&lt;=0.5,"Yes","No")</f>
        <v>Yes</v>
      </c>
      <c r="L39" s="18" t="n">
        <v>46183</v>
      </c>
      <c r="M39" s="18" t="n">
        <v>46286</v>
      </c>
    </row>
    <row r="40" customFormat="false" ht="15" hidden="false" customHeight="false" outlineLevel="0" collapsed="false">
      <c r="A40" s="12" t="s">
        <v>79</v>
      </c>
      <c r="B40" s="2" t="s">
        <v>75</v>
      </c>
      <c r="C40" s="13" t="n">
        <v>24.0786975</v>
      </c>
      <c r="D40" s="14" t="n">
        <v>1859</v>
      </c>
      <c r="E40" s="13" t="n">
        <v>24.305</v>
      </c>
      <c r="F40" s="14" t="n">
        <v>1877</v>
      </c>
      <c r="G40" s="15" t="n">
        <f aca="false">C40-E40</f>
        <v>-0.226302499999999</v>
      </c>
      <c r="H40" s="14" t="n">
        <f aca="false">D40-F40</f>
        <v>-18</v>
      </c>
      <c r="I40" s="13" t="n">
        <v>1.693</v>
      </c>
      <c r="J40" s="13" t="n">
        <f aca="false">I40-G40</f>
        <v>1.9193025</v>
      </c>
      <c r="K40" s="17" t="str">
        <f aca="false">IF(ABS(J40)&lt;=0.5,"Yes","No")</f>
        <v>No</v>
      </c>
      <c r="L40" s="18" t="n">
        <v>46309</v>
      </c>
      <c r="M40" s="18" t="n">
        <v>46286</v>
      </c>
    </row>
    <row r="41" customFormat="false" ht="15" hidden="false" customHeight="false" outlineLevel="0" collapsed="false">
      <c r="A41" s="12" t="s">
        <v>80</v>
      </c>
      <c r="B41" s="2" t="s">
        <v>75</v>
      </c>
      <c r="C41" s="13" t="n">
        <v>26.010473856</v>
      </c>
      <c r="D41" s="14" t="n">
        <v>1797</v>
      </c>
      <c r="E41" s="13" t="n">
        <v>15.82</v>
      </c>
      <c r="F41" s="14" t="n">
        <v>1086</v>
      </c>
      <c r="G41" s="15" t="n">
        <f aca="false">C41-E41</f>
        <v>10.190473856</v>
      </c>
      <c r="H41" s="14" t="n">
        <f aca="false">D41-F41</f>
        <v>711</v>
      </c>
      <c r="I41" s="13" t="n">
        <v>10.988</v>
      </c>
      <c r="J41" s="13" t="n">
        <f aca="false">I41-G41</f>
        <v>0.797526143999999</v>
      </c>
      <c r="K41" s="17" t="str">
        <f aca="false">IF(ABS(J41)&lt;=0.5,"Yes","No")</f>
        <v>No</v>
      </c>
      <c r="L41" s="18" t="n">
        <v>46309</v>
      </c>
      <c r="M41" s="18" t="n">
        <v>46295</v>
      </c>
    </row>
    <row r="42" customFormat="false" ht="15" hidden="false" customHeight="false" outlineLevel="0" collapsed="false">
      <c r="A42" s="12" t="s">
        <v>81</v>
      </c>
      <c r="B42" s="2" t="s">
        <v>75</v>
      </c>
      <c r="C42" s="13" t="n">
        <v>100.544377536</v>
      </c>
      <c r="D42" s="14" t="n">
        <v>9291</v>
      </c>
      <c r="E42" s="13" t="n">
        <v>100.62</v>
      </c>
      <c r="F42" s="14" t="n">
        <v>9297</v>
      </c>
      <c r="G42" s="15" t="n">
        <f aca="false">C42-E42</f>
        <v>-0.0756224640000056</v>
      </c>
      <c r="H42" s="14" t="n">
        <f aca="false">D42-F42</f>
        <v>-6</v>
      </c>
      <c r="I42" s="16" t="n">
        <v>0</v>
      </c>
      <c r="J42" s="13" t="n">
        <f aca="false">I42-G42</f>
        <v>0.0756224640000056</v>
      </c>
      <c r="K42" s="17" t="str">
        <f aca="false">IF(ABS(J42)&lt;=0.5,"Yes","No")</f>
        <v>Yes</v>
      </c>
      <c r="L42" s="18" t="n">
        <v>46300</v>
      </c>
      <c r="M42" s="18" t="n">
        <v>46311</v>
      </c>
    </row>
    <row r="43" customFormat="false" ht="15" hidden="false" customHeight="false" outlineLevel="0" collapsed="false">
      <c r="A43" s="12" t="s">
        <v>82</v>
      </c>
      <c r="B43" s="2" t="s">
        <v>75</v>
      </c>
      <c r="C43" s="13" t="n">
        <v>96.0559284</v>
      </c>
      <c r="D43" s="14" t="n">
        <v>7181</v>
      </c>
      <c r="E43" s="13" t="n">
        <v>84.705</v>
      </c>
      <c r="F43" s="14" t="n">
        <v>6333</v>
      </c>
      <c r="G43" s="15" t="n">
        <f aca="false">C43-E43</f>
        <v>11.3509284</v>
      </c>
      <c r="H43" s="14" t="n">
        <f aca="false">D43-F43</f>
        <v>848</v>
      </c>
      <c r="I43" s="13" t="n">
        <v>16.866</v>
      </c>
      <c r="J43" s="13" t="n">
        <f aca="false">I43-G43</f>
        <v>5.5150716</v>
      </c>
      <c r="K43" s="17" t="str">
        <f aca="false">IF(ABS(J43)&lt;=0.5,"Yes","No")</f>
        <v>No</v>
      </c>
      <c r="L43" s="18" t="n">
        <v>46317</v>
      </c>
      <c r="M43" s="18" t="n">
        <v>46317</v>
      </c>
    </row>
    <row r="44" customFormat="false" ht="15" hidden="false" customHeight="false" outlineLevel="0" collapsed="false">
      <c r="A44" s="12" t="s">
        <v>83</v>
      </c>
      <c r="B44" s="2" t="s">
        <v>75</v>
      </c>
      <c r="C44" s="13" t="n">
        <v>59.87352</v>
      </c>
      <c r="D44" s="14" t="n">
        <v>3632</v>
      </c>
      <c r="E44" s="13" t="n">
        <v>57.935</v>
      </c>
      <c r="F44" s="14" t="n">
        <v>3514</v>
      </c>
      <c r="G44" s="15" t="n">
        <f aca="false">C44-E44</f>
        <v>1.93852</v>
      </c>
      <c r="H44" s="14" t="n">
        <f aca="false">D44-F44</f>
        <v>118</v>
      </c>
      <c r="I44" s="16" t="n">
        <v>0</v>
      </c>
      <c r="J44" s="13" t="n">
        <f aca="false">I44-G44</f>
        <v>-1.93852</v>
      </c>
      <c r="K44" s="17" t="str">
        <f aca="false">IF(ABS(J44)&lt;=0.5,"Yes","No")</f>
        <v>No</v>
      </c>
      <c r="L44" s="18" t="n">
        <v>46287</v>
      </c>
      <c r="M44" s="18" t="n">
        <v>46295</v>
      </c>
    </row>
    <row r="45" customFormat="false" ht="15" hidden="false" customHeight="false" outlineLevel="0" collapsed="false">
      <c r="A45" s="12" t="s">
        <v>84</v>
      </c>
      <c r="B45" s="2" t="s">
        <v>75</v>
      </c>
      <c r="C45" s="13" t="n">
        <v>37.927843968</v>
      </c>
      <c r="D45" s="14" t="n">
        <v>2072</v>
      </c>
      <c r="E45" s="13" t="n">
        <v>36.435</v>
      </c>
      <c r="F45" s="14" t="n">
        <v>1991</v>
      </c>
      <c r="G45" s="15" t="n">
        <f aca="false">C45-E45</f>
        <v>1.49284396800002</v>
      </c>
      <c r="H45" s="14" t="n">
        <f aca="false">D45-F45</f>
        <v>81</v>
      </c>
      <c r="I45" s="16" t="n">
        <v>0</v>
      </c>
      <c r="J45" s="13" t="n">
        <f aca="false">I45-G45</f>
        <v>-1.49284396800002</v>
      </c>
      <c r="K45" s="17" t="str">
        <f aca="false">IF(ABS(J45)&lt;=0.5,"Yes","No")</f>
        <v>No</v>
      </c>
      <c r="L45" s="18" t="n">
        <v>46162</v>
      </c>
      <c r="M45" s="18" t="n">
        <v>46310</v>
      </c>
    </row>
    <row r="46" customFormat="false" ht="15" hidden="false" customHeight="false" outlineLevel="0" collapsed="false">
      <c r="A46" s="12" t="s">
        <v>85</v>
      </c>
      <c r="B46" s="2" t="s">
        <v>75</v>
      </c>
      <c r="C46" s="13" t="n">
        <v>215.373092352</v>
      </c>
      <c r="D46" s="14" t="n">
        <v>14762</v>
      </c>
      <c r="E46" s="13" t="n">
        <v>214.893</v>
      </c>
      <c r="F46" s="14" t="n">
        <v>14730</v>
      </c>
      <c r="G46" s="15" t="n">
        <f aca="false">C46-E46</f>
        <v>0.480092352000213</v>
      </c>
      <c r="H46" s="14" t="n">
        <f aca="false">D46-F46</f>
        <v>32</v>
      </c>
      <c r="I46" s="16" t="n">
        <v>0</v>
      </c>
      <c r="J46" s="13" t="n">
        <f aca="false">I46-G46</f>
        <v>-0.480092352000213</v>
      </c>
      <c r="K46" s="17" t="str">
        <f aca="false">IF(ABS(J46)&lt;=0.5,"Yes","No")</f>
        <v>Yes</v>
      </c>
      <c r="L46" s="18" t="n">
        <v>46303</v>
      </c>
      <c r="M46" s="18" t="n">
        <v>46314</v>
      </c>
    </row>
    <row r="47" customFormat="false" ht="15" hidden="false" customHeight="false" outlineLevel="0" collapsed="false">
      <c r="A47" s="12" t="s">
        <v>86</v>
      </c>
      <c r="B47" s="2" t="s">
        <v>75</v>
      </c>
      <c r="C47" s="13" t="n">
        <v>292.2219648</v>
      </c>
      <c r="D47" s="14" t="n">
        <v>16157</v>
      </c>
      <c r="E47" s="13" t="n">
        <v>271.535</v>
      </c>
      <c r="F47" s="14" t="n">
        <v>15013</v>
      </c>
      <c r="G47" s="15" t="n">
        <f aca="false">C47-E47</f>
        <v>20.6869648000001</v>
      </c>
      <c r="H47" s="14" t="n">
        <f aca="false">D47-F47</f>
        <v>1144</v>
      </c>
      <c r="I47" s="13" t="n">
        <v>22.891</v>
      </c>
      <c r="J47" s="13" t="n">
        <f aca="false">I47-G47</f>
        <v>2.20403519999994</v>
      </c>
      <c r="K47" s="17" t="str">
        <f aca="false">IF(ABS(J47)&lt;=0.5,"Yes","No")</f>
        <v>No</v>
      </c>
      <c r="L47" s="18" t="n">
        <v>46314</v>
      </c>
      <c r="M47" s="18" t="n">
        <v>46317</v>
      </c>
    </row>
    <row r="48" customFormat="false" ht="15" hidden="false" customHeight="false" outlineLevel="0" collapsed="false">
      <c r="A48" s="12" t="s">
        <v>87</v>
      </c>
      <c r="B48" s="2" t="s">
        <v>75</v>
      </c>
      <c r="C48" s="13" t="n">
        <v>126.6954675</v>
      </c>
      <c r="D48" s="14" t="n">
        <v>5663</v>
      </c>
      <c r="E48" s="13" t="n">
        <v>113.687</v>
      </c>
      <c r="F48" s="14" t="n">
        <v>5083</v>
      </c>
      <c r="G48" s="15" t="n">
        <f aca="false">C48-E48</f>
        <v>13.0084675</v>
      </c>
      <c r="H48" s="14" t="n">
        <f aca="false">D48-F48</f>
        <v>580</v>
      </c>
      <c r="I48" s="13" t="n">
        <v>11.674</v>
      </c>
      <c r="J48" s="13" t="n">
        <f aca="false">I48-G48</f>
        <v>-1.33446750000001</v>
      </c>
      <c r="K48" s="17" t="str">
        <f aca="false">IF(ABS(J48)&lt;=0.5,"Yes","No")</f>
        <v>No</v>
      </c>
      <c r="L48" s="18" t="n">
        <v>46276</v>
      </c>
      <c r="M48" s="18" t="n">
        <v>46311</v>
      </c>
    </row>
    <row r="49" customFormat="false" ht="15" hidden="false" customHeight="false" outlineLevel="0" collapsed="false">
      <c r="A49" s="12" t="s">
        <v>88</v>
      </c>
      <c r="B49" s="2" t="s">
        <v>75</v>
      </c>
      <c r="C49" s="13" t="n">
        <v>93.595130496</v>
      </c>
      <c r="D49" s="14" t="n">
        <v>3759</v>
      </c>
      <c r="E49" s="13" t="n">
        <v>70.971</v>
      </c>
      <c r="F49" s="14" t="n">
        <v>2852</v>
      </c>
      <c r="G49" s="15" t="n">
        <f aca="false">C49-E49</f>
        <v>22.624130496</v>
      </c>
      <c r="H49" s="14" t="n">
        <f aca="false">D49-F49</f>
        <v>907</v>
      </c>
      <c r="I49" s="13" t="n">
        <v>16.966</v>
      </c>
      <c r="J49" s="13" t="n">
        <f aca="false">I49-G49</f>
        <v>-5.65813049600002</v>
      </c>
      <c r="K49" s="17" t="str">
        <f aca="false">IF(ABS(J49)&lt;=0.5,"Yes","No")</f>
        <v>No</v>
      </c>
      <c r="L49" s="18" t="n">
        <v>46307</v>
      </c>
      <c r="M49" s="18" t="n">
        <v>46312</v>
      </c>
    </row>
    <row r="50" customFormat="false" ht="15" hidden="false" customHeight="false" outlineLevel="0" collapsed="false">
      <c r="A50" s="12" t="s">
        <v>89</v>
      </c>
      <c r="B50" s="2" t="s">
        <v>75</v>
      </c>
      <c r="C50" s="13" t="n">
        <v>74.290732032</v>
      </c>
      <c r="D50" s="14" t="n">
        <v>5092</v>
      </c>
      <c r="E50" s="13" t="n">
        <v>74.477</v>
      </c>
      <c r="F50" s="14" t="n">
        <v>5104</v>
      </c>
      <c r="G50" s="15" t="n">
        <f aca="false">C50-E50</f>
        <v>-0.18626796800001</v>
      </c>
      <c r="H50" s="14" t="n">
        <f aca="false">D50-F50</f>
        <v>-12</v>
      </c>
      <c r="I50" s="16" t="n">
        <v>0</v>
      </c>
      <c r="J50" s="13" t="n">
        <f aca="false">I50-G50</f>
        <v>0.18626796800001</v>
      </c>
      <c r="K50" s="17" t="str">
        <f aca="false">IF(ABS(J50)&lt;=0.5,"Yes","No")</f>
        <v>Yes</v>
      </c>
      <c r="L50" s="18" t="n">
        <v>46150</v>
      </c>
      <c r="M50" s="18" t="n">
        <v>46296</v>
      </c>
    </row>
    <row r="51" customFormat="false" ht="15" hidden="false" customHeight="false" outlineLevel="0" collapsed="false">
      <c r="A51" s="12" t="s">
        <v>90</v>
      </c>
      <c r="B51" s="2" t="s">
        <v>75</v>
      </c>
      <c r="C51" s="13" t="n">
        <v>73.7563392</v>
      </c>
      <c r="D51" s="14" t="n">
        <v>4078</v>
      </c>
      <c r="E51" s="13" t="n">
        <v>64.163</v>
      </c>
      <c r="F51" s="14" t="n">
        <v>3547</v>
      </c>
      <c r="G51" s="15" t="n">
        <f aca="false">C51-E51</f>
        <v>9.59333920000002</v>
      </c>
      <c r="H51" s="14" t="n">
        <f aca="false">D51-F51</f>
        <v>531</v>
      </c>
      <c r="I51" s="13" t="n">
        <v>9.983</v>
      </c>
      <c r="J51" s="13" t="n">
        <f aca="false">I51-G51</f>
        <v>0.389660799999984</v>
      </c>
      <c r="K51" s="17" t="str">
        <f aca="false">IF(ABS(J51)&lt;=0.5,"Yes","No")</f>
        <v>Yes</v>
      </c>
      <c r="L51" s="18" t="n">
        <v>46137</v>
      </c>
      <c r="M51" s="18" t="n">
        <v>46317</v>
      </c>
    </row>
    <row r="52" customFormat="false" ht="15" hidden="false" customHeight="false" outlineLevel="0" collapsed="false">
      <c r="A52" s="12" t="s">
        <v>91</v>
      </c>
      <c r="B52" s="2" t="s">
        <v>75</v>
      </c>
      <c r="C52" s="13" t="n">
        <v>17.405805</v>
      </c>
      <c r="D52" s="14" t="n">
        <v>778</v>
      </c>
      <c r="E52" s="13" t="n">
        <v>16.31</v>
      </c>
      <c r="F52" s="14" t="n">
        <v>729</v>
      </c>
      <c r="G52" s="15" t="n">
        <f aca="false">C52-E52</f>
        <v>1.095805</v>
      </c>
      <c r="H52" s="14" t="n">
        <f aca="false">D52-F52</f>
        <v>49</v>
      </c>
      <c r="I52" s="16" t="n">
        <v>0</v>
      </c>
      <c r="J52" s="13" t="n">
        <f aca="false">I52-G52</f>
        <v>-1.095805</v>
      </c>
      <c r="K52" s="17" t="str">
        <f aca="false">IF(ABS(J52)&lt;=0.5,"Yes","No")</f>
        <v>No</v>
      </c>
      <c r="L52" s="18" t="n">
        <v>46139</v>
      </c>
      <c r="M52" s="18" t="n">
        <v>46321</v>
      </c>
    </row>
    <row r="53" customFormat="false" ht="15" hidden="false" customHeight="false" outlineLevel="0" collapsed="false">
      <c r="A53" s="12" t="s">
        <v>92</v>
      </c>
      <c r="B53" s="2" t="s">
        <v>75</v>
      </c>
      <c r="C53" s="13" t="n">
        <v>27.26434368</v>
      </c>
      <c r="D53" s="14" t="n">
        <v>1095</v>
      </c>
      <c r="E53" s="13" t="n">
        <v>7.24</v>
      </c>
      <c r="F53" s="14" t="n">
        <v>291</v>
      </c>
      <c r="G53" s="15" t="n">
        <f aca="false">C53-E53</f>
        <v>20.02434368</v>
      </c>
      <c r="H53" s="14" t="n">
        <f aca="false">D53-F53</f>
        <v>804</v>
      </c>
      <c r="I53" s="13" t="n">
        <v>18.573</v>
      </c>
      <c r="J53" s="13" t="n">
        <f aca="false">I53-G53</f>
        <v>-1.45134368000001</v>
      </c>
      <c r="K53" s="17" t="str">
        <f aca="false">IF(ABS(J53)&lt;=0.5,"Yes","No")</f>
        <v>No</v>
      </c>
      <c r="L53" s="18" t="n">
        <v>46139</v>
      </c>
      <c r="M53" s="18" t="n">
        <v>46265</v>
      </c>
    </row>
    <row r="54" customFormat="false" ht="15" hidden="false" customHeight="false" outlineLevel="0" collapsed="false">
      <c r="A54" s="12" t="s">
        <v>93</v>
      </c>
      <c r="B54" s="2" t="s">
        <v>75</v>
      </c>
      <c r="C54" s="13" t="n">
        <v>126.326992896</v>
      </c>
      <c r="D54" s="14" t="n">
        <v>7176</v>
      </c>
      <c r="E54" s="13" t="n">
        <v>133.895</v>
      </c>
      <c r="F54" s="14" t="n">
        <v>7607</v>
      </c>
      <c r="G54" s="15" t="n">
        <f aca="false">C54-E54</f>
        <v>-7.5680071039999</v>
      </c>
      <c r="H54" s="14" t="n">
        <f aca="false">D54-F54</f>
        <v>-431</v>
      </c>
      <c r="I54" s="16" t="n">
        <v>0</v>
      </c>
      <c r="J54" s="13" t="n">
        <f aca="false">I54-G54</f>
        <v>7.5680071039999</v>
      </c>
      <c r="K54" s="17" t="str">
        <f aca="false">IF(ABS(J54)&lt;=0.5,"Yes","No")</f>
        <v>No</v>
      </c>
      <c r="L54" s="18" t="n">
        <v>46237</v>
      </c>
      <c r="M54" s="18" t="n">
        <v>46295</v>
      </c>
    </row>
    <row r="55" customFormat="false" ht="15" hidden="false" customHeight="false" outlineLevel="0" collapsed="false">
      <c r="A55" s="12" t="s">
        <v>94</v>
      </c>
      <c r="B55" s="2" t="s">
        <v>75</v>
      </c>
      <c r="C55" s="13" t="n">
        <v>271.4097936</v>
      </c>
      <c r="D55" s="14" t="n">
        <v>12419</v>
      </c>
      <c r="E55" s="13" t="n">
        <v>235.651</v>
      </c>
      <c r="F55" s="14" t="n">
        <v>10782</v>
      </c>
      <c r="G55" s="15" t="n">
        <f aca="false">C55-E55</f>
        <v>35.7587936</v>
      </c>
      <c r="H55" s="14" t="n">
        <f aca="false">D55-F55</f>
        <v>1637</v>
      </c>
      <c r="I55" s="13" t="n">
        <v>28.752</v>
      </c>
      <c r="J55" s="13" t="n">
        <f aca="false">I55-G55</f>
        <v>-7.00679359999999</v>
      </c>
      <c r="K55" s="17" t="str">
        <f aca="false">IF(ABS(J55)&lt;=0.5,"Yes","No")</f>
        <v>No</v>
      </c>
      <c r="L55" s="18" t="n">
        <v>46309</v>
      </c>
      <c r="M55" s="18" t="n">
        <v>46319</v>
      </c>
    </row>
    <row r="56" customFormat="false" ht="15" hidden="false" customHeight="false" outlineLevel="0" collapsed="false">
      <c r="A56" s="12" t="s">
        <v>95</v>
      </c>
      <c r="B56" s="2" t="s">
        <v>75</v>
      </c>
      <c r="C56" s="13" t="n">
        <v>133.950045</v>
      </c>
      <c r="D56" s="14" t="n">
        <v>4946</v>
      </c>
      <c r="E56" s="13" t="n">
        <v>112.004</v>
      </c>
      <c r="F56" s="14" t="n">
        <v>4135</v>
      </c>
      <c r="G56" s="15" t="n">
        <f aca="false">C56-E56</f>
        <v>21.946045</v>
      </c>
      <c r="H56" s="14" t="n">
        <f aca="false">D56-F56</f>
        <v>811</v>
      </c>
      <c r="I56" s="13" t="n">
        <v>18.884</v>
      </c>
      <c r="J56" s="13" t="n">
        <f aca="false">I56-G56</f>
        <v>-3.06204499999998</v>
      </c>
      <c r="K56" s="17" t="str">
        <f aca="false">IF(ABS(J56)&lt;=0.5,"Yes","No")</f>
        <v>No</v>
      </c>
      <c r="L56" s="18" t="n">
        <v>46322</v>
      </c>
      <c r="M56" s="18" t="n">
        <v>46291</v>
      </c>
    </row>
    <row r="57" customFormat="false" ht="15" hidden="false" customHeight="false" outlineLevel="0" collapsed="false">
      <c r="A57" s="12" t="s">
        <v>96</v>
      </c>
      <c r="B57" s="2" t="s">
        <v>75</v>
      </c>
      <c r="C57" s="13" t="n">
        <v>139.776190656</v>
      </c>
      <c r="D57" s="14" t="n">
        <v>4589</v>
      </c>
      <c r="E57" s="13" t="n">
        <v>115.247</v>
      </c>
      <c r="F57" s="14" t="n">
        <v>3818</v>
      </c>
      <c r="G57" s="15" t="n">
        <f aca="false">C57-E57</f>
        <v>24.529190656</v>
      </c>
      <c r="H57" s="14" t="n">
        <f aca="false">D57-F57</f>
        <v>771</v>
      </c>
      <c r="I57" s="13" t="n">
        <v>20.704</v>
      </c>
      <c r="J57" s="13" t="n">
        <f aca="false">I57-G57</f>
        <v>-3.82519065600001</v>
      </c>
      <c r="K57" s="17" t="str">
        <f aca="false">IF(ABS(J57)&lt;=0.5,"Yes","No")</f>
        <v>No</v>
      </c>
      <c r="L57" s="18" t="n">
        <v>46322</v>
      </c>
      <c r="M57" s="18" t="n">
        <v>46295</v>
      </c>
    </row>
    <row r="58" customFormat="false" ht="15" hidden="false" customHeight="false" outlineLevel="0" collapsed="false">
      <c r="A58" s="12" t="s">
        <v>97</v>
      </c>
      <c r="B58" s="2" t="s">
        <v>75</v>
      </c>
      <c r="C58" s="13" t="n">
        <v>69.8014464</v>
      </c>
      <c r="D58" s="14" t="n">
        <v>1654</v>
      </c>
      <c r="E58" s="13" t="n">
        <v>47.7</v>
      </c>
      <c r="F58" s="14" t="n">
        <v>1131</v>
      </c>
      <c r="G58" s="15" t="n">
        <f aca="false">C58-E58</f>
        <v>22.1014464</v>
      </c>
      <c r="H58" s="14" t="n">
        <f aca="false">D58-F58</f>
        <v>523</v>
      </c>
      <c r="I58" s="13" t="n">
        <v>21.77</v>
      </c>
      <c r="J58" s="13" t="n">
        <f aca="false">I58-G58</f>
        <v>-0.331446399999987</v>
      </c>
      <c r="K58" s="17" t="str">
        <f aca="false">IF(ABS(J58)&lt;=0.5,"Yes","No")</f>
        <v>Yes</v>
      </c>
      <c r="L58" s="18" t="n">
        <v>46310</v>
      </c>
      <c r="M58" s="18" t="n">
        <v>46312</v>
      </c>
    </row>
    <row r="59" customFormat="false" ht="15" hidden="false" customHeight="false" outlineLevel="0" collapsed="false">
      <c r="A59" s="12" t="s">
        <v>98</v>
      </c>
      <c r="B59" s="2" t="s">
        <v>75</v>
      </c>
      <c r="C59" s="13" t="n">
        <v>90.007331328</v>
      </c>
      <c r="D59" s="14" t="n">
        <v>4068</v>
      </c>
      <c r="E59" s="13" t="n">
        <v>90.402</v>
      </c>
      <c r="F59" s="14" t="n">
        <v>4086</v>
      </c>
      <c r="G59" s="15" t="n">
        <f aca="false">C59-E59</f>
        <v>-0.394668672000009</v>
      </c>
      <c r="H59" s="14" t="n">
        <f aca="false">D59-F59</f>
        <v>-18</v>
      </c>
      <c r="I59" s="16" t="n">
        <v>0</v>
      </c>
      <c r="J59" s="13" t="n">
        <f aca="false">I59-G59</f>
        <v>0.394668672000009</v>
      </c>
      <c r="K59" s="17" t="str">
        <f aca="false">IF(ABS(J59)&lt;=0.5,"Yes","No")</f>
        <v>Yes</v>
      </c>
      <c r="L59" s="18" t="n">
        <v>46301</v>
      </c>
      <c r="M59" s="18" t="n">
        <v>46308</v>
      </c>
    </row>
    <row r="60" customFormat="false" ht="15" hidden="false" customHeight="false" outlineLevel="0" collapsed="false">
      <c r="A60" s="12" t="s">
        <v>99</v>
      </c>
      <c r="B60" s="2" t="s">
        <v>75</v>
      </c>
      <c r="C60" s="13" t="n">
        <v>225.6349992</v>
      </c>
      <c r="D60" s="14" t="n">
        <v>8203</v>
      </c>
      <c r="E60" s="13" t="n">
        <v>227.961</v>
      </c>
      <c r="F60" s="14" t="n">
        <v>8287</v>
      </c>
      <c r="G60" s="15" t="n">
        <f aca="false">C60-E60</f>
        <v>-2.3260008</v>
      </c>
      <c r="H60" s="14" t="n">
        <f aca="false">D60-F60</f>
        <v>-84</v>
      </c>
      <c r="I60" s="16" t="n">
        <v>0</v>
      </c>
      <c r="J60" s="13" t="n">
        <f aca="false">I60-G60</f>
        <v>2.3260008</v>
      </c>
      <c r="K60" s="17" t="str">
        <f aca="false">IF(ABS(J60)&lt;=0.5,"Yes","No")</f>
        <v>No</v>
      </c>
      <c r="L60" s="18" t="n">
        <v>46311</v>
      </c>
      <c r="M60" s="18" t="n">
        <v>46317</v>
      </c>
    </row>
    <row r="61" customFormat="false" ht="15" hidden="false" customHeight="false" outlineLevel="0" collapsed="false">
      <c r="A61" s="12" t="s">
        <v>100</v>
      </c>
      <c r="B61" s="2" t="s">
        <v>75</v>
      </c>
      <c r="C61" s="13" t="n">
        <v>96.1935075</v>
      </c>
      <c r="D61" s="14" t="n">
        <v>2817</v>
      </c>
      <c r="E61" s="13" t="n">
        <v>93.102</v>
      </c>
      <c r="F61" s="14" t="n">
        <v>2727</v>
      </c>
      <c r="G61" s="15" t="n">
        <f aca="false">C61-E61</f>
        <v>3.09150749999996</v>
      </c>
      <c r="H61" s="14" t="n">
        <f aca="false">D61-F61</f>
        <v>90</v>
      </c>
      <c r="I61" s="16" t="n">
        <v>0</v>
      </c>
      <c r="J61" s="13" t="n">
        <f aca="false">I61-G61</f>
        <v>-3.09150749999996</v>
      </c>
      <c r="K61" s="17" t="str">
        <f aca="false">IF(ABS(J61)&lt;=0.5,"Yes","No")</f>
        <v>No</v>
      </c>
      <c r="L61" s="18" t="n">
        <v>46255</v>
      </c>
      <c r="M61" s="18" t="n">
        <v>46264</v>
      </c>
    </row>
    <row r="62" customFormat="false" ht="15" hidden="false" customHeight="false" outlineLevel="0" collapsed="false">
      <c r="A62" s="12" t="s">
        <v>101</v>
      </c>
      <c r="B62" s="2" t="s">
        <v>75</v>
      </c>
      <c r="C62" s="13" t="n">
        <v>134.376193248</v>
      </c>
      <c r="D62" s="14" t="n">
        <v>3383</v>
      </c>
      <c r="E62" s="13" t="n">
        <v>122.039</v>
      </c>
      <c r="F62" s="14" t="n">
        <v>3080</v>
      </c>
      <c r="G62" s="15" t="n">
        <f aca="false">C62-E62</f>
        <v>12.337193248</v>
      </c>
      <c r="H62" s="14" t="n">
        <f aca="false">D62-F62</f>
        <v>303</v>
      </c>
      <c r="I62" s="13" t="n">
        <v>8.726</v>
      </c>
      <c r="J62" s="13" t="n">
        <f aca="false">I62-G62</f>
        <v>-3.61119324799999</v>
      </c>
      <c r="K62" s="17" t="str">
        <f aca="false">IF(ABS(J62)&lt;=0.5,"Yes","No")</f>
        <v>No</v>
      </c>
      <c r="L62" s="18" t="n">
        <v>46296</v>
      </c>
      <c r="M62" s="18" t="n">
        <v>46312</v>
      </c>
    </row>
    <row r="63" customFormat="false" ht="15" hidden="false" customHeight="false" outlineLevel="0" collapsed="false">
      <c r="A63" s="12" t="s">
        <v>102</v>
      </c>
      <c r="B63" s="2" t="s">
        <v>75</v>
      </c>
      <c r="C63" s="13" t="n">
        <v>100.9650672</v>
      </c>
      <c r="D63" s="14" t="n">
        <v>1887</v>
      </c>
      <c r="E63" s="13" t="n">
        <v>86.294</v>
      </c>
      <c r="F63" s="14" t="n">
        <v>1615</v>
      </c>
      <c r="G63" s="15" t="n">
        <f aca="false">C63-E63</f>
        <v>14.6710672</v>
      </c>
      <c r="H63" s="14" t="n">
        <f aca="false">D63-F63</f>
        <v>272</v>
      </c>
      <c r="I63" s="13" t="n">
        <v>14.408</v>
      </c>
      <c r="J63" s="13" t="n">
        <f aca="false">I63-G63</f>
        <v>-0.263067199999997</v>
      </c>
      <c r="K63" s="17" t="str">
        <f aca="false">IF(ABS(J63)&lt;=0.5,"Yes","No")</f>
        <v>Yes</v>
      </c>
      <c r="L63" s="18" t="n">
        <v>46311</v>
      </c>
      <c r="M63" s="18" t="n">
        <v>46321</v>
      </c>
    </row>
    <row r="64" customFormat="false" ht="15" hidden="false" customHeight="false" outlineLevel="0" collapsed="false">
      <c r="A64" s="12" t="s">
        <v>103</v>
      </c>
      <c r="B64" s="2" t="s">
        <v>104</v>
      </c>
      <c r="C64" s="13" t="n">
        <v>28.4829461399923</v>
      </c>
      <c r="D64" s="14" t="n">
        <v>6107</v>
      </c>
      <c r="E64" s="13" t="n">
        <v>34.16</v>
      </c>
      <c r="F64" s="14" t="n">
        <v>7324</v>
      </c>
      <c r="G64" s="15" t="n">
        <f aca="false">C64-E64</f>
        <v>-5.67705386000767</v>
      </c>
      <c r="H64" s="14" t="n">
        <f aca="false">D64-F64</f>
        <v>-1217</v>
      </c>
      <c r="I64" s="16" t="n">
        <v>0</v>
      </c>
      <c r="J64" s="13" t="n">
        <f aca="false">I64-G64</f>
        <v>5.67705386000767</v>
      </c>
      <c r="K64" s="17" t="str">
        <f aca="false">IF(ABS(J64)&lt;=0.5,"Yes","No")</f>
        <v>No</v>
      </c>
      <c r="L64" s="18" t="n">
        <v>46293</v>
      </c>
      <c r="M64" s="18" t="n">
        <v>46319</v>
      </c>
    </row>
    <row r="65" customFormat="false" ht="15" hidden="false" customHeight="false" outlineLevel="0" collapsed="false">
      <c r="A65" s="12" t="s">
        <v>105</v>
      </c>
      <c r="B65" s="2" t="s">
        <v>104</v>
      </c>
      <c r="C65" s="13" t="n">
        <v>39.2502</v>
      </c>
      <c r="D65" s="14" t="n">
        <v>6886</v>
      </c>
      <c r="E65" s="13" t="n">
        <v>35.87</v>
      </c>
      <c r="F65" s="14" t="n">
        <v>6292</v>
      </c>
      <c r="G65" s="15" t="n">
        <f aca="false">C65-E65</f>
        <v>3.3802</v>
      </c>
      <c r="H65" s="14" t="n">
        <f aca="false">D65-F65</f>
        <v>594</v>
      </c>
      <c r="I65" s="13" t="n">
        <v>4.761</v>
      </c>
      <c r="J65" s="13" t="n">
        <f aca="false">I65-G65</f>
        <v>1.3808</v>
      </c>
      <c r="K65" s="17" t="str">
        <f aca="false">IF(ABS(J65)&lt;=0.5,"Yes","No")</f>
        <v>No</v>
      </c>
      <c r="L65" s="18" t="n">
        <v>46291</v>
      </c>
      <c r="M65" s="18" t="n">
        <v>46319</v>
      </c>
    </row>
    <row r="66" customFormat="false" ht="15" hidden="false" customHeight="false" outlineLevel="0" collapsed="false">
      <c r="A66" s="12" t="s">
        <v>106</v>
      </c>
      <c r="B66" s="2" t="s">
        <v>104</v>
      </c>
      <c r="C66" s="13" t="n">
        <v>5.2602</v>
      </c>
      <c r="D66" s="14" t="n">
        <v>797</v>
      </c>
      <c r="E66" s="13" t="n">
        <v>0</v>
      </c>
      <c r="F66" s="14" t="n">
        <v>0</v>
      </c>
      <c r="G66" s="15" t="n">
        <f aca="false">C66-E66</f>
        <v>5.2602</v>
      </c>
      <c r="H66" s="14" t="n">
        <f aca="false">D66-F66</f>
        <v>797</v>
      </c>
      <c r="I66" s="13" t="n">
        <v>5.21</v>
      </c>
      <c r="J66" s="13" t="n">
        <f aca="false">I66-G66</f>
        <v>-0.0502000000000002</v>
      </c>
      <c r="K66" s="17" t="str">
        <f aca="false">IF(ABS(J66)&lt;=0.5,"Yes","No")</f>
        <v>Yes</v>
      </c>
      <c r="L66" s="18" t="n">
        <v>46293</v>
      </c>
      <c r="M66" s="18"/>
    </row>
    <row r="67" customFormat="false" ht="15" hidden="false" customHeight="false" outlineLevel="0" collapsed="false">
      <c r="A67" s="12" t="s">
        <v>107</v>
      </c>
      <c r="B67" s="2" t="s">
        <v>104</v>
      </c>
      <c r="C67" s="13" t="n">
        <v>56.9928108030086</v>
      </c>
      <c r="D67" s="14" t="n">
        <v>9515</v>
      </c>
      <c r="E67" s="13" t="n">
        <v>36.648</v>
      </c>
      <c r="F67" s="14" t="n">
        <v>6118</v>
      </c>
      <c r="G67" s="15" t="n">
        <f aca="false">C67-E67</f>
        <v>20.3448108030086</v>
      </c>
      <c r="H67" s="14" t="n">
        <f aca="false">D67-F67</f>
        <v>3397</v>
      </c>
      <c r="I67" s="13" t="n">
        <v>18.327</v>
      </c>
      <c r="J67" s="13" t="n">
        <f aca="false">I67-G67</f>
        <v>-2.01781080300863</v>
      </c>
      <c r="K67" s="17" t="str">
        <f aca="false">IF(ABS(J67)&lt;=0.5,"Yes","No")</f>
        <v>No</v>
      </c>
      <c r="L67" s="18" t="n">
        <v>46307</v>
      </c>
      <c r="M67" s="18" t="n">
        <v>46305</v>
      </c>
    </row>
    <row r="68" customFormat="false" ht="15" hidden="false" customHeight="false" outlineLevel="0" collapsed="false">
      <c r="A68" s="12" t="s">
        <v>108</v>
      </c>
      <c r="B68" s="2" t="s">
        <v>104</v>
      </c>
      <c r="C68" s="13" t="n">
        <v>84.3734114638618</v>
      </c>
      <c r="D68" s="14" t="n">
        <v>11450</v>
      </c>
      <c r="E68" s="13" t="n">
        <v>69.751</v>
      </c>
      <c r="F68" s="14" t="n">
        <v>9464</v>
      </c>
      <c r="G68" s="15" t="n">
        <f aca="false">C68-E68</f>
        <v>14.6224114638618</v>
      </c>
      <c r="H68" s="14" t="n">
        <f aca="false">D68-F68</f>
        <v>1986</v>
      </c>
      <c r="I68" s="13" t="n">
        <v>11.431</v>
      </c>
      <c r="J68" s="13" t="n">
        <f aca="false">I68-G68</f>
        <v>-3.19141146386181</v>
      </c>
      <c r="K68" s="17" t="str">
        <f aca="false">IF(ABS(J68)&lt;=0.5,"Yes","No")</f>
        <v>No</v>
      </c>
      <c r="L68" s="18" t="n">
        <v>46308</v>
      </c>
      <c r="M68" s="18" t="n">
        <v>46317</v>
      </c>
    </row>
    <row r="69" customFormat="false" ht="15" hidden="false" customHeight="false" outlineLevel="0" collapsed="false">
      <c r="A69" s="12" t="s">
        <v>109</v>
      </c>
      <c r="B69" s="2" t="s">
        <v>104</v>
      </c>
      <c r="C69" s="13" t="n">
        <v>24.9481676337717</v>
      </c>
      <c r="D69" s="14" t="n">
        <v>2764</v>
      </c>
      <c r="E69" s="13" t="n">
        <v>14.33</v>
      </c>
      <c r="F69" s="14" t="n">
        <v>1587</v>
      </c>
      <c r="G69" s="15" t="n">
        <f aca="false">C69-E69</f>
        <v>10.6181676337717</v>
      </c>
      <c r="H69" s="14" t="n">
        <f aca="false">D69-F69</f>
        <v>1177</v>
      </c>
      <c r="I69" s="13" t="n">
        <v>8.571</v>
      </c>
      <c r="J69" s="13" t="n">
        <f aca="false">I69-G69</f>
        <v>-2.04716763377169</v>
      </c>
      <c r="K69" s="17" t="str">
        <f aca="false">IF(ABS(J69)&lt;=0.5,"Yes","No")</f>
        <v>No</v>
      </c>
      <c r="L69" s="18" t="n">
        <v>46308</v>
      </c>
      <c r="M69" s="18" t="n">
        <v>46275</v>
      </c>
    </row>
    <row r="70" customFormat="false" ht="15" hidden="false" customHeight="false" outlineLevel="0" collapsed="false">
      <c r="A70" s="12" t="s">
        <v>110</v>
      </c>
      <c r="B70" s="2" t="s">
        <v>104</v>
      </c>
      <c r="C70" s="13" t="n">
        <v>25.9109428201605</v>
      </c>
      <c r="D70" s="14" t="n">
        <v>2595</v>
      </c>
      <c r="E70" s="13" t="n">
        <v>16.22</v>
      </c>
      <c r="F70" s="14" t="n">
        <v>1623</v>
      </c>
      <c r="G70" s="15" t="n">
        <f aca="false">C70-E70</f>
        <v>9.69094282016051</v>
      </c>
      <c r="H70" s="14" t="n">
        <f aca="false">D70-F70</f>
        <v>972</v>
      </c>
      <c r="I70" s="13" t="n">
        <v>10.119</v>
      </c>
      <c r="J70" s="13" t="n">
        <f aca="false">I70-G70</f>
        <v>0.428057179839488</v>
      </c>
      <c r="K70" s="17" t="str">
        <f aca="false">IF(ABS(J70)&lt;=0.5,"Yes","No")</f>
        <v>Yes</v>
      </c>
      <c r="L70" s="18" t="n">
        <v>46308</v>
      </c>
      <c r="M70" s="18" t="n">
        <v>46275</v>
      </c>
    </row>
    <row r="71" customFormat="false" ht="15" hidden="false" customHeight="false" outlineLevel="0" collapsed="false">
      <c r="A71" s="12" t="s">
        <v>111</v>
      </c>
      <c r="B71" s="2" t="s">
        <v>104</v>
      </c>
      <c r="C71" s="13" t="n">
        <v>47.5740503744717</v>
      </c>
      <c r="D71" s="14" t="n">
        <v>6260</v>
      </c>
      <c r="E71" s="13" t="n">
        <v>38.525</v>
      </c>
      <c r="F71" s="14" t="n">
        <v>5068</v>
      </c>
      <c r="G71" s="15" t="n">
        <f aca="false">C71-E71</f>
        <v>9.04905037447167</v>
      </c>
      <c r="H71" s="14" t="n">
        <f aca="false">D71-F71</f>
        <v>1192</v>
      </c>
      <c r="I71" s="13" t="n">
        <v>6.762</v>
      </c>
      <c r="J71" s="13" t="n">
        <f aca="false">I71-G71</f>
        <v>-2.28705037447167</v>
      </c>
      <c r="K71" s="17" t="str">
        <f aca="false">IF(ABS(J71)&lt;=0.5,"Yes","No")</f>
        <v>No</v>
      </c>
      <c r="L71" s="18" t="n">
        <v>46256</v>
      </c>
      <c r="M71" s="18" t="n">
        <v>46319</v>
      </c>
    </row>
    <row r="72" customFormat="false" ht="15" hidden="false" customHeight="false" outlineLevel="0" collapsed="false">
      <c r="A72" s="12" t="s">
        <v>112</v>
      </c>
      <c r="B72" s="2" t="s">
        <v>104</v>
      </c>
      <c r="C72" s="13" t="n">
        <v>56.1091694452986</v>
      </c>
      <c r="D72" s="14" t="n">
        <v>5981</v>
      </c>
      <c r="E72" s="13" t="n">
        <v>55.225</v>
      </c>
      <c r="F72" s="14" t="n">
        <v>5887</v>
      </c>
      <c r="G72" s="15" t="n">
        <f aca="false">C72-E72</f>
        <v>0.884169445298547</v>
      </c>
      <c r="H72" s="14" t="n">
        <f aca="false">D72-F72</f>
        <v>94</v>
      </c>
      <c r="I72" s="16" t="n">
        <v>0</v>
      </c>
      <c r="J72" s="13" t="n">
        <f aca="false">I72-G72</f>
        <v>-0.884169445298547</v>
      </c>
      <c r="K72" s="17" t="str">
        <f aca="false">IF(ABS(J72)&lt;=0.5,"Yes","No")</f>
        <v>No</v>
      </c>
      <c r="L72" s="18" t="n">
        <v>46256</v>
      </c>
      <c r="M72" s="18" t="n">
        <v>46321</v>
      </c>
    </row>
    <row r="73" customFormat="false" ht="15" hidden="false" customHeight="false" outlineLevel="0" collapsed="false">
      <c r="A73" s="12" t="s">
        <v>113</v>
      </c>
      <c r="B73" s="2" t="s">
        <v>104</v>
      </c>
      <c r="C73" s="13" t="n">
        <v>28.4615439018097</v>
      </c>
      <c r="D73" s="14" t="n">
        <v>2466</v>
      </c>
      <c r="E73" s="13" t="n">
        <v>28.185</v>
      </c>
      <c r="F73" s="14" t="n">
        <v>2441</v>
      </c>
      <c r="G73" s="15" t="n">
        <f aca="false">C73-E73</f>
        <v>0.276543901809692</v>
      </c>
      <c r="H73" s="14" t="n">
        <f aca="false">D73-F73</f>
        <v>25</v>
      </c>
      <c r="I73" s="13" t="n">
        <v>1.04</v>
      </c>
      <c r="J73" s="13" t="n">
        <f aca="false">I73-G73</f>
        <v>0.763456098190308</v>
      </c>
      <c r="K73" s="17" t="str">
        <f aca="false">IF(ABS(J73)&lt;=0.5,"Yes","No")</f>
        <v>No</v>
      </c>
      <c r="L73" s="18" t="n">
        <v>46298</v>
      </c>
      <c r="M73" s="18" t="n">
        <v>46321</v>
      </c>
    </row>
    <row r="74" customFormat="false" ht="15" hidden="false" customHeight="false" outlineLevel="0" collapsed="false">
      <c r="A74" s="12" t="s">
        <v>114</v>
      </c>
      <c r="B74" s="2" t="s">
        <v>104</v>
      </c>
      <c r="C74" s="13" t="n">
        <v>27.54</v>
      </c>
      <c r="D74" s="14" t="n">
        <v>2295</v>
      </c>
      <c r="E74" s="13" t="n">
        <v>32.175</v>
      </c>
      <c r="F74" s="14" t="n">
        <v>2545</v>
      </c>
      <c r="G74" s="15" t="n">
        <f aca="false">C74-E74</f>
        <v>-4.635</v>
      </c>
      <c r="H74" s="14" t="n">
        <f aca="false">D74-F74</f>
        <v>-250</v>
      </c>
      <c r="I74" s="13" t="n">
        <v>3.449</v>
      </c>
      <c r="J74" s="13" t="n">
        <f aca="false">I74-G74</f>
        <v>8.084</v>
      </c>
      <c r="K74" s="17" t="str">
        <f aca="false">IF(ABS(J74)&lt;=0.5,"Yes","No")</f>
        <v>No</v>
      </c>
      <c r="L74" s="18" t="n">
        <v>46298</v>
      </c>
      <c r="M74" s="18" t="n">
        <v>46303</v>
      </c>
    </row>
    <row r="75" customFormat="false" ht="15" hidden="false" customHeight="false" outlineLevel="0" collapsed="false">
      <c r="A75" s="12" t="s">
        <v>115</v>
      </c>
      <c r="B75" s="2" t="s">
        <v>104</v>
      </c>
      <c r="C75" s="13" t="n">
        <v>4.576</v>
      </c>
      <c r="D75" s="14" t="n">
        <v>286</v>
      </c>
      <c r="E75" s="13" t="n">
        <v>4.65</v>
      </c>
      <c r="F75" s="14" t="n">
        <v>265</v>
      </c>
      <c r="G75" s="15" t="n">
        <f aca="false">C75-E75</f>
        <v>-0.073999999999999</v>
      </c>
      <c r="H75" s="14" t="n">
        <f aca="false">D75-F75</f>
        <v>21</v>
      </c>
      <c r="I75" s="16" t="n">
        <v>0</v>
      </c>
      <c r="J75" s="13" t="n">
        <f aca="false">I75-G75</f>
        <v>0.073999999999999</v>
      </c>
      <c r="K75" s="17" t="str">
        <f aca="false">IF(ABS(J75)&lt;=0.5,"Yes","No")</f>
        <v>Yes</v>
      </c>
      <c r="L75" s="18" t="n">
        <v>46205</v>
      </c>
      <c r="M75" s="18" t="n">
        <v>46210</v>
      </c>
    </row>
    <row r="76" customFormat="false" ht="15" hidden="false" customHeight="false" outlineLevel="0" collapsed="false">
      <c r="A76" s="12" t="s">
        <v>116</v>
      </c>
      <c r="B76" s="2" t="s">
        <v>104</v>
      </c>
      <c r="C76" s="13" t="n">
        <v>26.5054408870247</v>
      </c>
      <c r="D76" s="14" t="n">
        <v>2744</v>
      </c>
      <c r="E76" s="13" t="n">
        <v>25.155</v>
      </c>
      <c r="F76" s="14" t="n">
        <v>2604</v>
      </c>
      <c r="G76" s="15" t="n">
        <f aca="false">C76-E76</f>
        <v>1.35044088702466</v>
      </c>
      <c r="H76" s="14" t="n">
        <f aca="false">D76-F76</f>
        <v>140</v>
      </c>
      <c r="I76" s="16" t="n">
        <v>0</v>
      </c>
      <c r="J76" s="13" t="n">
        <f aca="false">I76-G76</f>
        <v>-1.35044088702466</v>
      </c>
      <c r="K76" s="17" t="str">
        <f aca="false">IF(ABS(J76)&lt;=0.5,"Yes","No")</f>
        <v>No</v>
      </c>
      <c r="L76" s="18" t="n">
        <v>46272</v>
      </c>
      <c r="M76" s="18" t="n">
        <v>46302</v>
      </c>
    </row>
    <row r="77" customFormat="false" ht="15" hidden="false" customHeight="false" outlineLevel="0" collapsed="false">
      <c r="A77" s="12" t="s">
        <v>117</v>
      </c>
      <c r="B77" s="2" t="s">
        <v>104</v>
      </c>
      <c r="C77" s="13" t="n">
        <v>72.1179666620389</v>
      </c>
      <c r="D77" s="14" t="n">
        <v>6032</v>
      </c>
      <c r="E77" s="13" t="n">
        <v>64.726</v>
      </c>
      <c r="F77" s="14" t="n">
        <v>5413</v>
      </c>
      <c r="G77" s="15" t="n">
        <f aca="false">C77-E77</f>
        <v>7.39196666203888</v>
      </c>
      <c r="H77" s="14" t="n">
        <f aca="false">D77-F77</f>
        <v>619</v>
      </c>
      <c r="I77" s="13" t="n">
        <v>7.702</v>
      </c>
      <c r="J77" s="13" t="n">
        <f aca="false">I77-G77</f>
        <v>0.310033337961118</v>
      </c>
      <c r="K77" s="17" t="str">
        <f aca="false">IF(ABS(J77)&lt;=0.5,"Yes","No")</f>
        <v>Yes</v>
      </c>
      <c r="L77" s="18" t="n">
        <v>46253</v>
      </c>
      <c r="M77" s="18" t="n">
        <v>46317</v>
      </c>
    </row>
    <row r="78" customFormat="false" ht="15" hidden="false" customHeight="false" outlineLevel="0" collapsed="false">
      <c r="A78" s="12" t="s">
        <v>118</v>
      </c>
      <c r="B78" s="2" t="s">
        <v>104</v>
      </c>
      <c r="C78" s="13" t="n">
        <v>57.4455663919972</v>
      </c>
      <c r="D78" s="14" t="n">
        <v>3892</v>
      </c>
      <c r="E78" s="13" t="n">
        <v>31.71</v>
      </c>
      <c r="F78" s="14" t="n">
        <v>2148</v>
      </c>
      <c r="G78" s="15" t="n">
        <f aca="false">C78-E78</f>
        <v>25.7355663919971</v>
      </c>
      <c r="H78" s="14" t="n">
        <f aca="false">D78-F78</f>
        <v>1744</v>
      </c>
      <c r="I78" s="13" t="n">
        <v>25.051</v>
      </c>
      <c r="J78" s="13" t="n">
        <f aca="false">I78-G78</f>
        <v>-0.684566391997148</v>
      </c>
      <c r="K78" s="17" t="str">
        <f aca="false">IF(ABS(J78)&lt;=0.5,"Yes","No")</f>
        <v>No</v>
      </c>
      <c r="L78" s="18" t="n">
        <v>46305</v>
      </c>
      <c r="M78" s="18" t="n">
        <v>46308</v>
      </c>
    </row>
    <row r="79" customFormat="false" ht="15" hidden="false" customHeight="false" outlineLevel="0" collapsed="false">
      <c r="A79" s="12" t="s">
        <v>119</v>
      </c>
      <c r="B79" s="2" t="s">
        <v>104</v>
      </c>
      <c r="C79" s="13" t="n">
        <v>63.5927733526701</v>
      </c>
      <c r="D79" s="14" t="n">
        <v>3876</v>
      </c>
      <c r="E79" s="13" t="n">
        <v>61.23</v>
      </c>
      <c r="F79" s="14" t="n">
        <v>3734</v>
      </c>
      <c r="G79" s="15" t="n">
        <f aca="false">C79-E79</f>
        <v>2.36277335267008</v>
      </c>
      <c r="H79" s="14" t="n">
        <f aca="false">D79-F79</f>
        <v>142</v>
      </c>
      <c r="I79" s="13" t="n">
        <v>2.434</v>
      </c>
      <c r="J79" s="13" t="n">
        <f aca="false">I79-G79</f>
        <v>0.071226647329925</v>
      </c>
      <c r="K79" s="17" t="str">
        <f aca="false">IF(ABS(J79)&lt;=0.5,"Yes","No")</f>
        <v>Yes</v>
      </c>
      <c r="L79" s="18" t="n">
        <v>46305</v>
      </c>
      <c r="M79" s="18" t="n">
        <v>46311</v>
      </c>
    </row>
    <row r="80" customFormat="false" ht="15" hidden="false" customHeight="false" outlineLevel="0" collapsed="false">
      <c r="A80" s="12" t="s">
        <v>120</v>
      </c>
      <c r="B80" s="2" t="s">
        <v>104</v>
      </c>
      <c r="C80" s="13" t="n">
        <v>9.79578547616842</v>
      </c>
      <c r="D80" s="14" t="n">
        <v>431</v>
      </c>
      <c r="E80" s="13" t="n">
        <v>10.265</v>
      </c>
      <c r="F80" s="14" t="n">
        <v>451</v>
      </c>
      <c r="G80" s="15" t="n">
        <f aca="false">C80-E80</f>
        <v>-0.46921452383158</v>
      </c>
      <c r="H80" s="14" t="n">
        <f aca="false">D80-F80</f>
        <v>-20</v>
      </c>
      <c r="I80" s="16" t="n">
        <v>0</v>
      </c>
      <c r="J80" s="13" t="n">
        <f aca="false">I80-G80</f>
        <v>0.46921452383158</v>
      </c>
      <c r="K80" s="17" t="str">
        <f aca="false">IF(ABS(J80)&lt;=0.5,"Yes","No")</f>
        <v>Yes</v>
      </c>
      <c r="L80" s="18" t="n">
        <v>46272</v>
      </c>
      <c r="M80" s="18" t="n">
        <v>46295</v>
      </c>
    </row>
    <row r="81" customFormat="false" ht="15" hidden="false" customHeight="false" outlineLevel="0" collapsed="false">
      <c r="A81" s="12" t="s">
        <v>121</v>
      </c>
      <c r="B81" s="2" t="s">
        <v>104</v>
      </c>
      <c r="C81" s="13" t="n">
        <v>36.3308201659899</v>
      </c>
      <c r="D81" s="14" t="n">
        <v>3286</v>
      </c>
      <c r="E81" s="13" t="n">
        <v>36.44</v>
      </c>
      <c r="F81" s="14" t="n">
        <v>3297</v>
      </c>
      <c r="G81" s="15" t="n">
        <f aca="false">C81-E81</f>
        <v>-0.109179834010099</v>
      </c>
      <c r="H81" s="14" t="n">
        <f aca="false">D81-F81</f>
        <v>-11</v>
      </c>
      <c r="I81" s="16" t="n">
        <v>0</v>
      </c>
      <c r="J81" s="13" t="n">
        <f aca="false">I81-G81</f>
        <v>0.109179834010099</v>
      </c>
      <c r="K81" s="17" t="str">
        <f aca="false">IF(ABS(J81)&lt;=0.5,"Yes","No")</f>
        <v>Yes</v>
      </c>
      <c r="L81" s="18" t="n">
        <v>46220</v>
      </c>
      <c r="M81" s="18" t="n">
        <v>46302</v>
      </c>
    </row>
    <row r="82" customFormat="false" ht="15" hidden="false" customHeight="false" outlineLevel="0" collapsed="false">
      <c r="A82" s="12" t="s">
        <v>122</v>
      </c>
      <c r="B82" s="2" t="s">
        <v>104</v>
      </c>
      <c r="C82" s="13" t="n">
        <v>84.1161525361491</v>
      </c>
      <c r="D82" s="14" t="n">
        <v>6139</v>
      </c>
      <c r="E82" s="13" t="n">
        <v>59.485</v>
      </c>
      <c r="F82" s="14" t="n">
        <v>4343</v>
      </c>
      <c r="G82" s="15" t="n">
        <f aca="false">C82-E82</f>
        <v>24.6311525361491</v>
      </c>
      <c r="H82" s="14" t="n">
        <f aca="false">D82-F82</f>
        <v>1796</v>
      </c>
      <c r="I82" s="13" t="n">
        <v>25.549</v>
      </c>
      <c r="J82" s="13" t="n">
        <f aca="false">I82-G82</f>
        <v>0.917847463850869</v>
      </c>
      <c r="K82" s="17" t="str">
        <f aca="false">IF(ABS(J82)&lt;=0.5,"Yes","No")</f>
        <v>No</v>
      </c>
      <c r="L82" s="18" t="n">
        <v>46286</v>
      </c>
      <c r="M82" s="18" t="n">
        <v>46314</v>
      </c>
    </row>
    <row r="83" customFormat="false" ht="15" hidden="false" customHeight="false" outlineLevel="0" collapsed="false">
      <c r="A83" s="12" t="s">
        <v>123</v>
      </c>
      <c r="B83" s="2" t="s">
        <v>104</v>
      </c>
      <c r="C83" s="13" t="n">
        <v>28.3616648173704</v>
      </c>
      <c r="D83" s="14" t="n">
        <v>1674</v>
      </c>
      <c r="E83" s="13" t="n">
        <v>27.26</v>
      </c>
      <c r="F83" s="14" t="n">
        <v>1609</v>
      </c>
      <c r="G83" s="15" t="n">
        <f aca="false">C83-E83</f>
        <v>1.10166481737043</v>
      </c>
      <c r="H83" s="14" t="n">
        <f aca="false">D83-F83</f>
        <v>65</v>
      </c>
      <c r="I83" s="16" t="n">
        <v>0</v>
      </c>
      <c r="J83" s="13" t="n">
        <f aca="false">I83-G83</f>
        <v>-1.10166481737043</v>
      </c>
      <c r="K83" s="17" t="str">
        <f aca="false">IF(ABS(J83)&lt;=0.5,"Yes","No")</f>
        <v>No</v>
      </c>
      <c r="L83" s="18" t="n">
        <v>46193</v>
      </c>
      <c r="M83" s="18" t="n">
        <v>46307</v>
      </c>
    </row>
    <row r="84" customFormat="false" ht="15" hidden="false" customHeight="false" outlineLevel="0" collapsed="false">
      <c r="A84" s="12" t="s">
        <v>124</v>
      </c>
      <c r="B84" s="2" t="s">
        <v>104</v>
      </c>
      <c r="C84" s="13" t="n">
        <v>83.9631429770518</v>
      </c>
      <c r="D84" s="14" t="n">
        <v>4540</v>
      </c>
      <c r="E84" s="13" t="n">
        <v>83.72</v>
      </c>
      <c r="F84" s="14" t="n">
        <v>4438</v>
      </c>
      <c r="G84" s="15" t="n">
        <f aca="false">C84-E84</f>
        <v>0.243142977051818</v>
      </c>
      <c r="H84" s="14" t="n">
        <f aca="false">D84-F84</f>
        <v>102</v>
      </c>
      <c r="I84" s="16" t="n">
        <v>0</v>
      </c>
      <c r="J84" s="13" t="n">
        <f aca="false">I84-G84</f>
        <v>-0.243142977051818</v>
      </c>
      <c r="K84" s="17" t="str">
        <f aca="false">IF(ABS(J84)&lt;=0.5,"Yes","No")</f>
        <v>Yes</v>
      </c>
      <c r="L84" s="18" t="n">
        <v>46286</v>
      </c>
      <c r="M84" s="18" t="n">
        <v>46303</v>
      </c>
    </row>
    <row r="85" customFormat="false" ht="15" hidden="false" customHeight="false" outlineLevel="0" collapsed="false">
      <c r="A85" s="12" t="s">
        <v>125</v>
      </c>
      <c r="B85" s="2" t="s">
        <v>104</v>
      </c>
      <c r="C85" s="13" t="n">
        <v>35.133</v>
      </c>
      <c r="D85" s="14" t="n">
        <v>1434</v>
      </c>
      <c r="E85" s="13" t="n">
        <v>28.146</v>
      </c>
      <c r="F85" s="14" t="n">
        <v>1148</v>
      </c>
      <c r="G85" s="15" t="n">
        <f aca="false">C85-E85</f>
        <v>6.987</v>
      </c>
      <c r="H85" s="14" t="n">
        <f aca="false">D85-F85</f>
        <v>286</v>
      </c>
      <c r="I85" s="13" t="n">
        <v>5.509</v>
      </c>
      <c r="J85" s="13" t="n">
        <f aca="false">I85-G85</f>
        <v>-1.478</v>
      </c>
      <c r="K85" s="17" t="str">
        <f aca="false">IF(ABS(J85)&lt;=0.5,"Yes","No")</f>
        <v>No</v>
      </c>
      <c r="L85" s="18" t="n">
        <v>46196</v>
      </c>
      <c r="M85" s="18" t="n">
        <v>46295</v>
      </c>
    </row>
    <row r="86" customFormat="false" ht="15" hidden="false" customHeight="false" outlineLevel="0" collapsed="false">
      <c r="A86" s="12" t="s">
        <v>126</v>
      </c>
      <c r="B86" s="2" t="s">
        <v>104</v>
      </c>
      <c r="C86" s="13" t="n">
        <v>41.9696943760219</v>
      </c>
      <c r="D86" s="14" t="n">
        <v>3020</v>
      </c>
      <c r="E86" s="13" t="n">
        <v>40.29</v>
      </c>
      <c r="F86" s="14" t="n">
        <v>2900</v>
      </c>
      <c r="G86" s="15" t="n">
        <f aca="false">C86-E86</f>
        <v>1.6796943760219</v>
      </c>
      <c r="H86" s="14" t="n">
        <f aca="false">D86-F86</f>
        <v>120</v>
      </c>
      <c r="I86" s="13" t="n">
        <v>1.749</v>
      </c>
      <c r="J86" s="13" t="n">
        <f aca="false">I86-G86</f>
        <v>0.0693056239781007</v>
      </c>
      <c r="K86" s="17" t="str">
        <f aca="false">IF(ABS(J86)&lt;=0.5,"Yes","No")</f>
        <v>Yes</v>
      </c>
      <c r="L86" s="18" t="n">
        <v>46227</v>
      </c>
      <c r="M86" s="18" t="n">
        <v>46319</v>
      </c>
    </row>
    <row r="87" customFormat="false" ht="15" hidden="false" customHeight="false" outlineLevel="0" collapsed="false">
      <c r="A87" s="12" t="s">
        <v>127</v>
      </c>
      <c r="B87" s="2" t="s">
        <v>104</v>
      </c>
      <c r="C87" s="13" t="n">
        <v>51.8458270267837</v>
      </c>
      <c r="D87" s="14" t="n">
        <v>3005</v>
      </c>
      <c r="E87" s="13" t="n">
        <v>19.031</v>
      </c>
      <c r="F87" s="14" t="n">
        <v>1103</v>
      </c>
      <c r="G87" s="15" t="n">
        <f aca="false">C87-E87</f>
        <v>32.8148270267837</v>
      </c>
      <c r="H87" s="14" t="n">
        <f aca="false">D87-F87</f>
        <v>1902</v>
      </c>
      <c r="I87" s="13" t="n">
        <v>27.325</v>
      </c>
      <c r="J87" s="13" t="n">
        <f aca="false">I87-G87</f>
        <v>-5.48982702678365</v>
      </c>
      <c r="K87" s="17" t="str">
        <f aca="false">IF(ABS(J87)&lt;=0.5,"Yes","No")</f>
        <v>No</v>
      </c>
      <c r="L87" s="18" t="n">
        <v>46227</v>
      </c>
      <c r="M87" s="18" t="n">
        <v>46264</v>
      </c>
    </row>
    <row r="88" customFormat="false" ht="15" hidden="false" customHeight="false" outlineLevel="0" collapsed="false">
      <c r="A88" s="12" t="s">
        <v>128</v>
      </c>
      <c r="B88" s="2" t="s">
        <v>104</v>
      </c>
      <c r="C88" s="13" t="n">
        <v>28.0525575471577</v>
      </c>
      <c r="D88" s="14" t="n">
        <v>1312</v>
      </c>
      <c r="E88" s="13" t="n">
        <v>14.011</v>
      </c>
      <c r="F88" s="14" t="n">
        <v>655</v>
      </c>
      <c r="G88" s="15" t="n">
        <f aca="false">C88-E88</f>
        <v>14.0415575471577</v>
      </c>
      <c r="H88" s="14" t="n">
        <f aca="false">D88-F88</f>
        <v>657</v>
      </c>
      <c r="I88" s="13" t="n">
        <v>12.48</v>
      </c>
      <c r="J88" s="13" t="n">
        <f aca="false">I88-G88</f>
        <v>-1.56155754715769</v>
      </c>
      <c r="K88" s="17" t="str">
        <f aca="false">IF(ABS(J88)&lt;=0.5,"Yes","No")</f>
        <v>No</v>
      </c>
      <c r="L88" s="18" t="n">
        <v>46221</v>
      </c>
      <c r="M88" s="18" t="n">
        <v>46302</v>
      </c>
    </row>
    <row r="89" customFormat="false" ht="15" hidden="false" customHeight="false" outlineLevel="0" collapsed="false">
      <c r="A89" s="12" t="s">
        <v>129</v>
      </c>
      <c r="B89" s="2" t="s">
        <v>104</v>
      </c>
      <c r="C89" s="13" t="n">
        <v>99.9575553667495</v>
      </c>
      <c r="D89" s="14" t="n">
        <v>3878</v>
      </c>
      <c r="E89" s="13" t="n">
        <v>81.261</v>
      </c>
      <c r="F89" s="14" t="n">
        <v>3171</v>
      </c>
      <c r="G89" s="15" t="n">
        <f aca="false">C89-E89</f>
        <v>18.6965553667495</v>
      </c>
      <c r="H89" s="14" t="n">
        <f aca="false">D89-F89</f>
        <v>707</v>
      </c>
      <c r="I89" s="13" t="n">
        <v>15.655</v>
      </c>
      <c r="J89" s="13" t="n">
        <f aca="false">I89-G89</f>
        <v>-3.04155536674954</v>
      </c>
      <c r="K89" s="17" t="str">
        <f aca="false">IF(ABS(J89)&lt;=0.5,"Yes","No")</f>
        <v>No</v>
      </c>
      <c r="L89" s="18" t="n">
        <v>46318</v>
      </c>
      <c r="M89" s="18" t="n">
        <v>46321</v>
      </c>
    </row>
    <row r="90" customFormat="false" ht="15" hidden="false" customHeight="false" outlineLevel="0" collapsed="false">
      <c r="A90" s="12" t="s">
        <v>130</v>
      </c>
      <c r="B90" s="2" t="s">
        <v>104</v>
      </c>
      <c r="C90" s="13" t="n">
        <v>6.74887264657441</v>
      </c>
      <c r="D90" s="14" t="n">
        <v>274</v>
      </c>
      <c r="E90" s="13" t="n">
        <v>9.386</v>
      </c>
      <c r="F90" s="14" t="n">
        <v>381</v>
      </c>
      <c r="G90" s="15" t="n">
        <f aca="false">C90-E90</f>
        <v>-2.63712735342559</v>
      </c>
      <c r="H90" s="14" t="n">
        <f aca="false">D90-F90</f>
        <v>-107</v>
      </c>
      <c r="I90" s="16" t="n">
        <v>0</v>
      </c>
      <c r="J90" s="13" t="n">
        <f aca="false">I90-G90</f>
        <v>2.63712735342559</v>
      </c>
      <c r="K90" s="17" t="str">
        <f aca="false">IF(ABS(J90)&lt;=0.5,"Yes","No")</f>
        <v>No</v>
      </c>
      <c r="L90" s="18" t="n">
        <v>46196</v>
      </c>
      <c r="M90" s="18" t="n">
        <v>46233</v>
      </c>
    </row>
    <row r="91" customFormat="false" ht="15" hidden="false" customHeight="false" outlineLevel="0" collapsed="false">
      <c r="A91" s="12" t="s">
        <v>131</v>
      </c>
      <c r="B91" s="2" t="s">
        <v>104</v>
      </c>
      <c r="C91" s="13" t="n">
        <v>38.2222607216639</v>
      </c>
      <c r="D91" s="14" t="n">
        <v>1743</v>
      </c>
      <c r="E91" s="13" t="n">
        <v>28.12</v>
      </c>
      <c r="F91" s="14" t="n">
        <v>1282</v>
      </c>
      <c r="G91" s="15" t="n">
        <f aca="false">C91-E91</f>
        <v>10.1022607216639</v>
      </c>
      <c r="H91" s="14" t="n">
        <f aca="false">D91-F91</f>
        <v>461</v>
      </c>
      <c r="I91" s="13" t="n">
        <v>10.076</v>
      </c>
      <c r="J91" s="13" t="n">
        <f aca="false">I91-G91</f>
        <v>-0.0262607216638919</v>
      </c>
      <c r="K91" s="17" t="str">
        <f aca="false">IF(ABS(J91)&lt;=0.5,"Yes","No")</f>
        <v>Yes</v>
      </c>
      <c r="L91" s="18" t="n">
        <v>46279</v>
      </c>
      <c r="M91" s="18" t="n">
        <v>46319</v>
      </c>
    </row>
    <row r="92" customFormat="false" ht="15" hidden="false" customHeight="false" outlineLevel="0" collapsed="false">
      <c r="A92" s="12" t="s">
        <v>132</v>
      </c>
      <c r="B92" s="2" t="s">
        <v>104</v>
      </c>
      <c r="C92" s="13" t="n">
        <v>20.5286291240952</v>
      </c>
      <c r="D92" s="14" t="n">
        <v>754</v>
      </c>
      <c r="E92" s="13" t="n">
        <v>15.095</v>
      </c>
      <c r="F92" s="14" t="n">
        <v>554</v>
      </c>
      <c r="G92" s="15" t="n">
        <f aca="false">C92-E92</f>
        <v>5.43362912409522</v>
      </c>
      <c r="H92" s="14" t="n">
        <f aca="false">D92-F92</f>
        <v>200</v>
      </c>
      <c r="I92" s="13" t="n">
        <v>9.126</v>
      </c>
      <c r="J92" s="13" t="n">
        <f aca="false">I92-G92</f>
        <v>3.69237087590478</v>
      </c>
      <c r="K92" s="17" t="str">
        <f aca="false">IF(ABS(J92)&lt;=0.5,"Yes","No")</f>
        <v>No</v>
      </c>
      <c r="L92" s="18" t="n">
        <v>46201</v>
      </c>
      <c r="M92" s="18" t="n">
        <v>46310</v>
      </c>
    </row>
    <row r="93" customFormat="false" ht="15" hidden="false" customHeight="false" outlineLevel="0" collapsed="false">
      <c r="A93" s="12" t="s">
        <v>133</v>
      </c>
      <c r="B93" s="2" t="s">
        <v>104</v>
      </c>
      <c r="C93" s="13" t="n">
        <v>47.6188435543849</v>
      </c>
      <c r="D93" s="14" t="n">
        <v>1568</v>
      </c>
      <c r="E93" s="13" t="n">
        <v>42.235</v>
      </c>
      <c r="F93" s="14" t="n">
        <v>1391</v>
      </c>
      <c r="G93" s="15" t="n">
        <f aca="false">C93-E93</f>
        <v>5.38384355438487</v>
      </c>
      <c r="H93" s="14" t="n">
        <f aca="false">D93-F93</f>
        <v>177</v>
      </c>
      <c r="I93" s="16" t="n">
        <v>0</v>
      </c>
      <c r="J93" s="13" t="n">
        <f aca="false">I93-G93</f>
        <v>-5.38384355438487</v>
      </c>
      <c r="K93" s="17" t="str">
        <f aca="false">IF(ABS(J93)&lt;=0.5,"Yes","No")</f>
        <v>No</v>
      </c>
      <c r="L93" s="18" t="n">
        <v>46279</v>
      </c>
      <c r="M93" s="18" t="n">
        <v>46308</v>
      </c>
    </row>
    <row r="94" customFormat="false" ht="15" hidden="false" customHeight="false" outlineLevel="0" collapsed="false">
      <c r="A94" s="12" t="s">
        <v>134</v>
      </c>
      <c r="B94" s="2" t="s">
        <v>104</v>
      </c>
      <c r="C94" s="13" t="n">
        <v>12.4272</v>
      </c>
      <c r="D94" s="14" t="n">
        <v>288</v>
      </c>
      <c r="E94" s="13" t="n">
        <v>12.41</v>
      </c>
      <c r="F94" s="14" t="n">
        <v>288</v>
      </c>
      <c r="G94" s="15" t="n">
        <f aca="false">C94-E94</f>
        <v>0.017199999999999</v>
      </c>
      <c r="H94" s="14" t="n">
        <f aca="false">D94-F94</f>
        <v>0</v>
      </c>
      <c r="I94" s="16" t="n">
        <v>0</v>
      </c>
      <c r="J94" s="13" t="n">
        <f aca="false">I94-G94</f>
        <v>-0.017199999999999</v>
      </c>
      <c r="K94" s="17" t="str">
        <f aca="false">IF(ABS(J94)&lt;=0.5,"Yes","No")</f>
        <v>Yes</v>
      </c>
      <c r="L94" s="18" t="n">
        <v>46201</v>
      </c>
      <c r="M94" s="18" t="n">
        <v>46311</v>
      </c>
    </row>
    <row r="95" customFormat="false" ht="15" hidden="false" customHeight="false" outlineLevel="0" collapsed="false">
      <c r="A95" s="12" t="s">
        <v>135</v>
      </c>
      <c r="B95" s="2" t="s">
        <v>104</v>
      </c>
      <c r="C95" s="13" t="n">
        <v>18.45</v>
      </c>
      <c r="D95" s="14" t="n">
        <v>900</v>
      </c>
      <c r="E95" s="13" t="n">
        <v>3.24</v>
      </c>
      <c r="F95" s="14" t="n">
        <v>157</v>
      </c>
      <c r="G95" s="15" t="n">
        <f aca="false">C95-E95</f>
        <v>15.21</v>
      </c>
      <c r="H95" s="14" t="n">
        <f aca="false">D95-F95</f>
        <v>743</v>
      </c>
      <c r="I95" s="13" t="n">
        <v>15.096</v>
      </c>
      <c r="J95" s="13" t="n">
        <f aca="false">I95-G95</f>
        <v>-0.113999999999999</v>
      </c>
      <c r="K95" s="17" t="str">
        <f aca="false">IF(ABS(J95)&lt;=0.5,"Yes","No")</f>
        <v>Yes</v>
      </c>
      <c r="L95" s="18" t="n">
        <v>46211</v>
      </c>
      <c r="M95" s="18" t="n">
        <v>46235</v>
      </c>
    </row>
    <row r="96" customFormat="false" ht="15" hidden="false" customHeight="false" outlineLevel="0" collapsed="false">
      <c r="A96" s="12" t="s">
        <v>136</v>
      </c>
      <c r="B96" s="2" t="s">
        <v>104</v>
      </c>
      <c r="C96" s="13" t="n">
        <v>30.4489453224326</v>
      </c>
      <c r="D96" s="14" t="n">
        <v>1184</v>
      </c>
      <c r="E96" s="13" t="n">
        <v>13.48</v>
      </c>
      <c r="F96" s="14" t="n">
        <v>525</v>
      </c>
      <c r="G96" s="15" t="n">
        <f aca="false">C96-E96</f>
        <v>16.9689453224326</v>
      </c>
      <c r="H96" s="14" t="n">
        <f aca="false">D96-F96</f>
        <v>659</v>
      </c>
      <c r="I96" s="13" t="n">
        <v>17.065</v>
      </c>
      <c r="J96" s="13" t="n">
        <f aca="false">I96-G96</f>
        <v>0.0960546775673734</v>
      </c>
      <c r="K96" s="17" t="str">
        <f aca="false">IF(ABS(J96)&lt;=0.5,"Yes","No")</f>
        <v>Yes</v>
      </c>
      <c r="L96" s="18" t="n">
        <v>46210</v>
      </c>
      <c r="M96" s="18" t="n">
        <v>46317</v>
      </c>
    </row>
    <row r="97" customFormat="false" ht="15" hidden="false" customHeight="false" outlineLevel="0" collapsed="false">
      <c r="A97" s="12" t="s">
        <v>137</v>
      </c>
      <c r="B97" s="2" t="s">
        <v>104</v>
      </c>
      <c r="C97" s="13" t="n">
        <v>54.0465701717689</v>
      </c>
      <c r="D97" s="14" t="n">
        <v>1691</v>
      </c>
      <c r="E97" s="13" t="n">
        <v>19.7</v>
      </c>
      <c r="F97" s="14" t="n">
        <v>616</v>
      </c>
      <c r="G97" s="15" t="n">
        <f aca="false">C97-E97</f>
        <v>34.3465701717689</v>
      </c>
      <c r="H97" s="14" t="n">
        <f aca="false">D97-F97</f>
        <v>1075</v>
      </c>
      <c r="I97" s="13" t="n">
        <v>33.383</v>
      </c>
      <c r="J97" s="13" t="n">
        <f aca="false">I97-G97</f>
        <v>-0.963570171768858</v>
      </c>
      <c r="K97" s="17" t="str">
        <f aca="false">IF(ABS(J97)&lt;=0.5,"Yes","No")</f>
        <v>No</v>
      </c>
      <c r="L97" s="18" t="n">
        <v>46312</v>
      </c>
      <c r="M97" s="18" t="n">
        <v>46281</v>
      </c>
    </row>
    <row r="98" customFormat="false" ht="15" hidden="false" customHeight="false" outlineLevel="0" collapsed="false">
      <c r="A98" s="12" t="s">
        <v>138</v>
      </c>
      <c r="B98" s="2" t="s">
        <v>104</v>
      </c>
      <c r="C98" s="13" t="n">
        <v>58.1552673449761</v>
      </c>
      <c r="D98" s="14" t="n">
        <v>1591</v>
      </c>
      <c r="E98" s="13" t="n">
        <v>44.795</v>
      </c>
      <c r="F98" s="14" t="n">
        <v>1235</v>
      </c>
      <c r="G98" s="15" t="n">
        <f aca="false">C98-E98</f>
        <v>13.3602673449761</v>
      </c>
      <c r="H98" s="14" t="n">
        <f aca="false">D98-F98</f>
        <v>356</v>
      </c>
      <c r="I98" s="13" t="n">
        <v>12.496</v>
      </c>
      <c r="J98" s="13" t="n">
        <f aca="false">I98-G98</f>
        <v>-0.864267344976108</v>
      </c>
      <c r="K98" s="17" t="str">
        <f aca="false">IF(ABS(J98)&lt;=0.5,"Yes","No")</f>
        <v>No</v>
      </c>
      <c r="L98" s="18" t="n">
        <v>46312</v>
      </c>
      <c r="M98" s="18" t="n">
        <v>46310</v>
      </c>
    </row>
    <row r="99" customFormat="false" ht="15" hidden="false" customHeight="false" outlineLevel="0" collapsed="false">
      <c r="A99" s="12" t="s">
        <v>139</v>
      </c>
      <c r="B99" s="2" t="s">
        <v>104</v>
      </c>
      <c r="C99" s="13" t="n">
        <v>37.0711</v>
      </c>
      <c r="D99" s="14" t="n">
        <v>737</v>
      </c>
      <c r="E99" s="13" t="n">
        <v>17.475</v>
      </c>
      <c r="F99" s="14" t="n">
        <v>348</v>
      </c>
      <c r="G99" s="15" t="n">
        <f aca="false">C99-E99</f>
        <v>19.5961</v>
      </c>
      <c r="H99" s="14" t="n">
        <f aca="false">D99-F99</f>
        <v>389</v>
      </c>
      <c r="I99" s="13" t="n">
        <v>19.762</v>
      </c>
      <c r="J99" s="13" t="n">
        <f aca="false">I99-G99</f>
        <v>0.165900000000001</v>
      </c>
      <c r="K99" s="17" t="str">
        <f aca="false">IF(ABS(J99)&lt;=0.5,"Yes","No")</f>
        <v>Yes</v>
      </c>
      <c r="L99" s="18" t="n">
        <v>46312</v>
      </c>
      <c r="M99" s="18" t="n">
        <v>46295</v>
      </c>
    </row>
    <row r="100" customFormat="false" ht="15" hidden="false" customHeight="false" outlineLevel="0" collapsed="false">
      <c r="A100" s="5" t="s">
        <v>140</v>
      </c>
      <c r="B100" s="5"/>
      <c r="C100" s="19" t="n">
        <f aca="false">SUBTOTAL(9,C5:C99)</f>
        <v>6960.10004706745</v>
      </c>
      <c r="D100" s="20" t="n">
        <f aca="false">SUBTOTAL(9,D5:D99)</f>
        <v>469072</v>
      </c>
      <c r="E100" s="19" t="n">
        <f aca="false">SUBTOTAL(9,E5:E99)</f>
        <v>6323.554</v>
      </c>
      <c r="F100" s="20" t="n">
        <f aca="false">SUBTOTAL(9,F5:F99)</f>
        <v>432766</v>
      </c>
      <c r="G100" s="19" t="n">
        <f aca="false">SUBTOTAL(9,G5:G99)</f>
        <v>636.546047067445</v>
      </c>
      <c r="H100" s="20" t="n">
        <f aca="false">SUBTOTAL(9,H5:H99)</f>
        <v>36306</v>
      </c>
      <c r="I100" s="19" t="n">
        <f aca="false">SUBTOTAL(9,I5:I99)</f>
        <v>643.432</v>
      </c>
      <c r="J100" s="19" t="n">
        <f aca="false">SUBTOTAL(9,J5:J99)</f>
        <v>6.88595293255524</v>
      </c>
      <c r="K100" s="5"/>
      <c r="L100" s="5"/>
      <c r="M100" s="5"/>
    </row>
  </sheetData>
  <autoFilter ref="A4:M99"/>
  <conditionalFormatting sqref="K5:K99">
    <cfRule type="expression" priority="2" aboveAverage="0" equalAverage="0" bottom="0" percent="0" rank="0" text="" dxfId="7">
      <formula>K5="No"</formula>
    </cfRule>
    <cfRule type="expression" priority="3" aboveAverage="0" equalAverage="0" bottom="0" percent="0" rank="0" text="" dxfId="8">
      <formula>K5="Yes"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2026-10-29T11:35:11Z</dcterms:created>
  <dc:creator>openpyxl</dc:creator>
  <dc:description/>
  <dc:language>en-US</dc:language>
  <cp:lastModifiedBy/>
  <dcterms:modified xsi:type="dcterms:W3CDTF">2026-10-29T11:35:11Z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