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section" sheetId="1" state="visible" r:id="rId3"/>
    <sheet name="SKU-wise" sheetId="2" state="visible" r:id="rId4"/>
  </sheets>
  <definedNames>
    <definedName function="false" hidden="false" localSheetId="1" name="_xlnm.Print_Titles" vbProcedure="false">'SKU-wise'!$4:$4</definedName>
    <definedName function="false" hidden="true" localSheetId="1" name="_xlnm._FilterDatabase" vbProcedure="false">'SKU-wise'!$A$4:$S$130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<sst xmlns="http://schemas.openxmlformats.org/spreadsheetml/2006/main" count="428" uniqueCount="195">
  <si>
    <t xml:space="preserve">Finished inventory ageing by section (MT) - as of 29-Oct-2026</t>
  </si>
  <si>
    <t xml:space="preserve">Every figure is a formula over the SKU-wise sheet. All sections together equal the Inventory Snapshot's current inventory for the same date.</t>
  </si>
  <si>
    <t xml:space="preserve">Section</t>
  </si>
  <si>
    <t xml:space="preserve">SKUs in stock</t>
  </si>
  <si>
    <t xml:space="preserve">On hand</t>
  </si>
  <si>
    <t xml:space="preserve">0-30 days</t>
  </si>
  <si>
    <t xml:space="preserve">31-60 days</t>
  </si>
  <si>
    <t xml:space="preserve">61-90 days</t>
  </si>
  <si>
    <t xml:space="preserve">90+ days</t>
  </si>
  <si>
    <t xml:space="preserve">Over 60 days</t>
  </si>
  <si>
    <t xml:space="preserve">% over 60 days</t>
  </si>
  <si>
    <t xml:space="preserve">Avg age (days)</t>
  </si>
  <si>
    <t xml:space="preserve">Hyderabad</t>
  </si>
  <si>
    <t xml:space="preserve">Lepakshi</t>
  </si>
  <si>
    <t xml:space="preserve">NPMD</t>
  </si>
  <si>
    <t xml:space="preserve">Tapi</t>
  </si>
  <si>
    <t xml:space="preserve">CHS</t>
  </si>
  <si>
    <t xml:space="preserve">RHS</t>
  </si>
  <si>
    <t xml:space="preserve">SHS</t>
  </si>
  <si>
    <t xml:space="preserve">All sections</t>
  </si>
  <si>
    <t xml:space="preserve">SHS = square hollow section, RHS = rectangular hollow section, CHS = circular hollow section (sized by nominal bore, NB).</t>
  </si>
  <si>
    <t xml:space="preserve">JSW Pipes &amp; Tubes - finished inventory ageing, SKU-wise (all plants)</t>
  </si>
  <si>
    <t xml:space="preserve">As of 29-Oct-2026 · data up to 28-Oct · stock = produced minus invoiced at each plant, aged first-in-first-out from the production date · MT</t>
  </si>
  <si>
    <t xml:space="preserve">SKU</t>
  </si>
  <si>
    <t xml:space="preserve">Size</t>
  </si>
  <si>
    <t xml:space="preserve">Thickness (mm)</t>
  </si>
  <si>
    <t xml:space="preserve">On hand (MT)</t>
  </si>
  <si>
    <t xml:space="preserve">Oldest batch (days)</t>
  </si>
  <si>
    <t xml:space="preserve">Last produced</t>
  </si>
  <si>
    <t xml:space="preserve">Plants holding</t>
  </si>
  <si>
    <t xml:space="preserve">RHS 80x40 x 2.0</t>
  </si>
  <si>
    <t xml:space="preserve">80x40</t>
  </si>
  <si>
    <t xml:space="preserve">SHS 50x50 x 2.0</t>
  </si>
  <si>
    <t xml:space="preserve">50x50</t>
  </si>
  <si>
    <t xml:space="preserve">RHS 60x40 x 1.6</t>
  </si>
  <si>
    <t xml:space="preserve">60x40</t>
  </si>
  <si>
    <t xml:space="preserve">RHS 80x40 x 2.5</t>
  </si>
  <si>
    <t xml:space="preserve">RHS 60x40 x 2.0</t>
  </si>
  <si>
    <t xml:space="preserve">RHS 96x48 x 2.0</t>
  </si>
  <si>
    <t xml:space="preserve">96x48</t>
  </si>
  <si>
    <t xml:space="preserve">SHS 50x50 x 2.5</t>
  </si>
  <si>
    <t xml:space="preserve">SHS 150x150 x 3.0</t>
  </si>
  <si>
    <t xml:space="preserve">150x150</t>
  </si>
  <si>
    <t xml:space="preserve">SHS 50x50 x 1.6</t>
  </si>
  <si>
    <t xml:space="preserve">RHS 96x48 x 3.0</t>
  </si>
  <si>
    <t xml:space="preserve">RHS 80x40 x 3.0</t>
  </si>
  <si>
    <t xml:space="preserve">SHS 72x72 x 2.5</t>
  </si>
  <si>
    <t xml:space="preserve">72x72</t>
  </si>
  <si>
    <t xml:space="preserve">RHS 80x40 x 4.0</t>
  </si>
  <si>
    <t xml:space="preserve">SHS 150x150 x 2.5</t>
  </si>
  <si>
    <t xml:space="preserve">RHS 122x61 x 3.0</t>
  </si>
  <si>
    <t xml:space="preserve">122x61</t>
  </si>
  <si>
    <t xml:space="preserve">SHS 72x72 x 5.0</t>
  </si>
  <si>
    <t xml:space="preserve">RHS 80x40 x 1.6</t>
  </si>
  <si>
    <t xml:space="preserve">RHS 60x40 x 2.5</t>
  </si>
  <si>
    <t xml:space="preserve">RHS 80x40 x 5.0</t>
  </si>
  <si>
    <t xml:space="preserve">RHS 122x61 x 2.5</t>
  </si>
  <si>
    <t xml:space="preserve">SHS 150x150 x 5.0</t>
  </si>
  <si>
    <t xml:space="preserve">RHS 96x48 x 2.5</t>
  </si>
  <si>
    <t xml:space="preserve">SHS 60x60 x 4.0</t>
  </si>
  <si>
    <t xml:space="preserve">60x60</t>
  </si>
  <si>
    <t xml:space="preserve">SHS 72x72 x 2.0</t>
  </si>
  <si>
    <t xml:space="preserve">SHS 150x150 x 4.0</t>
  </si>
  <si>
    <t xml:space="preserve">SHS 38x38 x 2.0</t>
  </si>
  <si>
    <t xml:space="preserve">38x38</t>
  </si>
  <si>
    <t xml:space="preserve">CHS 80 NB x 2.5</t>
  </si>
  <si>
    <t xml:space="preserve">80 NB</t>
  </si>
  <si>
    <t xml:space="preserve">CHS 50 NB x 2.0</t>
  </si>
  <si>
    <t xml:space="preserve">50 NB</t>
  </si>
  <si>
    <t xml:space="preserve">SHS 100x100 x 3.0</t>
  </si>
  <si>
    <t xml:space="preserve">100x100</t>
  </si>
  <si>
    <t xml:space="preserve">RHS 122x61 x 4.0</t>
  </si>
  <si>
    <t xml:space="preserve">CHS 32 NB x 2.5</t>
  </si>
  <si>
    <t xml:space="preserve">32 NB</t>
  </si>
  <si>
    <t xml:space="preserve">SHS 100x100 x 2.0</t>
  </si>
  <si>
    <t xml:space="preserve">CHS 40 NB x 2.0</t>
  </si>
  <si>
    <t xml:space="preserve">40 NB</t>
  </si>
  <si>
    <t xml:space="preserve">SHS 50x50 x 2.8</t>
  </si>
  <si>
    <t xml:space="preserve">RHS 122x61 x 5.0</t>
  </si>
  <si>
    <t xml:space="preserve">SHS 38x38 x 2.5</t>
  </si>
  <si>
    <t xml:space="preserve">RHS 96x48 x 5.0</t>
  </si>
  <si>
    <t xml:space="preserve">RHS 60x40 x 2.8</t>
  </si>
  <si>
    <t xml:space="preserve">RHS 122x61 x 2.0</t>
  </si>
  <si>
    <t xml:space="preserve">RHS 60x40 x 3.0</t>
  </si>
  <si>
    <t xml:space="preserve">SHS 100x100 x 5.0</t>
  </si>
  <si>
    <t xml:space="preserve">CHS 80 NB x 4.0</t>
  </si>
  <si>
    <t xml:space="preserve">RHS 50x25 x 2.0</t>
  </si>
  <si>
    <t xml:space="preserve">50x25</t>
  </si>
  <si>
    <t xml:space="preserve">SHS 38x38 x 2.8</t>
  </si>
  <si>
    <t xml:space="preserve">CHS 20 NB x 1.6</t>
  </si>
  <si>
    <t xml:space="preserve">20 NB</t>
  </si>
  <si>
    <t xml:space="preserve">RHS 75x25 x 2.8</t>
  </si>
  <si>
    <t xml:space="preserve">75x25</t>
  </si>
  <si>
    <t xml:space="preserve">RHS 96x48 x 1.6</t>
  </si>
  <si>
    <t xml:space="preserve">CHS 50 NB x 3.2</t>
  </si>
  <si>
    <t xml:space="preserve">CHS 80 NB x 2.0</t>
  </si>
  <si>
    <t xml:space="preserve">CHS 40 NB x 4.0</t>
  </si>
  <si>
    <t xml:space="preserve">SHS 50x50 x 5.0</t>
  </si>
  <si>
    <t xml:space="preserve">CHS 80 NB x 1.6</t>
  </si>
  <si>
    <t xml:space="preserve">CHS 65 NB x 2.0</t>
  </si>
  <si>
    <t xml:space="preserve">65 NB</t>
  </si>
  <si>
    <t xml:space="preserve">RHS 100x50 x 4.0</t>
  </si>
  <si>
    <t xml:space="preserve">100x50</t>
  </si>
  <si>
    <t xml:space="preserve">CHS 20 NB x 2.0</t>
  </si>
  <si>
    <t xml:space="preserve">CHS 50 NB x 2.5</t>
  </si>
  <si>
    <t xml:space="preserve">CHS 40 NB x 2.8</t>
  </si>
  <si>
    <t xml:space="preserve">RHS 40x20 x 2.8</t>
  </si>
  <si>
    <t xml:space="preserve">40x20</t>
  </si>
  <si>
    <t xml:space="preserve">SHS 25x25 x 2.0</t>
  </si>
  <si>
    <t xml:space="preserve">25x25</t>
  </si>
  <si>
    <t xml:space="preserve">RHS 96x48 x 4.0</t>
  </si>
  <si>
    <t xml:space="preserve">CHS 20 NB x 2.5</t>
  </si>
  <si>
    <t xml:space="preserve">SHS 50x50 x 4.0</t>
  </si>
  <si>
    <t xml:space="preserve">CHS 80 NB x 3.2</t>
  </si>
  <si>
    <t xml:space="preserve">CHS 20 NB x 2.8</t>
  </si>
  <si>
    <t xml:space="preserve">RHS 50x25 x 3.0</t>
  </si>
  <si>
    <t xml:space="preserve">RHS 75x25 x 2.0</t>
  </si>
  <si>
    <t xml:space="preserve">CHS 65 NB x 2.8</t>
  </si>
  <si>
    <t xml:space="preserve">SHS 50x50 x 3.0</t>
  </si>
  <si>
    <t xml:space="preserve">CHS 25 NB x 1.6</t>
  </si>
  <si>
    <t xml:space="preserve">25 NB</t>
  </si>
  <si>
    <t xml:space="preserve">RHS 40x20 x 2.0</t>
  </si>
  <si>
    <t xml:space="preserve">SHS 60x60 x 5.0</t>
  </si>
  <si>
    <t xml:space="preserve">RHS 100x50 x 3.0</t>
  </si>
  <si>
    <t xml:space="preserve">SHS 132x132 x 3.0</t>
  </si>
  <si>
    <t xml:space="preserve">132x132</t>
  </si>
  <si>
    <t xml:space="preserve">CHS 32 NB x 2.0</t>
  </si>
  <si>
    <t xml:space="preserve">RHS 80x40 x 2.8</t>
  </si>
  <si>
    <t xml:space="preserve">SHS 100x100 x 4.0</t>
  </si>
  <si>
    <t xml:space="preserve">SHS 38x38 x 2.2</t>
  </si>
  <si>
    <t xml:space="preserve">SHS 40x40 x 2.5</t>
  </si>
  <si>
    <t xml:space="preserve">40x40</t>
  </si>
  <si>
    <t xml:space="preserve">CHS 40 NB x 2.5</t>
  </si>
  <si>
    <t xml:space="preserve">SHS 40x40 x 2.0</t>
  </si>
  <si>
    <t xml:space="preserve">CHS 15 NB x 2.0</t>
  </si>
  <si>
    <t xml:space="preserve">15 NB</t>
  </si>
  <si>
    <t xml:space="preserve">CHS 65 NB x 2.5</t>
  </si>
  <si>
    <t xml:space="preserve">CHS 15 NB x 2.5</t>
  </si>
  <si>
    <t xml:space="preserve">SHS 80x80 x 5.0</t>
  </si>
  <si>
    <t xml:space="preserve">80x80</t>
  </si>
  <si>
    <t xml:space="preserve">SHS 40x40 x 3.0</t>
  </si>
  <si>
    <t xml:space="preserve">CHS 32 NB x 4.0</t>
  </si>
  <si>
    <t xml:space="preserve">RHS 50x25 x 2.5</t>
  </si>
  <si>
    <t xml:space="preserve">RHS 200x100 x 5.0</t>
  </si>
  <si>
    <t xml:space="preserve">200x100</t>
  </si>
  <si>
    <t xml:space="preserve">RHS 60x40 x 4.0</t>
  </si>
  <si>
    <t xml:space="preserve">RHS 40x20 x 3.0</t>
  </si>
  <si>
    <t xml:space="preserve">SHS 30x30 x 2.5</t>
  </si>
  <si>
    <t xml:space="preserve">30x30</t>
  </si>
  <si>
    <t xml:space="preserve">SHS 132x132 x 4.0</t>
  </si>
  <si>
    <t xml:space="preserve">CHS 80 NB x 2.8</t>
  </si>
  <si>
    <t xml:space="preserve">CHS 25 NB x 2.5</t>
  </si>
  <si>
    <t xml:space="preserve">CHS 50 NB x 2.8</t>
  </si>
  <si>
    <t xml:space="preserve">SHS 25x25 x 3.2</t>
  </si>
  <si>
    <t xml:space="preserve">RHS 200x100 x 3.0</t>
  </si>
  <si>
    <t xml:space="preserve">RHS 100x50 x 2.5</t>
  </si>
  <si>
    <t xml:space="preserve">SHS 100x100 x 6.0</t>
  </si>
  <si>
    <t xml:space="preserve">SHS 60x60 x 2.5</t>
  </si>
  <si>
    <t xml:space="preserve">CHS 32 NB x 2.8</t>
  </si>
  <si>
    <t xml:space="preserve">RHS 50x25 x 1.6</t>
  </si>
  <si>
    <t xml:space="preserve">RHS 100x50 x 2.8</t>
  </si>
  <si>
    <t xml:space="preserve">SHS 50x50 x 2.2</t>
  </si>
  <si>
    <t xml:space="preserve">CHS 50 NB x 1.6</t>
  </si>
  <si>
    <t xml:space="preserve">RHS 100x50 x 2.0</t>
  </si>
  <si>
    <t xml:space="preserve">RHS 100x50 x 3.2</t>
  </si>
  <si>
    <t xml:space="preserve">RHS 50x25 x 2.8</t>
  </si>
  <si>
    <t xml:space="preserve">CHS 32 NB x 1.6</t>
  </si>
  <si>
    <t xml:space="preserve">SHS 50x50 x 1.2</t>
  </si>
  <si>
    <t xml:space="preserve">SHS 38x38 x 1.6</t>
  </si>
  <si>
    <t xml:space="preserve">RHS 75x25 x 2.5</t>
  </si>
  <si>
    <t xml:space="preserve">RHS 145x82 x 3.0</t>
  </si>
  <si>
    <t xml:space="preserve">145x82</t>
  </si>
  <si>
    <t xml:space="preserve">SHS 100x100 x 2.5</t>
  </si>
  <si>
    <t xml:space="preserve">CHS 25 NB x 2.0</t>
  </si>
  <si>
    <t xml:space="preserve">SHS 75x75 x 2.0</t>
  </si>
  <si>
    <t xml:space="preserve">75x75</t>
  </si>
  <si>
    <t xml:space="preserve">RHS 145x82 x 4.0</t>
  </si>
  <si>
    <t xml:space="preserve">SHS 30x30 x 1.6</t>
  </si>
  <si>
    <t xml:space="preserve">SHS 75x75 x 2.5</t>
  </si>
  <si>
    <t xml:space="preserve">RHS 40x20 x 2.2</t>
  </si>
  <si>
    <t xml:space="preserve">SHS 20x20 x 1.2</t>
  </si>
  <si>
    <t xml:space="preserve">20x20</t>
  </si>
  <si>
    <t xml:space="preserve">SHS 38x38 x 4.0</t>
  </si>
  <si>
    <t xml:space="preserve">SHS 25x25 x 1.6</t>
  </si>
  <si>
    <t xml:space="preserve">RHS 40x20 x 1.2</t>
  </si>
  <si>
    <t xml:space="preserve">CHS 65 NB x 4.0</t>
  </si>
  <si>
    <t xml:space="preserve">RHS 200x100 x 4.0</t>
  </si>
  <si>
    <t xml:space="preserve">Total (follows the filter)</t>
  </si>
  <si>
    <t xml:space="preserve">How to read this sheet</t>
  </si>
  <si>
    <t xml:space="preserve">One row per SKU with stock at any plant. A SKU = section + size + thickness; ERP codes, IS standards and lengths of the same tube are combined.</t>
  </si>
  <si>
    <t xml:space="preserve">Each plant is counted on its own (produced minus invoiced at that plant, never below 0) and the plants are added up. A plant column shows what that plant holds.</t>
  </si>
  <si>
    <t xml:space="preserve">Production tonnage = tubes x SKU master weight per tube. Invoices use up the oldest production first; what is left is aged from its production date. Same rules as the Inventory Snapshot.</t>
  </si>
  <si>
    <t xml:space="preserve">The four age brackets add up to On hand. Over 60 days = 61 days or more. Avg age = tonnage-weighted average across all plants; Oldest batch = oldest at any plant (shaded by bracket).</t>
  </si>
  <si>
    <t xml:space="preserve">Hyderabad is the plant the Inventory Snapshot shows as Nippon. Hyderabad and Lepakshi serve South distributors; NPMD and Tapi serve West.</t>
  </si>
  <si>
    <t xml:space="preserve">Use the filter arrows to pick a section, size or thickness; the Total row follows the filter.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</si>
</sst>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-#,##0.00;\-"/>
    <numFmt numFmtId="166" formatCode="0"/>
    <numFmt numFmtId="167" formatCode="0.0%"/>
    <numFmt numFmtId="168" formatCode="0.0"/>
    <numFmt numFmtId="169" formatCode="0.00"/>
    <numFmt numFmtId="170" formatCode="dd\-mmm\-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32"/>
        <bgColor rgb="FF008000"/>
      </patternFill>
    </fill>
    <fill>
      <patternFill patternType="solid">
        <fgColor rgb="FF8A6D00"/>
        <bgColor rgb="FFB45309"/>
      </patternFill>
    </fill>
    <fill>
      <patternFill patternType="solid">
        <fgColor rgb="FFB45309"/>
        <bgColor rgb="FF8A6D00"/>
      </patternFill>
    </fill>
    <fill>
      <patternFill patternType="solid">
        <fgColor rgb="FF9B1C1C"/>
        <bgColor rgb="FF800000"/>
      </patternFill>
    </fill>
    <fill>
      <patternFill patternType="solid">
        <fgColor rgb="FFEEF2F6"/>
        <bgColor rgb="FFE8F5E9"/>
      </patternFill>
    </fill>
    <fill>
      <patternFill patternType="solid">
        <fgColor rgb="FF3B5B85"/>
        <bgColor rgb="FF555555"/>
      </patternFill>
    </fill>
    <fill>
      <patternFill patternType="solid">
        <fgColor rgb="FFFFF9DB"/>
        <bgColor rgb="FFFFF1D6"/>
      </patternFill>
    </fill>
    <fill>
      <patternFill patternType="solid">
        <fgColor rgb="FFE8F5E9"/>
        <bgColor rgb="FFEEF2F6"/>
      </patternFill>
    </fill>
    <fill>
      <patternFill patternType="solid">
        <fgColor rgb="FFFFF1D6"/>
        <bgColor rgb="FFFFF9DB"/>
      </patternFill>
    </fill>
    <fill>
      <patternFill patternType="solid">
        <fgColor rgb="FFFBE3E1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BE3E1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3B5B8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B45309"/>
      <rgbColor rgb="FFFFF9DB"/>
      <rgbColor rgb="FFE8F5E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CCFFCC"/>
      <rgbColor rgb="FFFFF1D6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3B5B85"/>
      <rgbColor rgb="FF969696"/>
      <rgbColor rgb="FF1F3A5F"/>
      <rgbColor rgb="FF2E7D32"/>
      <rgbColor rgb="FF003300"/>
      <rgbColor rgb="FF333300"/>
      <rgbColor rgb="FF9B1C1C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8" min="4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4" min="11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7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8" t="s">
        <v>16</v>
      </c>
      <c r="B5" s="9" t="n">
        <f aca="false">COUNTIF('SKU-wise'!$B$5:$B$130,A5)</f>
        <v>33</v>
      </c>
      <c r="C5" s="8" t="n">
        <f aca="false">SUMIF('SKU-wise'!$B$5:$B$130,A5,'SKU-wise'!$E$5:$E$130)</f>
        <v>386.602297121836</v>
      </c>
      <c r="D5" s="10" t="n">
        <f aca="false">SUMIF('SKU-wise'!$B$5:$B$130,A5,'SKU-wise'!$F$5:$F$130)</f>
        <v>81.6731647225763</v>
      </c>
      <c r="E5" s="10" t="n">
        <f aca="false">SUMIF('SKU-wise'!$B$5:$B$130,A5,'SKU-wise'!$G$5:$G$130)</f>
        <v>81.8155394032216</v>
      </c>
      <c r="F5" s="10" t="n">
        <f aca="false">SUMIF('SKU-wise'!$B$5:$B$130,A5,'SKU-wise'!$H$5:$H$130)</f>
        <v>17.3251864818091</v>
      </c>
      <c r="G5" s="10" t="n">
        <f aca="false">SUMIF('SKU-wise'!$B$5:$B$130,A5,'SKU-wise'!$I$5:$I$130)</f>
        <v>205.788406514229</v>
      </c>
      <c r="H5" s="10" t="n">
        <f aca="false">SUMIF('SKU-wise'!$B$5:$B$130,A5,'SKU-wise'!$J$5:$J$130)</f>
        <v>223.113592996038</v>
      </c>
      <c r="I5" s="11" t="n">
        <f aca="false">IF(C5&gt;0,H5/C5,0)</f>
        <v>0.577113986794871</v>
      </c>
      <c r="J5" s="12" t="n">
        <f aca="false">IF(C5&gt;0,SUMPRODUCT(('SKU-wise'!$B$5:$B$130=A5)*'SKU-wise'!$E$5:$E$130*'SKU-wise'!$L$5:$L$130)/C5,0)</f>
        <v>74.5069421007016</v>
      </c>
      <c r="K5" s="10" t="n">
        <f aca="false">SUMIF('SKU-wise'!$B$5:$B$130,A5,'SKU-wise'!$O$5:$O$130)</f>
        <v>386.602297121836</v>
      </c>
      <c r="L5" s="10" t="n">
        <f aca="false">SUMIF('SKU-wise'!$B$5:$B$130,A5,'SKU-wise'!$P$5:$P$130)</f>
        <v>0</v>
      </c>
      <c r="M5" s="10" t="n">
        <f aca="false">SUMIF('SKU-wise'!$B$5:$B$130,A5,'SKU-wise'!$Q$5:$Q$130)</f>
        <v>0</v>
      </c>
      <c r="N5" s="10" t="n">
        <f aca="false">SUMIF('SKU-wise'!$B$5:$B$130,A5,'SKU-wise'!$R$5:$R$130)</f>
        <v>0</v>
      </c>
    </row>
    <row r="6" customFormat="false" ht="15" hidden="false" customHeight="false" outlineLevel="0" collapsed="false">
      <c r="A6" s="8" t="s">
        <v>17</v>
      </c>
      <c r="B6" s="9" t="n">
        <f aca="false">COUNTIF('SKU-wise'!$B$5:$B$130,A6)</f>
        <v>48</v>
      </c>
      <c r="C6" s="8" t="n">
        <f aca="false">SUMIF('SKU-wise'!$B$5:$B$130,A6,'SKU-wise'!$E$5:$E$130)</f>
        <v>1410.286556828</v>
      </c>
      <c r="D6" s="10" t="n">
        <f aca="false">SUMIF('SKU-wise'!$B$5:$B$130,A6,'SKU-wise'!$F$5:$F$130)</f>
        <v>1165.019889792</v>
      </c>
      <c r="E6" s="10" t="n">
        <f aca="false">SUMIF('SKU-wise'!$B$5:$B$130,A6,'SKU-wise'!$G$5:$G$130)</f>
        <v>199.230568384</v>
      </c>
      <c r="F6" s="10" t="n">
        <f aca="false">SUMIF('SKU-wise'!$B$5:$B$130,A6,'SKU-wise'!$H$5:$H$130)</f>
        <v>5.08970249999997</v>
      </c>
      <c r="G6" s="10" t="n">
        <f aca="false">SUMIF('SKU-wise'!$B$5:$B$130,A6,'SKU-wise'!$I$5:$I$130)</f>
        <v>40.9463961520001</v>
      </c>
      <c r="H6" s="10" t="n">
        <f aca="false">SUMIF('SKU-wise'!$B$5:$B$130,A6,'SKU-wise'!$J$5:$J$130)</f>
        <v>46.036098652</v>
      </c>
      <c r="I6" s="11" t="n">
        <f aca="false">IF(C6&gt;0,H6/C6,0)</f>
        <v>0.0326430812441011</v>
      </c>
      <c r="J6" s="12" t="n">
        <f aca="false">IF(C6&gt;0,SUMPRODUCT(('SKU-wise'!$B$5:$B$130=A6)*'SKU-wise'!$E$5:$E$130*'SKU-wise'!$L$5:$L$130)/C6,0)</f>
        <v>24.5805155595196</v>
      </c>
      <c r="K6" s="10" t="n">
        <f aca="false">SUMIF('SKU-wise'!$B$5:$B$130,A6,'SKU-wise'!$O$5:$O$130)</f>
        <v>320.044750856</v>
      </c>
      <c r="L6" s="10" t="n">
        <f aca="false">SUMIF('SKU-wise'!$B$5:$B$130,A6,'SKU-wise'!$P$5:$P$130)</f>
        <v>143.8636198</v>
      </c>
      <c r="M6" s="10" t="n">
        <f aca="false">SUMIF('SKU-wise'!$B$5:$B$130,A6,'SKU-wise'!$Q$5:$Q$130)</f>
        <v>568.334882572</v>
      </c>
      <c r="N6" s="10" t="n">
        <f aca="false">SUMIF('SKU-wise'!$B$5:$B$130,A6,'SKU-wise'!$R$5:$R$130)</f>
        <v>378.0433036</v>
      </c>
    </row>
    <row r="7" customFormat="false" ht="15" hidden="false" customHeight="false" outlineLevel="0" collapsed="false">
      <c r="A7" s="8" t="s">
        <v>18</v>
      </c>
      <c r="B7" s="9" t="n">
        <f aca="false">COUNTIF('SKU-wise'!$B$5:$B$130,A7)</f>
        <v>45</v>
      </c>
      <c r="C7" s="8" t="n">
        <f aca="false">SUMIF('SKU-wise'!$B$5:$B$130,A7,'SKU-wise'!$E$5:$E$130)</f>
        <v>1016.934214764</v>
      </c>
      <c r="D7" s="10" t="n">
        <f aca="false">SUMIF('SKU-wise'!$B$5:$B$130,A7,'SKU-wise'!$F$5:$F$130)</f>
        <v>774.961075116001</v>
      </c>
      <c r="E7" s="10" t="n">
        <f aca="false">SUMIF('SKU-wise'!$B$5:$B$130,A7,'SKU-wise'!$G$5:$G$130)</f>
        <v>216.382755972</v>
      </c>
      <c r="F7" s="10" t="n">
        <f aca="false">SUMIF('SKU-wise'!$B$5:$B$130,A7,'SKU-wise'!$H$5:$H$130)</f>
        <v>10.691025728</v>
      </c>
      <c r="G7" s="10" t="n">
        <f aca="false">SUMIF('SKU-wise'!$B$5:$B$130,A7,'SKU-wise'!$I$5:$I$130)</f>
        <v>14.899357948</v>
      </c>
      <c r="H7" s="10" t="n">
        <f aca="false">SUMIF('SKU-wise'!$B$5:$B$130,A7,'SKU-wise'!$J$5:$J$130)</f>
        <v>25.590383676</v>
      </c>
      <c r="I7" s="11" t="n">
        <f aca="false">IF(C7&gt;0,H7/C7,0)</f>
        <v>0.0251642469143776</v>
      </c>
      <c r="J7" s="12" t="n">
        <f aca="false">IF(C7&gt;0,SUMPRODUCT(('SKU-wise'!$B$5:$B$130=A7)*'SKU-wise'!$E$5:$E$130*'SKU-wise'!$L$5:$L$130)/C7,0)</f>
        <v>23.422500547129</v>
      </c>
      <c r="K7" s="10" t="n">
        <f aca="false">SUMIF('SKU-wise'!$B$5:$B$130,A7,'SKU-wise'!$O$5:$O$130)</f>
        <v>188.60015094</v>
      </c>
      <c r="L7" s="10" t="n">
        <f aca="false">SUMIF('SKU-wise'!$B$5:$B$130,A7,'SKU-wise'!$P$5:$P$130)</f>
        <v>206.3235442</v>
      </c>
      <c r="M7" s="10" t="n">
        <f aca="false">SUMIF('SKU-wise'!$B$5:$B$130,A7,'SKU-wise'!$Q$5:$Q$130)</f>
        <v>257.857261924</v>
      </c>
      <c r="N7" s="10" t="n">
        <f aca="false">SUMIF('SKU-wise'!$B$5:$B$130,A7,'SKU-wise'!$R$5:$R$130)</f>
        <v>364.1532577</v>
      </c>
    </row>
    <row r="8" customFormat="false" ht="15" hidden="false" customHeight="false" outlineLevel="0" collapsed="false">
      <c r="A8" s="13" t="s">
        <v>19</v>
      </c>
      <c r="B8" s="14" t="n">
        <f aca="false">SUM(B5:B7)</f>
        <v>126</v>
      </c>
      <c r="C8" s="15" t="n">
        <f aca="false">SUM(C5:C7)</f>
        <v>2813.82306871384</v>
      </c>
      <c r="D8" s="15" t="n">
        <f aca="false">SUM(D5:D7)</f>
        <v>2021.65412963058</v>
      </c>
      <c r="E8" s="15" t="n">
        <f aca="false">SUM(E5:E7)</f>
        <v>497.428863759222</v>
      </c>
      <c r="F8" s="15" t="n">
        <f aca="false">SUM(F5:F7)</f>
        <v>33.1059147098091</v>
      </c>
      <c r="G8" s="15" t="n">
        <f aca="false">SUM(G5:G7)</f>
        <v>261.634160614229</v>
      </c>
      <c r="H8" s="15" t="n">
        <f aca="false">SUM(H5:H7)</f>
        <v>294.740075324038</v>
      </c>
      <c r="I8" s="16" t="n">
        <f aca="false">IF(C8&gt;0,H8/C8,0)</f>
        <v>0.104747195586381</v>
      </c>
      <c r="J8" s="17" t="n">
        <f aca="false">IF(C8&gt;0,SUMPRODUCT(C5:C7,J5:J7)/C8,0)</f>
        <v>31.0215908005722</v>
      </c>
      <c r="K8" s="15" t="n">
        <f aca="false">SUM(K5:K7)</f>
        <v>895.247198917836</v>
      </c>
      <c r="L8" s="15" t="n">
        <f aca="false">SUM(L5:L7)</f>
        <v>350.187164</v>
      </c>
      <c r="M8" s="15" t="n">
        <f aca="false">SUM(M5:M7)</f>
        <v>826.192144496001</v>
      </c>
      <c r="N8" s="15" t="n">
        <f aca="false">SUM(N5:N7)</f>
        <v>742.1965613</v>
      </c>
    </row>
    <row r="10" customFormat="false" ht="15" hidden="false" customHeight="false" outlineLevel="0" collapsed="false">
      <c r="A10" s="1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10" min="6" style="0" width="10"/>
    <col collapsed="false" customWidth="true" hidden="false" outlineLevel="0" max="13" min="11" style="0" width="8"/>
    <col collapsed="false" customWidth="true" hidden="false" outlineLevel="0" max="15" min="14" style="0" width="10"/>
    <col collapsed="false" customWidth="true" hidden="false" outlineLevel="0" max="18" min="16" style="0" width="9"/>
    <col collapsed="false" customWidth="true" hidden="false" outlineLevel="0" max="19" min="19" style="0" width="8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3" t="s">
        <v>23</v>
      </c>
      <c r="B4" s="3" t="s">
        <v>2</v>
      </c>
      <c r="C4" s="3" t="s">
        <v>24</v>
      </c>
      <c r="D4" s="3" t="s">
        <v>25</v>
      </c>
      <c r="E4" s="3" t="s">
        <v>26</v>
      </c>
      <c r="F4" s="4" t="s">
        <v>5</v>
      </c>
      <c r="G4" s="5" t="s">
        <v>6</v>
      </c>
      <c r="H4" s="6" t="s">
        <v>7</v>
      </c>
      <c r="I4" s="7" t="s">
        <v>8</v>
      </c>
      <c r="J4" s="3" t="s">
        <v>9</v>
      </c>
      <c r="K4" s="3" t="s">
        <v>10</v>
      </c>
      <c r="L4" s="3" t="s">
        <v>11</v>
      </c>
      <c r="M4" s="3" t="s">
        <v>27</v>
      </c>
      <c r="N4" s="3" t="s">
        <v>28</v>
      </c>
      <c r="O4" s="19" t="s">
        <v>12</v>
      </c>
      <c r="P4" s="19" t="s">
        <v>13</v>
      </c>
      <c r="Q4" s="19" t="s">
        <v>14</v>
      </c>
      <c r="R4" s="19" t="s">
        <v>15</v>
      </c>
      <c r="S4" s="3" t="s">
        <v>29</v>
      </c>
    </row>
    <row r="5" customFormat="false" ht="15" hidden="false" customHeight="false" outlineLevel="0" collapsed="false">
      <c r="A5" s="20" t="s">
        <v>30</v>
      </c>
      <c r="B5" s="21" t="s">
        <v>17</v>
      </c>
      <c r="C5" s="21" t="s">
        <v>31</v>
      </c>
      <c r="D5" s="22" t="n">
        <v>2</v>
      </c>
      <c r="E5" s="8" t="n">
        <f aca="false">SUM(F5:I5)</f>
        <v>164.623296</v>
      </c>
      <c r="F5" s="10" t="n">
        <v>103.5976464</v>
      </c>
      <c r="G5" s="10" t="n">
        <v>61.0256496</v>
      </c>
      <c r="H5" s="10" t="n">
        <v>0</v>
      </c>
      <c r="I5" s="10" t="n">
        <v>0</v>
      </c>
      <c r="J5" s="10" t="n">
        <f aca="false">H5+I5</f>
        <v>0</v>
      </c>
      <c r="K5" s="11" t="n">
        <f aca="false">IF(E5&gt;0,J5/E5,0)</f>
        <v>0</v>
      </c>
      <c r="L5" s="12" t="n">
        <v>23.5593147059818</v>
      </c>
      <c r="M5" s="23" t="n">
        <v>44</v>
      </c>
      <c r="N5" s="24" t="n">
        <v>46321</v>
      </c>
      <c r="O5" s="10" t="n">
        <v>47.8587936</v>
      </c>
      <c r="P5" s="10" t="n">
        <v>0</v>
      </c>
      <c r="Q5" s="10" t="n">
        <v>101.4804864</v>
      </c>
      <c r="R5" s="10" t="n">
        <v>15.284016</v>
      </c>
      <c r="S5" s="9" t="n">
        <f aca="false">COUNTIF(O5:R5,"&gt;0")</f>
        <v>3</v>
      </c>
    </row>
    <row r="6" customFormat="false" ht="15" hidden="false" customHeight="false" outlineLevel="0" collapsed="false">
      <c r="A6" s="20" t="s">
        <v>32</v>
      </c>
      <c r="B6" s="21" t="s">
        <v>18</v>
      </c>
      <c r="C6" s="21" t="s">
        <v>33</v>
      </c>
      <c r="D6" s="22" t="n">
        <v>2</v>
      </c>
      <c r="E6" s="8" t="n">
        <f aca="false">SUM(F6:I6)</f>
        <v>115.1340544</v>
      </c>
      <c r="F6" s="10" t="n">
        <v>77.1094864</v>
      </c>
      <c r="G6" s="10" t="n">
        <v>38.024568</v>
      </c>
      <c r="H6" s="10" t="n">
        <v>0</v>
      </c>
      <c r="I6" s="10" t="n">
        <v>0</v>
      </c>
      <c r="J6" s="10" t="n">
        <f aca="false">H6+I6</f>
        <v>0</v>
      </c>
      <c r="K6" s="11" t="n">
        <f aca="false">IF(E6&gt;0,J6/E6,0)</f>
        <v>0</v>
      </c>
      <c r="L6" s="12" t="n">
        <v>26.2549298081524</v>
      </c>
      <c r="M6" s="23" t="n">
        <v>54</v>
      </c>
      <c r="N6" s="24" t="n">
        <v>46323</v>
      </c>
      <c r="O6" s="10" t="n">
        <v>14.0964688</v>
      </c>
      <c r="P6" s="10" t="n">
        <v>0</v>
      </c>
      <c r="Q6" s="10" t="n">
        <v>74.1790016</v>
      </c>
      <c r="R6" s="10" t="n">
        <v>26.858584</v>
      </c>
      <c r="S6" s="9" t="n">
        <f aca="false">COUNTIF(O6:R6,"&gt;0")</f>
        <v>3</v>
      </c>
    </row>
    <row r="7" customFormat="false" ht="15" hidden="false" customHeight="false" outlineLevel="0" collapsed="false">
      <c r="A7" s="20" t="s">
        <v>34</v>
      </c>
      <c r="B7" s="21" t="s">
        <v>17</v>
      </c>
      <c r="C7" s="21" t="s">
        <v>35</v>
      </c>
      <c r="D7" s="22" t="n">
        <v>1.6</v>
      </c>
      <c r="E7" s="8" t="n">
        <f aca="false">SUM(F7:I7)</f>
        <v>110.027946816</v>
      </c>
      <c r="F7" s="10" t="n">
        <v>110.027946816</v>
      </c>
      <c r="G7" s="10" t="n">
        <v>0</v>
      </c>
      <c r="H7" s="10" t="n">
        <v>0</v>
      </c>
      <c r="I7" s="10" t="n">
        <v>0</v>
      </c>
      <c r="J7" s="10" t="n">
        <f aca="false">H7+I7</f>
        <v>0</v>
      </c>
      <c r="K7" s="11" t="n">
        <f aca="false">IF(E7&gt;0,J7/E7,0)</f>
        <v>0</v>
      </c>
      <c r="L7" s="12" t="n">
        <v>18.7059450348728</v>
      </c>
      <c r="M7" s="25" t="n">
        <v>21</v>
      </c>
      <c r="N7" s="24" t="n">
        <v>46306</v>
      </c>
      <c r="O7" s="10" t="n">
        <v>0.480092352000177</v>
      </c>
      <c r="P7" s="10" t="n">
        <v>0</v>
      </c>
      <c r="Q7" s="10" t="n">
        <v>109.547854464</v>
      </c>
      <c r="R7" s="10" t="n">
        <v>0</v>
      </c>
      <c r="S7" s="9" t="n">
        <f aca="false">COUNTIF(O7:R7,"&gt;0")</f>
        <v>2</v>
      </c>
    </row>
    <row r="8" customFormat="false" ht="15" hidden="false" customHeight="false" outlineLevel="0" collapsed="false">
      <c r="A8" s="20" t="s">
        <v>36</v>
      </c>
      <c r="B8" s="21" t="s">
        <v>17</v>
      </c>
      <c r="C8" s="21" t="s">
        <v>31</v>
      </c>
      <c r="D8" s="22" t="n">
        <v>2.5</v>
      </c>
      <c r="E8" s="8" t="n">
        <f aca="false">SUM(F8:I8)</f>
        <v>102.231245</v>
      </c>
      <c r="F8" s="10" t="n">
        <v>99.6491875</v>
      </c>
      <c r="G8" s="10" t="n">
        <v>2.58205749999999</v>
      </c>
      <c r="H8" s="10" t="n">
        <v>0</v>
      </c>
      <c r="I8" s="10" t="n">
        <v>0</v>
      </c>
      <c r="J8" s="10" t="n">
        <f aca="false">H8+I8</f>
        <v>0</v>
      </c>
      <c r="K8" s="11" t="n">
        <f aca="false">IF(E8&gt;0,J8/E8,0)</f>
        <v>0</v>
      </c>
      <c r="L8" s="12" t="n">
        <v>8.23187791071115</v>
      </c>
      <c r="M8" s="23" t="n">
        <v>47</v>
      </c>
      <c r="N8" s="24" t="n">
        <v>46322</v>
      </c>
      <c r="O8" s="10" t="n">
        <v>21.946045</v>
      </c>
      <c r="P8" s="10" t="n">
        <v>0</v>
      </c>
      <c r="Q8" s="10" t="n">
        <v>62.560575</v>
      </c>
      <c r="R8" s="10" t="n">
        <v>17.724625</v>
      </c>
      <c r="S8" s="9" t="n">
        <f aca="false">COUNTIF(O8:R8,"&gt;0")</f>
        <v>3</v>
      </c>
    </row>
    <row r="9" customFormat="false" ht="15" hidden="false" customHeight="false" outlineLevel="0" collapsed="false">
      <c r="A9" s="20" t="s">
        <v>37</v>
      </c>
      <c r="B9" s="21" t="s">
        <v>17</v>
      </c>
      <c r="C9" s="21" t="s">
        <v>35</v>
      </c>
      <c r="D9" s="22" t="n">
        <v>2</v>
      </c>
      <c r="E9" s="8" t="n">
        <f aca="false">SUM(F9:I9)</f>
        <v>100.8631984</v>
      </c>
      <c r="F9" s="10" t="n">
        <v>97.3847024</v>
      </c>
      <c r="G9" s="10" t="n">
        <v>3.47849600000006</v>
      </c>
      <c r="H9" s="10" t="n">
        <v>0</v>
      </c>
      <c r="I9" s="10" t="n">
        <v>0</v>
      </c>
      <c r="J9" s="10" t="n">
        <f aca="false">H9+I9</f>
        <v>0</v>
      </c>
      <c r="K9" s="11" t="n">
        <f aca="false">IF(E9&gt;0,J9/E9,0)</f>
        <v>0</v>
      </c>
      <c r="L9" s="12" t="n">
        <v>19.1603195006356</v>
      </c>
      <c r="M9" s="23" t="n">
        <v>36</v>
      </c>
      <c r="N9" s="24" t="n">
        <v>46314</v>
      </c>
      <c r="O9" s="10" t="n">
        <v>49.0019648000001</v>
      </c>
      <c r="P9" s="10" t="n">
        <v>0</v>
      </c>
      <c r="Q9" s="10" t="n">
        <v>49.7805136</v>
      </c>
      <c r="R9" s="10" t="n">
        <v>2.08072</v>
      </c>
      <c r="S9" s="9" t="n">
        <f aca="false">COUNTIF(O9:R9,"&gt;0")</f>
        <v>3</v>
      </c>
    </row>
    <row r="10" customFormat="false" ht="15" hidden="false" customHeight="false" outlineLevel="0" collapsed="false">
      <c r="A10" s="20" t="s">
        <v>38</v>
      </c>
      <c r="B10" s="21" t="s">
        <v>17</v>
      </c>
      <c r="C10" s="21" t="s">
        <v>39</v>
      </c>
      <c r="D10" s="22" t="n">
        <v>2</v>
      </c>
      <c r="E10" s="8" t="n">
        <f aca="false">SUM(F10:I10)</f>
        <v>92.271776</v>
      </c>
      <c r="F10" s="10" t="n">
        <v>82.955216</v>
      </c>
      <c r="G10" s="10" t="n">
        <v>9.31656</v>
      </c>
      <c r="H10" s="10" t="n">
        <v>0</v>
      </c>
      <c r="I10" s="10" t="n">
        <v>0</v>
      </c>
      <c r="J10" s="10" t="n">
        <f aca="false">H10+I10</f>
        <v>0</v>
      </c>
      <c r="K10" s="11" t="n">
        <f aca="false">IF(E10&gt;0,J10/E10,0)</f>
        <v>0</v>
      </c>
      <c r="L10" s="12" t="n">
        <v>14.2987000488644</v>
      </c>
      <c r="M10" s="23" t="n">
        <v>31</v>
      </c>
      <c r="N10" s="24" t="n">
        <v>46314</v>
      </c>
      <c r="O10" s="10" t="n">
        <v>0</v>
      </c>
      <c r="P10" s="10" t="n">
        <v>9.31656</v>
      </c>
      <c r="Q10" s="10" t="n">
        <v>40.21808</v>
      </c>
      <c r="R10" s="10" t="n">
        <v>42.737136</v>
      </c>
      <c r="S10" s="9" t="n">
        <f aca="false">COUNTIF(O10:R10,"&gt;0")</f>
        <v>3</v>
      </c>
    </row>
    <row r="11" customFormat="false" ht="15" hidden="false" customHeight="false" outlineLevel="0" collapsed="false">
      <c r="A11" s="20" t="s">
        <v>40</v>
      </c>
      <c r="B11" s="21" t="s">
        <v>18</v>
      </c>
      <c r="C11" s="21" t="s">
        <v>33</v>
      </c>
      <c r="D11" s="22" t="n">
        <v>2.5</v>
      </c>
      <c r="E11" s="8" t="n">
        <f aca="false">SUM(F11:I11)</f>
        <v>86.4512025</v>
      </c>
      <c r="F11" s="10" t="n">
        <v>71.0481625</v>
      </c>
      <c r="G11" s="10" t="n">
        <v>15.40304</v>
      </c>
      <c r="H11" s="10" t="n">
        <v>0</v>
      </c>
      <c r="I11" s="10" t="n">
        <v>0</v>
      </c>
      <c r="J11" s="10" t="n">
        <f aca="false">H11+I11</f>
        <v>0</v>
      </c>
      <c r="K11" s="11" t="n">
        <f aca="false">IF(E11&gt;0,J11/E11,0)</f>
        <v>0</v>
      </c>
      <c r="L11" s="12" t="n">
        <v>25.7353241558439</v>
      </c>
      <c r="M11" s="23" t="n">
        <v>50</v>
      </c>
      <c r="N11" s="24" t="n">
        <v>46322</v>
      </c>
      <c r="O11" s="10" t="n">
        <v>2.91910249999999</v>
      </c>
      <c r="P11" s="10" t="n">
        <v>0</v>
      </c>
      <c r="Q11" s="10" t="n">
        <v>71.0481625</v>
      </c>
      <c r="R11" s="10" t="n">
        <v>12.4839375</v>
      </c>
      <c r="S11" s="9" t="n">
        <f aca="false">COUNTIF(O11:R11,"&gt;0")</f>
        <v>3</v>
      </c>
    </row>
    <row r="12" customFormat="false" ht="15" hidden="false" customHeight="false" outlineLevel="0" collapsed="false">
      <c r="A12" s="20" t="s">
        <v>41</v>
      </c>
      <c r="B12" s="21" t="s">
        <v>18</v>
      </c>
      <c r="C12" s="21" t="s">
        <v>42</v>
      </c>
      <c r="D12" s="22" t="n">
        <v>3</v>
      </c>
      <c r="E12" s="8" t="n">
        <f aca="false">SUM(F12:I12)</f>
        <v>82.3866032</v>
      </c>
      <c r="F12" s="10" t="n">
        <v>82.3866032</v>
      </c>
      <c r="G12" s="10" t="n">
        <v>0</v>
      </c>
      <c r="H12" s="10" t="n">
        <v>0</v>
      </c>
      <c r="I12" s="10" t="n">
        <v>0</v>
      </c>
      <c r="J12" s="10" t="n">
        <f aca="false">H12+I12</f>
        <v>0</v>
      </c>
      <c r="K12" s="11" t="n">
        <f aca="false">IF(E12&gt;0,J12/E12,0)</f>
        <v>0</v>
      </c>
      <c r="L12" s="12" t="n">
        <v>23.0366074662974</v>
      </c>
      <c r="M12" s="25" t="n">
        <v>29</v>
      </c>
      <c r="N12" s="24" t="n">
        <v>46308</v>
      </c>
      <c r="O12" s="10" t="n">
        <v>0</v>
      </c>
      <c r="P12" s="10" t="n">
        <v>37.7925888</v>
      </c>
      <c r="Q12" s="10" t="n">
        <v>0</v>
      </c>
      <c r="R12" s="10" t="n">
        <v>44.5940144</v>
      </c>
      <c r="S12" s="9" t="n">
        <f aca="false">COUNTIF(O12:R12,"&gt;0")</f>
        <v>2</v>
      </c>
    </row>
    <row r="13" customFormat="false" ht="15" hidden="false" customHeight="false" outlineLevel="0" collapsed="false">
      <c r="A13" s="20" t="s">
        <v>43</v>
      </c>
      <c r="B13" s="21" t="s">
        <v>18</v>
      </c>
      <c r="C13" s="21" t="s">
        <v>33</v>
      </c>
      <c r="D13" s="22" t="n">
        <v>1.6</v>
      </c>
      <c r="E13" s="8" t="n">
        <f aca="false">SUM(F13:I13)</f>
        <v>74.5776821760003</v>
      </c>
      <c r="F13" s="10" t="n">
        <v>74.5776821760003</v>
      </c>
      <c r="G13" s="10" t="n">
        <v>0</v>
      </c>
      <c r="H13" s="10" t="n">
        <v>0</v>
      </c>
      <c r="I13" s="10" t="n">
        <v>0</v>
      </c>
      <c r="J13" s="10" t="n">
        <f aca="false">H13+I13</f>
        <v>0</v>
      </c>
      <c r="K13" s="11" t="n">
        <f aca="false">IF(E13&gt;0,J13/E13,0)</f>
        <v>0</v>
      </c>
      <c r="L13" s="12" t="n">
        <v>21.732778378591</v>
      </c>
      <c r="M13" s="25" t="n">
        <v>27</v>
      </c>
      <c r="N13" s="24" t="n">
        <v>46323</v>
      </c>
      <c r="O13" s="10" t="n">
        <v>17.1933387520001</v>
      </c>
      <c r="P13" s="10" t="n">
        <v>0</v>
      </c>
      <c r="Q13" s="10" t="n">
        <v>57.3843434240001</v>
      </c>
      <c r="R13" s="10" t="n">
        <v>0</v>
      </c>
      <c r="S13" s="9" t="n">
        <f aca="false">COUNTIF(O13:R13,"&gt;0")</f>
        <v>2</v>
      </c>
    </row>
    <row r="14" customFormat="false" ht="15" hidden="false" customHeight="false" outlineLevel="0" collapsed="false">
      <c r="A14" s="20" t="s">
        <v>44</v>
      </c>
      <c r="B14" s="21" t="s">
        <v>17</v>
      </c>
      <c r="C14" s="21" t="s">
        <v>39</v>
      </c>
      <c r="D14" s="22" t="n">
        <v>3</v>
      </c>
      <c r="E14" s="8" t="n">
        <f aca="false">SUM(F14:I14)</f>
        <v>73.3346844</v>
      </c>
      <c r="F14" s="10" t="n">
        <v>73.3346844</v>
      </c>
      <c r="G14" s="10" t="n">
        <v>0</v>
      </c>
      <c r="H14" s="10" t="n">
        <v>0</v>
      </c>
      <c r="I14" s="10" t="n">
        <v>0</v>
      </c>
      <c r="J14" s="10" t="n">
        <f aca="false">H14+I14</f>
        <v>0</v>
      </c>
      <c r="K14" s="11" t="n">
        <f aca="false">IF(E14&gt;0,J14/E14,0)</f>
        <v>0</v>
      </c>
      <c r="L14" s="12" t="n">
        <v>13.2200467259391</v>
      </c>
      <c r="M14" s="25" t="n">
        <v>29</v>
      </c>
      <c r="N14" s="24" t="n">
        <v>46315</v>
      </c>
      <c r="O14" s="10" t="n">
        <v>0</v>
      </c>
      <c r="P14" s="10" t="n">
        <v>8.3800532</v>
      </c>
      <c r="Q14" s="10" t="n">
        <v>17.4673736</v>
      </c>
      <c r="R14" s="10" t="n">
        <v>47.4872576</v>
      </c>
      <c r="S14" s="9" t="n">
        <f aca="false">COUNTIF(O14:R14,"&gt;0")</f>
        <v>3</v>
      </c>
    </row>
    <row r="15" customFormat="false" ht="15" hidden="false" customHeight="false" outlineLevel="0" collapsed="false">
      <c r="A15" s="20" t="s">
        <v>45</v>
      </c>
      <c r="B15" s="21" t="s">
        <v>17</v>
      </c>
      <c r="C15" s="21" t="s">
        <v>31</v>
      </c>
      <c r="D15" s="22" t="n">
        <v>3</v>
      </c>
      <c r="E15" s="8" t="n">
        <f aca="false">SUM(F15:I15)</f>
        <v>66.8700528</v>
      </c>
      <c r="F15" s="10" t="n">
        <v>25.538764</v>
      </c>
      <c r="G15" s="10" t="n">
        <v>41.3312888</v>
      </c>
      <c r="H15" s="10" t="n">
        <v>0</v>
      </c>
      <c r="I15" s="10" t="n">
        <v>0</v>
      </c>
      <c r="J15" s="10" t="n">
        <f aca="false">H15+I15</f>
        <v>0</v>
      </c>
      <c r="K15" s="11" t="n">
        <f aca="false">IF(E15&gt;0,J15/E15,0)</f>
        <v>0</v>
      </c>
      <c r="L15" s="12" t="n">
        <v>31.4829820861155</v>
      </c>
      <c r="M15" s="23" t="n">
        <v>48</v>
      </c>
      <c r="N15" s="24" t="n">
        <v>46322</v>
      </c>
      <c r="O15" s="10" t="n">
        <v>20.618496</v>
      </c>
      <c r="P15" s="10" t="n">
        <v>0</v>
      </c>
      <c r="Q15" s="10" t="n">
        <v>41.3312888</v>
      </c>
      <c r="R15" s="10" t="n">
        <v>4.920268</v>
      </c>
      <c r="S15" s="9" t="n">
        <f aca="false">COUNTIF(O15:R15,"&gt;0")</f>
        <v>3</v>
      </c>
    </row>
    <row r="16" customFormat="false" ht="15" hidden="false" customHeight="false" outlineLevel="0" collapsed="false">
      <c r="A16" s="20" t="s">
        <v>46</v>
      </c>
      <c r="B16" s="21" t="s">
        <v>18</v>
      </c>
      <c r="C16" s="21" t="s">
        <v>47</v>
      </c>
      <c r="D16" s="22" t="n">
        <v>2.5</v>
      </c>
      <c r="E16" s="8" t="n">
        <f aca="false">SUM(F16:I16)</f>
        <v>66.6245015</v>
      </c>
      <c r="F16" s="10" t="n">
        <v>61.236043</v>
      </c>
      <c r="G16" s="10" t="n">
        <v>5.3884585</v>
      </c>
      <c r="H16" s="10" t="n">
        <v>0</v>
      </c>
      <c r="I16" s="10" t="n">
        <v>0</v>
      </c>
      <c r="J16" s="10" t="n">
        <f aca="false">H16+I16</f>
        <v>0</v>
      </c>
      <c r="K16" s="11" t="n">
        <f aca="false">IF(E16&gt;0,J16/E16,0)</f>
        <v>0</v>
      </c>
      <c r="L16" s="12" t="n">
        <v>11.2858253881269</v>
      </c>
      <c r="M16" s="23" t="n">
        <v>35</v>
      </c>
      <c r="N16" s="24" t="n">
        <v>46316</v>
      </c>
      <c r="O16" s="10" t="n">
        <v>0</v>
      </c>
      <c r="P16" s="10" t="n">
        <v>5.3884585</v>
      </c>
      <c r="Q16" s="10" t="n">
        <v>29.997252</v>
      </c>
      <c r="R16" s="10" t="n">
        <v>31.238791</v>
      </c>
      <c r="S16" s="9" t="n">
        <f aca="false">COUNTIF(O16:R16,"&gt;0")</f>
        <v>3</v>
      </c>
    </row>
    <row r="17" customFormat="false" ht="15" hidden="false" customHeight="false" outlineLevel="0" collapsed="false">
      <c r="A17" s="20" t="s">
        <v>48</v>
      </c>
      <c r="B17" s="21" t="s">
        <v>17</v>
      </c>
      <c r="C17" s="21" t="s">
        <v>31</v>
      </c>
      <c r="D17" s="22" t="n">
        <v>4</v>
      </c>
      <c r="E17" s="8" t="n">
        <f aca="false">SUM(F17:I17)</f>
        <v>64.3631776</v>
      </c>
      <c r="F17" s="10" t="n">
        <v>64.3631776</v>
      </c>
      <c r="G17" s="10" t="n">
        <v>0</v>
      </c>
      <c r="H17" s="10" t="n">
        <v>0</v>
      </c>
      <c r="I17" s="10" t="n">
        <v>0</v>
      </c>
      <c r="J17" s="10" t="n">
        <f aca="false">H17+I17</f>
        <v>0</v>
      </c>
      <c r="K17" s="11" t="n">
        <f aca="false">IF(E17&gt;0,J17/E17,0)</f>
        <v>0</v>
      </c>
      <c r="L17" s="12" t="n">
        <v>16.1858375370205</v>
      </c>
      <c r="M17" s="25" t="n">
        <v>18</v>
      </c>
      <c r="N17" s="24" t="n">
        <v>46310</v>
      </c>
      <c r="O17" s="10" t="n">
        <v>22.1014464</v>
      </c>
      <c r="P17" s="10" t="n">
        <v>0</v>
      </c>
      <c r="Q17" s="10" t="n">
        <v>0</v>
      </c>
      <c r="R17" s="10" t="n">
        <v>42.2617312</v>
      </c>
      <c r="S17" s="9" t="n">
        <f aca="false">COUNTIF(O17:R17,"&gt;0")</f>
        <v>2</v>
      </c>
    </row>
    <row r="18" customFormat="false" ht="15" hidden="false" customHeight="false" outlineLevel="0" collapsed="false">
      <c r="A18" s="20" t="s">
        <v>49</v>
      </c>
      <c r="B18" s="21" t="s">
        <v>18</v>
      </c>
      <c r="C18" s="21" t="s">
        <v>42</v>
      </c>
      <c r="D18" s="22" t="n">
        <v>2.5</v>
      </c>
      <c r="E18" s="8" t="n">
        <f aca="false">SUM(F18:I18)</f>
        <v>63.6940375</v>
      </c>
      <c r="F18" s="10" t="n">
        <v>60.7884375</v>
      </c>
      <c r="G18" s="10" t="n">
        <v>2.9056</v>
      </c>
      <c r="H18" s="10" t="n">
        <v>0</v>
      </c>
      <c r="I18" s="10" t="n">
        <v>0</v>
      </c>
      <c r="J18" s="10" t="n">
        <f aca="false">H18+I18</f>
        <v>0</v>
      </c>
      <c r="K18" s="11" t="n">
        <f aca="false">IF(E18&gt;0,J18/E18,0)</f>
        <v>0</v>
      </c>
      <c r="L18" s="12" t="n">
        <v>29.854741701686</v>
      </c>
      <c r="M18" s="23" t="n">
        <v>31</v>
      </c>
      <c r="N18" s="24" t="n">
        <v>46295</v>
      </c>
      <c r="O18" s="10" t="n">
        <v>0</v>
      </c>
      <c r="P18" s="10" t="n">
        <v>0</v>
      </c>
      <c r="Q18" s="10" t="n">
        <v>0</v>
      </c>
      <c r="R18" s="10" t="n">
        <v>63.6940375</v>
      </c>
      <c r="S18" s="9" t="n">
        <f aca="false">COUNTIF(O18:R18,"&gt;0")</f>
        <v>1</v>
      </c>
    </row>
    <row r="19" customFormat="false" ht="15" hidden="false" customHeight="false" outlineLevel="0" collapsed="false">
      <c r="A19" s="20" t="s">
        <v>50</v>
      </c>
      <c r="B19" s="21" t="s">
        <v>17</v>
      </c>
      <c r="C19" s="21" t="s">
        <v>51</v>
      </c>
      <c r="D19" s="22" t="n">
        <v>3</v>
      </c>
      <c r="E19" s="8" t="n">
        <f aca="false">SUM(F19:I19)</f>
        <v>58.8083268</v>
      </c>
      <c r="F19" s="10" t="n">
        <v>58.8083268</v>
      </c>
      <c r="G19" s="10" t="n">
        <v>0</v>
      </c>
      <c r="H19" s="10" t="n">
        <v>0</v>
      </c>
      <c r="I19" s="10" t="n">
        <v>0</v>
      </c>
      <c r="J19" s="10" t="n">
        <f aca="false">H19+I19</f>
        <v>0</v>
      </c>
      <c r="K19" s="11" t="n">
        <f aca="false">IF(E19&gt;0,J19/E19,0)</f>
        <v>0</v>
      </c>
      <c r="L19" s="12" t="n">
        <v>22.9182930162876</v>
      </c>
      <c r="M19" s="25" t="n">
        <v>24</v>
      </c>
      <c r="N19" s="24" t="n">
        <v>46303</v>
      </c>
      <c r="O19" s="10" t="n">
        <v>0</v>
      </c>
      <c r="P19" s="10" t="n">
        <v>9.700807</v>
      </c>
      <c r="Q19" s="10" t="n">
        <v>0</v>
      </c>
      <c r="R19" s="10" t="n">
        <v>49.1075198</v>
      </c>
      <c r="S19" s="9" t="n">
        <f aca="false">COUNTIF(O19:R19,"&gt;0")</f>
        <v>2</v>
      </c>
    </row>
    <row r="20" customFormat="false" ht="15" hidden="false" customHeight="false" outlineLevel="0" collapsed="false">
      <c r="A20" s="20" t="s">
        <v>52</v>
      </c>
      <c r="B20" s="21" t="s">
        <v>18</v>
      </c>
      <c r="C20" s="21" t="s">
        <v>47</v>
      </c>
      <c r="D20" s="22" t="n">
        <v>5</v>
      </c>
      <c r="E20" s="8" t="n">
        <f aca="false">SUM(F20:I20)</f>
        <v>56.247728</v>
      </c>
      <c r="F20" s="10" t="n">
        <v>0</v>
      </c>
      <c r="G20" s="10" t="n">
        <v>51.75348</v>
      </c>
      <c r="H20" s="10" t="n">
        <v>4.494248</v>
      </c>
      <c r="I20" s="10" t="n">
        <v>0</v>
      </c>
      <c r="J20" s="26" t="n">
        <f aca="false">H20+I20</f>
        <v>4.494248</v>
      </c>
      <c r="K20" s="11" t="n">
        <f aca="false">IF(E20&gt;0,J20/E20,0)</f>
        <v>0.0799009695111596</v>
      </c>
      <c r="L20" s="12" t="n">
        <v>38.3480784148295</v>
      </c>
      <c r="M20" s="27" t="n">
        <v>63</v>
      </c>
      <c r="N20" s="24" t="n">
        <v>46288</v>
      </c>
      <c r="O20" s="10" t="n">
        <v>0</v>
      </c>
      <c r="P20" s="10" t="n">
        <v>51.75348</v>
      </c>
      <c r="Q20" s="10" t="n">
        <v>0</v>
      </c>
      <c r="R20" s="10" t="n">
        <v>4.494248</v>
      </c>
      <c r="S20" s="9" t="n">
        <f aca="false">COUNTIF(O20:R20,"&gt;0")</f>
        <v>2</v>
      </c>
    </row>
    <row r="21" customFormat="false" ht="15" hidden="false" customHeight="false" outlineLevel="0" collapsed="false">
      <c r="A21" s="20" t="s">
        <v>53</v>
      </c>
      <c r="B21" s="21" t="s">
        <v>17</v>
      </c>
      <c r="C21" s="21" t="s">
        <v>31</v>
      </c>
      <c r="D21" s="22" t="n">
        <v>1.6</v>
      </c>
      <c r="E21" s="8" t="n">
        <f aca="false">SUM(F21:I21)</f>
        <v>56.1601697920001</v>
      </c>
      <c r="F21" s="10" t="n">
        <v>56.1601697920001</v>
      </c>
      <c r="G21" s="10" t="n">
        <v>0</v>
      </c>
      <c r="H21" s="10" t="n">
        <v>0</v>
      </c>
      <c r="I21" s="10" t="n">
        <v>0</v>
      </c>
      <c r="J21" s="10" t="n">
        <f aca="false">H21+I21</f>
        <v>0</v>
      </c>
      <c r="K21" s="11" t="n">
        <f aca="false">IF(E21&gt;0,J21/E21,0)</f>
        <v>0</v>
      </c>
      <c r="L21" s="12" t="n">
        <v>6.59004657391047</v>
      </c>
      <c r="M21" s="25" t="n">
        <v>8</v>
      </c>
      <c r="N21" s="24" t="n">
        <v>46318</v>
      </c>
      <c r="O21" s="10" t="n">
        <v>0</v>
      </c>
      <c r="P21" s="10" t="n">
        <v>0</v>
      </c>
      <c r="Q21" s="10" t="n">
        <v>56.1601697920001</v>
      </c>
      <c r="R21" s="10" t="n">
        <v>0</v>
      </c>
      <c r="S21" s="9" t="n">
        <f aca="false">COUNTIF(O21:R21,"&gt;0")</f>
        <v>1</v>
      </c>
    </row>
    <row r="22" customFormat="false" ht="15" hidden="false" customHeight="false" outlineLevel="0" collapsed="false">
      <c r="A22" s="20" t="s">
        <v>54</v>
      </c>
      <c r="B22" s="21" t="s">
        <v>17</v>
      </c>
      <c r="C22" s="21" t="s">
        <v>35</v>
      </c>
      <c r="D22" s="22" t="n">
        <v>2.5</v>
      </c>
      <c r="E22" s="8" t="n">
        <f aca="false">SUM(F22:I22)</f>
        <v>54.925345</v>
      </c>
      <c r="F22" s="10" t="n">
        <v>41.9168775</v>
      </c>
      <c r="G22" s="10" t="n">
        <v>13.0084675</v>
      </c>
      <c r="H22" s="10" t="n">
        <v>0</v>
      </c>
      <c r="I22" s="10" t="n">
        <v>0</v>
      </c>
      <c r="J22" s="10" t="n">
        <f aca="false">H22+I22</f>
        <v>0</v>
      </c>
      <c r="K22" s="11" t="n">
        <f aca="false">IF(E22&gt;0,J22/E22,0)</f>
        <v>0</v>
      </c>
      <c r="L22" s="12" t="n">
        <v>29.2212173177975</v>
      </c>
      <c r="M22" s="23" t="n">
        <v>48</v>
      </c>
      <c r="N22" s="24" t="n">
        <v>46301</v>
      </c>
      <c r="O22" s="10" t="n">
        <v>13.0084675</v>
      </c>
      <c r="P22" s="10" t="n">
        <v>0</v>
      </c>
      <c r="Q22" s="10" t="n">
        <v>41.7639025</v>
      </c>
      <c r="R22" s="10" t="n">
        <v>0.152975000000001</v>
      </c>
      <c r="S22" s="9" t="n">
        <f aca="false">COUNTIF(O22:R22,"&gt;0")</f>
        <v>3</v>
      </c>
    </row>
    <row r="23" customFormat="false" ht="15" hidden="false" customHeight="false" outlineLevel="0" collapsed="false">
      <c r="A23" s="20" t="s">
        <v>55</v>
      </c>
      <c r="B23" s="21" t="s">
        <v>17</v>
      </c>
      <c r="C23" s="21" t="s">
        <v>31</v>
      </c>
      <c r="D23" s="22" t="n">
        <v>5</v>
      </c>
      <c r="E23" s="8" t="n">
        <f aca="false">SUM(F23:I23)</f>
        <v>52.94524</v>
      </c>
      <c r="F23" s="10" t="n">
        <v>52.94524</v>
      </c>
      <c r="G23" s="10" t="n">
        <v>0</v>
      </c>
      <c r="H23" s="10" t="n">
        <v>0</v>
      </c>
      <c r="I23" s="10" t="n">
        <v>0</v>
      </c>
      <c r="J23" s="10" t="n">
        <f aca="false">H23+I23</f>
        <v>0</v>
      </c>
      <c r="K23" s="11" t="n">
        <f aca="false">IF(E23&gt;0,J23/E23,0)</f>
        <v>0</v>
      </c>
      <c r="L23" s="12" t="n">
        <v>18.8316879855488</v>
      </c>
      <c r="M23" s="25" t="n">
        <v>19</v>
      </c>
      <c r="N23" s="24" t="n">
        <v>46306</v>
      </c>
      <c r="O23" s="10" t="n">
        <v>0</v>
      </c>
      <c r="P23" s="10" t="n">
        <v>0</v>
      </c>
      <c r="Q23" s="10" t="n">
        <v>0</v>
      </c>
      <c r="R23" s="10" t="n">
        <v>52.94524</v>
      </c>
      <c r="S23" s="9" t="n">
        <f aca="false">COUNTIF(O23:R23,"&gt;0")</f>
        <v>1</v>
      </c>
    </row>
    <row r="24" customFormat="false" ht="15" hidden="false" customHeight="false" outlineLevel="0" collapsed="false">
      <c r="A24" s="20" t="s">
        <v>56</v>
      </c>
      <c r="B24" s="21" t="s">
        <v>17</v>
      </c>
      <c r="C24" s="21" t="s">
        <v>51</v>
      </c>
      <c r="D24" s="22" t="n">
        <v>2.5</v>
      </c>
      <c r="E24" s="8" t="n">
        <f aca="false">SUM(F24:I24)</f>
        <v>47.161967</v>
      </c>
      <c r="F24" s="10" t="n">
        <v>47.161967</v>
      </c>
      <c r="G24" s="10" t="n">
        <v>0</v>
      </c>
      <c r="H24" s="10" t="n">
        <v>0</v>
      </c>
      <c r="I24" s="10" t="n">
        <v>0</v>
      </c>
      <c r="J24" s="10" t="n">
        <f aca="false">H24+I24</f>
        <v>0</v>
      </c>
      <c r="K24" s="11" t="n">
        <f aca="false">IF(E24&gt;0,J24/E24,0)</f>
        <v>0</v>
      </c>
      <c r="L24" s="12" t="n">
        <v>23.0893547124529</v>
      </c>
      <c r="M24" s="25" t="n">
        <v>25</v>
      </c>
      <c r="N24" s="24" t="n">
        <v>46302</v>
      </c>
      <c r="O24" s="10" t="n">
        <v>0</v>
      </c>
      <c r="P24" s="10" t="n">
        <v>23.493792</v>
      </c>
      <c r="Q24" s="10" t="n">
        <v>0</v>
      </c>
      <c r="R24" s="10" t="n">
        <v>23.668175</v>
      </c>
      <c r="S24" s="9" t="n">
        <f aca="false">COUNTIF(O24:R24,"&gt;0")</f>
        <v>2</v>
      </c>
    </row>
    <row r="25" customFormat="false" ht="15" hidden="false" customHeight="false" outlineLevel="0" collapsed="false">
      <c r="A25" s="20" t="s">
        <v>57</v>
      </c>
      <c r="B25" s="21" t="s">
        <v>18</v>
      </c>
      <c r="C25" s="21" t="s">
        <v>42</v>
      </c>
      <c r="D25" s="22" t="n">
        <v>5</v>
      </c>
      <c r="E25" s="8" t="n">
        <f aca="false">SUM(F25:I25)</f>
        <v>46.6747</v>
      </c>
      <c r="F25" s="10" t="n">
        <v>46.6747</v>
      </c>
      <c r="G25" s="10" t="n">
        <v>0</v>
      </c>
      <c r="H25" s="10" t="n">
        <v>0</v>
      </c>
      <c r="I25" s="10" t="n">
        <v>0</v>
      </c>
      <c r="J25" s="10" t="n">
        <f aca="false">H25+I25</f>
        <v>0</v>
      </c>
      <c r="K25" s="11" t="n">
        <f aca="false">IF(E25&gt;0,J25/E25,0)</f>
        <v>0</v>
      </c>
      <c r="L25" s="12" t="n">
        <v>9.45140086599379</v>
      </c>
      <c r="M25" s="25" t="n">
        <v>27</v>
      </c>
      <c r="N25" s="24" t="n">
        <v>46321</v>
      </c>
      <c r="O25" s="10" t="n">
        <v>0</v>
      </c>
      <c r="P25" s="10" t="n">
        <v>41.17071</v>
      </c>
      <c r="Q25" s="10" t="n">
        <v>0</v>
      </c>
      <c r="R25" s="10" t="n">
        <v>5.50399000000002</v>
      </c>
      <c r="S25" s="9" t="n">
        <f aca="false">COUNTIF(O25:R25,"&gt;0")</f>
        <v>2</v>
      </c>
    </row>
    <row r="26" customFormat="false" ht="15" hidden="false" customHeight="false" outlineLevel="0" collapsed="false">
      <c r="A26" s="20" t="s">
        <v>58</v>
      </c>
      <c r="B26" s="21" t="s">
        <v>17</v>
      </c>
      <c r="C26" s="21" t="s">
        <v>39</v>
      </c>
      <c r="D26" s="22" t="n">
        <v>2.5</v>
      </c>
      <c r="E26" s="8" t="n">
        <f aca="false">SUM(F26:I26)</f>
        <v>44.145204</v>
      </c>
      <c r="F26" s="10" t="n">
        <v>40.37355</v>
      </c>
      <c r="G26" s="10" t="n">
        <v>3.771654</v>
      </c>
      <c r="H26" s="10" t="n">
        <v>0</v>
      </c>
      <c r="I26" s="10" t="n">
        <v>0</v>
      </c>
      <c r="J26" s="10" t="n">
        <f aca="false">H26+I26</f>
        <v>0</v>
      </c>
      <c r="K26" s="11" t="n">
        <f aca="false">IF(E26&gt;0,J26/E26,0)</f>
        <v>0</v>
      </c>
      <c r="L26" s="12" t="n">
        <v>14.8447169255351</v>
      </c>
      <c r="M26" s="23" t="n">
        <v>33</v>
      </c>
      <c r="N26" s="24" t="n">
        <v>46311</v>
      </c>
      <c r="O26" s="10" t="n">
        <v>0</v>
      </c>
      <c r="P26" s="10" t="n">
        <v>3.771654</v>
      </c>
      <c r="Q26" s="10" t="n">
        <v>0</v>
      </c>
      <c r="R26" s="10" t="n">
        <v>40.37355</v>
      </c>
      <c r="S26" s="9" t="n">
        <f aca="false">COUNTIF(O26:R26,"&gt;0")</f>
        <v>2</v>
      </c>
    </row>
    <row r="27" customFormat="false" ht="15" hidden="false" customHeight="false" outlineLevel="0" collapsed="false">
      <c r="A27" s="20" t="s">
        <v>59</v>
      </c>
      <c r="B27" s="21" t="s">
        <v>18</v>
      </c>
      <c r="C27" s="21" t="s">
        <v>60</v>
      </c>
      <c r="D27" s="22" t="n">
        <v>4</v>
      </c>
      <c r="E27" s="8" t="n">
        <f aca="false">SUM(F27:I27)</f>
        <v>41.1114816</v>
      </c>
      <c r="F27" s="10" t="n">
        <v>31.229184</v>
      </c>
      <c r="G27" s="10" t="n">
        <v>9.8822976</v>
      </c>
      <c r="H27" s="10" t="n">
        <v>0</v>
      </c>
      <c r="I27" s="10" t="n">
        <v>0</v>
      </c>
      <c r="J27" s="10" t="n">
        <f aca="false">H27+I27</f>
        <v>0</v>
      </c>
      <c r="K27" s="11" t="n">
        <f aca="false">IF(E27&gt;0,J27/E27,0)</f>
        <v>0</v>
      </c>
      <c r="L27" s="12" t="n">
        <v>9.93247550582074</v>
      </c>
      <c r="M27" s="23" t="n">
        <v>35</v>
      </c>
      <c r="N27" s="24" t="n">
        <v>46322</v>
      </c>
      <c r="O27" s="10" t="n">
        <v>9.8822976</v>
      </c>
      <c r="P27" s="10" t="n">
        <v>0</v>
      </c>
      <c r="Q27" s="10" t="n">
        <v>0</v>
      </c>
      <c r="R27" s="10" t="n">
        <v>31.229184</v>
      </c>
      <c r="S27" s="9" t="n">
        <f aca="false">COUNTIF(O27:R27,"&gt;0")</f>
        <v>2</v>
      </c>
    </row>
    <row r="28" customFormat="false" ht="15" hidden="false" customHeight="false" outlineLevel="0" collapsed="false">
      <c r="A28" s="20" t="s">
        <v>61</v>
      </c>
      <c r="B28" s="21" t="s">
        <v>18</v>
      </c>
      <c r="C28" s="21" t="s">
        <v>47</v>
      </c>
      <c r="D28" s="22" t="n">
        <v>2</v>
      </c>
      <c r="E28" s="8" t="n">
        <f aca="false">SUM(F28:I28)</f>
        <v>39.269488</v>
      </c>
      <c r="F28" s="10" t="n">
        <v>23.950528</v>
      </c>
      <c r="G28" s="10" t="n">
        <v>15.31896</v>
      </c>
      <c r="H28" s="10" t="n">
        <v>0</v>
      </c>
      <c r="I28" s="10" t="n">
        <v>0</v>
      </c>
      <c r="J28" s="10" t="n">
        <f aca="false">H28+I28</f>
        <v>0</v>
      </c>
      <c r="K28" s="11" t="n">
        <f aca="false">IF(E28&gt;0,J28/E28,0)</f>
        <v>0</v>
      </c>
      <c r="L28" s="12" t="n">
        <v>21.1425554618894</v>
      </c>
      <c r="M28" s="23" t="n">
        <v>37</v>
      </c>
      <c r="N28" s="24" t="n">
        <v>46313</v>
      </c>
      <c r="O28" s="10" t="n">
        <v>0</v>
      </c>
      <c r="P28" s="10" t="n">
        <v>15.31896</v>
      </c>
      <c r="Q28" s="10" t="n">
        <v>23.950528</v>
      </c>
      <c r="R28" s="10" t="n">
        <v>0</v>
      </c>
      <c r="S28" s="9" t="n">
        <f aca="false">COUNTIF(O28:R28,"&gt;0")</f>
        <v>2</v>
      </c>
    </row>
    <row r="29" customFormat="false" ht="15" hidden="false" customHeight="false" outlineLevel="0" collapsed="false">
      <c r="A29" s="20" t="s">
        <v>62</v>
      </c>
      <c r="B29" s="21" t="s">
        <v>18</v>
      </c>
      <c r="C29" s="21" t="s">
        <v>42</v>
      </c>
      <c r="D29" s="22" t="n">
        <v>4</v>
      </c>
      <c r="E29" s="8" t="n">
        <f aca="false">SUM(F29:I29)</f>
        <v>37.4979664</v>
      </c>
      <c r="F29" s="10" t="n">
        <v>37.4979664</v>
      </c>
      <c r="G29" s="10" t="n">
        <v>0</v>
      </c>
      <c r="H29" s="10" t="n">
        <v>0</v>
      </c>
      <c r="I29" s="10" t="n">
        <v>0</v>
      </c>
      <c r="J29" s="10" t="n">
        <f aca="false">H29+I29</f>
        <v>0</v>
      </c>
      <c r="K29" s="11" t="n">
        <f aca="false">IF(E29&gt;0,J29/E29,0)</f>
        <v>0</v>
      </c>
      <c r="L29" s="12" t="n">
        <v>7.07872648795162</v>
      </c>
      <c r="M29" s="25" t="n">
        <v>29</v>
      </c>
      <c r="N29" s="24" t="n">
        <v>46321</v>
      </c>
      <c r="O29" s="10" t="n">
        <v>0</v>
      </c>
      <c r="P29" s="10" t="n">
        <v>35.024976</v>
      </c>
      <c r="Q29" s="10" t="n">
        <v>0</v>
      </c>
      <c r="R29" s="10" t="n">
        <v>2.47299039999999</v>
      </c>
      <c r="S29" s="9" t="n">
        <f aca="false">COUNTIF(O29:R29,"&gt;0")</f>
        <v>2</v>
      </c>
    </row>
    <row r="30" customFormat="false" ht="15" hidden="false" customHeight="false" outlineLevel="0" collapsed="false">
      <c r="A30" s="20" t="s">
        <v>63</v>
      </c>
      <c r="B30" s="21" t="s">
        <v>18</v>
      </c>
      <c r="C30" s="21" t="s">
        <v>64</v>
      </c>
      <c r="D30" s="22" t="n">
        <v>2</v>
      </c>
      <c r="E30" s="8" t="n">
        <f aca="false">SUM(F30:I30)</f>
        <v>37.045768</v>
      </c>
      <c r="F30" s="10" t="n">
        <v>37.045768</v>
      </c>
      <c r="G30" s="10" t="n">
        <v>0</v>
      </c>
      <c r="H30" s="10" t="n">
        <v>0</v>
      </c>
      <c r="I30" s="10" t="n">
        <v>0</v>
      </c>
      <c r="J30" s="10" t="n">
        <f aca="false">H30+I30</f>
        <v>0</v>
      </c>
      <c r="K30" s="11" t="n">
        <f aca="false">IF(E30&gt;0,J30/E30,0)</f>
        <v>0</v>
      </c>
      <c r="L30" s="12" t="n">
        <v>7.70206423578531</v>
      </c>
      <c r="M30" s="25" t="n">
        <v>23</v>
      </c>
      <c r="N30" s="24" t="n">
        <v>46323</v>
      </c>
      <c r="O30" s="10" t="n">
        <v>37.045768</v>
      </c>
      <c r="P30" s="10" t="n">
        <v>0</v>
      </c>
      <c r="Q30" s="10" t="n">
        <v>0</v>
      </c>
      <c r="R30" s="10" t="n">
        <v>0</v>
      </c>
      <c r="S30" s="9" t="n">
        <f aca="false">COUNTIF(O30:R30,"&gt;0")</f>
        <v>1</v>
      </c>
    </row>
    <row r="31" customFormat="false" ht="15" hidden="false" customHeight="false" outlineLevel="0" collapsed="false">
      <c r="A31" s="20" t="s">
        <v>65</v>
      </c>
      <c r="B31" s="21" t="s">
        <v>16</v>
      </c>
      <c r="C31" s="21" t="s">
        <v>66</v>
      </c>
      <c r="D31" s="22" t="n">
        <v>2.5</v>
      </c>
      <c r="E31" s="8" t="n">
        <f aca="false">SUM(F31:I31)</f>
        <v>34.3465701717689</v>
      </c>
      <c r="F31" s="10" t="n">
        <v>4.442621675858</v>
      </c>
      <c r="G31" s="10" t="n">
        <v>0</v>
      </c>
      <c r="H31" s="10" t="n">
        <v>0</v>
      </c>
      <c r="I31" s="10" t="n">
        <v>29.9039484959109</v>
      </c>
      <c r="J31" s="26" t="n">
        <f aca="false">H31+I31</f>
        <v>29.9039484959109</v>
      </c>
      <c r="K31" s="11" t="n">
        <f aca="false">IF(E31&gt;0,J31/E31,0)</f>
        <v>0.870653120423954</v>
      </c>
      <c r="L31" s="12" t="n">
        <v>94.8138563805834</v>
      </c>
      <c r="M31" s="28" t="n">
        <v>114</v>
      </c>
      <c r="N31" s="24" t="n">
        <v>46312</v>
      </c>
      <c r="O31" s="10" t="n">
        <v>34.3465701717689</v>
      </c>
      <c r="P31" s="10" t="n">
        <v>0</v>
      </c>
      <c r="Q31" s="10" t="n">
        <v>0</v>
      </c>
      <c r="R31" s="10" t="n">
        <v>0</v>
      </c>
      <c r="S31" s="9" t="n">
        <f aca="false">COUNTIF(O31:R31,"&gt;0")</f>
        <v>1</v>
      </c>
    </row>
    <row r="32" customFormat="false" ht="15" hidden="false" customHeight="false" outlineLevel="0" collapsed="false">
      <c r="A32" s="20" t="s">
        <v>67</v>
      </c>
      <c r="B32" s="21" t="s">
        <v>16</v>
      </c>
      <c r="C32" s="21" t="s">
        <v>68</v>
      </c>
      <c r="D32" s="22" t="n">
        <v>2</v>
      </c>
      <c r="E32" s="8" t="n">
        <f aca="false">SUM(F32:I32)</f>
        <v>32.8148270267837</v>
      </c>
      <c r="F32" s="10" t="n">
        <v>0</v>
      </c>
      <c r="G32" s="10" t="n">
        <v>0</v>
      </c>
      <c r="H32" s="10" t="n">
        <v>0</v>
      </c>
      <c r="I32" s="10" t="n">
        <v>32.8148270267837</v>
      </c>
      <c r="J32" s="26" t="n">
        <f aca="false">H32+I32</f>
        <v>32.8148270267837</v>
      </c>
      <c r="K32" s="11" t="n">
        <f aca="false">IF(E32&gt;0,J32/E32,0)</f>
        <v>1</v>
      </c>
      <c r="L32" s="12" t="n">
        <v>115.009698645807</v>
      </c>
      <c r="M32" s="28" t="n">
        <v>128</v>
      </c>
      <c r="N32" s="24" t="n">
        <v>46227</v>
      </c>
      <c r="O32" s="10" t="n">
        <v>32.8148270267837</v>
      </c>
      <c r="P32" s="10" t="n">
        <v>0</v>
      </c>
      <c r="Q32" s="10" t="n">
        <v>0</v>
      </c>
      <c r="R32" s="10" t="n">
        <v>0</v>
      </c>
      <c r="S32" s="9" t="n">
        <f aca="false">COUNTIF(O32:R32,"&gt;0")</f>
        <v>1</v>
      </c>
    </row>
    <row r="33" customFormat="false" ht="15" hidden="false" customHeight="false" outlineLevel="0" collapsed="false">
      <c r="A33" s="20" t="s">
        <v>69</v>
      </c>
      <c r="B33" s="21" t="s">
        <v>18</v>
      </c>
      <c r="C33" s="21" t="s">
        <v>70</v>
      </c>
      <c r="D33" s="22" t="n">
        <v>3</v>
      </c>
      <c r="E33" s="8" t="n">
        <f aca="false">SUM(F33:I33)</f>
        <v>30.9021872</v>
      </c>
      <c r="F33" s="10" t="n">
        <v>30.3663824</v>
      </c>
      <c r="G33" s="10" t="n">
        <v>0.535804799999998</v>
      </c>
      <c r="H33" s="10" t="n">
        <v>0</v>
      </c>
      <c r="I33" s="10" t="n">
        <v>0</v>
      </c>
      <c r="J33" s="10" t="n">
        <f aca="false">H33+I33</f>
        <v>0</v>
      </c>
      <c r="K33" s="11" t="n">
        <f aca="false">IF(E33&gt;0,J33/E33,0)</f>
        <v>0</v>
      </c>
      <c r="L33" s="12" t="n">
        <v>4.00222498166731</v>
      </c>
      <c r="M33" s="23" t="n">
        <v>40</v>
      </c>
      <c r="N33" s="24" t="n">
        <v>46323</v>
      </c>
      <c r="O33" s="10" t="n">
        <v>0</v>
      </c>
      <c r="P33" s="10" t="n">
        <v>0.535804799999998</v>
      </c>
      <c r="Q33" s="10" t="n">
        <v>0</v>
      </c>
      <c r="R33" s="10" t="n">
        <v>30.3663824</v>
      </c>
      <c r="S33" s="9" t="n">
        <f aca="false">COUNTIF(O33:R33,"&gt;0")</f>
        <v>2</v>
      </c>
    </row>
    <row r="34" customFormat="false" ht="15" hidden="false" customHeight="false" outlineLevel="0" collapsed="false">
      <c r="A34" s="20" t="s">
        <v>71</v>
      </c>
      <c r="B34" s="21" t="s">
        <v>17</v>
      </c>
      <c r="C34" s="21" t="s">
        <v>51</v>
      </c>
      <c r="D34" s="22" t="n">
        <v>4</v>
      </c>
      <c r="E34" s="8" t="n">
        <f aca="false">SUM(F34:I34)</f>
        <v>30.45868</v>
      </c>
      <c r="F34" s="10" t="n">
        <v>30.45868</v>
      </c>
      <c r="G34" s="10" t="n">
        <v>0</v>
      </c>
      <c r="H34" s="10" t="n">
        <v>0</v>
      </c>
      <c r="I34" s="10" t="n">
        <v>0</v>
      </c>
      <c r="J34" s="10" t="n">
        <f aca="false">H34+I34</f>
        <v>0</v>
      </c>
      <c r="K34" s="11" t="n">
        <f aca="false">IF(E34&gt;0,J34/E34,0)</f>
        <v>0</v>
      </c>
      <c r="L34" s="12" t="n">
        <v>23</v>
      </c>
      <c r="M34" s="25" t="n">
        <v>23</v>
      </c>
      <c r="N34" s="24" t="n">
        <v>46301</v>
      </c>
      <c r="O34" s="10" t="n">
        <v>0</v>
      </c>
      <c r="P34" s="10" t="n">
        <v>30.45868</v>
      </c>
      <c r="Q34" s="10" t="n">
        <v>0</v>
      </c>
      <c r="R34" s="10" t="n">
        <v>0</v>
      </c>
      <c r="S34" s="9" t="n">
        <f aca="false">COUNTIF(O34:R34,"&gt;0")</f>
        <v>1</v>
      </c>
    </row>
    <row r="35" customFormat="false" ht="15" hidden="false" customHeight="false" outlineLevel="0" collapsed="false">
      <c r="A35" s="20" t="s">
        <v>72</v>
      </c>
      <c r="B35" s="21" t="s">
        <v>16</v>
      </c>
      <c r="C35" s="21" t="s">
        <v>73</v>
      </c>
      <c r="D35" s="22" t="n">
        <v>2.5</v>
      </c>
      <c r="E35" s="8" t="n">
        <f aca="false">SUM(F35:I35)</f>
        <v>29.8355663919971</v>
      </c>
      <c r="F35" s="10" t="n">
        <v>4.29513356116937</v>
      </c>
      <c r="G35" s="10" t="n">
        <v>0</v>
      </c>
      <c r="H35" s="10" t="n">
        <v>0</v>
      </c>
      <c r="I35" s="10" t="n">
        <v>25.5404328308278</v>
      </c>
      <c r="J35" s="26" t="n">
        <f aca="false">H35+I35</f>
        <v>25.5404328308278</v>
      </c>
      <c r="K35" s="11" t="n">
        <f aca="false">IF(E35&gt;0,J35/E35,0)</f>
        <v>0.856039818224418</v>
      </c>
      <c r="L35" s="12" t="n">
        <v>97.7556632766464</v>
      </c>
      <c r="M35" s="28" t="n">
        <v>111</v>
      </c>
      <c r="N35" s="24" t="n">
        <v>46305</v>
      </c>
      <c r="O35" s="10" t="n">
        <v>29.8355663919971</v>
      </c>
      <c r="P35" s="10" t="n">
        <v>0</v>
      </c>
      <c r="Q35" s="10" t="n">
        <v>0</v>
      </c>
      <c r="R35" s="10" t="n">
        <v>0</v>
      </c>
      <c r="S35" s="9" t="n">
        <f aca="false">COUNTIF(O35:R35,"&gt;0")</f>
        <v>1</v>
      </c>
    </row>
    <row r="36" customFormat="false" ht="15" hidden="false" customHeight="false" outlineLevel="0" collapsed="false">
      <c r="A36" s="20" t="s">
        <v>74</v>
      </c>
      <c r="B36" s="21" t="s">
        <v>18</v>
      </c>
      <c r="C36" s="21" t="s">
        <v>70</v>
      </c>
      <c r="D36" s="22" t="n">
        <v>2</v>
      </c>
      <c r="E36" s="8" t="n">
        <f aca="false">SUM(F36:I36)</f>
        <v>25.1631552</v>
      </c>
      <c r="F36" s="10" t="n">
        <v>24.8301344</v>
      </c>
      <c r="G36" s="10" t="n">
        <v>0.333020799999996</v>
      </c>
      <c r="H36" s="10" t="n">
        <v>0</v>
      </c>
      <c r="I36" s="10" t="n">
        <v>0</v>
      </c>
      <c r="J36" s="10" t="n">
        <f aca="false">H36+I36</f>
        <v>0</v>
      </c>
      <c r="K36" s="11" t="n">
        <f aca="false">IF(E36&gt;0,J36/E36,0)</f>
        <v>0</v>
      </c>
      <c r="L36" s="12" t="n">
        <v>17.5293784461497</v>
      </c>
      <c r="M36" s="23" t="n">
        <v>57</v>
      </c>
      <c r="N36" s="24" t="n">
        <v>46307</v>
      </c>
      <c r="O36" s="10" t="n">
        <v>0</v>
      </c>
      <c r="P36" s="10" t="n">
        <v>0.333020799999996</v>
      </c>
      <c r="Q36" s="10" t="n">
        <v>0</v>
      </c>
      <c r="R36" s="10" t="n">
        <v>24.8301344</v>
      </c>
      <c r="S36" s="9" t="n">
        <f aca="false">COUNTIF(O36:R36,"&gt;0")</f>
        <v>2</v>
      </c>
    </row>
    <row r="37" customFormat="false" ht="15" hidden="false" customHeight="false" outlineLevel="0" collapsed="false">
      <c r="A37" s="20" t="s">
        <v>75</v>
      </c>
      <c r="B37" s="21" t="s">
        <v>16</v>
      </c>
      <c r="C37" s="21" t="s">
        <v>76</v>
      </c>
      <c r="D37" s="22" t="n">
        <v>2</v>
      </c>
      <c r="E37" s="8" t="n">
        <f aca="false">SUM(F37:I37)</f>
        <v>24.6311525361491</v>
      </c>
      <c r="F37" s="10" t="n">
        <v>0</v>
      </c>
      <c r="G37" s="10" t="n">
        <v>20.5254921809988</v>
      </c>
      <c r="H37" s="10" t="n">
        <v>0</v>
      </c>
      <c r="I37" s="10" t="n">
        <v>4.10566035515037</v>
      </c>
      <c r="J37" s="26" t="n">
        <f aca="false">H37+I37</f>
        <v>4.10566035515037</v>
      </c>
      <c r="K37" s="11" t="n">
        <f aca="false">IF(E37&gt;0,J37/E37,0)</f>
        <v>0.166685677786487</v>
      </c>
      <c r="L37" s="12" t="n">
        <v>49.0012547339082</v>
      </c>
      <c r="M37" s="28" t="n">
        <v>104</v>
      </c>
      <c r="N37" s="24" t="n">
        <v>46286</v>
      </c>
      <c r="O37" s="10" t="n">
        <v>24.6311525361491</v>
      </c>
      <c r="P37" s="10" t="n">
        <v>0</v>
      </c>
      <c r="Q37" s="10" t="n">
        <v>0</v>
      </c>
      <c r="R37" s="10" t="n">
        <v>0</v>
      </c>
      <c r="S37" s="9" t="n">
        <f aca="false">COUNTIF(O37:R37,"&gt;0")</f>
        <v>1</v>
      </c>
    </row>
    <row r="38" customFormat="false" ht="15" hidden="false" customHeight="false" outlineLevel="0" collapsed="false">
      <c r="A38" s="20" t="s">
        <v>77</v>
      </c>
      <c r="B38" s="21" t="s">
        <v>18</v>
      </c>
      <c r="C38" s="21" t="s">
        <v>33</v>
      </c>
      <c r="D38" s="22" t="n">
        <v>2.8</v>
      </c>
      <c r="E38" s="8" t="n">
        <f aca="false">SUM(F38:I38)</f>
        <v>23.918199616</v>
      </c>
      <c r="F38" s="10" t="n">
        <v>0</v>
      </c>
      <c r="G38" s="10" t="n">
        <v>23.918199616</v>
      </c>
      <c r="H38" s="10" t="n">
        <v>0</v>
      </c>
      <c r="I38" s="10" t="n">
        <v>0</v>
      </c>
      <c r="J38" s="10" t="n">
        <f aca="false">H38+I38</f>
        <v>0</v>
      </c>
      <c r="K38" s="11" t="n">
        <f aca="false">IF(E38&gt;0,J38/E38,0)</f>
        <v>0</v>
      </c>
      <c r="L38" s="12" t="n">
        <v>50</v>
      </c>
      <c r="M38" s="23" t="n">
        <v>50</v>
      </c>
      <c r="N38" s="24" t="n">
        <v>46274</v>
      </c>
      <c r="O38" s="10" t="n">
        <v>23.918199616</v>
      </c>
      <c r="P38" s="10" t="n">
        <v>0</v>
      </c>
      <c r="Q38" s="10" t="n">
        <v>0</v>
      </c>
      <c r="R38" s="10" t="n">
        <v>0</v>
      </c>
      <c r="S38" s="9" t="n">
        <f aca="false">COUNTIF(O38:R38,"&gt;0")</f>
        <v>1</v>
      </c>
    </row>
    <row r="39" customFormat="false" ht="15" hidden="false" customHeight="false" outlineLevel="0" collapsed="false">
      <c r="A39" s="20" t="s">
        <v>78</v>
      </c>
      <c r="B39" s="21" t="s">
        <v>17</v>
      </c>
      <c r="C39" s="21" t="s">
        <v>51</v>
      </c>
      <c r="D39" s="22" t="n">
        <v>5</v>
      </c>
      <c r="E39" s="8" t="n">
        <f aca="false">SUM(F39:I39)</f>
        <v>23.196887</v>
      </c>
      <c r="F39" s="10" t="n">
        <v>23.196887</v>
      </c>
      <c r="G39" s="10" t="n">
        <v>0</v>
      </c>
      <c r="H39" s="10" t="n">
        <v>0</v>
      </c>
      <c r="I39" s="10" t="n">
        <v>0</v>
      </c>
      <c r="J39" s="10" t="n">
        <f aca="false">H39+I39</f>
        <v>0</v>
      </c>
      <c r="K39" s="11" t="n">
        <f aca="false">IF(E39&gt;0,J39/E39,0)</f>
        <v>0</v>
      </c>
      <c r="L39" s="12" t="n">
        <v>22.3923081575558</v>
      </c>
      <c r="M39" s="25" t="n">
        <v>23</v>
      </c>
      <c r="N39" s="24" t="n">
        <v>46302</v>
      </c>
      <c r="O39" s="10" t="n">
        <v>0</v>
      </c>
      <c r="P39" s="10" t="n">
        <v>23.196887</v>
      </c>
      <c r="Q39" s="10" t="n">
        <v>0</v>
      </c>
      <c r="R39" s="10" t="n">
        <v>0</v>
      </c>
      <c r="S39" s="9" t="n">
        <f aca="false">COUNTIF(O39:R39,"&gt;0")</f>
        <v>1</v>
      </c>
    </row>
    <row r="40" customFormat="false" ht="15" hidden="false" customHeight="false" outlineLevel="0" collapsed="false">
      <c r="A40" s="20" t="s">
        <v>79</v>
      </c>
      <c r="B40" s="21" t="s">
        <v>18</v>
      </c>
      <c r="C40" s="21" t="s">
        <v>64</v>
      </c>
      <c r="D40" s="22" t="n">
        <v>2.5</v>
      </c>
      <c r="E40" s="8" t="n">
        <f aca="false">SUM(F40:I40)</f>
        <v>23.161798</v>
      </c>
      <c r="F40" s="10" t="n">
        <v>20.131482</v>
      </c>
      <c r="G40" s="10" t="n">
        <v>3.03031600000001</v>
      </c>
      <c r="H40" s="10" t="n">
        <v>0</v>
      </c>
      <c r="I40" s="10" t="n">
        <v>0</v>
      </c>
      <c r="J40" s="10" t="n">
        <f aca="false">H40+I40</f>
        <v>0</v>
      </c>
      <c r="K40" s="11" t="n">
        <f aca="false">IF(E40&gt;0,J40/E40,0)</f>
        <v>0</v>
      </c>
      <c r="L40" s="12" t="n">
        <v>6.97163510363057</v>
      </c>
      <c r="M40" s="23" t="n">
        <v>40</v>
      </c>
      <c r="N40" s="24" t="n">
        <v>46322</v>
      </c>
      <c r="O40" s="10" t="n">
        <v>23.161798</v>
      </c>
      <c r="P40" s="10" t="n">
        <v>0</v>
      </c>
      <c r="Q40" s="10" t="n">
        <v>0</v>
      </c>
      <c r="R40" s="10" t="n">
        <v>0</v>
      </c>
      <c r="S40" s="9" t="n">
        <f aca="false">COUNTIF(O40:R40,"&gt;0")</f>
        <v>1</v>
      </c>
    </row>
    <row r="41" customFormat="false" ht="15" hidden="false" customHeight="false" outlineLevel="0" collapsed="false">
      <c r="A41" s="20" t="s">
        <v>80</v>
      </c>
      <c r="B41" s="21" t="s">
        <v>17</v>
      </c>
      <c r="C41" s="21" t="s">
        <v>39</v>
      </c>
      <c r="D41" s="22" t="n">
        <v>5</v>
      </c>
      <c r="E41" s="8" t="n">
        <f aca="false">SUM(F41:I41)</f>
        <v>22.771162</v>
      </c>
      <c r="F41" s="10" t="n">
        <v>22.771162</v>
      </c>
      <c r="G41" s="10" t="n">
        <v>0</v>
      </c>
      <c r="H41" s="10" t="n">
        <v>0</v>
      </c>
      <c r="I41" s="10" t="n">
        <v>0</v>
      </c>
      <c r="J41" s="10" t="n">
        <f aca="false">H41+I41</f>
        <v>0</v>
      </c>
      <c r="K41" s="11" t="n">
        <f aca="false">IF(E41&gt;0,J41/E41,0)</f>
        <v>0</v>
      </c>
      <c r="L41" s="12" t="n">
        <v>29.8198418684123</v>
      </c>
      <c r="M41" s="25" t="n">
        <v>30</v>
      </c>
      <c r="N41" s="24" t="n">
        <v>46295</v>
      </c>
      <c r="O41" s="10" t="n">
        <v>0</v>
      </c>
      <c r="P41" s="10" t="n">
        <v>22.771162</v>
      </c>
      <c r="Q41" s="10" t="n">
        <v>0</v>
      </c>
      <c r="R41" s="10" t="n">
        <v>0</v>
      </c>
      <c r="S41" s="9" t="n">
        <f aca="false">COUNTIF(O41:R41,"&gt;0")</f>
        <v>1</v>
      </c>
    </row>
    <row r="42" customFormat="false" ht="15" hidden="false" customHeight="false" outlineLevel="0" collapsed="false">
      <c r="A42" s="20" t="s">
        <v>81</v>
      </c>
      <c r="B42" s="21" t="s">
        <v>17</v>
      </c>
      <c r="C42" s="21" t="s">
        <v>35</v>
      </c>
      <c r="D42" s="22" t="n">
        <v>2.8</v>
      </c>
      <c r="E42" s="8" t="n">
        <f aca="false">SUM(F42:I42)</f>
        <v>22.624130496</v>
      </c>
      <c r="F42" s="10" t="n">
        <v>22.624130496</v>
      </c>
      <c r="G42" s="10" t="n">
        <v>0</v>
      </c>
      <c r="H42" s="10" t="n">
        <v>0</v>
      </c>
      <c r="I42" s="10" t="n">
        <v>0</v>
      </c>
      <c r="J42" s="10" t="n">
        <f aca="false">H42+I42</f>
        <v>0</v>
      </c>
      <c r="K42" s="11" t="n">
        <f aca="false">IF(E42&gt;0,J42/E42,0)</f>
        <v>0</v>
      </c>
      <c r="L42" s="12" t="n">
        <v>18.1019527443235</v>
      </c>
      <c r="M42" s="25" t="n">
        <v>19</v>
      </c>
      <c r="N42" s="24" t="n">
        <v>46307</v>
      </c>
      <c r="O42" s="10" t="n">
        <v>22.624130496</v>
      </c>
      <c r="P42" s="10" t="n">
        <v>0</v>
      </c>
      <c r="Q42" s="10" t="n">
        <v>0</v>
      </c>
      <c r="R42" s="10" t="n">
        <v>0</v>
      </c>
      <c r="S42" s="9" t="n">
        <f aca="false">COUNTIF(O42:R42,"&gt;0")</f>
        <v>1</v>
      </c>
    </row>
    <row r="43" customFormat="false" ht="15" hidden="false" customHeight="false" outlineLevel="0" collapsed="false">
      <c r="A43" s="20" t="s">
        <v>82</v>
      </c>
      <c r="B43" s="21" t="s">
        <v>17</v>
      </c>
      <c r="C43" s="21" t="s">
        <v>51</v>
      </c>
      <c r="D43" s="22" t="n">
        <v>2</v>
      </c>
      <c r="E43" s="8" t="n">
        <f aca="false">SUM(F43:I43)</f>
        <v>22.5846756</v>
      </c>
      <c r="F43" s="10" t="n">
        <v>22.5846756</v>
      </c>
      <c r="G43" s="10" t="n">
        <v>0</v>
      </c>
      <c r="H43" s="10" t="n">
        <v>0</v>
      </c>
      <c r="I43" s="10" t="n">
        <v>0</v>
      </c>
      <c r="J43" s="10" t="n">
        <f aca="false">H43+I43</f>
        <v>0</v>
      </c>
      <c r="K43" s="11" t="n">
        <f aca="false">IF(E43&gt;0,J43/E43,0)</f>
        <v>0</v>
      </c>
      <c r="L43" s="12" t="n">
        <v>20.5205808845003</v>
      </c>
      <c r="M43" s="25" t="n">
        <v>22</v>
      </c>
      <c r="N43" s="24" t="n">
        <v>46304</v>
      </c>
      <c r="O43" s="10" t="n">
        <v>0</v>
      </c>
      <c r="P43" s="10" t="n">
        <v>2.392126</v>
      </c>
      <c r="Q43" s="10" t="n">
        <v>0</v>
      </c>
      <c r="R43" s="10" t="n">
        <v>20.1925496</v>
      </c>
      <c r="S43" s="9" t="n">
        <f aca="false">COUNTIF(O43:R43,"&gt;0")</f>
        <v>2</v>
      </c>
    </row>
    <row r="44" customFormat="false" ht="15" hidden="false" customHeight="false" outlineLevel="0" collapsed="false">
      <c r="A44" s="20" t="s">
        <v>83</v>
      </c>
      <c r="B44" s="21" t="s">
        <v>17</v>
      </c>
      <c r="C44" s="21" t="s">
        <v>35</v>
      </c>
      <c r="D44" s="22" t="n">
        <v>3</v>
      </c>
      <c r="E44" s="8" t="n">
        <f aca="false">SUM(F44:I44)</f>
        <v>22.5479504</v>
      </c>
      <c r="F44" s="10" t="n">
        <v>0</v>
      </c>
      <c r="G44" s="10" t="n">
        <v>22.5479504</v>
      </c>
      <c r="H44" s="10" t="n">
        <v>0</v>
      </c>
      <c r="I44" s="10" t="n">
        <v>0</v>
      </c>
      <c r="J44" s="10" t="n">
        <f aca="false">H44+I44</f>
        <v>0</v>
      </c>
      <c r="K44" s="11" t="n">
        <f aca="false">IF(E44&gt;0,J44/E44,0)</f>
        <v>0</v>
      </c>
      <c r="L44" s="12" t="n">
        <v>52.0574965962317</v>
      </c>
      <c r="M44" s="23" t="n">
        <v>53</v>
      </c>
      <c r="N44" s="24" t="n">
        <v>46272</v>
      </c>
      <c r="O44" s="10" t="n">
        <v>0</v>
      </c>
      <c r="P44" s="10" t="n">
        <v>0</v>
      </c>
      <c r="Q44" s="10" t="n">
        <v>22.5479504</v>
      </c>
      <c r="R44" s="10" t="n">
        <v>0</v>
      </c>
      <c r="S44" s="9" t="n">
        <f aca="false">COUNTIF(O44:R44,"&gt;0")</f>
        <v>1</v>
      </c>
    </row>
    <row r="45" customFormat="false" ht="15" hidden="false" customHeight="false" outlineLevel="0" collapsed="false">
      <c r="A45" s="20" t="s">
        <v>84</v>
      </c>
      <c r="B45" s="21" t="s">
        <v>18</v>
      </c>
      <c r="C45" s="21" t="s">
        <v>70</v>
      </c>
      <c r="D45" s="22" t="n">
        <v>5</v>
      </c>
      <c r="E45" s="8" t="n">
        <f aca="false">SUM(F45:I45)</f>
        <v>22.16657</v>
      </c>
      <c r="F45" s="10" t="n">
        <v>20.13525</v>
      </c>
      <c r="G45" s="10" t="n">
        <v>2.03132</v>
      </c>
      <c r="H45" s="10" t="n">
        <v>0</v>
      </c>
      <c r="I45" s="10" t="n">
        <v>0</v>
      </c>
      <c r="J45" s="10" t="n">
        <f aca="false">H45+I45</f>
        <v>0</v>
      </c>
      <c r="K45" s="11" t="n">
        <f aca="false">IF(E45&gt;0,J45/E45,0)</f>
        <v>0</v>
      </c>
      <c r="L45" s="12" t="n">
        <v>6.41418812202339</v>
      </c>
      <c r="M45" s="23" t="n">
        <v>60</v>
      </c>
      <c r="N45" s="24" t="n">
        <v>46321</v>
      </c>
      <c r="O45" s="10" t="n">
        <v>0</v>
      </c>
      <c r="P45" s="10" t="n">
        <v>2.00522</v>
      </c>
      <c r="Q45" s="10" t="n">
        <v>0</v>
      </c>
      <c r="R45" s="10" t="n">
        <v>20.16135</v>
      </c>
      <c r="S45" s="9" t="n">
        <f aca="false">COUNTIF(O45:R45,"&gt;0")</f>
        <v>2</v>
      </c>
    </row>
    <row r="46" customFormat="false" ht="15" hidden="false" customHeight="false" outlineLevel="0" collapsed="false">
      <c r="A46" s="20" t="s">
        <v>85</v>
      </c>
      <c r="B46" s="21" t="s">
        <v>16</v>
      </c>
      <c r="C46" s="21" t="s">
        <v>66</v>
      </c>
      <c r="D46" s="22" t="n">
        <v>4</v>
      </c>
      <c r="E46" s="8" t="n">
        <f aca="false">SUM(F46:I46)</f>
        <v>21.8961</v>
      </c>
      <c r="F46" s="10" t="n">
        <v>19.7679</v>
      </c>
      <c r="G46" s="10" t="n">
        <v>0</v>
      </c>
      <c r="H46" s="10" t="n">
        <v>0</v>
      </c>
      <c r="I46" s="10" t="n">
        <v>2.1282</v>
      </c>
      <c r="J46" s="26" t="n">
        <f aca="false">H46+I46</f>
        <v>2.1282</v>
      </c>
      <c r="K46" s="11" t="n">
        <f aca="false">IF(E46&gt;0,J46/E46,0)</f>
        <v>0.097195390960034</v>
      </c>
      <c r="L46" s="12" t="n">
        <v>19.6784358858427</v>
      </c>
      <c r="M46" s="28" t="n">
        <v>91</v>
      </c>
      <c r="N46" s="24" t="n">
        <v>46312</v>
      </c>
      <c r="O46" s="10" t="n">
        <v>21.8961</v>
      </c>
      <c r="P46" s="10" t="n">
        <v>0</v>
      </c>
      <c r="Q46" s="10" t="n">
        <v>0</v>
      </c>
      <c r="R46" s="10" t="n">
        <v>0</v>
      </c>
      <c r="S46" s="9" t="n">
        <f aca="false">COUNTIF(O46:R46,"&gt;0")</f>
        <v>1</v>
      </c>
    </row>
    <row r="47" customFormat="false" ht="15" hidden="false" customHeight="false" outlineLevel="0" collapsed="false">
      <c r="A47" s="20" t="s">
        <v>86</v>
      </c>
      <c r="B47" s="21" t="s">
        <v>17</v>
      </c>
      <c r="C47" s="21" t="s">
        <v>87</v>
      </c>
      <c r="D47" s="22" t="n">
        <v>2</v>
      </c>
      <c r="E47" s="8" t="n">
        <f aca="false">SUM(F47:I47)</f>
        <v>21.6809284</v>
      </c>
      <c r="F47" s="10" t="n">
        <v>16.787382</v>
      </c>
      <c r="G47" s="10" t="n">
        <v>4.8935464</v>
      </c>
      <c r="H47" s="10" t="n">
        <v>0</v>
      </c>
      <c r="I47" s="10" t="n">
        <v>0</v>
      </c>
      <c r="J47" s="10" t="n">
        <f aca="false">H47+I47</f>
        <v>0</v>
      </c>
      <c r="K47" s="11" t="n">
        <f aca="false">IF(E47&gt;0,J47/E47,0)</f>
        <v>0</v>
      </c>
      <c r="L47" s="12" t="n">
        <v>13.7712225828853</v>
      </c>
      <c r="M47" s="23" t="n">
        <v>37</v>
      </c>
      <c r="N47" s="24" t="n">
        <v>46317</v>
      </c>
      <c r="O47" s="10" t="n">
        <v>21.6809284</v>
      </c>
      <c r="P47" s="10" t="n">
        <v>0</v>
      </c>
      <c r="Q47" s="10" t="n">
        <v>0</v>
      </c>
      <c r="R47" s="10" t="n">
        <v>0</v>
      </c>
      <c r="S47" s="9" t="n">
        <f aca="false">COUNTIF(O47:R47,"&gt;0")</f>
        <v>1</v>
      </c>
    </row>
    <row r="48" customFormat="false" ht="15" hidden="false" customHeight="false" outlineLevel="0" collapsed="false">
      <c r="A48" s="20" t="s">
        <v>88</v>
      </c>
      <c r="B48" s="21" t="s">
        <v>18</v>
      </c>
      <c r="C48" s="21" t="s">
        <v>64</v>
      </c>
      <c r="D48" s="22" t="n">
        <v>2.8</v>
      </c>
      <c r="E48" s="8" t="n">
        <f aca="false">SUM(F48:I48)</f>
        <v>21.377012416</v>
      </c>
      <c r="F48" s="10" t="n">
        <v>0</v>
      </c>
      <c r="G48" s="10" t="n">
        <v>15.579142656</v>
      </c>
      <c r="H48" s="10" t="n">
        <v>5.79786976000001</v>
      </c>
      <c r="I48" s="10" t="n">
        <v>0</v>
      </c>
      <c r="J48" s="26" t="n">
        <f aca="false">H48+I48</f>
        <v>5.79786976000001</v>
      </c>
      <c r="K48" s="11" t="n">
        <f aca="false">IF(E48&gt;0,J48/E48,0)</f>
        <v>0.271219834052231</v>
      </c>
      <c r="L48" s="12" t="n">
        <v>48.1365950215669</v>
      </c>
      <c r="M48" s="27" t="n">
        <v>70</v>
      </c>
      <c r="N48" s="24" t="n">
        <v>46284</v>
      </c>
      <c r="O48" s="10" t="n">
        <v>21.377012416</v>
      </c>
      <c r="P48" s="10" t="n">
        <v>0</v>
      </c>
      <c r="Q48" s="10" t="n">
        <v>0</v>
      </c>
      <c r="R48" s="10" t="n">
        <v>0</v>
      </c>
      <c r="S48" s="9" t="n">
        <f aca="false">COUNTIF(O48:R48,"&gt;0")</f>
        <v>1</v>
      </c>
    </row>
    <row r="49" customFormat="false" ht="15" hidden="false" customHeight="false" outlineLevel="0" collapsed="false">
      <c r="A49" s="20" t="s">
        <v>89</v>
      </c>
      <c r="B49" s="21" t="s">
        <v>16</v>
      </c>
      <c r="C49" s="21" t="s">
        <v>90</v>
      </c>
      <c r="D49" s="22" t="n">
        <v>1.6</v>
      </c>
      <c r="E49" s="8" t="n">
        <f aca="false">SUM(F49:I49)</f>
        <v>20.3448108030086</v>
      </c>
      <c r="F49" s="10" t="n">
        <v>9.57167752634869</v>
      </c>
      <c r="G49" s="10" t="n">
        <v>0</v>
      </c>
      <c r="H49" s="10" t="n">
        <v>0</v>
      </c>
      <c r="I49" s="10" t="n">
        <v>10.7731332766599</v>
      </c>
      <c r="J49" s="26" t="n">
        <f aca="false">H49+I49</f>
        <v>10.7731332766599</v>
      </c>
      <c r="K49" s="11" t="n">
        <f aca="false">IF(E49&gt;0,J49/E49,0)</f>
        <v>0.529527326696338</v>
      </c>
      <c r="L49" s="12" t="n">
        <v>60.4212407890997</v>
      </c>
      <c r="M49" s="28" t="n">
        <v>99</v>
      </c>
      <c r="N49" s="24" t="n">
        <v>46307</v>
      </c>
      <c r="O49" s="10" t="n">
        <v>20.3448108030086</v>
      </c>
      <c r="P49" s="10" t="n">
        <v>0</v>
      </c>
      <c r="Q49" s="10" t="n">
        <v>0</v>
      </c>
      <c r="R49" s="10" t="n">
        <v>0</v>
      </c>
      <c r="S49" s="9" t="n">
        <f aca="false">COUNTIF(O49:R49,"&gt;0")</f>
        <v>1</v>
      </c>
    </row>
    <row r="50" customFormat="false" ht="15" hidden="false" customHeight="false" outlineLevel="0" collapsed="false">
      <c r="A50" s="20" t="s">
        <v>91</v>
      </c>
      <c r="B50" s="21" t="s">
        <v>17</v>
      </c>
      <c r="C50" s="21" t="s">
        <v>92</v>
      </c>
      <c r="D50" s="22" t="n">
        <v>2.8</v>
      </c>
      <c r="E50" s="8" t="n">
        <f aca="false">SUM(F50:I50)</f>
        <v>20.02434368</v>
      </c>
      <c r="F50" s="10" t="n">
        <v>0</v>
      </c>
      <c r="G50" s="10" t="n">
        <v>0</v>
      </c>
      <c r="H50" s="10" t="n">
        <v>0</v>
      </c>
      <c r="I50" s="10" t="n">
        <v>20.02434368</v>
      </c>
      <c r="J50" s="26" t="n">
        <f aca="false">H50+I50</f>
        <v>20.02434368</v>
      </c>
      <c r="K50" s="11" t="n">
        <f aca="false">IF(E50&gt;0,J50/E50,0)</f>
        <v>1</v>
      </c>
      <c r="L50" s="12" t="n">
        <v>188.054990378591</v>
      </c>
      <c r="M50" s="28" t="n">
        <v>189</v>
      </c>
      <c r="N50" s="24" t="n">
        <v>46139</v>
      </c>
      <c r="O50" s="10" t="n">
        <v>20.02434368</v>
      </c>
      <c r="P50" s="10" t="n">
        <v>0</v>
      </c>
      <c r="Q50" s="10" t="n">
        <v>0</v>
      </c>
      <c r="R50" s="10" t="n">
        <v>0</v>
      </c>
      <c r="S50" s="9" t="n">
        <f aca="false">COUNTIF(O50:R50,"&gt;0")</f>
        <v>1</v>
      </c>
    </row>
    <row r="51" customFormat="false" ht="15" hidden="false" customHeight="false" outlineLevel="0" collapsed="false">
      <c r="A51" s="20" t="s">
        <v>93</v>
      </c>
      <c r="B51" s="21" t="s">
        <v>17</v>
      </c>
      <c r="C51" s="21" t="s">
        <v>39</v>
      </c>
      <c r="D51" s="22" t="n">
        <v>1.6</v>
      </c>
      <c r="E51" s="8" t="n">
        <f aca="false">SUM(F51:I51)</f>
        <v>19.777918528</v>
      </c>
      <c r="F51" s="10" t="n">
        <v>19.777918528</v>
      </c>
      <c r="G51" s="10" t="n">
        <v>0</v>
      </c>
      <c r="H51" s="10" t="n">
        <v>0</v>
      </c>
      <c r="I51" s="10" t="n">
        <v>0</v>
      </c>
      <c r="J51" s="10" t="n">
        <f aca="false">H51+I51</f>
        <v>0</v>
      </c>
      <c r="K51" s="11" t="n">
        <f aca="false">IF(E51&gt;0,J51/E51,0)</f>
        <v>0</v>
      </c>
      <c r="L51" s="12" t="n">
        <v>13</v>
      </c>
      <c r="M51" s="25" t="n">
        <v>13</v>
      </c>
      <c r="N51" s="24" t="n">
        <v>46311</v>
      </c>
      <c r="O51" s="10" t="n">
        <v>0</v>
      </c>
      <c r="P51" s="10" t="n">
        <v>0</v>
      </c>
      <c r="Q51" s="10" t="n">
        <v>19.777918528</v>
      </c>
      <c r="R51" s="10" t="n">
        <v>0</v>
      </c>
      <c r="S51" s="9" t="n">
        <f aca="false">COUNTIF(O51:R51,"&gt;0")</f>
        <v>1</v>
      </c>
    </row>
    <row r="52" customFormat="false" ht="15" hidden="false" customHeight="false" outlineLevel="0" collapsed="false">
      <c r="A52" s="20" t="s">
        <v>94</v>
      </c>
      <c r="B52" s="21" t="s">
        <v>16</v>
      </c>
      <c r="C52" s="21" t="s">
        <v>68</v>
      </c>
      <c r="D52" s="22" t="n">
        <v>3.2</v>
      </c>
      <c r="E52" s="8" t="n">
        <f aca="false">SUM(F52:I52)</f>
        <v>18.0739322420628</v>
      </c>
      <c r="F52" s="10" t="n">
        <v>18.0739322420628</v>
      </c>
      <c r="G52" s="10" t="n">
        <v>0</v>
      </c>
      <c r="H52" s="10" t="n">
        <v>0</v>
      </c>
      <c r="I52" s="10" t="n">
        <v>0</v>
      </c>
      <c r="J52" s="10" t="n">
        <f aca="false">H52+I52</f>
        <v>0</v>
      </c>
      <c r="K52" s="11" t="n">
        <f aca="false">IF(E52&gt;0,J52/E52,0)</f>
        <v>0</v>
      </c>
      <c r="L52" s="12" t="n">
        <v>6</v>
      </c>
      <c r="M52" s="25" t="n">
        <v>6</v>
      </c>
      <c r="N52" s="24" t="n">
        <v>46318</v>
      </c>
      <c r="O52" s="10" t="n">
        <v>18.0739322420628</v>
      </c>
      <c r="P52" s="10" t="n">
        <v>0</v>
      </c>
      <c r="Q52" s="10" t="n">
        <v>0</v>
      </c>
      <c r="R52" s="10" t="n">
        <v>0</v>
      </c>
      <c r="S52" s="9" t="n">
        <f aca="false">COUNTIF(O52:R52,"&gt;0")</f>
        <v>1</v>
      </c>
    </row>
    <row r="53" customFormat="false" ht="15" hidden="false" customHeight="false" outlineLevel="0" collapsed="false">
      <c r="A53" s="20" t="s">
        <v>95</v>
      </c>
      <c r="B53" s="21" t="s">
        <v>16</v>
      </c>
      <c r="C53" s="21" t="s">
        <v>66</v>
      </c>
      <c r="D53" s="22" t="n">
        <v>2</v>
      </c>
      <c r="E53" s="8" t="n">
        <f aca="false">SUM(F53:I53)</f>
        <v>16.9689453224326</v>
      </c>
      <c r="F53" s="10" t="n">
        <v>0</v>
      </c>
      <c r="G53" s="10" t="n">
        <v>0</v>
      </c>
      <c r="H53" s="10" t="n">
        <v>0</v>
      </c>
      <c r="I53" s="10" t="n">
        <v>16.9689453224326</v>
      </c>
      <c r="J53" s="26" t="n">
        <f aca="false">H53+I53</f>
        <v>16.9689453224326</v>
      </c>
      <c r="K53" s="11" t="n">
        <f aca="false">IF(E53&gt;0,J53/E53,0)</f>
        <v>1</v>
      </c>
      <c r="L53" s="12" t="n">
        <v>114</v>
      </c>
      <c r="M53" s="28" t="n">
        <v>114</v>
      </c>
      <c r="N53" s="24" t="n">
        <v>46210</v>
      </c>
      <c r="O53" s="10" t="n">
        <v>16.9689453224326</v>
      </c>
      <c r="P53" s="10" t="n">
        <v>0</v>
      </c>
      <c r="Q53" s="10" t="n">
        <v>0</v>
      </c>
      <c r="R53" s="10" t="n">
        <v>0</v>
      </c>
      <c r="S53" s="9" t="n">
        <f aca="false">COUNTIF(O53:R53,"&gt;0")</f>
        <v>1</v>
      </c>
    </row>
    <row r="54" customFormat="false" ht="15" hidden="false" customHeight="false" outlineLevel="0" collapsed="false">
      <c r="A54" s="20" t="s">
        <v>96</v>
      </c>
      <c r="B54" s="21" t="s">
        <v>16</v>
      </c>
      <c r="C54" s="21" t="s">
        <v>76</v>
      </c>
      <c r="D54" s="22" t="n">
        <v>4</v>
      </c>
      <c r="E54" s="8" t="n">
        <f aca="false">SUM(F54:I54)</f>
        <v>15.987</v>
      </c>
      <c r="F54" s="10" t="n">
        <v>0</v>
      </c>
      <c r="G54" s="10" t="n">
        <v>0</v>
      </c>
      <c r="H54" s="10" t="n">
        <v>0</v>
      </c>
      <c r="I54" s="10" t="n">
        <v>15.987</v>
      </c>
      <c r="J54" s="26" t="n">
        <f aca="false">H54+I54</f>
        <v>15.987</v>
      </c>
      <c r="K54" s="11" t="n">
        <f aca="false">IF(E54&gt;0,J54/E54,0)</f>
        <v>1</v>
      </c>
      <c r="L54" s="12" t="n">
        <v>128</v>
      </c>
      <c r="M54" s="28" t="n">
        <v>128</v>
      </c>
      <c r="N54" s="24" t="n">
        <v>46196</v>
      </c>
      <c r="O54" s="10" t="n">
        <v>15.987</v>
      </c>
      <c r="P54" s="10" t="n">
        <v>0</v>
      </c>
      <c r="Q54" s="10" t="n">
        <v>0</v>
      </c>
      <c r="R54" s="10" t="n">
        <v>0</v>
      </c>
      <c r="S54" s="9" t="n">
        <f aca="false">COUNTIF(O54:R54,"&gt;0")</f>
        <v>1</v>
      </c>
    </row>
    <row r="55" customFormat="false" ht="15" hidden="false" customHeight="false" outlineLevel="0" collapsed="false">
      <c r="A55" s="20" t="s">
        <v>97</v>
      </c>
      <c r="B55" s="21" t="s">
        <v>18</v>
      </c>
      <c r="C55" s="21" t="s">
        <v>33</v>
      </c>
      <c r="D55" s="22" t="n">
        <v>5</v>
      </c>
      <c r="E55" s="8" t="n">
        <f aca="false">SUM(F55:I55)</f>
        <v>15.92302</v>
      </c>
      <c r="F55" s="10" t="n">
        <v>15.92302</v>
      </c>
      <c r="G55" s="10" t="n">
        <v>0</v>
      </c>
      <c r="H55" s="10" t="n">
        <v>0</v>
      </c>
      <c r="I55" s="10" t="n">
        <v>0</v>
      </c>
      <c r="J55" s="10" t="n">
        <f aca="false">H55+I55</f>
        <v>0</v>
      </c>
      <c r="K55" s="11" t="n">
        <f aca="false">IF(E55&gt;0,J55/E55,0)</f>
        <v>0</v>
      </c>
      <c r="L55" s="12" t="n">
        <v>29.2492642727322</v>
      </c>
      <c r="M55" s="25" t="n">
        <v>30</v>
      </c>
      <c r="N55" s="24" t="n">
        <v>46295</v>
      </c>
      <c r="O55" s="10" t="n">
        <v>0</v>
      </c>
      <c r="P55" s="10" t="n">
        <v>0</v>
      </c>
      <c r="Q55" s="10" t="n">
        <v>0</v>
      </c>
      <c r="R55" s="10" t="n">
        <v>15.92302</v>
      </c>
      <c r="S55" s="9" t="n">
        <f aca="false">COUNTIF(O55:R55,"&gt;0")</f>
        <v>1</v>
      </c>
    </row>
    <row r="56" customFormat="false" ht="15" hidden="false" customHeight="false" outlineLevel="0" collapsed="false">
      <c r="A56" s="20" t="s">
        <v>98</v>
      </c>
      <c r="B56" s="21" t="s">
        <v>16</v>
      </c>
      <c r="C56" s="21" t="s">
        <v>66</v>
      </c>
      <c r="D56" s="22" t="n">
        <v>1.6</v>
      </c>
      <c r="E56" s="8" t="n">
        <f aca="false">SUM(F56:I56)</f>
        <v>15.21</v>
      </c>
      <c r="F56" s="10" t="n">
        <v>0</v>
      </c>
      <c r="G56" s="10" t="n">
        <v>0</v>
      </c>
      <c r="H56" s="10" t="n">
        <v>0</v>
      </c>
      <c r="I56" s="10" t="n">
        <v>15.21</v>
      </c>
      <c r="J56" s="26" t="n">
        <f aca="false">H56+I56</f>
        <v>15.21</v>
      </c>
      <c r="K56" s="11" t="n">
        <f aca="false">IF(E56&gt;0,J56/E56,0)</f>
        <v>1</v>
      </c>
      <c r="L56" s="12" t="n">
        <v>113</v>
      </c>
      <c r="M56" s="28" t="n">
        <v>113</v>
      </c>
      <c r="N56" s="24" t="n">
        <v>46211</v>
      </c>
      <c r="O56" s="10" t="n">
        <v>15.21</v>
      </c>
      <c r="P56" s="10" t="n">
        <v>0</v>
      </c>
      <c r="Q56" s="10" t="n">
        <v>0</v>
      </c>
      <c r="R56" s="10" t="n">
        <v>0</v>
      </c>
      <c r="S56" s="9" t="n">
        <f aca="false">COUNTIF(O56:R56,"&gt;0")</f>
        <v>1</v>
      </c>
    </row>
    <row r="57" customFormat="false" ht="15" hidden="false" customHeight="false" outlineLevel="0" collapsed="false">
      <c r="A57" s="20" t="s">
        <v>99</v>
      </c>
      <c r="B57" s="21" t="s">
        <v>16</v>
      </c>
      <c r="C57" s="21" t="s">
        <v>100</v>
      </c>
      <c r="D57" s="22" t="n">
        <v>2</v>
      </c>
      <c r="E57" s="8" t="n">
        <f aca="false">SUM(F57:I57)</f>
        <v>15.1022607216639</v>
      </c>
      <c r="F57" s="10" t="n">
        <v>0</v>
      </c>
      <c r="G57" s="10" t="n">
        <v>15.1022607216639</v>
      </c>
      <c r="H57" s="10" t="n">
        <v>0</v>
      </c>
      <c r="I57" s="10" t="n">
        <v>0</v>
      </c>
      <c r="J57" s="10" t="n">
        <f aca="false">H57+I57</f>
        <v>0</v>
      </c>
      <c r="K57" s="11" t="n">
        <f aca="false">IF(E57&gt;0,J57/E57,0)</f>
        <v>0</v>
      </c>
      <c r="L57" s="12" t="n">
        <v>45</v>
      </c>
      <c r="M57" s="23" t="n">
        <v>45</v>
      </c>
      <c r="N57" s="24" t="n">
        <v>46279</v>
      </c>
      <c r="O57" s="10" t="n">
        <v>15.1022607216639</v>
      </c>
      <c r="P57" s="10" t="n">
        <v>0</v>
      </c>
      <c r="Q57" s="10" t="n">
        <v>0</v>
      </c>
      <c r="R57" s="10" t="n">
        <v>0</v>
      </c>
      <c r="S57" s="9" t="n">
        <f aca="false">COUNTIF(O57:R57,"&gt;0")</f>
        <v>1</v>
      </c>
    </row>
    <row r="58" customFormat="false" ht="15" hidden="false" customHeight="false" outlineLevel="0" collapsed="false">
      <c r="A58" s="20" t="s">
        <v>101</v>
      </c>
      <c r="B58" s="21" t="s">
        <v>17</v>
      </c>
      <c r="C58" s="21" t="s">
        <v>102</v>
      </c>
      <c r="D58" s="22" t="n">
        <v>4</v>
      </c>
      <c r="E58" s="8" t="n">
        <f aca="false">SUM(F58:I58)</f>
        <v>14.6710672</v>
      </c>
      <c r="F58" s="10" t="n">
        <v>10.3265808</v>
      </c>
      <c r="G58" s="10" t="n">
        <v>4.34448640000001</v>
      </c>
      <c r="H58" s="10" t="n">
        <v>0</v>
      </c>
      <c r="I58" s="10" t="n">
        <v>0</v>
      </c>
      <c r="J58" s="10" t="n">
        <f aca="false">H58+I58</f>
        <v>0</v>
      </c>
      <c r="K58" s="11" t="n">
        <f aca="false">IF(E58&gt;0,J58/E58,0)</f>
        <v>0</v>
      </c>
      <c r="L58" s="12" t="n">
        <v>18.3302703977799</v>
      </c>
      <c r="M58" s="23" t="n">
        <v>31</v>
      </c>
      <c r="N58" s="24" t="n">
        <v>46311</v>
      </c>
      <c r="O58" s="10" t="n">
        <v>14.6710672</v>
      </c>
      <c r="P58" s="10" t="n">
        <v>0</v>
      </c>
      <c r="Q58" s="10" t="n">
        <v>0</v>
      </c>
      <c r="R58" s="10" t="n">
        <v>0</v>
      </c>
      <c r="S58" s="9" t="n">
        <f aca="false">COUNTIF(O58:R58,"&gt;0")</f>
        <v>1</v>
      </c>
    </row>
    <row r="59" customFormat="false" ht="15" hidden="false" customHeight="false" outlineLevel="0" collapsed="false">
      <c r="A59" s="20" t="s">
        <v>103</v>
      </c>
      <c r="B59" s="21" t="s">
        <v>16</v>
      </c>
      <c r="C59" s="21" t="s">
        <v>90</v>
      </c>
      <c r="D59" s="22" t="n">
        <v>2</v>
      </c>
      <c r="E59" s="8" t="n">
        <f aca="false">SUM(F59:I59)</f>
        <v>14.6224114638618</v>
      </c>
      <c r="F59" s="10" t="n">
        <v>7.8330948808808</v>
      </c>
      <c r="G59" s="10" t="n">
        <v>6.78931658298102</v>
      </c>
      <c r="H59" s="10" t="n">
        <v>0</v>
      </c>
      <c r="I59" s="10" t="n">
        <v>0</v>
      </c>
      <c r="J59" s="10" t="n">
        <f aca="false">H59+I59</f>
        <v>0</v>
      </c>
      <c r="K59" s="11" t="n">
        <f aca="false">IF(E59&gt;0,J59/E59,0)</f>
        <v>0</v>
      </c>
      <c r="L59" s="12" t="n">
        <v>27.8753174205</v>
      </c>
      <c r="M59" s="23" t="n">
        <v>41</v>
      </c>
      <c r="N59" s="24" t="n">
        <v>46308</v>
      </c>
      <c r="O59" s="10" t="n">
        <v>14.6224114638618</v>
      </c>
      <c r="P59" s="10" t="n">
        <v>0</v>
      </c>
      <c r="Q59" s="10" t="n">
        <v>0</v>
      </c>
      <c r="R59" s="10" t="n">
        <v>0</v>
      </c>
      <c r="S59" s="9" t="n">
        <f aca="false">COUNTIF(O59:R59,"&gt;0")</f>
        <v>1</v>
      </c>
    </row>
    <row r="60" customFormat="false" ht="15" hidden="false" customHeight="false" outlineLevel="0" collapsed="false">
      <c r="A60" s="20" t="s">
        <v>104</v>
      </c>
      <c r="B60" s="21" t="s">
        <v>16</v>
      </c>
      <c r="C60" s="21" t="s">
        <v>68</v>
      </c>
      <c r="D60" s="22" t="n">
        <v>2.5</v>
      </c>
      <c r="E60" s="8" t="n">
        <f aca="false">SUM(F60:I60)</f>
        <v>14.0415575471577</v>
      </c>
      <c r="F60" s="10" t="n">
        <v>0</v>
      </c>
      <c r="G60" s="10" t="n">
        <v>0</v>
      </c>
      <c r="H60" s="10" t="n">
        <v>0</v>
      </c>
      <c r="I60" s="10" t="n">
        <v>14.0415575471577</v>
      </c>
      <c r="J60" s="26" t="n">
        <f aca="false">H60+I60</f>
        <v>14.0415575471577</v>
      </c>
      <c r="K60" s="11" t="n">
        <f aca="false">IF(E60&gt;0,J60/E60,0)</f>
        <v>1</v>
      </c>
      <c r="L60" s="12" t="n">
        <v>111.358501640932</v>
      </c>
      <c r="M60" s="28" t="n">
        <v>127</v>
      </c>
      <c r="N60" s="24" t="n">
        <v>46221</v>
      </c>
      <c r="O60" s="10" t="n">
        <v>14.0415575471577</v>
      </c>
      <c r="P60" s="10" t="n">
        <v>0</v>
      </c>
      <c r="Q60" s="10" t="n">
        <v>0</v>
      </c>
      <c r="R60" s="10" t="n">
        <v>0</v>
      </c>
      <c r="S60" s="9" t="n">
        <f aca="false">COUNTIF(O60:R60,"&gt;0")</f>
        <v>1</v>
      </c>
    </row>
    <row r="61" customFormat="false" ht="15" hidden="false" customHeight="false" outlineLevel="0" collapsed="false">
      <c r="A61" s="20" t="s">
        <v>105</v>
      </c>
      <c r="B61" s="21" t="s">
        <v>16</v>
      </c>
      <c r="C61" s="21" t="s">
        <v>76</v>
      </c>
      <c r="D61" s="22" t="n">
        <v>2.8</v>
      </c>
      <c r="E61" s="8" t="n">
        <f aca="false">SUM(F61:I61)</f>
        <v>13.193</v>
      </c>
      <c r="F61" s="10" t="n">
        <v>0</v>
      </c>
      <c r="G61" s="10" t="n">
        <v>13.193</v>
      </c>
      <c r="H61" s="10" t="n">
        <v>0</v>
      </c>
      <c r="I61" s="10" t="n">
        <v>0</v>
      </c>
      <c r="J61" s="10" t="n">
        <f aca="false">H61+I61</f>
        <v>0</v>
      </c>
      <c r="K61" s="11" t="n">
        <f aca="false">IF(E61&gt;0,J61/E61,0)</f>
        <v>0</v>
      </c>
      <c r="L61" s="12" t="n">
        <v>38</v>
      </c>
      <c r="M61" s="23" t="n">
        <v>38</v>
      </c>
      <c r="N61" s="24" t="n">
        <v>46286</v>
      </c>
      <c r="O61" s="10" t="n">
        <v>13.193</v>
      </c>
      <c r="P61" s="10" t="n">
        <v>0</v>
      </c>
      <c r="Q61" s="10" t="n">
        <v>0</v>
      </c>
      <c r="R61" s="10" t="n">
        <v>0</v>
      </c>
      <c r="S61" s="9" t="n">
        <f aca="false">COUNTIF(O61:R61,"&gt;0")</f>
        <v>1</v>
      </c>
    </row>
    <row r="62" customFormat="false" ht="15" hidden="false" customHeight="false" outlineLevel="0" collapsed="false">
      <c r="A62" s="20" t="s">
        <v>106</v>
      </c>
      <c r="B62" s="21" t="s">
        <v>17</v>
      </c>
      <c r="C62" s="21" t="s">
        <v>107</v>
      </c>
      <c r="D62" s="22" t="n">
        <v>2.8</v>
      </c>
      <c r="E62" s="8" t="n">
        <f aca="false">SUM(F62:I62)</f>
        <v>12.385894656</v>
      </c>
      <c r="F62" s="10" t="n">
        <v>11.33534976</v>
      </c>
      <c r="G62" s="10" t="n">
        <v>0</v>
      </c>
      <c r="H62" s="10" t="n">
        <v>0</v>
      </c>
      <c r="I62" s="10" t="n">
        <v>1.050544896</v>
      </c>
      <c r="J62" s="26" t="n">
        <f aca="false">H62+I62</f>
        <v>1.050544896</v>
      </c>
      <c r="K62" s="11" t="n">
        <f aca="false">IF(E62&gt;0,J62/E62,0)</f>
        <v>0.0848178452326086</v>
      </c>
      <c r="L62" s="12" t="n">
        <v>25.7718663445413</v>
      </c>
      <c r="M62" s="28" t="n">
        <v>142</v>
      </c>
      <c r="N62" s="24" t="n">
        <v>46309</v>
      </c>
      <c r="O62" s="10" t="n">
        <v>12.385894656</v>
      </c>
      <c r="P62" s="10" t="n">
        <v>0</v>
      </c>
      <c r="Q62" s="10" t="n">
        <v>0</v>
      </c>
      <c r="R62" s="10" t="n">
        <v>0</v>
      </c>
      <c r="S62" s="9" t="n">
        <f aca="false">COUNTIF(O62:R62,"&gt;0")</f>
        <v>1</v>
      </c>
    </row>
    <row r="63" customFormat="false" ht="15" hidden="false" customHeight="false" outlineLevel="0" collapsed="false">
      <c r="A63" s="20" t="s">
        <v>108</v>
      </c>
      <c r="B63" s="21" t="s">
        <v>18</v>
      </c>
      <c r="C63" s="21" t="s">
        <v>109</v>
      </c>
      <c r="D63" s="22" t="n">
        <v>2</v>
      </c>
      <c r="E63" s="8" t="n">
        <f aca="false">SUM(F63:I63)</f>
        <v>12.3127576</v>
      </c>
      <c r="F63" s="10" t="n">
        <v>12.3127576</v>
      </c>
      <c r="G63" s="10" t="n">
        <v>0</v>
      </c>
      <c r="H63" s="10" t="n">
        <v>0</v>
      </c>
      <c r="I63" s="10" t="n">
        <v>0</v>
      </c>
      <c r="J63" s="10" t="n">
        <f aca="false">H63+I63</f>
        <v>0</v>
      </c>
      <c r="K63" s="11" t="n">
        <f aca="false">IF(E63&gt;0,J63/E63,0)</f>
        <v>0</v>
      </c>
      <c r="L63" s="12" t="n">
        <v>11.4840348030566</v>
      </c>
      <c r="M63" s="25" t="n">
        <v>28</v>
      </c>
      <c r="N63" s="24" t="n">
        <v>46315</v>
      </c>
      <c r="O63" s="10" t="n">
        <v>12.3127576</v>
      </c>
      <c r="P63" s="10" t="n">
        <v>0</v>
      </c>
      <c r="Q63" s="10" t="n">
        <v>0</v>
      </c>
      <c r="R63" s="10" t="n">
        <v>0</v>
      </c>
      <c r="S63" s="9" t="n">
        <f aca="false">COUNTIF(O63:R63,"&gt;0")</f>
        <v>1</v>
      </c>
    </row>
    <row r="64" customFormat="false" ht="15" hidden="false" customHeight="false" outlineLevel="0" collapsed="false">
      <c r="A64" s="20" t="s">
        <v>110</v>
      </c>
      <c r="B64" s="21" t="s">
        <v>17</v>
      </c>
      <c r="C64" s="21" t="s">
        <v>39</v>
      </c>
      <c r="D64" s="22" t="n">
        <v>4</v>
      </c>
      <c r="E64" s="8" t="n">
        <f aca="false">SUM(F64:I64)</f>
        <v>10.6625504</v>
      </c>
      <c r="F64" s="10" t="n">
        <v>10.6625504</v>
      </c>
      <c r="G64" s="10" t="n">
        <v>0</v>
      </c>
      <c r="H64" s="10" t="n">
        <v>0</v>
      </c>
      <c r="I64" s="10" t="n">
        <v>0</v>
      </c>
      <c r="J64" s="10" t="n">
        <f aca="false">H64+I64</f>
        <v>0</v>
      </c>
      <c r="K64" s="11" t="n">
        <f aca="false">IF(E64&gt;0,J64/E64,0)</f>
        <v>0</v>
      </c>
      <c r="L64" s="12" t="n">
        <v>17.3916505379426</v>
      </c>
      <c r="M64" s="25" t="n">
        <v>30</v>
      </c>
      <c r="N64" s="24" t="n">
        <v>46315</v>
      </c>
      <c r="O64" s="10" t="n">
        <v>0</v>
      </c>
      <c r="P64" s="10" t="n">
        <v>4.2607808</v>
      </c>
      <c r="Q64" s="10" t="n">
        <v>0</v>
      </c>
      <c r="R64" s="10" t="n">
        <v>6.40176960000001</v>
      </c>
      <c r="S64" s="9" t="n">
        <f aca="false">COUNTIF(O64:R64,"&gt;0")</f>
        <v>2</v>
      </c>
    </row>
    <row r="65" customFormat="false" ht="15" hidden="false" customHeight="false" outlineLevel="0" collapsed="false">
      <c r="A65" s="20" t="s">
        <v>111</v>
      </c>
      <c r="B65" s="21" t="s">
        <v>16</v>
      </c>
      <c r="C65" s="21" t="s">
        <v>90</v>
      </c>
      <c r="D65" s="22" t="n">
        <v>2.5</v>
      </c>
      <c r="E65" s="8" t="n">
        <f aca="false">SUM(F65:I65)</f>
        <v>10.6181676337717</v>
      </c>
      <c r="F65" s="10" t="n">
        <v>7.74440225389874</v>
      </c>
      <c r="G65" s="10" t="n">
        <v>0</v>
      </c>
      <c r="H65" s="10" t="n">
        <v>0</v>
      </c>
      <c r="I65" s="10" t="n">
        <v>2.87376537987296</v>
      </c>
      <c r="J65" s="26" t="n">
        <f aca="false">H65+I65</f>
        <v>2.87376537987296</v>
      </c>
      <c r="K65" s="11" t="n">
        <f aca="false">IF(E65&gt;0,J65/E65,0)</f>
        <v>0.27064607369098</v>
      </c>
      <c r="L65" s="12" t="n">
        <v>38.4636241163514</v>
      </c>
      <c r="M65" s="28" t="n">
        <v>99</v>
      </c>
      <c r="N65" s="24" t="n">
        <v>46308</v>
      </c>
      <c r="O65" s="10" t="n">
        <v>10.6181676337717</v>
      </c>
      <c r="P65" s="10" t="n">
        <v>0</v>
      </c>
      <c r="Q65" s="10" t="n">
        <v>0</v>
      </c>
      <c r="R65" s="10" t="n">
        <v>0</v>
      </c>
      <c r="S65" s="9" t="n">
        <f aca="false">COUNTIF(O65:R65,"&gt;0")</f>
        <v>1</v>
      </c>
    </row>
    <row r="66" customFormat="false" ht="15" hidden="false" customHeight="false" outlineLevel="0" collapsed="false">
      <c r="A66" s="20" t="s">
        <v>112</v>
      </c>
      <c r="B66" s="21" t="s">
        <v>18</v>
      </c>
      <c r="C66" s="21" t="s">
        <v>33</v>
      </c>
      <c r="D66" s="22" t="n">
        <v>4</v>
      </c>
      <c r="E66" s="8" t="n">
        <f aca="false">SUM(F66:I66)</f>
        <v>10.471432</v>
      </c>
      <c r="F66" s="10" t="n">
        <v>0</v>
      </c>
      <c r="G66" s="10" t="n">
        <v>10.471432</v>
      </c>
      <c r="H66" s="10" t="n">
        <v>0</v>
      </c>
      <c r="I66" s="10" t="n">
        <v>0</v>
      </c>
      <c r="J66" s="10" t="n">
        <f aca="false">H66+I66</f>
        <v>0</v>
      </c>
      <c r="K66" s="11" t="n">
        <f aca="false">IF(E66&gt;0,J66/E66,0)</f>
        <v>0</v>
      </c>
      <c r="L66" s="12" t="n">
        <v>35.5627037066182</v>
      </c>
      <c r="M66" s="23" t="n">
        <v>36</v>
      </c>
      <c r="N66" s="24" t="n">
        <v>46289</v>
      </c>
      <c r="O66" s="10" t="n">
        <v>5.8923136</v>
      </c>
      <c r="P66" s="10" t="n">
        <v>0</v>
      </c>
      <c r="Q66" s="10" t="n">
        <v>0</v>
      </c>
      <c r="R66" s="10" t="n">
        <v>4.5791184</v>
      </c>
      <c r="S66" s="9" t="n">
        <f aca="false">COUNTIF(O66:R66,"&gt;0")</f>
        <v>2</v>
      </c>
    </row>
    <row r="67" customFormat="false" ht="15" hidden="false" customHeight="false" outlineLevel="0" collapsed="false">
      <c r="A67" s="20" t="s">
        <v>113</v>
      </c>
      <c r="B67" s="21" t="s">
        <v>16</v>
      </c>
      <c r="C67" s="21" t="s">
        <v>66</v>
      </c>
      <c r="D67" s="22" t="n">
        <v>3.2</v>
      </c>
      <c r="E67" s="8" t="n">
        <f aca="false">SUM(F67:I67)</f>
        <v>9.9489</v>
      </c>
      <c r="F67" s="10" t="n">
        <v>3.1789</v>
      </c>
      <c r="G67" s="10" t="n">
        <v>0</v>
      </c>
      <c r="H67" s="10" t="n">
        <v>0</v>
      </c>
      <c r="I67" s="10" t="n">
        <v>6.77</v>
      </c>
      <c r="J67" s="26" t="n">
        <f aca="false">H67+I67</f>
        <v>6.77</v>
      </c>
      <c r="K67" s="11" t="n">
        <f aca="false">IF(E67&gt;0,J67/E67,0)</f>
        <v>0.680477238689704</v>
      </c>
      <c r="L67" s="12" t="n">
        <v>65.7577018564866</v>
      </c>
      <c r="M67" s="28" t="n">
        <v>91</v>
      </c>
      <c r="N67" s="24" t="n">
        <v>46312</v>
      </c>
      <c r="O67" s="10" t="n">
        <v>9.9489</v>
      </c>
      <c r="P67" s="10" t="n">
        <v>0</v>
      </c>
      <c r="Q67" s="10" t="n">
        <v>0</v>
      </c>
      <c r="R67" s="10" t="n">
        <v>0</v>
      </c>
      <c r="S67" s="9" t="n">
        <f aca="false">COUNTIF(O67:R67,"&gt;0")</f>
        <v>1</v>
      </c>
    </row>
    <row r="68" customFormat="false" ht="15" hidden="false" customHeight="false" outlineLevel="0" collapsed="false">
      <c r="A68" s="20" t="s">
        <v>114</v>
      </c>
      <c r="B68" s="21" t="s">
        <v>16</v>
      </c>
      <c r="C68" s="21" t="s">
        <v>90</v>
      </c>
      <c r="D68" s="22" t="n">
        <v>2.8</v>
      </c>
      <c r="E68" s="8" t="n">
        <f aca="false">SUM(F68:I68)</f>
        <v>9.69094282016051</v>
      </c>
      <c r="F68" s="10" t="n">
        <v>1.29804337827394</v>
      </c>
      <c r="G68" s="10" t="n">
        <v>0</v>
      </c>
      <c r="H68" s="10" t="n">
        <v>0</v>
      </c>
      <c r="I68" s="10" t="n">
        <v>8.39289944188657</v>
      </c>
      <c r="J68" s="26" t="n">
        <f aca="false">H68+I68</f>
        <v>8.39289944188657</v>
      </c>
      <c r="K68" s="11" t="n">
        <f aca="false">IF(E68&gt;0,J68/E68,0)</f>
        <v>0.86605602753392</v>
      </c>
      <c r="L68" s="12" t="n">
        <v>119.92672330407</v>
      </c>
      <c r="M68" s="28" t="n">
        <v>136</v>
      </c>
      <c r="N68" s="24" t="n">
        <v>46308</v>
      </c>
      <c r="O68" s="10" t="n">
        <v>9.69094282016051</v>
      </c>
      <c r="P68" s="10" t="n">
        <v>0</v>
      </c>
      <c r="Q68" s="10" t="n">
        <v>0</v>
      </c>
      <c r="R68" s="10" t="n">
        <v>0</v>
      </c>
      <c r="S68" s="9" t="n">
        <f aca="false">COUNTIF(O68:R68,"&gt;0")</f>
        <v>1</v>
      </c>
    </row>
    <row r="69" customFormat="false" ht="15" hidden="false" customHeight="false" outlineLevel="0" collapsed="false">
      <c r="A69" s="20" t="s">
        <v>115</v>
      </c>
      <c r="B69" s="21" t="s">
        <v>17</v>
      </c>
      <c r="C69" s="21" t="s">
        <v>87</v>
      </c>
      <c r="D69" s="22" t="n">
        <v>3</v>
      </c>
      <c r="E69" s="8" t="n">
        <f aca="false">SUM(F69:I69)</f>
        <v>9.6667086</v>
      </c>
      <c r="F69" s="10" t="n">
        <v>6.1211178</v>
      </c>
      <c r="G69" s="10" t="n">
        <v>3.5455908</v>
      </c>
      <c r="H69" s="10" t="n">
        <v>0</v>
      </c>
      <c r="I69" s="10" t="n">
        <v>0</v>
      </c>
      <c r="J69" s="10" t="n">
        <f aca="false">H69+I69</f>
        <v>0</v>
      </c>
      <c r="K69" s="11" t="n">
        <f aca="false">IF(E69&gt;0,J69/E69,0)</f>
        <v>0</v>
      </c>
      <c r="L69" s="12" t="n">
        <v>22.8685386254428</v>
      </c>
      <c r="M69" s="23" t="n">
        <v>33</v>
      </c>
      <c r="N69" s="24" t="n">
        <v>46307</v>
      </c>
      <c r="O69" s="10" t="n">
        <v>0</v>
      </c>
      <c r="P69" s="10" t="n">
        <v>6.1211178</v>
      </c>
      <c r="Q69" s="10" t="n">
        <v>3.5455908</v>
      </c>
      <c r="R69" s="10" t="n">
        <v>0</v>
      </c>
      <c r="S69" s="9" t="n">
        <f aca="false">COUNTIF(O69:R69,"&gt;0")</f>
        <v>2</v>
      </c>
    </row>
    <row r="70" customFormat="false" ht="15" hidden="false" customHeight="false" outlineLevel="0" collapsed="false">
      <c r="A70" s="20" t="s">
        <v>116</v>
      </c>
      <c r="B70" s="21" t="s">
        <v>17</v>
      </c>
      <c r="C70" s="21" t="s">
        <v>92</v>
      </c>
      <c r="D70" s="22" t="n">
        <v>2</v>
      </c>
      <c r="E70" s="8" t="n">
        <f aca="false">SUM(F70:I70)</f>
        <v>9.59333920000001</v>
      </c>
      <c r="F70" s="10" t="n">
        <v>0</v>
      </c>
      <c r="G70" s="10" t="n">
        <v>0</v>
      </c>
      <c r="H70" s="10" t="n">
        <v>0</v>
      </c>
      <c r="I70" s="10" t="n">
        <v>9.59333920000001</v>
      </c>
      <c r="J70" s="26" t="n">
        <f aca="false">H70+I70</f>
        <v>9.59333920000001</v>
      </c>
      <c r="K70" s="11" t="n">
        <f aca="false">IF(E70&gt;0,J70/E70,0)</f>
        <v>1</v>
      </c>
      <c r="L70" s="12" t="n">
        <v>187</v>
      </c>
      <c r="M70" s="28" t="n">
        <v>187</v>
      </c>
      <c r="N70" s="24" t="n">
        <v>46137</v>
      </c>
      <c r="O70" s="10" t="n">
        <v>9.59333920000001</v>
      </c>
      <c r="P70" s="10" t="n">
        <v>0</v>
      </c>
      <c r="Q70" s="10" t="n">
        <v>0</v>
      </c>
      <c r="R70" s="10" t="n">
        <v>0</v>
      </c>
      <c r="S70" s="9" t="n">
        <f aca="false">COUNTIF(O70:R70,"&gt;0")</f>
        <v>1</v>
      </c>
    </row>
    <row r="71" customFormat="false" ht="15" hidden="false" customHeight="false" outlineLevel="0" collapsed="false">
      <c r="A71" s="20" t="s">
        <v>117</v>
      </c>
      <c r="B71" s="21" t="s">
        <v>16</v>
      </c>
      <c r="C71" s="21" t="s">
        <v>100</v>
      </c>
      <c r="D71" s="22" t="n">
        <v>2.8</v>
      </c>
      <c r="E71" s="8" t="n">
        <f aca="false">SUM(F71:I71)</f>
        <v>9.48384355438487</v>
      </c>
      <c r="F71" s="10" t="n">
        <v>0</v>
      </c>
      <c r="G71" s="10" t="n">
        <v>9.48384355438487</v>
      </c>
      <c r="H71" s="10" t="n">
        <v>0</v>
      </c>
      <c r="I71" s="10" t="n">
        <v>0</v>
      </c>
      <c r="J71" s="10" t="n">
        <f aca="false">H71+I71</f>
        <v>0</v>
      </c>
      <c r="K71" s="11" t="n">
        <f aca="false">IF(E71&gt;0,J71/E71,0)</f>
        <v>0</v>
      </c>
      <c r="L71" s="12" t="n">
        <v>45</v>
      </c>
      <c r="M71" s="23" t="n">
        <v>45</v>
      </c>
      <c r="N71" s="24" t="n">
        <v>46279</v>
      </c>
      <c r="O71" s="10" t="n">
        <v>9.48384355438487</v>
      </c>
      <c r="P71" s="10" t="n">
        <v>0</v>
      </c>
      <c r="Q71" s="10" t="n">
        <v>0</v>
      </c>
      <c r="R71" s="10" t="n">
        <v>0</v>
      </c>
      <c r="S71" s="9" t="n">
        <f aca="false">COUNTIF(O71:R71,"&gt;0")</f>
        <v>1</v>
      </c>
    </row>
    <row r="72" customFormat="false" ht="15" hidden="false" customHeight="false" outlineLevel="0" collapsed="false">
      <c r="A72" s="20" t="s">
        <v>118</v>
      </c>
      <c r="B72" s="21" t="s">
        <v>18</v>
      </c>
      <c r="C72" s="21" t="s">
        <v>33</v>
      </c>
      <c r="D72" s="22" t="n">
        <v>3</v>
      </c>
      <c r="E72" s="8" t="n">
        <f aca="false">SUM(F72:I72)</f>
        <v>9.36337599999999</v>
      </c>
      <c r="F72" s="10" t="n">
        <v>0</v>
      </c>
      <c r="G72" s="10" t="n">
        <v>9.36337599999999</v>
      </c>
      <c r="H72" s="10" t="n">
        <v>0</v>
      </c>
      <c r="I72" s="10" t="n">
        <v>0</v>
      </c>
      <c r="J72" s="10" t="n">
        <f aca="false">H72+I72</f>
        <v>0</v>
      </c>
      <c r="K72" s="11" t="n">
        <f aca="false">IF(E72&gt;0,J72/E72,0)</f>
        <v>0</v>
      </c>
      <c r="L72" s="12" t="n">
        <v>32</v>
      </c>
      <c r="M72" s="23" t="n">
        <v>32</v>
      </c>
      <c r="N72" s="24" t="n">
        <v>46292</v>
      </c>
      <c r="O72" s="10" t="n">
        <v>0</v>
      </c>
      <c r="P72" s="10" t="n">
        <v>0</v>
      </c>
      <c r="Q72" s="10" t="n">
        <v>0</v>
      </c>
      <c r="R72" s="10" t="n">
        <v>9.36337599999999</v>
      </c>
      <c r="S72" s="9" t="n">
        <f aca="false">COUNTIF(O72:R72,"&gt;0")</f>
        <v>1</v>
      </c>
    </row>
    <row r="73" customFormat="false" ht="15" hidden="false" customHeight="false" outlineLevel="0" collapsed="false">
      <c r="A73" s="20" t="s">
        <v>119</v>
      </c>
      <c r="B73" s="21" t="s">
        <v>16</v>
      </c>
      <c r="C73" s="21" t="s">
        <v>120</v>
      </c>
      <c r="D73" s="22" t="n">
        <v>1.6</v>
      </c>
      <c r="E73" s="8" t="n">
        <f aca="false">SUM(F73:I73)</f>
        <v>9.04905037447167</v>
      </c>
      <c r="F73" s="10" t="n">
        <v>0</v>
      </c>
      <c r="G73" s="10" t="n">
        <v>0</v>
      </c>
      <c r="H73" s="10" t="n">
        <v>9.04905037447167</v>
      </c>
      <c r="I73" s="10" t="n">
        <v>0</v>
      </c>
      <c r="J73" s="26" t="n">
        <f aca="false">H73+I73</f>
        <v>9.04905037447167</v>
      </c>
      <c r="K73" s="11" t="n">
        <f aca="false">IF(E73&gt;0,J73/E73,0)</f>
        <v>1</v>
      </c>
      <c r="L73" s="12" t="n">
        <v>68</v>
      </c>
      <c r="M73" s="27" t="n">
        <v>68</v>
      </c>
      <c r="N73" s="24" t="n">
        <v>46256</v>
      </c>
      <c r="O73" s="10" t="n">
        <v>9.04905037447167</v>
      </c>
      <c r="P73" s="10" t="n">
        <v>0</v>
      </c>
      <c r="Q73" s="10" t="n">
        <v>0</v>
      </c>
      <c r="R73" s="10" t="n">
        <v>0</v>
      </c>
      <c r="S73" s="9" t="n">
        <f aca="false">COUNTIF(O73:R73,"&gt;0")</f>
        <v>1</v>
      </c>
    </row>
    <row r="74" customFormat="false" ht="15" hidden="false" customHeight="false" outlineLevel="0" collapsed="false">
      <c r="A74" s="20" t="s">
        <v>121</v>
      </c>
      <c r="B74" s="21" t="s">
        <v>17</v>
      </c>
      <c r="C74" s="21" t="s">
        <v>107</v>
      </c>
      <c r="D74" s="22" t="n">
        <v>2</v>
      </c>
      <c r="E74" s="8" t="n">
        <f aca="false">SUM(F74:I74)</f>
        <v>8.83271839999999</v>
      </c>
      <c r="F74" s="10" t="n">
        <v>0</v>
      </c>
      <c r="G74" s="10" t="n">
        <v>8.83271839999999</v>
      </c>
      <c r="H74" s="10" t="n">
        <v>0</v>
      </c>
      <c r="I74" s="10" t="n">
        <v>0</v>
      </c>
      <c r="J74" s="10" t="n">
        <f aca="false">H74+I74</f>
        <v>0</v>
      </c>
      <c r="K74" s="11" t="n">
        <f aca="false">IF(E74&gt;0,J74/E74,0)</f>
        <v>0</v>
      </c>
      <c r="L74" s="12" t="n">
        <v>37</v>
      </c>
      <c r="M74" s="23" t="n">
        <v>37</v>
      </c>
      <c r="N74" s="24" t="n">
        <v>46287</v>
      </c>
      <c r="O74" s="10" t="n">
        <v>8.83271839999999</v>
      </c>
      <c r="P74" s="10" t="n">
        <v>0</v>
      </c>
      <c r="Q74" s="10" t="n">
        <v>0</v>
      </c>
      <c r="R74" s="10" t="n">
        <v>0</v>
      </c>
      <c r="S74" s="9" t="n">
        <f aca="false">COUNTIF(O74:R74,"&gt;0")</f>
        <v>1</v>
      </c>
    </row>
    <row r="75" customFormat="false" ht="15" hidden="false" customHeight="false" outlineLevel="0" collapsed="false">
      <c r="A75" s="20" t="s">
        <v>122</v>
      </c>
      <c r="B75" s="21" t="s">
        <v>18</v>
      </c>
      <c r="C75" s="21" t="s">
        <v>60</v>
      </c>
      <c r="D75" s="22" t="n">
        <v>5</v>
      </c>
      <c r="E75" s="8" t="n">
        <f aca="false">SUM(F75:I75)</f>
        <v>8.8077</v>
      </c>
      <c r="F75" s="10" t="n">
        <v>8.8077</v>
      </c>
      <c r="G75" s="10" t="n">
        <v>0</v>
      </c>
      <c r="H75" s="10" t="n">
        <v>0</v>
      </c>
      <c r="I75" s="10" t="n">
        <v>0</v>
      </c>
      <c r="J75" s="10" t="n">
        <f aca="false">H75+I75</f>
        <v>0</v>
      </c>
      <c r="K75" s="11" t="n">
        <f aca="false">IF(E75&gt;0,J75/E75,0)</f>
        <v>0</v>
      </c>
      <c r="L75" s="12" t="n">
        <v>2</v>
      </c>
      <c r="M75" s="25" t="n">
        <v>2</v>
      </c>
      <c r="N75" s="24" t="n">
        <v>46322</v>
      </c>
      <c r="O75" s="10" t="n">
        <v>0</v>
      </c>
      <c r="P75" s="10" t="n">
        <v>0</v>
      </c>
      <c r="Q75" s="10" t="n">
        <v>0</v>
      </c>
      <c r="R75" s="10" t="n">
        <v>8.8077</v>
      </c>
      <c r="S75" s="9" t="n">
        <f aca="false">COUNTIF(O75:R75,"&gt;0")</f>
        <v>1</v>
      </c>
    </row>
    <row r="76" customFormat="false" ht="15" hidden="false" customHeight="false" outlineLevel="0" collapsed="false">
      <c r="A76" s="20" t="s">
        <v>123</v>
      </c>
      <c r="B76" s="21" t="s">
        <v>17</v>
      </c>
      <c r="C76" s="21" t="s">
        <v>102</v>
      </c>
      <c r="D76" s="22" t="n">
        <v>3</v>
      </c>
      <c r="E76" s="8" t="n">
        <f aca="false">SUM(F76:I76)</f>
        <v>8.6096</v>
      </c>
      <c r="F76" s="10" t="n">
        <v>8.6096</v>
      </c>
      <c r="G76" s="10" t="n">
        <v>0</v>
      </c>
      <c r="H76" s="10" t="n">
        <v>0</v>
      </c>
      <c r="I76" s="10" t="n">
        <v>0</v>
      </c>
      <c r="J76" s="10" t="n">
        <f aca="false">H76+I76</f>
        <v>0</v>
      </c>
      <c r="K76" s="11" t="n">
        <f aca="false">IF(E76&gt;0,J76/E76,0)</f>
        <v>0</v>
      </c>
      <c r="L76" s="12" t="n">
        <v>28</v>
      </c>
      <c r="M76" s="25" t="n">
        <v>28</v>
      </c>
      <c r="N76" s="24" t="n">
        <v>46296</v>
      </c>
      <c r="O76" s="10" t="n">
        <v>8.6096</v>
      </c>
      <c r="P76" s="10" t="n">
        <v>0</v>
      </c>
      <c r="Q76" s="10" t="n">
        <v>0</v>
      </c>
      <c r="R76" s="10" t="n">
        <v>0</v>
      </c>
      <c r="S76" s="9" t="n">
        <f aca="false">COUNTIF(O76:R76,"&gt;0")</f>
        <v>1</v>
      </c>
    </row>
    <row r="77" customFormat="false" ht="15" hidden="false" customHeight="false" outlineLevel="0" collapsed="false">
      <c r="A77" s="20" t="s">
        <v>124</v>
      </c>
      <c r="B77" s="21" t="s">
        <v>18</v>
      </c>
      <c r="C77" s="21" t="s">
        <v>125</v>
      </c>
      <c r="D77" s="22" t="n">
        <v>3</v>
      </c>
      <c r="E77" s="8" t="n">
        <f aca="false">SUM(F77:I77)</f>
        <v>8.564212</v>
      </c>
      <c r="F77" s="10" t="n">
        <v>0</v>
      </c>
      <c r="G77" s="10" t="n">
        <v>8.564212</v>
      </c>
      <c r="H77" s="10" t="n">
        <v>0</v>
      </c>
      <c r="I77" s="10" t="n">
        <v>0</v>
      </c>
      <c r="J77" s="10" t="n">
        <f aca="false">H77+I77</f>
        <v>0</v>
      </c>
      <c r="K77" s="11" t="n">
        <f aca="false">IF(E77&gt;0,J77/E77,0)</f>
        <v>0</v>
      </c>
      <c r="L77" s="12" t="n">
        <v>34</v>
      </c>
      <c r="M77" s="23" t="n">
        <v>34</v>
      </c>
      <c r="N77" s="24" t="n">
        <v>46290</v>
      </c>
      <c r="O77" s="10" t="n">
        <v>0</v>
      </c>
      <c r="P77" s="10" t="n">
        <v>0</v>
      </c>
      <c r="Q77" s="10" t="n">
        <v>0</v>
      </c>
      <c r="R77" s="10" t="n">
        <v>8.564212</v>
      </c>
      <c r="S77" s="9" t="n">
        <f aca="false">COUNTIF(O77:R77,"&gt;0")</f>
        <v>1</v>
      </c>
    </row>
    <row r="78" customFormat="false" ht="15" hidden="false" customHeight="false" outlineLevel="0" collapsed="false">
      <c r="A78" s="20" t="s">
        <v>126</v>
      </c>
      <c r="B78" s="21" t="s">
        <v>16</v>
      </c>
      <c r="C78" s="21" t="s">
        <v>73</v>
      </c>
      <c r="D78" s="22" t="n">
        <v>2</v>
      </c>
      <c r="E78" s="8" t="n">
        <f aca="false">SUM(F78:I78)</f>
        <v>7.39196666203889</v>
      </c>
      <c r="F78" s="10" t="n">
        <v>0</v>
      </c>
      <c r="G78" s="10" t="n">
        <v>0</v>
      </c>
      <c r="H78" s="10" t="n">
        <v>7.39196666203889</v>
      </c>
      <c r="I78" s="10" t="n">
        <v>0</v>
      </c>
      <c r="J78" s="26" t="n">
        <f aca="false">H78+I78</f>
        <v>7.39196666203889</v>
      </c>
      <c r="K78" s="11" t="n">
        <f aca="false">IF(E78&gt;0,J78/E78,0)</f>
        <v>1</v>
      </c>
      <c r="L78" s="12" t="n">
        <v>71</v>
      </c>
      <c r="M78" s="27" t="n">
        <v>71</v>
      </c>
      <c r="N78" s="24" t="n">
        <v>46253</v>
      </c>
      <c r="O78" s="10" t="n">
        <v>7.39196666203889</v>
      </c>
      <c r="P78" s="10" t="n">
        <v>0</v>
      </c>
      <c r="Q78" s="10" t="n">
        <v>0</v>
      </c>
      <c r="R78" s="10" t="n">
        <v>0</v>
      </c>
      <c r="S78" s="9" t="n">
        <f aca="false">COUNTIF(O78:R78,"&gt;0")</f>
        <v>1</v>
      </c>
    </row>
    <row r="79" customFormat="false" ht="15" hidden="false" customHeight="false" outlineLevel="0" collapsed="false">
      <c r="A79" s="20" t="s">
        <v>127</v>
      </c>
      <c r="B79" s="21" t="s">
        <v>17</v>
      </c>
      <c r="C79" s="21" t="s">
        <v>31</v>
      </c>
      <c r="D79" s="22" t="n">
        <v>2.8</v>
      </c>
      <c r="E79" s="8" t="n">
        <f aca="false">SUM(F79:I79)</f>
        <v>7.15569465599997</v>
      </c>
      <c r="F79" s="10" t="n">
        <v>0</v>
      </c>
      <c r="G79" s="10" t="n">
        <v>7.15569465599997</v>
      </c>
      <c r="H79" s="10" t="n">
        <v>0</v>
      </c>
      <c r="I79" s="10" t="n">
        <v>0</v>
      </c>
      <c r="J79" s="10" t="n">
        <f aca="false">H79+I79</f>
        <v>0</v>
      </c>
      <c r="K79" s="11" t="n">
        <f aca="false">IF(E79&gt;0,J79/E79,0)</f>
        <v>0</v>
      </c>
      <c r="L79" s="12" t="n">
        <v>47</v>
      </c>
      <c r="M79" s="23" t="n">
        <v>47</v>
      </c>
      <c r="N79" s="24" t="n">
        <v>46277</v>
      </c>
      <c r="O79" s="10" t="n">
        <v>7.15569465599997</v>
      </c>
      <c r="P79" s="10" t="n">
        <v>0</v>
      </c>
      <c r="Q79" s="10" t="n">
        <v>0</v>
      </c>
      <c r="R79" s="10" t="n">
        <v>0</v>
      </c>
      <c r="S79" s="9" t="n">
        <f aca="false">COUNTIF(O79:R79,"&gt;0")</f>
        <v>1</v>
      </c>
    </row>
    <row r="80" customFormat="false" ht="15" hidden="false" customHeight="false" outlineLevel="0" collapsed="false">
      <c r="A80" s="20" t="s">
        <v>128</v>
      </c>
      <c r="B80" s="21" t="s">
        <v>18</v>
      </c>
      <c r="C80" s="21" t="s">
        <v>70</v>
      </c>
      <c r="D80" s="22" t="n">
        <v>4</v>
      </c>
      <c r="E80" s="8" t="n">
        <f aca="false">SUM(F80:I80)</f>
        <v>6.94151360000002</v>
      </c>
      <c r="F80" s="10" t="n">
        <v>6.94151360000002</v>
      </c>
      <c r="G80" s="10" t="n">
        <v>0</v>
      </c>
      <c r="H80" s="10" t="n">
        <v>0</v>
      </c>
      <c r="I80" s="10" t="n">
        <v>0</v>
      </c>
      <c r="J80" s="10" t="n">
        <f aca="false">H80+I80</f>
        <v>0</v>
      </c>
      <c r="K80" s="11" t="n">
        <f aca="false">IF(E80&gt;0,J80/E80,0)</f>
        <v>0</v>
      </c>
      <c r="L80" s="12" t="n">
        <v>3</v>
      </c>
      <c r="M80" s="25" t="n">
        <v>3</v>
      </c>
      <c r="N80" s="24" t="n">
        <v>46321</v>
      </c>
      <c r="O80" s="10" t="n">
        <v>0</v>
      </c>
      <c r="P80" s="10" t="n">
        <v>0</v>
      </c>
      <c r="Q80" s="10" t="n">
        <v>0</v>
      </c>
      <c r="R80" s="10" t="n">
        <v>6.94151360000002</v>
      </c>
      <c r="S80" s="9" t="n">
        <f aca="false">COUNTIF(O80:R80,"&gt;0")</f>
        <v>1</v>
      </c>
    </row>
    <row r="81" customFormat="false" ht="15" hidden="false" customHeight="false" outlineLevel="0" collapsed="false">
      <c r="A81" s="20" t="s">
        <v>129</v>
      </c>
      <c r="B81" s="21" t="s">
        <v>18</v>
      </c>
      <c r="C81" s="21" t="s">
        <v>64</v>
      </c>
      <c r="D81" s="22" t="n">
        <v>2.2</v>
      </c>
      <c r="E81" s="8" t="n">
        <f aca="false">SUM(F81:I81)</f>
        <v>6.791192096</v>
      </c>
      <c r="F81" s="10" t="n">
        <v>0</v>
      </c>
      <c r="G81" s="10" t="n">
        <v>0</v>
      </c>
      <c r="H81" s="10" t="n">
        <v>0</v>
      </c>
      <c r="I81" s="10" t="n">
        <v>6.791192096</v>
      </c>
      <c r="J81" s="26" t="n">
        <f aca="false">H81+I81</f>
        <v>6.791192096</v>
      </c>
      <c r="K81" s="11" t="n">
        <f aca="false">IF(E81&gt;0,J81/E81,0)</f>
        <v>1</v>
      </c>
      <c r="L81" s="12" t="n">
        <v>211</v>
      </c>
      <c r="M81" s="28" t="n">
        <v>211</v>
      </c>
      <c r="N81" s="24" t="n">
        <v>46113</v>
      </c>
      <c r="O81" s="10" t="n">
        <v>6.791192096</v>
      </c>
      <c r="P81" s="10" t="n">
        <v>0</v>
      </c>
      <c r="Q81" s="10" t="n">
        <v>0</v>
      </c>
      <c r="R81" s="10" t="n">
        <v>0</v>
      </c>
      <c r="S81" s="9" t="n">
        <f aca="false">COUNTIF(O81:R81,"&gt;0")</f>
        <v>1</v>
      </c>
    </row>
    <row r="82" customFormat="false" ht="15" hidden="false" customHeight="false" outlineLevel="0" collapsed="false">
      <c r="A82" s="20" t="s">
        <v>130</v>
      </c>
      <c r="B82" s="21" t="s">
        <v>18</v>
      </c>
      <c r="C82" s="21" t="s">
        <v>131</v>
      </c>
      <c r="D82" s="22" t="n">
        <v>2.5</v>
      </c>
      <c r="E82" s="8" t="n">
        <f aca="false">SUM(F82:I82)</f>
        <v>6.5123125</v>
      </c>
      <c r="F82" s="10" t="n">
        <v>6.5123125</v>
      </c>
      <c r="G82" s="10" t="n">
        <v>0</v>
      </c>
      <c r="H82" s="10" t="n">
        <v>0</v>
      </c>
      <c r="I82" s="10" t="n">
        <v>0</v>
      </c>
      <c r="J82" s="10" t="n">
        <f aca="false">H82+I82</f>
        <v>0</v>
      </c>
      <c r="K82" s="11" t="n">
        <f aca="false">IF(E82&gt;0,J82/E82,0)</f>
        <v>0</v>
      </c>
      <c r="L82" s="12" t="n">
        <v>19</v>
      </c>
      <c r="M82" s="25" t="n">
        <v>19</v>
      </c>
      <c r="N82" s="24" t="n">
        <v>46305</v>
      </c>
      <c r="O82" s="10" t="n">
        <v>0</v>
      </c>
      <c r="P82" s="10" t="n">
        <v>6.5123125</v>
      </c>
      <c r="Q82" s="10" t="n">
        <v>0</v>
      </c>
      <c r="R82" s="10" t="n">
        <v>0</v>
      </c>
      <c r="S82" s="9" t="n">
        <f aca="false">COUNTIF(O82:R82,"&gt;0")</f>
        <v>1</v>
      </c>
    </row>
    <row r="83" customFormat="false" ht="15" hidden="false" customHeight="false" outlineLevel="0" collapsed="false">
      <c r="A83" s="20" t="s">
        <v>132</v>
      </c>
      <c r="B83" s="21" t="s">
        <v>16</v>
      </c>
      <c r="C83" s="21" t="s">
        <v>76</v>
      </c>
      <c r="D83" s="22" t="n">
        <v>2.5</v>
      </c>
      <c r="E83" s="8" t="n">
        <f aca="false">SUM(F83:I83)</f>
        <v>6.11666481737043</v>
      </c>
      <c r="F83" s="10" t="n">
        <v>0</v>
      </c>
      <c r="G83" s="10" t="n">
        <v>0</v>
      </c>
      <c r="H83" s="10" t="n">
        <v>0</v>
      </c>
      <c r="I83" s="10" t="n">
        <v>6.11666481737043</v>
      </c>
      <c r="J83" s="26" t="n">
        <f aca="false">H83+I83</f>
        <v>6.11666481737043</v>
      </c>
      <c r="K83" s="11" t="n">
        <f aca="false">IF(E83&gt;0,J83/E83,0)</f>
        <v>1</v>
      </c>
      <c r="L83" s="12" t="n">
        <v>131</v>
      </c>
      <c r="M83" s="28" t="n">
        <v>131</v>
      </c>
      <c r="N83" s="24" t="n">
        <v>46193</v>
      </c>
      <c r="O83" s="10" t="n">
        <v>6.11666481737043</v>
      </c>
      <c r="P83" s="10" t="n">
        <v>0</v>
      </c>
      <c r="Q83" s="10" t="n">
        <v>0</v>
      </c>
      <c r="R83" s="10" t="n">
        <v>0</v>
      </c>
      <c r="S83" s="9" t="n">
        <f aca="false">COUNTIF(O83:R83,"&gt;0")</f>
        <v>1</v>
      </c>
    </row>
    <row r="84" customFormat="false" ht="15" hidden="false" customHeight="false" outlineLevel="0" collapsed="false">
      <c r="A84" s="20" t="s">
        <v>133</v>
      </c>
      <c r="B84" s="21" t="s">
        <v>18</v>
      </c>
      <c r="C84" s="21" t="s">
        <v>131</v>
      </c>
      <c r="D84" s="22" t="n">
        <v>2</v>
      </c>
      <c r="E84" s="8" t="n">
        <f aca="false">SUM(F84:I84)</f>
        <v>5.66478880000001</v>
      </c>
      <c r="F84" s="10" t="n">
        <v>5.55292480000001</v>
      </c>
      <c r="G84" s="10" t="n">
        <v>0.111864</v>
      </c>
      <c r="H84" s="10" t="n">
        <v>0</v>
      </c>
      <c r="I84" s="10" t="n">
        <v>0</v>
      </c>
      <c r="J84" s="10" t="n">
        <f aca="false">H84+I84</f>
        <v>0</v>
      </c>
      <c r="K84" s="11" t="n">
        <f aca="false">IF(E84&gt;0,J84/E84,0)</f>
        <v>0</v>
      </c>
      <c r="L84" s="12" t="n">
        <v>19.4146922476616</v>
      </c>
      <c r="M84" s="23" t="n">
        <v>40</v>
      </c>
      <c r="N84" s="24" t="n">
        <v>46305</v>
      </c>
      <c r="O84" s="10" t="n">
        <v>0</v>
      </c>
      <c r="P84" s="10" t="n">
        <v>5.55292480000001</v>
      </c>
      <c r="Q84" s="10" t="n">
        <v>0</v>
      </c>
      <c r="R84" s="10" t="n">
        <v>0.111864</v>
      </c>
      <c r="S84" s="9" t="n">
        <f aca="false">COUNTIF(O84:R84,"&gt;0")</f>
        <v>2</v>
      </c>
    </row>
    <row r="85" customFormat="false" ht="15" hidden="false" customHeight="false" outlineLevel="0" collapsed="false">
      <c r="A85" s="20" t="s">
        <v>134</v>
      </c>
      <c r="B85" s="21" t="s">
        <v>16</v>
      </c>
      <c r="C85" s="21" t="s">
        <v>135</v>
      </c>
      <c r="D85" s="22" t="n">
        <v>2</v>
      </c>
      <c r="E85" s="8" t="n">
        <f aca="false">SUM(F85:I85)</f>
        <v>5.4802</v>
      </c>
      <c r="F85" s="10" t="n">
        <v>0</v>
      </c>
      <c r="G85" s="10" t="n">
        <v>5.4802</v>
      </c>
      <c r="H85" s="10" t="n">
        <v>0</v>
      </c>
      <c r="I85" s="10" t="n">
        <v>0</v>
      </c>
      <c r="J85" s="10" t="n">
        <f aca="false">H85+I85</f>
        <v>0</v>
      </c>
      <c r="K85" s="11" t="n">
        <f aca="false">IF(E85&gt;0,J85/E85,0)</f>
        <v>0</v>
      </c>
      <c r="L85" s="12" t="n">
        <v>33</v>
      </c>
      <c r="M85" s="23" t="n">
        <v>33</v>
      </c>
      <c r="N85" s="24" t="n">
        <v>46291</v>
      </c>
      <c r="O85" s="10" t="n">
        <v>5.4802</v>
      </c>
      <c r="P85" s="10" t="n">
        <v>0</v>
      </c>
      <c r="Q85" s="10" t="n">
        <v>0</v>
      </c>
      <c r="R85" s="10" t="n">
        <v>0</v>
      </c>
      <c r="S85" s="9" t="n">
        <f aca="false">COUNTIF(O85:R85,"&gt;0")</f>
        <v>1</v>
      </c>
    </row>
    <row r="86" customFormat="false" ht="15" hidden="false" customHeight="false" outlineLevel="0" collapsed="false">
      <c r="A86" s="20" t="s">
        <v>136</v>
      </c>
      <c r="B86" s="21" t="s">
        <v>16</v>
      </c>
      <c r="C86" s="21" t="s">
        <v>100</v>
      </c>
      <c r="D86" s="22" t="n">
        <v>2.5</v>
      </c>
      <c r="E86" s="8" t="n">
        <f aca="false">SUM(F86:I86)</f>
        <v>5.43362912409522</v>
      </c>
      <c r="F86" s="10" t="n">
        <v>0</v>
      </c>
      <c r="G86" s="10" t="n">
        <v>0</v>
      </c>
      <c r="H86" s="10" t="n">
        <v>0</v>
      </c>
      <c r="I86" s="10" t="n">
        <v>5.43362912409522</v>
      </c>
      <c r="J86" s="26" t="n">
        <f aca="false">H86+I86</f>
        <v>5.43362912409522</v>
      </c>
      <c r="K86" s="11" t="n">
        <f aca="false">IF(E86&gt;0,J86/E86,0)</f>
        <v>1</v>
      </c>
      <c r="L86" s="12" t="n">
        <v>123</v>
      </c>
      <c r="M86" s="28" t="n">
        <v>123</v>
      </c>
      <c r="N86" s="24" t="n">
        <v>46201</v>
      </c>
      <c r="O86" s="10" t="n">
        <v>5.43362912409522</v>
      </c>
      <c r="P86" s="10" t="n">
        <v>0</v>
      </c>
      <c r="Q86" s="10" t="n">
        <v>0</v>
      </c>
      <c r="R86" s="10" t="n">
        <v>0</v>
      </c>
      <c r="S86" s="9" t="n">
        <f aca="false">COUNTIF(O86:R86,"&gt;0")</f>
        <v>1</v>
      </c>
    </row>
    <row r="87" customFormat="false" ht="15" hidden="false" customHeight="false" outlineLevel="0" collapsed="false">
      <c r="A87" s="20" t="s">
        <v>137</v>
      </c>
      <c r="B87" s="21" t="s">
        <v>16</v>
      </c>
      <c r="C87" s="21" t="s">
        <v>135</v>
      </c>
      <c r="D87" s="22" t="n">
        <v>2.5</v>
      </c>
      <c r="E87" s="8" t="n">
        <f aca="false">SUM(F87:I87)</f>
        <v>5.2602</v>
      </c>
      <c r="F87" s="10" t="n">
        <v>0</v>
      </c>
      <c r="G87" s="10" t="n">
        <v>5.2602</v>
      </c>
      <c r="H87" s="10" t="n">
        <v>0</v>
      </c>
      <c r="I87" s="10" t="n">
        <v>0</v>
      </c>
      <c r="J87" s="10" t="n">
        <f aca="false">H87+I87</f>
        <v>0</v>
      </c>
      <c r="K87" s="11" t="n">
        <f aca="false">IF(E87&gt;0,J87/E87,0)</f>
        <v>0</v>
      </c>
      <c r="L87" s="12" t="n">
        <v>31</v>
      </c>
      <c r="M87" s="23" t="n">
        <v>31</v>
      </c>
      <c r="N87" s="24" t="n">
        <v>46293</v>
      </c>
      <c r="O87" s="10" t="n">
        <v>5.2602</v>
      </c>
      <c r="P87" s="10" t="n">
        <v>0</v>
      </c>
      <c r="Q87" s="10" t="n">
        <v>0</v>
      </c>
      <c r="R87" s="10" t="n">
        <v>0</v>
      </c>
      <c r="S87" s="9" t="n">
        <f aca="false">COUNTIF(O87:R87,"&gt;0")</f>
        <v>1</v>
      </c>
    </row>
    <row r="88" customFormat="false" ht="15" hidden="false" customHeight="false" outlineLevel="0" collapsed="false">
      <c r="A88" s="20" t="s">
        <v>138</v>
      </c>
      <c r="B88" s="21" t="s">
        <v>18</v>
      </c>
      <c r="C88" s="21" t="s">
        <v>139</v>
      </c>
      <c r="D88" s="22" t="n">
        <v>5</v>
      </c>
      <c r="E88" s="8" t="n">
        <f aca="false">SUM(F88:I88)</f>
        <v>5.0504</v>
      </c>
      <c r="F88" s="10" t="n">
        <v>5.0504</v>
      </c>
      <c r="G88" s="10" t="n">
        <v>0</v>
      </c>
      <c r="H88" s="10" t="n">
        <v>0</v>
      </c>
      <c r="I88" s="10" t="n">
        <v>0</v>
      </c>
      <c r="J88" s="10" t="n">
        <f aca="false">H88+I88</f>
        <v>0</v>
      </c>
      <c r="K88" s="11" t="n">
        <f aca="false">IF(E88&gt;0,J88/E88,0)</f>
        <v>0</v>
      </c>
      <c r="L88" s="12" t="n">
        <v>3</v>
      </c>
      <c r="M88" s="25" t="n">
        <v>3</v>
      </c>
      <c r="N88" s="24" t="n">
        <v>46321</v>
      </c>
      <c r="O88" s="10" t="n">
        <v>0</v>
      </c>
      <c r="P88" s="10" t="n">
        <v>0</v>
      </c>
      <c r="Q88" s="10" t="n">
        <v>0</v>
      </c>
      <c r="R88" s="10" t="n">
        <v>5.0504</v>
      </c>
      <c r="S88" s="9" t="n">
        <f aca="false">COUNTIF(O88:R88,"&gt;0")</f>
        <v>1</v>
      </c>
    </row>
    <row r="89" customFormat="false" ht="15" hidden="false" customHeight="false" outlineLevel="0" collapsed="false">
      <c r="A89" s="20" t="s">
        <v>140</v>
      </c>
      <c r="B89" s="21" t="s">
        <v>18</v>
      </c>
      <c r="C89" s="21" t="s">
        <v>131</v>
      </c>
      <c r="D89" s="22" t="n">
        <v>3</v>
      </c>
      <c r="E89" s="8" t="n">
        <f aca="false">SUM(F89:I89)</f>
        <v>4.754208</v>
      </c>
      <c r="F89" s="10" t="n">
        <v>4.667348</v>
      </c>
      <c r="G89" s="10" t="n">
        <v>0.0868599999999997</v>
      </c>
      <c r="H89" s="10" t="n">
        <v>0</v>
      </c>
      <c r="I89" s="10" t="n">
        <v>0</v>
      </c>
      <c r="J89" s="10" t="n">
        <f aca="false">H89+I89</f>
        <v>0</v>
      </c>
      <c r="K89" s="11" t="n">
        <f aca="false">IF(E89&gt;0,J89/E89,0)</f>
        <v>0</v>
      </c>
      <c r="L89" s="12" t="n">
        <v>23.3105922164112</v>
      </c>
      <c r="M89" s="23" t="n">
        <v>40</v>
      </c>
      <c r="N89" s="24" t="n">
        <v>46301</v>
      </c>
      <c r="O89" s="10" t="n">
        <v>0</v>
      </c>
      <c r="P89" s="10" t="n">
        <v>4.667348</v>
      </c>
      <c r="Q89" s="10" t="n">
        <v>0</v>
      </c>
      <c r="R89" s="10" t="n">
        <v>0.0868599999999997</v>
      </c>
      <c r="S89" s="9" t="n">
        <f aca="false">COUNTIF(O89:R89,"&gt;0")</f>
        <v>2</v>
      </c>
    </row>
    <row r="90" customFormat="false" ht="15" hidden="false" customHeight="false" outlineLevel="0" collapsed="false">
      <c r="A90" s="20" t="s">
        <v>141</v>
      </c>
      <c r="B90" s="21" t="s">
        <v>16</v>
      </c>
      <c r="C90" s="21" t="s">
        <v>73</v>
      </c>
      <c r="D90" s="22" t="n">
        <v>4</v>
      </c>
      <c r="E90" s="8" t="n">
        <f aca="false">SUM(F90:I90)</f>
        <v>4.63078547616842</v>
      </c>
      <c r="F90" s="10" t="n">
        <v>0</v>
      </c>
      <c r="G90" s="10" t="n">
        <v>4.63078547616842</v>
      </c>
      <c r="H90" s="10" t="n">
        <v>0</v>
      </c>
      <c r="I90" s="10" t="n">
        <v>0</v>
      </c>
      <c r="J90" s="10" t="n">
        <f aca="false">H90+I90</f>
        <v>0</v>
      </c>
      <c r="K90" s="11" t="n">
        <f aca="false">IF(E90&gt;0,J90/E90,0)</f>
        <v>0</v>
      </c>
      <c r="L90" s="12" t="n">
        <v>52</v>
      </c>
      <c r="M90" s="23" t="n">
        <v>52</v>
      </c>
      <c r="N90" s="24" t="n">
        <v>46272</v>
      </c>
      <c r="O90" s="10" t="n">
        <v>4.63078547616842</v>
      </c>
      <c r="P90" s="10" t="n">
        <v>0</v>
      </c>
      <c r="Q90" s="10" t="n">
        <v>0</v>
      </c>
      <c r="R90" s="10" t="n">
        <v>0</v>
      </c>
      <c r="S90" s="9" t="n">
        <f aca="false">COUNTIF(O90:R90,"&gt;0")</f>
        <v>1</v>
      </c>
    </row>
    <row r="91" customFormat="false" ht="15" hidden="false" customHeight="false" outlineLevel="0" collapsed="false">
      <c r="A91" s="20" t="s">
        <v>142</v>
      </c>
      <c r="B91" s="21" t="s">
        <v>17</v>
      </c>
      <c r="C91" s="21" t="s">
        <v>87</v>
      </c>
      <c r="D91" s="22" t="n">
        <v>2.5</v>
      </c>
      <c r="E91" s="8" t="n">
        <f aca="false">SUM(F91:I91)</f>
        <v>4.38852</v>
      </c>
      <c r="F91" s="10" t="n">
        <v>0</v>
      </c>
      <c r="G91" s="10" t="n">
        <v>2.390325</v>
      </c>
      <c r="H91" s="10" t="n">
        <v>1.998195</v>
      </c>
      <c r="I91" s="10" t="n">
        <v>0</v>
      </c>
      <c r="J91" s="26" t="n">
        <f aca="false">H91+I91</f>
        <v>1.998195</v>
      </c>
      <c r="K91" s="11" t="n">
        <f aca="false">IF(E91&gt;0,J91/E91,0)</f>
        <v>0.455323206912582</v>
      </c>
      <c r="L91" s="12" t="n">
        <v>53.3916354488529</v>
      </c>
      <c r="M91" s="27" t="n">
        <v>73</v>
      </c>
      <c r="N91" s="24" t="n">
        <v>46287</v>
      </c>
      <c r="O91" s="10" t="n">
        <v>4.38852</v>
      </c>
      <c r="P91" s="10" t="n">
        <v>0</v>
      </c>
      <c r="Q91" s="10" t="n">
        <v>0</v>
      </c>
      <c r="R91" s="10" t="n">
        <v>0</v>
      </c>
      <c r="S91" s="9" t="n">
        <f aca="false">COUNTIF(O91:R91,"&gt;0")</f>
        <v>1</v>
      </c>
    </row>
    <row r="92" customFormat="false" ht="15" hidden="false" customHeight="false" outlineLevel="0" collapsed="false">
      <c r="A92" s="20" t="s">
        <v>143</v>
      </c>
      <c r="B92" s="21" t="s">
        <v>17</v>
      </c>
      <c r="C92" s="21" t="s">
        <v>144</v>
      </c>
      <c r="D92" s="22" t="n">
        <v>5</v>
      </c>
      <c r="E92" s="8" t="n">
        <f aca="false">SUM(F92:I92)</f>
        <v>3.9753</v>
      </c>
      <c r="F92" s="10" t="n">
        <v>0</v>
      </c>
      <c r="G92" s="10" t="n">
        <v>3.9753</v>
      </c>
      <c r="H92" s="10" t="n">
        <v>0</v>
      </c>
      <c r="I92" s="10" t="n">
        <v>0</v>
      </c>
      <c r="J92" s="10" t="n">
        <f aca="false">H92+I92</f>
        <v>0</v>
      </c>
      <c r="K92" s="11" t="n">
        <f aca="false">IF(E92&gt;0,J92/E92,0)</f>
        <v>0</v>
      </c>
      <c r="L92" s="12" t="n">
        <v>37</v>
      </c>
      <c r="M92" s="23" t="n">
        <v>37</v>
      </c>
      <c r="N92" s="24" t="n">
        <v>46287</v>
      </c>
      <c r="O92" s="10" t="n">
        <v>0</v>
      </c>
      <c r="P92" s="10" t="n">
        <v>0</v>
      </c>
      <c r="Q92" s="10" t="n">
        <v>0</v>
      </c>
      <c r="R92" s="10" t="n">
        <v>3.9753</v>
      </c>
      <c r="S92" s="9" t="n">
        <f aca="false">COUNTIF(O92:R92,"&gt;0")</f>
        <v>1</v>
      </c>
    </row>
    <row r="93" customFormat="false" ht="15" hidden="false" customHeight="false" outlineLevel="0" collapsed="false">
      <c r="A93" s="20" t="s">
        <v>145</v>
      </c>
      <c r="B93" s="21" t="s">
        <v>17</v>
      </c>
      <c r="C93" s="21" t="s">
        <v>35</v>
      </c>
      <c r="D93" s="22" t="n">
        <v>4</v>
      </c>
      <c r="E93" s="8" t="n">
        <f aca="false">SUM(F93:I93)</f>
        <v>3.8724</v>
      </c>
      <c r="F93" s="10" t="n">
        <v>3.8724</v>
      </c>
      <c r="G93" s="10" t="n">
        <v>0</v>
      </c>
      <c r="H93" s="10" t="n">
        <v>0</v>
      </c>
      <c r="I93" s="10" t="n">
        <v>0</v>
      </c>
      <c r="J93" s="10" t="n">
        <f aca="false">H93+I93</f>
        <v>0</v>
      </c>
      <c r="K93" s="11" t="n">
        <f aca="false">IF(E93&gt;0,J93/E93,0)</f>
        <v>0</v>
      </c>
      <c r="L93" s="12" t="n">
        <v>27</v>
      </c>
      <c r="M93" s="25" t="n">
        <v>27</v>
      </c>
      <c r="N93" s="24" t="n">
        <v>46297</v>
      </c>
      <c r="O93" s="10" t="n">
        <v>0</v>
      </c>
      <c r="P93" s="10" t="n">
        <v>0</v>
      </c>
      <c r="Q93" s="10" t="n">
        <v>0</v>
      </c>
      <c r="R93" s="10" t="n">
        <v>3.8724</v>
      </c>
      <c r="S93" s="9" t="n">
        <f aca="false">COUNTIF(O93:R93,"&gt;0")</f>
        <v>1</v>
      </c>
    </row>
    <row r="94" customFormat="false" ht="15" hidden="false" customHeight="false" outlineLevel="0" collapsed="false">
      <c r="A94" s="20" t="s">
        <v>146</v>
      </c>
      <c r="B94" s="21" t="s">
        <v>17</v>
      </c>
      <c r="C94" s="21" t="s">
        <v>107</v>
      </c>
      <c r="D94" s="22" t="n">
        <v>3</v>
      </c>
      <c r="E94" s="8" t="n">
        <f aca="false">SUM(F94:I94)</f>
        <v>3.7845792</v>
      </c>
      <c r="F94" s="10" t="n">
        <v>0</v>
      </c>
      <c r="G94" s="10" t="n">
        <v>0</v>
      </c>
      <c r="H94" s="10" t="n">
        <v>0</v>
      </c>
      <c r="I94" s="10" t="n">
        <v>3.7845792</v>
      </c>
      <c r="J94" s="26" t="n">
        <f aca="false">H94+I94</f>
        <v>3.7845792</v>
      </c>
      <c r="K94" s="11" t="n">
        <f aca="false">IF(E94&gt;0,J94/E94,0)</f>
        <v>1</v>
      </c>
      <c r="L94" s="12" t="n">
        <v>141</v>
      </c>
      <c r="M94" s="28" t="n">
        <v>141</v>
      </c>
      <c r="N94" s="24" t="n">
        <v>46183</v>
      </c>
      <c r="O94" s="10" t="n">
        <v>3.7845792</v>
      </c>
      <c r="P94" s="10" t="n">
        <v>0</v>
      </c>
      <c r="Q94" s="10" t="n">
        <v>0</v>
      </c>
      <c r="R94" s="10" t="n">
        <v>0</v>
      </c>
      <c r="S94" s="9" t="n">
        <f aca="false">COUNTIF(O94:R94,"&gt;0")</f>
        <v>1</v>
      </c>
    </row>
    <row r="95" customFormat="false" ht="15" hidden="false" customHeight="false" outlineLevel="0" collapsed="false">
      <c r="A95" s="20" t="s">
        <v>147</v>
      </c>
      <c r="B95" s="21" t="s">
        <v>18</v>
      </c>
      <c r="C95" s="21" t="s">
        <v>148</v>
      </c>
      <c r="D95" s="22" t="n">
        <v>2.5</v>
      </c>
      <c r="E95" s="8" t="n">
        <f aca="false">SUM(F95:I95)</f>
        <v>3.4545625</v>
      </c>
      <c r="F95" s="10" t="n">
        <v>1.0232475</v>
      </c>
      <c r="G95" s="10" t="n">
        <v>0</v>
      </c>
      <c r="H95" s="10" t="n">
        <v>0</v>
      </c>
      <c r="I95" s="10" t="n">
        <v>2.431315</v>
      </c>
      <c r="J95" s="26" t="n">
        <f aca="false">H95+I95</f>
        <v>2.431315</v>
      </c>
      <c r="K95" s="11" t="n">
        <f aca="false">IF(E95&gt;0,J95/E95,0)</f>
        <v>0.703798237837642</v>
      </c>
      <c r="L95" s="12" t="n">
        <v>85.0836220216019</v>
      </c>
      <c r="M95" s="28" t="n">
        <v>115</v>
      </c>
      <c r="N95" s="24" t="n">
        <v>46310</v>
      </c>
      <c r="O95" s="10" t="n">
        <v>3.4545625</v>
      </c>
      <c r="P95" s="10" t="n">
        <v>0</v>
      </c>
      <c r="Q95" s="10" t="n">
        <v>0</v>
      </c>
      <c r="R95" s="10" t="n">
        <v>0</v>
      </c>
      <c r="S95" s="9" t="n">
        <f aca="false">COUNTIF(O95:R95,"&gt;0")</f>
        <v>1</v>
      </c>
    </row>
    <row r="96" customFormat="false" ht="15" hidden="false" customHeight="false" outlineLevel="0" collapsed="false">
      <c r="A96" s="20" t="s">
        <v>149</v>
      </c>
      <c r="B96" s="21" t="s">
        <v>18</v>
      </c>
      <c r="C96" s="21" t="s">
        <v>125</v>
      </c>
      <c r="D96" s="22" t="n">
        <v>4</v>
      </c>
      <c r="E96" s="8" t="n">
        <f aca="false">SUM(F96:I96)</f>
        <v>3.413064</v>
      </c>
      <c r="F96" s="10" t="n">
        <v>0</v>
      </c>
      <c r="G96" s="10" t="n">
        <v>3.413064</v>
      </c>
      <c r="H96" s="10" t="n">
        <v>0</v>
      </c>
      <c r="I96" s="10" t="n">
        <v>0</v>
      </c>
      <c r="J96" s="10" t="n">
        <f aca="false">H96+I96</f>
        <v>0</v>
      </c>
      <c r="K96" s="11" t="n">
        <f aca="false">IF(E96&gt;0,J96/E96,0)</f>
        <v>0</v>
      </c>
      <c r="L96" s="12" t="n">
        <v>34</v>
      </c>
      <c r="M96" s="23" t="n">
        <v>34</v>
      </c>
      <c r="N96" s="24" t="n">
        <v>46290</v>
      </c>
      <c r="O96" s="10" t="n">
        <v>0</v>
      </c>
      <c r="P96" s="10" t="n">
        <v>0</v>
      </c>
      <c r="Q96" s="10" t="n">
        <v>0</v>
      </c>
      <c r="R96" s="10" t="n">
        <v>3.413064</v>
      </c>
      <c r="S96" s="9" t="n">
        <f aca="false">COUNTIF(O96:R96,"&gt;0")</f>
        <v>1</v>
      </c>
    </row>
    <row r="97" customFormat="false" ht="15" hidden="false" customHeight="false" outlineLevel="0" collapsed="false">
      <c r="A97" s="20" t="s">
        <v>150</v>
      </c>
      <c r="B97" s="21" t="s">
        <v>16</v>
      </c>
      <c r="C97" s="21" t="s">
        <v>66</v>
      </c>
      <c r="D97" s="22" t="n">
        <v>2.8</v>
      </c>
      <c r="E97" s="8" t="n">
        <f aca="false">SUM(F97:I97)</f>
        <v>3.41136734497612</v>
      </c>
      <c r="F97" s="10" t="n">
        <v>0</v>
      </c>
      <c r="G97" s="10" t="n">
        <v>0</v>
      </c>
      <c r="H97" s="10" t="n">
        <v>0</v>
      </c>
      <c r="I97" s="10" t="n">
        <v>3.41136734497612</v>
      </c>
      <c r="J97" s="26" t="n">
        <f aca="false">H97+I97</f>
        <v>3.41136734497612</v>
      </c>
      <c r="K97" s="11" t="n">
        <f aca="false">IF(E97&gt;0,J97/E97,0)</f>
        <v>1</v>
      </c>
      <c r="L97" s="12" t="n">
        <v>113</v>
      </c>
      <c r="M97" s="28" t="n">
        <v>113</v>
      </c>
      <c r="N97" s="24" t="n">
        <v>46211</v>
      </c>
      <c r="O97" s="10" t="n">
        <v>3.41136734497612</v>
      </c>
      <c r="P97" s="10" t="n">
        <v>0</v>
      </c>
      <c r="Q97" s="10" t="n">
        <v>0</v>
      </c>
      <c r="R97" s="10" t="n">
        <v>0</v>
      </c>
      <c r="S97" s="9" t="n">
        <f aca="false">COUNTIF(O97:R97,"&gt;0")</f>
        <v>1</v>
      </c>
    </row>
    <row r="98" customFormat="false" ht="15" hidden="false" customHeight="false" outlineLevel="0" collapsed="false">
      <c r="A98" s="20" t="s">
        <v>151</v>
      </c>
      <c r="B98" s="21" t="s">
        <v>16</v>
      </c>
      <c r="C98" s="21" t="s">
        <v>120</v>
      </c>
      <c r="D98" s="22" t="n">
        <v>2.5</v>
      </c>
      <c r="E98" s="8" t="n">
        <f aca="false">SUM(F98:I98)</f>
        <v>3.40154390180969</v>
      </c>
      <c r="F98" s="10" t="n">
        <v>3.10468585141395</v>
      </c>
      <c r="G98" s="10" t="n">
        <v>0</v>
      </c>
      <c r="H98" s="10" t="n">
        <v>0</v>
      </c>
      <c r="I98" s="10" t="n">
        <v>0.296858050395738</v>
      </c>
      <c r="J98" s="26" t="n">
        <f aca="false">H98+I98</f>
        <v>0.296858050395738</v>
      </c>
      <c r="K98" s="11" t="n">
        <f aca="false">IF(E98&gt;0,J98/E98,0)</f>
        <v>0.0872715622567162</v>
      </c>
      <c r="L98" s="12" t="n">
        <v>34.1162552898746</v>
      </c>
      <c r="M98" s="28" t="n">
        <v>119</v>
      </c>
      <c r="N98" s="24" t="n">
        <v>46298</v>
      </c>
      <c r="O98" s="10" t="n">
        <v>3.40154390180969</v>
      </c>
      <c r="P98" s="10" t="n">
        <v>0</v>
      </c>
      <c r="Q98" s="10" t="n">
        <v>0</v>
      </c>
      <c r="R98" s="10" t="n">
        <v>0</v>
      </c>
      <c r="S98" s="9" t="n">
        <f aca="false">COUNTIF(O98:R98,"&gt;0")</f>
        <v>1</v>
      </c>
    </row>
    <row r="99" customFormat="false" ht="15" hidden="false" customHeight="false" outlineLevel="0" collapsed="false">
      <c r="A99" s="20" t="s">
        <v>152</v>
      </c>
      <c r="B99" s="21" t="s">
        <v>16</v>
      </c>
      <c r="C99" s="21" t="s">
        <v>68</v>
      </c>
      <c r="D99" s="22" t="n">
        <v>2.8</v>
      </c>
      <c r="E99" s="8" t="n">
        <f aca="false">SUM(F99:I99)</f>
        <v>3.32262312468675</v>
      </c>
      <c r="F99" s="10" t="n">
        <v>0</v>
      </c>
      <c r="G99" s="10" t="n">
        <v>0</v>
      </c>
      <c r="H99" s="10" t="n">
        <v>0</v>
      </c>
      <c r="I99" s="10" t="n">
        <v>3.32262312468675</v>
      </c>
      <c r="J99" s="26" t="n">
        <f aca="false">H99+I99</f>
        <v>3.32262312468675</v>
      </c>
      <c r="K99" s="11" t="n">
        <f aca="false">IF(E99&gt;0,J99/E99,0)</f>
        <v>1</v>
      </c>
      <c r="L99" s="12" t="n">
        <v>103</v>
      </c>
      <c r="M99" s="28" t="n">
        <v>103</v>
      </c>
      <c r="N99" s="24" t="n">
        <v>46221</v>
      </c>
      <c r="O99" s="10" t="n">
        <v>3.32262312468675</v>
      </c>
      <c r="P99" s="10" t="n">
        <v>0</v>
      </c>
      <c r="Q99" s="10" t="n">
        <v>0</v>
      </c>
      <c r="R99" s="10" t="n">
        <v>0</v>
      </c>
      <c r="S99" s="9" t="n">
        <f aca="false">COUNTIF(O99:R99,"&gt;0")</f>
        <v>1</v>
      </c>
    </row>
    <row r="100" customFormat="false" ht="15" hidden="false" customHeight="false" outlineLevel="0" collapsed="false">
      <c r="A100" s="20" t="s">
        <v>153</v>
      </c>
      <c r="B100" s="21" t="s">
        <v>18</v>
      </c>
      <c r="C100" s="21" t="s">
        <v>109</v>
      </c>
      <c r="D100" s="22" t="n">
        <v>3.2</v>
      </c>
      <c r="E100" s="8" t="n">
        <f aca="false">SUM(F100:I100)</f>
        <v>3.2119</v>
      </c>
      <c r="F100" s="10" t="n">
        <v>3.2119</v>
      </c>
      <c r="G100" s="10" t="n">
        <v>0</v>
      </c>
      <c r="H100" s="10" t="n">
        <v>0</v>
      </c>
      <c r="I100" s="10" t="n">
        <v>0</v>
      </c>
      <c r="J100" s="10" t="n">
        <f aca="false">H100+I100</f>
        <v>0</v>
      </c>
      <c r="K100" s="11" t="n">
        <f aca="false">IF(E100&gt;0,J100/E100,0)</f>
        <v>0</v>
      </c>
      <c r="L100" s="12" t="n">
        <v>26</v>
      </c>
      <c r="M100" s="25" t="n">
        <v>26</v>
      </c>
      <c r="N100" s="24" t="n">
        <v>46298</v>
      </c>
      <c r="O100" s="10" t="n">
        <v>3.2119</v>
      </c>
      <c r="P100" s="10" t="n">
        <v>0</v>
      </c>
      <c r="Q100" s="10" t="n">
        <v>0</v>
      </c>
      <c r="R100" s="10" t="n">
        <v>0</v>
      </c>
      <c r="S100" s="9" t="n">
        <f aca="false">COUNTIF(O100:R100,"&gt;0")</f>
        <v>1</v>
      </c>
    </row>
    <row r="101" customFormat="false" ht="15" hidden="false" customHeight="false" outlineLevel="0" collapsed="false">
      <c r="A101" s="20" t="s">
        <v>154</v>
      </c>
      <c r="B101" s="21" t="s">
        <v>17</v>
      </c>
      <c r="C101" s="21" t="s">
        <v>144</v>
      </c>
      <c r="D101" s="22" t="n">
        <v>3</v>
      </c>
      <c r="E101" s="8" t="n">
        <f aca="false">SUM(F101:I101)</f>
        <v>3.092136</v>
      </c>
      <c r="F101" s="10" t="n">
        <v>0</v>
      </c>
      <c r="G101" s="10" t="n">
        <v>3.092136</v>
      </c>
      <c r="H101" s="10" t="n">
        <v>0</v>
      </c>
      <c r="I101" s="10" t="n">
        <v>0</v>
      </c>
      <c r="J101" s="10" t="n">
        <f aca="false">H101+I101</f>
        <v>0</v>
      </c>
      <c r="K101" s="11" t="n">
        <f aca="false">IF(E101&gt;0,J101/E101,0)</f>
        <v>0</v>
      </c>
      <c r="L101" s="12" t="n">
        <v>38</v>
      </c>
      <c r="M101" s="23" t="n">
        <v>38</v>
      </c>
      <c r="N101" s="24" t="n">
        <v>46286</v>
      </c>
      <c r="O101" s="10" t="n">
        <v>0</v>
      </c>
      <c r="P101" s="10" t="n">
        <v>0</v>
      </c>
      <c r="Q101" s="10" t="n">
        <v>0</v>
      </c>
      <c r="R101" s="10" t="n">
        <v>3.092136</v>
      </c>
      <c r="S101" s="9" t="n">
        <f aca="false">COUNTIF(O101:R101,"&gt;0")</f>
        <v>1</v>
      </c>
    </row>
    <row r="102" customFormat="false" ht="15" hidden="false" customHeight="false" outlineLevel="0" collapsed="false">
      <c r="A102" s="20" t="s">
        <v>155</v>
      </c>
      <c r="B102" s="21" t="s">
        <v>17</v>
      </c>
      <c r="C102" s="21" t="s">
        <v>102</v>
      </c>
      <c r="D102" s="22" t="n">
        <v>2.5</v>
      </c>
      <c r="E102" s="8" t="n">
        <f aca="false">SUM(F102:I102)</f>
        <v>3.09150749999996</v>
      </c>
      <c r="F102" s="10" t="n">
        <v>0</v>
      </c>
      <c r="G102" s="10" t="n">
        <v>0</v>
      </c>
      <c r="H102" s="10" t="n">
        <v>3.09150749999996</v>
      </c>
      <c r="I102" s="10" t="n">
        <v>0</v>
      </c>
      <c r="J102" s="26" t="n">
        <f aca="false">H102+I102</f>
        <v>3.09150749999996</v>
      </c>
      <c r="K102" s="11" t="n">
        <f aca="false">IF(E102&gt;0,J102/E102,0)</f>
        <v>1</v>
      </c>
      <c r="L102" s="12" t="n">
        <v>69</v>
      </c>
      <c r="M102" s="27" t="n">
        <v>69</v>
      </c>
      <c r="N102" s="24" t="n">
        <v>46255</v>
      </c>
      <c r="O102" s="10" t="n">
        <v>3.09150749999996</v>
      </c>
      <c r="P102" s="10" t="n">
        <v>0</v>
      </c>
      <c r="Q102" s="10" t="n">
        <v>0</v>
      </c>
      <c r="R102" s="10" t="n">
        <v>0</v>
      </c>
      <c r="S102" s="9" t="n">
        <f aca="false">COUNTIF(O102:R102,"&gt;0")</f>
        <v>1</v>
      </c>
    </row>
    <row r="103" customFormat="false" ht="15" hidden="false" customHeight="false" outlineLevel="0" collapsed="false">
      <c r="A103" s="20" t="s">
        <v>156</v>
      </c>
      <c r="B103" s="21" t="s">
        <v>18</v>
      </c>
      <c r="C103" s="21" t="s">
        <v>70</v>
      </c>
      <c r="D103" s="22" t="n">
        <v>6</v>
      </c>
      <c r="E103" s="8" t="n">
        <f aca="false">SUM(F103:I103)</f>
        <v>2.66855360000001</v>
      </c>
      <c r="F103" s="10" t="n">
        <v>2.66855360000001</v>
      </c>
      <c r="G103" s="10" t="n">
        <v>0</v>
      </c>
      <c r="H103" s="10" t="n">
        <v>0</v>
      </c>
      <c r="I103" s="10" t="n">
        <v>0</v>
      </c>
      <c r="J103" s="10" t="n">
        <f aca="false">H103+I103</f>
        <v>0</v>
      </c>
      <c r="K103" s="11" t="n">
        <f aca="false">IF(E103&gt;0,J103/E103,0)</f>
        <v>0</v>
      </c>
      <c r="L103" s="12" t="n">
        <v>15</v>
      </c>
      <c r="M103" s="25" t="n">
        <v>15</v>
      </c>
      <c r="N103" s="24" t="n">
        <v>46309</v>
      </c>
      <c r="O103" s="10" t="n">
        <v>0</v>
      </c>
      <c r="P103" s="10" t="n">
        <v>0</v>
      </c>
      <c r="Q103" s="10" t="n">
        <v>0</v>
      </c>
      <c r="R103" s="10" t="n">
        <v>2.66855360000001</v>
      </c>
      <c r="S103" s="9" t="n">
        <f aca="false">COUNTIF(O103:R103,"&gt;0")</f>
        <v>1</v>
      </c>
    </row>
    <row r="104" customFormat="false" ht="15" hidden="false" customHeight="false" outlineLevel="0" collapsed="false">
      <c r="A104" s="20" t="s">
        <v>157</v>
      </c>
      <c r="B104" s="21" t="s">
        <v>18</v>
      </c>
      <c r="C104" s="21" t="s">
        <v>60</v>
      </c>
      <c r="D104" s="22" t="n">
        <v>2.5</v>
      </c>
      <c r="E104" s="8" t="n">
        <f aca="false">SUM(F104:I104)</f>
        <v>2.4611925</v>
      </c>
      <c r="F104" s="10" t="n">
        <v>0</v>
      </c>
      <c r="G104" s="10" t="n">
        <v>0</v>
      </c>
      <c r="H104" s="10" t="n">
        <v>0</v>
      </c>
      <c r="I104" s="10" t="n">
        <v>2.4611925</v>
      </c>
      <c r="J104" s="26" t="n">
        <f aca="false">H104+I104</f>
        <v>2.4611925</v>
      </c>
      <c r="K104" s="11" t="n">
        <f aca="false">IF(E104&gt;0,J104/E104,0)</f>
        <v>1</v>
      </c>
      <c r="L104" s="12" t="n">
        <v>122</v>
      </c>
      <c r="M104" s="28" t="n">
        <v>122</v>
      </c>
      <c r="N104" s="24" t="n">
        <v>46202</v>
      </c>
      <c r="O104" s="10" t="n">
        <v>2.4611925</v>
      </c>
      <c r="P104" s="10" t="n">
        <v>0</v>
      </c>
      <c r="Q104" s="10" t="n">
        <v>0</v>
      </c>
      <c r="R104" s="10" t="n">
        <v>0</v>
      </c>
      <c r="S104" s="9" t="n">
        <f aca="false">COUNTIF(O104:R104,"&gt;0")</f>
        <v>1</v>
      </c>
    </row>
    <row r="105" customFormat="false" ht="15" hidden="false" customHeight="false" outlineLevel="0" collapsed="false">
      <c r="A105" s="20" t="s">
        <v>158</v>
      </c>
      <c r="B105" s="21" t="s">
        <v>16</v>
      </c>
      <c r="C105" s="21" t="s">
        <v>73</v>
      </c>
      <c r="D105" s="22" t="n">
        <v>2.8</v>
      </c>
      <c r="E105" s="8" t="n">
        <f aca="false">SUM(F105:I105)</f>
        <v>2.36277335267008</v>
      </c>
      <c r="F105" s="10" t="n">
        <v>2.36277335267008</v>
      </c>
      <c r="G105" s="10" t="n">
        <v>0</v>
      </c>
      <c r="H105" s="10" t="n">
        <v>0</v>
      </c>
      <c r="I105" s="10" t="n">
        <v>0</v>
      </c>
      <c r="J105" s="10" t="n">
        <f aca="false">H105+I105</f>
        <v>0</v>
      </c>
      <c r="K105" s="11" t="n">
        <f aca="false">IF(E105&gt;0,J105/E105,0)</f>
        <v>0</v>
      </c>
      <c r="L105" s="12" t="n">
        <v>19</v>
      </c>
      <c r="M105" s="25" t="n">
        <v>19</v>
      </c>
      <c r="N105" s="24" t="n">
        <v>46305</v>
      </c>
      <c r="O105" s="10" t="n">
        <v>2.36277335267008</v>
      </c>
      <c r="P105" s="10" t="n">
        <v>0</v>
      </c>
      <c r="Q105" s="10" t="n">
        <v>0</v>
      </c>
      <c r="R105" s="10" t="n">
        <v>0</v>
      </c>
      <c r="S105" s="9" t="n">
        <f aca="false">COUNTIF(O105:R105,"&gt;0")</f>
        <v>1</v>
      </c>
    </row>
    <row r="106" customFormat="false" ht="15" hidden="false" customHeight="false" outlineLevel="0" collapsed="false">
      <c r="A106" s="20" t="s">
        <v>159</v>
      </c>
      <c r="B106" s="21" t="s">
        <v>17</v>
      </c>
      <c r="C106" s="21" t="s">
        <v>87</v>
      </c>
      <c r="D106" s="22" t="n">
        <v>1.6</v>
      </c>
      <c r="E106" s="8" t="n">
        <f aca="false">SUM(F106:I106)</f>
        <v>2.153178688</v>
      </c>
      <c r="F106" s="10" t="n">
        <v>0</v>
      </c>
      <c r="G106" s="10" t="n">
        <v>2.153178688</v>
      </c>
      <c r="H106" s="10" t="n">
        <v>0</v>
      </c>
      <c r="I106" s="10" t="n">
        <v>0</v>
      </c>
      <c r="J106" s="10" t="n">
        <f aca="false">H106+I106</f>
        <v>0</v>
      </c>
      <c r="K106" s="11" t="n">
        <f aca="false">IF(E106&gt;0,J106/E106,0)</f>
        <v>0</v>
      </c>
      <c r="L106" s="12" t="n">
        <v>36</v>
      </c>
      <c r="M106" s="23" t="n">
        <v>36</v>
      </c>
      <c r="N106" s="24" t="n">
        <v>46288</v>
      </c>
      <c r="O106" s="10" t="n">
        <v>0</v>
      </c>
      <c r="P106" s="10" t="n">
        <v>0</v>
      </c>
      <c r="Q106" s="10" t="n">
        <v>2.153178688</v>
      </c>
      <c r="R106" s="10" t="n">
        <v>0</v>
      </c>
      <c r="S106" s="9" t="n">
        <f aca="false">COUNTIF(O106:R106,"&gt;0")</f>
        <v>1</v>
      </c>
    </row>
    <row r="107" customFormat="false" ht="15" hidden="false" customHeight="false" outlineLevel="0" collapsed="false">
      <c r="A107" s="20" t="s">
        <v>160</v>
      </c>
      <c r="B107" s="21" t="s">
        <v>17</v>
      </c>
      <c r="C107" s="21" t="s">
        <v>102</v>
      </c>
      <c r="D107" s="22" t="n">
        <v>2.8</v>
      </c>
      <c r="E107" s="8" t="n">
        <f aca="false">SUM(F107:I107)</f>
        <v>2.06041052800003</v>
      </c>
      <c r="F107" s="10" t="n">
        <v>0</v>
      </c>
      <c r="G107" s="10" t="n">
        <v>0</v>
      </c>
      <c r="H107" s="10" t="n">
        <v>0</v>
      </c>
      <c r="I107" s="10" t="n">
        <v>2.06041052800003</v>
      </c>
      <c r="J107" s="26" t="n">
        <f aca="false">H107+I107</f>
        <v>2.06041052800003</v>
      </c>
      <c r="K107" s="11" t="n">
        <f aca="false">IF(E107&gt;0,J107/E107,0)</f>
        <v>1</v>
      </c>
      <c r="L107" s="12" t="n">
        <v>114</v>
      </c>
      <c r="M107" s="28" t="n">
        <v>114</v>
      </c>
      <c r="N107" s="24" t="n">
        <v>46210</v>
      </c>
      <c r="O107" s="10" t="n">
        <v>2.06041052800003</v>
      </c>
      <c r="P107" s="10" t="n">
        <v>0</v>
      </c>
      <c r="Q107" s="10" t="n">
        <v>0</v>
      </c>
      <c r="R107" s="10" t="n">
        <v>0</v>
      </c>
      <c r="S107" s="9" t="n">
        <f aca="false">COUNTIF(O107:R107,"&gt;0")</f>
        <v>1</v>
      </c>
    </row>
    <row r="108" customFormat="false" ht="15" hidden="false" customHeight="false" outlineLevel="0" collapsed="false">
      <c r="A108" s="20" t="s">
        <v>161</v>
      </c>
      <c r="B108" s="21" t="s">
        <v>18</v>
      </c>
      <c r="C108" s="21" t="s">
        <v>33</v>
      </c>
      <c r="D108" s="22" t="n">
        <v>2.2</v>
      </c>
      <c r="E108" s="8" t="n">
        <f aca="false">SUM(F108:I108)</f>
        <v>1.978658352</v>
      </c>
      <c r="F108" s="10" t="n">
        <v>0</v>
      </c>
      <c r="G108" s="10" t="n">
        <v>0</v>
      </c>
      <c r="H108" s="10" t="n">
        <v>0</v>
      </c>
      <c r="I108" s="10" t="n">
        <v>1.978658352</v>
      </c>
      <c r="J108" s="26" t="n">
        <f aca="false">H108+I108</f>
        <v>1.978658352</v>
      </c>
      <c r="K108" s="11" t="n">
        <f aca="false">IF(E108&gt;0,J108/E108,0)</f>
        <v>1</v>
      </c>
      <c r="L108" s="12" t="n">
        <v>211</v>
      </c>
      <c r="M108" s="28" t="n">
        <v>211</v>
      </c>
      <c r="N108" s="24" t="n">
        <v>46113</v>
      </c>
      <c r="O108" s="10" t="n">
        <v>1.978658352</v>
      </c>
      <c r="P108" s="10" t="n">
        <v>0</v>
      </c>
      <c r="Q108" s="10" t="n">
        <v>0</v>
      </c>
      <c r="R108" s="10" t="n">
        <v>0</v>
      </c>
      <c r="S108" s="9" t="n">
        <f aca="false">COUNTIF(O108:R108,"&gt;0")</f>
        <v>1</v>
      </c>
    </row>
    <row r="109" customFormat="false" ht="15" hidden="false" customHeight="false" outlineLevel="0" collapsed="false">
      <c r="A109" s="20" t="s">
        <v>162</v>
      </c>
      <c r="B109" s="21" t="s">
        <v>16</v>
      </c>
      <c r="C109" s="21" t="s">
        <v>68</v>
      </c>
      <c r="D109" s="22" t="n">
        <v>1.6</v>
      </c>
      <c r="E109" s="8" t="n">
        <f aca="false">SUM(F109:I109)</f>
        <v>1.6796943760219</v>
      </c>
      <c r="F109" s="10" t="n">
        <v>0</v>
      </c>
      <c r="G109" s="10" t="n">
        <v>0</v>
      </c>
      <c r="H109" s="10" t="n">
        <v>0</v>
      </c>
      <c r="I109" s="10" t="n">
        <v>1.6796943760219</v>
      </c>
      <c r="J109" s="26" t="n">
        <f aca="false">H109+I109</f>
        <v>1.6796943760219</v>
      </c>
      <c r="K109" s="11" t="n">
        <f aca="false">IF(E109&gt;0,J109/E109,0)</f>
        <v>1</v>
      </c>
      <c r="L109" s="12" t="n">
        <v>97</v>
      </c>
      <c r="M109" s="28" t="n">
        <v>97</v>
      </c>
      <c r="N109" s="24" t="n">
        <v>46227</v>
      </c>
      <c r="O109" s="10" t="n">
        <v>1.6796943760219</v>
      </c>
      <c r="P109" s="10" t="n">
        <v>0</v>
      </c>
      <c r="Q109" s="10" t="n">
        <v>0</v>
      </c>
      <c r="R109" s="10" t="n">
        <v>0</v>
      </c>
      <c r="S109" s="9" t="n">
        <f aca="false">COUNTIF(O109:R109,"&gt;0")</f>
        <v>1</v>
      </c>
    </row>
    <row r="110" customFormat="false" ht="15" hidden="false" customHeight="false" outlineLevel="0" collapsed="false">
      <c r="A110" s="20" t="s">
        <v>163</v>
      </c>
      <c r="B110" s="21" t="s">
        <v>17</v>
      </c>
      <c r="C110" s="21" t="s">
        <v>102</v>
      </c>
      <c r="D110" s="22" t="n">
        <v>2</v>
      </c>
      <c r="E110" s="8" t="n">
        <f aca="false">SUM(F110:I110)</f>
        <v>1.6739992</v>
      </c>
      <c r="F110" s="10" t="n">
        <v>1.6739992</v>
      </c>
      <c r="G110" s="10" t="n">
        <v>0</v>
      </c>
      <c r="H110" s="10" t="n">
        <v>0</v>
      </c>
      <c r="I110" s="10" t="n">
        <v>0</v>
      </c>
      <c r="J110" s="10" t="n">
        <f aca="false">H110+I110</f>
        <v>0</v>
      </c>
      <c r="K110" s="11" t="n">
        <f aca="false">IF(E110&gt;0,J110/E110,0)</f>
        <v>0</v>
      </c>
      <c r="L110" s="12" t="n">
        <v>13</v>
      </c>
      <c r="M110" s="25" t="n">
        <v>13</v>
      </c>
      <c r="N110" s="24" t="n">
        <v>46311</v>
      </c>
      <c r="O110" s="10" t="n">
        <v>1.6739992</v>
      </c>
      <c r="P110" s="10" t="n">
        <v>0</v>
      </c>
      <c r="Q110" s="10" t="n">
        <v>0</v>
      </c>
      <c r="R110" s="10" t="n">
        <v>0</v>
      </c>
      <c r="S110" s="9" t="n">
        <f aca="false">COUNTIF(O110:R110,"&gt;0")</f>
        <v>1</v>
      </c>
    </row>
    <row r="111" customFormat="false" ht="15" hidden="false" customHeight="false" outlineLevel="0" collapsed="false">
      <c r="A111" s="20" t="s">
        <v>164</v>
      </c>
      <c r="B111" s="21" t="s">
        <v>17</v>
      </c>
      <c r="C111" s="21" t="s">
        <v>102</v>
      </c>
      <c r="D111" s="22" t="n">
        <v>3.2</v>
      </c>
      <c r="E111" s="8" t="n">
        <f aca="false">SUM(F111:I111)</f>
        <v>1.66718272</v>
      </c>
      <c r="F111" s="10" t="n">
        <v>0</v>
      </c>
      <c r="G111" s="10" t="n">
        <v>0</v>
      </c>
      <c r="H111" s="10" t="n">
        <v>0</v>
      </c>
      <c r="I111" s="10" t="n">
        <v>1.66718272</v>
      </c>
      <c r="J111" s="26" t="n">
        <f aca="false">H111+I111</f>
        <v>1.66718272</v>
      </c>
      <c r="K111" s="11" t="n">
        <f aca="false">IF(E111&gt;0,J111/E111,0)</f>
        <v>1</v>
      </c>
      <c r="L111" s="12" t="n">
        <v>166</v>
      </c>
      <c r="M111" s="28" t="n">
        <v>166</v>
      </c>
      <c r="N111" s="24" t="n">
        <v>46158</v>
      </c>
      <c r="O111" s="10" t="n">
        <v>1.66718272</v>
      </c>
      <c r="P111" s="10" t="n">
        <v>0</v>
      </c>
      <c r="Q111" s="10" t="n">
        <v>0</v>
      </c>
      <c r="R111" s="10" t="n">
        <v>0</v>
      </c>
      <c r="S111" s="9" t="n">
        <f aca="false">COUNTIF(O111:R111,"&gt;0")</f>
        <v>1</v>
      </c>
    </row>
    <row r="112" customFormat="false" ht="15" hidden="false" customHeight="false" outlineLevel="0" collapsed="false">
      <c r="A112" s="20" t="s">
        <v>165</v>
      </c>
      <c r="B112" s="21" t="s">
        <v>17</v>
      </c>
      <c r="C112" s="21" t="s">
        <v>87</v>
      </c>
      <c r="D112" s="22" t="n">
        <v>2.8</v>
      </c>
      <c r="E112" s="8" t="n">
        <f aca="false">SUM(F112:I112)</f>
        <v>1.49284396800001</v>
      </c>
      <c r="F112" s="10" t="n">
        <v>0</v>
      </c>
      <c r="G112" s="10" t="n">
        <v>0</v>
      </c>
      <c r="H112" s="10" t="n">
        <v>0</v>
      </c>
      <c r="I112" s="10" t="n">
        <v>1.49284396800001</v>
      </c>
      <c r="J112" s="26" t="n">
        <f aca="false">H112+I112</f>
        <v>1.49284396800001</v>
      </c>
      <c r="K112" s="11" t="n">
        <f aca="false">IF(E112&gt;0,J112/E112,0)</f>
        <v>1</v>
      </c>
      <c r="L112" s="12" t="n">
        <v>162</v>
      </c>
      <c r="M112" s="28" t="n">
        <v>162</v>
      </c>
      <c r="N112" s="24" t="n">
        <v>46162</v>
      </c>
      <c r="O112" s="10" t="n">
        <v>1.49284396800001</v>
      </c>
      <c r="P112" s="10" t="n">
        <v>0</v>
      </c>
      <c r="Q112" s="10" t="n">
        <v>0</v>
      </c>
      <c r="R112" s="10" t="n">
        <v>0</v>
      </c>
      <c r="S112" s="9" t="n">
        <f aca="false">COUNTIF(O112:R112,"&gt;0")</f>
        <v>1</v>
      </c>
    </row>
    <row r="113" customFormat="false" ht="15" hidden="false" customHeight="false" outlineLevel="0" collapsed="false">
      <c r="A113" s="20" t="s">
        <v>166</v>
      </c>
      <c r="B113" s="21" t="s">
        <v>16</v>
      </c>
      <c r="C113" s="21" t="s">
        <v>73</v>
      </c>
      <c r="D113" s="22" t="n">
        <v>1.6</v>
      </c>
      <c r="E113" s="8" t="n">
        <f aca="false">SUM(F113:I113)</f>
        <v>1.35044088702466</v>
      </c>
      <c r="F113" s="10" t="n">
        <v>0</v>
      </c>
      <c r="G113" s="10" t="n">
        <v>1.35044088702466</v>
      </c>
      <c r="H113" s="10" t="n">
        <v>0</v>
      </c>
      <c r="I113" s="10" t="n">
        <v>0</v>
      </c>
      <c r="J113" s="10" t="n">
        <f aca="false">H113+I113</f>
        <v>0</v>
      </c>
      <c r="K113" s="11" t="n">
        <f aca="false">IF(E113&gt;0,J113/E113,0)</f>
        <v>0</v>
      </c>
      <c r="L113" s="12" t="n">
        <v>52</v>
      </c>
      <c r="M113" s="23" t="n">
        <v>52</v>
      </c>
      <c r="N113" s="24" t="n">
        <v>46272</v>
      </c>
      <c r="O113" s="10" t="n">
        <v>1.35044088702466</v>
      </c>
      <c r="P113" s="10" t="n">
        <v>0</v>
      </c>
      <c r="Q113" s="10" t="n">
        <v>0</v>
      </c>
      <c r="R113" s="10" t="n">
        <v>0</v>
      </c>
      <c r="S113" s="9" t="n">
        <f aca="false">COUNTIF(O113:R113,"&gt;0")</f>
        <v>1</v>
      </c>
    </row>
    <row r="114" customFormat="false" ht="15" hidden="false" customHeight="false" outlineLevel="0" collapsed="false">
      <c r="A114" s="20" t="s">
        <v>167</v>
      </c>
      <c r="B114" s="21" t="s">
        <v>18</v>
      </c>
      <c r="C114" s="21" t="s">
        <v>33</v>
      </c>
      <c r="D114" s="22" t="n">
        <v>1.2</v>
      </c>
      <c r="E114" s="8" t="n">
        <f aca="false">SUM(F114:I114)</f>
        <v>1.29797439999999</v>
      </c>
      <c r="F114" s="10" t="n">
        <v>1.29797439999999</v>
      </c>
      <c r="G114" s="10" t="n">
        <v>0</v>
      </c>
      <c r="H114" s="10" t="n">
        <v>0</v>
      </c>
      <c r="I114" s="10" t="n">
        <v>0</v>
      </c>
      <c r="J114" s="10" t="n">
        <f aca="false">H114+I114</f>
        <v>0</v>
      </c>
      <c r="K114" s="11" t="n">
        <f aca="false">IF(E114&gt;0,J114/E114,0)</f>
        <v>0</v>
      </c>
      <c r="L114" s="12" t="n">
        <v>27</v>
      </c>
      <c r="M114" s="25" t="n">
        <v>27</v>
      </c>
      <c r="N114" s="24" t="n">
        <v>46297</v>
      </c>
      <c r="O114" s="10" t="n">
        <v>0</v>
      </c>
      <c r="P114" s="10" t="n">
        <v>0</v>
      </c>
      <c r="Q114" s="10" t="n">
        <v>1.29797439999999</v>
      </c>
      <c r="R114" s="10" t="n">
        <v>0</v>
      </c>
      <c r="S114" s="9" t="n">
        <f aca="false">COUNTIF(O114:R114,"&gt;0")</f>
        <v>1</v>
      </c>
    </row>
    <row r="115" customFormat="false" ht="15" hidden="false" customHeight="false" outlineLevel="0" collapsed="false">
      <c r="A115" s="20" t="s">
        <v>168</v>
      </c>
      <c r="B115" s="21" t="s">
        <v>18</v>
      </c>
      <c r="C115" s="21" t="s">
        <v>64</v>
      </c>
      <c r="D115" s="22" t="n">
        <v>1.6</v>
      </c>
      <c r="E115" s="8" t="n">
        <f aca="false">SUM(F115:I115)</f>
        <v>1.1760019200002</v>
      </c>
      <c r="F115" s="10" t="n">
        <v>1.1760019200002</v>
      </c>
      <c r="G115" s="10" t="n">
        <v>0</v>
      </c>
      <c r="H115" s="10" t="n">
        <v>0</v>
      </c>
      <c r="I115" s="10" t="n">
        <v>0</v>
      </c>
      <c r="J115" s="10" t="n">
        <f aca="false">H115+I115</f>
        <v>0</v>
      </c>
      <c r="K115" s="11" t="n">
        <f aca="false">IF(E115&gt;0,J115/E115,0)</f>
        <v>0</v>
      </c>
      <c r="L115" s="12" t="n">
        <v>24</v>
      </c>
      <c r="M115" s="25" t="n">
        <v>24</v>
      </c>
      <c r="N115" s="24" t="n">
        <v>46300</v>
      </c>
      <c r="O115" s="10" t="n">
        <v>1.1760019200002</v>
      </c>
      <c r="P115" s="10" t="n">
        <v>0</v>
      </c>
      <c r="Q115" s="10" t="n">
        <v>0</v>
      </c>
      <c r="R115" s="10" t="n">
        <v>0</v>
      </c>
      <c r="S115" s="9" t="n">
        <f aca="false">COUNTIF(O115:R115,"&gt;0")</f>
        <v>1</v>
      </c>
    </row>
    <row r="116" customFormat="false" ht="15" hidden="false" customHeight="false" outlineLevel="0" collapsed="false">
      <c r="A116" s="20" t="s">
        <v>169</v>
      </c>
      <c r="B116" s="21" t="s">
        <v>17</v>
      </c>
      <c r="C116" s="21" t="s">
        <v>92</v>
      </c>
      <c r="D116" s="22" t="n">
        <v>2.5</v>
      </c>
      <c r="E116" s="8" t="n">
        <f aca="false">SUM(F116:I116)</f>
        <v>1.095805</v>
      </c>
      <c r="F116" s="10" t="n">
        <v>0</v>
      </c>
      <c r="G116" s="10" t="n">
        <v>0</v>
      </c>
      <c r="H116" s="10" t="n">
        <v>0</v>
      </c>
      <c r="I116" s="10" t="n">
        <v>1.095805</v>
      </c>
      <c r="J116" s="26" t="n">
        <f aca="false">H116+I116</f>
        <v>1.095805</v>
      </c>
      <c r="K116" s="11" t="n">
        <f aca="false">IF(E116&gt;0,J116/E116,0)</f>
        <v>1</v>
      </c>
      <c r="L116" s="12" t="n">
        <v>185</v>
      </c>
      <c r="M116" s="28" t="n">
        <v>185</v>
      </c>
      <c r="N116" s="24" t="n">
        <v>46139</v>
      </c>
      <c r="O116" s="10" t="n">
        <v>1.095805</v>
      </c>
      <c r="P116" s="10" t="n">
        <v>0</v>
      </c>
      <c r="Q116" s="10" t="n">
        <v>0</v>
      </c>
      <c r="R116" s="10" t="n">
        <v>0</v>
      </c>
      <c r="S116" s="9" t="n">
        <f aca="false">COUNTIF(O116:R116,"&gt;0")</f>
        <v>1</v>
      </c>
    </row>
    <row r="117" customFormat="false" ht="15" hidden="false" customHeight="false" outlineLevel="0" collapsed="false">
      <c r="A117" s="20" t="s">
        <v>170</v>
      </c>
      <c r="B117" s="21" t="s">
        <v>17</v>
      </c>
      <c r="C117" s="21" t="s">
        <v>171</v>
      </c>
      <c r="D117" s="22" t="n">
        <v>3</v>
      </c>
      <c r="E117" s="8" t="n">
        <f aca="false">SUM(F117:I117)</f>
        <v>1.0383108</v>
      </c>
      <c r="F117" s="10" t="n">
        <v>0</v>
      </c>
      <c r="G117" s="10" t="n">
        <v>1.0383108</v>
      </c>
      <c r="H117" s="10" t="n">
        <v>0</v>
      </c>
      <c r="I117" s="10" t="n">
        <v>0</v>
      </c>
      <c r="J117" s="10" t="n">
        <f aca="false">H117+I117</f>
        <v>0</v>
      </c>
      <c r="K117" s="11" t="n">
        <f aca="false">IF(E117&gt;0,J117/E117,0)</f>
        <v>0</v>
      </c>
      <c r="L117" s="12" t="n">
        <v>36</v>
      </c>
      <c r="M117" s="23" t="n">
        <v>36</v>
      </c>
      <c r="N117" s="24" t="n">
        <v>46288</v>
      </c>
      <c r="O117" s="10" t="n">
        <v>0</v>
      </c>
      <c r="P117" s="10" t="n">
        <v>0</v>
      </c>
      <c r="Q117" s="10" t="n">
        <v>0</v>
      </c>
      <c r="R117" s="10" t="n">
        <v>1.0383108</v>
      </c>
      <c r="S117" s="9" t="n">
        <f aca="false">COUNTIF(O117:R117,"&gt;0")</f>
        <v>1</v>
      </c>
    </row>
    <row r="118" customFormat="false" ht="15" hidden="false" customHeight="false" outlineLevel="0" collapsed="false">
      <c r="A118" s="20" t="s">
        <v>172</v>
      </c>
      <c r="B118" s="21" t="s">
        <v>18</v>
      </c>
      <c r="C118" s="21" t="s">
        <v>70</v>
      </c>
      <c r="D118" s="22" t="n">
        <v>2.5</v>
      </c>
      <c r="E118" s="8" t="n">
        <f aca="false">SUM(F118:I118)</f>
        <v>0.983672499999989</v>
      </c>
      <c r="F118" s="10" t="n">
        <v>0.715932499999995</v>
      </c>
      <c r="G118" s="10" t="n">
        <v>0.267739999999995</v>
      </c>
      <c r="H118" s="10" t="n">
        <v>0</v>
      </c>
      <c r="I118" s="10" t="n">
        <v>0</v>
      </c>
      <c r="J118" s="10" t="n">
        <f aca="false">H118+I118</f>
        <v>0</v>
      </c>
      <c r="K118" s="11" t="n">
        <f aca="false">IF(E118&gt;0,J118/E118,0)</f>
        <v>0</v>
      </c>
      <c r="L118" s="12" t="n">
        <v>23.2602339701475</v>
      </c>
      <c r="M118" s="23" t="n">
        <v>40</v>
      </c>
      <c r="N118" s="24" t="n">
        <v>46307</v>
      </c>
      <c r="O118" s="10" t="n">
        <v>0</v>
      </c>
      <c r="P118" s="10" t="n">
        <v>0.267739999999995</v>
      </c>
      <c r="Q118" s="10" t="n">
        <v>0</v>
      </c>
      <c r="R118" s="10" t="n">
        <v>0.715932499999995</v>
      </c>
      <c r="S118" s="9" t="n">
        <f aca="false">COUNTIF(O118:R118,"&gt;0")</f>
        <v>2</v>
      </c>
    </row>
    <row r="119" customFormat="false" ht="15" hidden="false" customHeight="false" outlineLevel="0" collapsed="false">
      <c r="A119" s="20" t="s">
        <v>173</v>
      </c>
      <c r="B119" s="21" t="s">
        <v>16</v>
      </c>
      <c r="C119" s="21" t="s">
        <v>120</v>
      </c>
      <c r="D119" s="22" t="n">
        <v>2</v>
      </c>
      <c r="E119" s="8" t="n">
        <f aca="false">SUM(F119:I119)</f>
        <v>0.884169445298547</v>
      </c>
      <c r="F119" s="10" t="n">
        <v>0</v>
      </c>
      <c r="G119" s="10" t="n">
        <v>0</v>
      </c>
      <c r="H119" s="10" t="n">
        <v>0.884169445298547</v>
      </c>
      <c r="I119" s="10" t="n">
        <v>0</v>
      </c>
      <c r="J119" s="26" t="n">
        <f aca="false">H119+I119</f>
        <v>0.884169445298547</v>
      </c>
      <c r="K119" s="11" t="n">
        <f aca="false">IF(E119&gt;0,J119/E119,0)</f>
        <v>1</v>
      </c>
      <c r="L119" s="12" t="n">
        <v>68</v>
      </c>
      <c r="M119" s="27" t="n">
        <v>68</v>
      </c>
      <c r="N119" s="24" t="n">
        <v>46256</v>
      </c>
      <c r="O119" s="10" t="n">
        <v>0.884169445298547</v>
      </c>
      <c r="P119" s="10" t="n">
        <v>0</v>
      </c>
      <c r="Q119" s="10" t="n">
        <v>0</v>
      </c>
      <c r="R119" s="10" t="n">
        <v>0</v>
      </c>
      <c r="S119" s="9" t="n">
        <f aca="false">COUNTIF(O119:R119,"&gt;0")</f>
        <v>1</v>
      </c>
    </row>
    <row r="120" customFormat="false" ht="15" hidden="false" customHeight="false" outlineLevel="0" collapsed="false">
      <c r="A120" s="20" t="s">
        <v>174</v>
      </c>
      <c r="B120" s="21" t="s">
        <v>18</v>
      </c>
      <c r="C120" s="21" t="s">
        <v>175</v>
      </c>
      <c r="D120" s="22" t="n">
        <v>2</v>
      </c>
      <c r="E120" s="8" t="n">
        <f aca="false">SUM(F120:I120)</f>
        <v>0.810000000000002</v>
      </c>
      <c r="F120" s="10" t="n">
        <v>0</v>
      </c>
      <c r="G120" s="10" t="n">
        <v>0</v>
      </c>
      <c r="H120" s="10" t="n">
        <v>0</v>
      </c>
      <c r="I120" s="10" t="n">
        <v>0.810000000000002</v>
      </c>
      <c r="J120" s="26" t="n">
        <f aca="false">H120+I120</f>
        <v>0.810000000000002</v>
      </c>
      <c r="K120" s="11" t="n">
        <f aca="false">IF(E120&gt;0,J120/E120,0)</f>
        <v>1</v>
      </c>
      <c r="L120" s="12" t="n">
        <v>121</v>
      </c>
      <c r="M120" s="28" t="n">
        <v>121</v>
      </c>
      <c r="N120" s="24" t="n">
        <v>46203</v>
      </c>
      <c r="O120" s="10" t="n">
        <v>0.810000000000002</v>
      </c>
      <c r="P120" s="10" t="n">
        <v>0</v>
      </c>
      <c r="Q120" s="10" t="n">
        <v>0</v>
      </c>
      <c r="R120" s="10" t="n">
        <v>0</v>
      </c>
      <c r="S120" s="9" t="n">
        <f aca="false">COUNTIF(O120:R120,"&gt;0")</f>
        <v>1</v>
      </c>
    </row>
    <row r="121" customFormat="false" ht="15" hidden="false" customHeight="false" outlineLevel="0" collapsed="false">
      <c r="A121" s="20" t="s">
        <v>176</v>
      </c>
      <c r="B121" s="21" t="s">
        <v>17</v>
      </c>
      <c r="C121" s="21" t="s">
        <v>171</v>
      </c>
      <c r="D121" s="22" t="n">
        <v>4</v>
      </c>
      <c r="E121" s="8" t="n">
        <f aca="false">SUM(F121:I121)</f>
        <v>0.722176000000005</v>
      </c>
      <c r="F121" s="10" t="n">
        <v>0</v>
      </c>
      <c r="G121" s="10" t="n">
        <v>0.722176000000005</v>
      </c>
      <c r="H121" s="10" t="n">
        <v>0</v>
      </c>
      <c r="I121" s="10" t="n">
        <v>0</v>
      </c>
      <c r="J121" s="10" t="n">
        <f aca="false">H121+I121</f>
        <v>0</v>
      </c>
      <c r="K121" s="11" t="n">
        <f aca="false">IF(E121&gt;0,J121/E121,0)</f>
        <v>0</v>
      </c>
      <c r="L121" s="12" t="n">
        <v>35</v>
      </c>
      <c r="M121" s="23" t="n">
        <v>35</v>
      </c>
      <c r="N121" s="24" t="n">
        <v>46289</v>
      </c>
      <c r="O121" s="10" t="n">
        <v>0</v>
      </c>
      <c r="P121" s="10" t="n">
        <v>0</v>
      </c>
      <c r="Q121" s="10" t="n">
        <v>0</v>
      </c>
      <c r="R121" s="10" t="n">
        <v>0.722176000000005</v>
      </c>
      <c r="S121" s="9" t="n">
        <f aca="false">COUNTIF(O121:R121,"&gt;0")</f>
        <v>1</v>
      </c>
    </row>
    <row r="122" customFormat="false" ht="15" hidden="false" customHeight="false" outlineLevel="0" collapsed="false">
      <c r="A122" s="20" t="s">
        <v>177</v>
      </c>
      <c r="B122" s="21" t="s">
        <v>18</v>
      </c>
      <c r="C122" s="21" t="s">
        <v>148</v>
      </c>
      <c r="D122" s="22" t="n">
        <v>1.6</v>
      </c>
      <c r="E122" s="8" t="n">
        <f aca="false">SUM(F122:I122)</f>
        <v>0.398907968</v>
      </c>
      <c r="F122" s="10" t="n">
        <v>0</v>
      </c>
      <c r="G122" s="10" t="n">
        <v>0</v>
      </c>
      <c r="H122" s="10" t="n">
        <v>0.398907968</v>
      </c>
      <c r="I122" s="10" t="n">
        <v>0</v>
      </c>
      <c r="J122" s="26" t="n">
        <f aca="false">H122+I122</f>
        <v>0.398907968</v>
      </c>
      <c r="K122" s="11" t="n">
        <f aca="false">IF(E122&gt;0,J122/E122,0)</f>
        <v>1</v>
      </c>
      <c r="L122" s="12" t="n">
        <v>71</v>
      </c>
      <c r="M122" s="27" t="n">
        <v>71</v>
      </c>
      <c r="N122" s="24" t="n">
        <v>46253</v>
      </c>
      <c r="O122" s="10" t="n">
        <v>0.398907968</v>
      </c>
      <c r="P122" s="10" t="n">
        <v>0</v>
      </c>
      <c r="Q122" s="10" t="n">
        <v>0</v>
      </c>
      <c r="R122" s="10" t="n">
        <v>0</v>
      </c>
      <c r="S122" s="9" t="n">
        <f aca="false">COUNTIF(O122:R122,"&gt;0")</f>
        <v>1</v>
      </c>
    </row>
    <row r="123" customFormat="false" ht="15" hidden="false" customHeight="false" outlineLevel="0" collapsed="false">
      <c r="A123" s="20" t="s">
        <v>178</v>
      </c>
      <c r="B123" s="21" t="s">
        <v>18</v>
      </c>
      <c r="C123" s="21" t="s">
        <v>175</v>
      </c>
      <c r="D123" s="22" t="n">
        <v>2.5</v>
      </c>
      <c r="E123" s="8" t="n">
        <f aca="false">SUM(F123:I123)</f>
        <v>0.365000000000002</v>
      </c>
      <c r="F123" s="10" t="n">
        <v>0</v>
      </c>
      <c r="G123" s="10" t="n">
        <v>0</v>
      </c>
      <c r="H123" s="10" t="n">
        <v>0</v>
      </c>
      <c r="I123" s="10" t="n">
        <v>0.365000000000002</v>
      </c>
      <c r="J123" s="26" t="n">
        <f aca="false">H123+I123</f>
        <v>0.365000000000002</v>
      </c>
      <c r="K123" s="11" t="n">
        <f aca="false">IF(E123&gt;0,J123/E123,0)</f>
        <v>1</v>
      </c>
      <c r="L123" s="12" t="n">
        <v>121</v>
      </c>
      <c r="M123" s="28" t="n">
        <v>121</v>
      </c>
      <c r="N123" s="24" t="n">
        <v>46203</v>
      </c>
      <c r="O123" s="10" t="n">
        <v>0.365000000000002</v>
      </c>
      <c r="P123" s="10" t="n">
        <v>0</v>
      </c>
      <c r="Q123" s="10" t="n">
        <v>0</v>
      </c>
      <c r="R123" s="10" t="n">
        <v>0</v>
      </c>
      <c r="S123" s="9" t="n">
        <f aca="false">COUNTIF(O123:R123,"&gt;0")</f>
        <v>1</v>
      </c>
    </row>
    <row r="124" customFormat="false" ht="15" hidden="false" customHeight="false" outlineLevel="0" collapsed="false">
      <c r="A124" s="20" t="s">
        <v>179</v>
      </c>
      <c r="B124" s="21" t="s">
        <v>17</v>
      </c>
      <c r="C124" s="21" t="s">
        <v>107</v>
      </c>
      <c r="D124" s="22" t="n">
        <v>2.2</v>
      </c>
      <c r="E124" s="8" t="n">
        <f aca="false">SUM(F124:I124)</f>
        <v>0.17734696</v>
      </c>
      <c r="F124" s="10" t="n">
        <v>0</v>
      </c>
      <c r="G124" s="10" t="n">
        <v>0</v>
      </c>
      <c r="H124" s="10" t="n">
        <v>0</v>
      </c>
      <c r="I124" s="10" t="n">
        <v>0.17734696</v>
      </c>
      <c r="J124" s="26" t="n">
        <f aca="false">H124+I124</f>
        <v>0.17734696</v>
      </c>
      <c r="K124" s="11" t="n">
        <f aca="false">IF(E124&gt;0,J124/E124,0)</f>
        <v>1</v>
      </c>
      <c r="L124" s="12" t="n">
        <v>141</v>
      </c>
      <c r="M124" s="28" t="n">
        <v>141</v>
      </c>
      <c r="N124" s="24" t="n">
        <v>46183</v>
      </c>
      <c r="O124" s="10" t="n">
        <v>0.17734696</v>
      </c>
      <c r="P124" s="10" t="n">
        <v>0</v>
      </c>
      <c r="Q124" s="10" t="n">
        <v>0</v>
      </c>
      <c r="R124" s="10" t="n">
        <v>0</v>
      </c>
      <c r="S124" s="9" t="n">
        <f aca="false">COUNTIF(O124:R124,"&gt;0")</f>
        <v>1</v>
      </c>
    </row>
    <row r="125" customFormat="false" ht="15" hidden="false" customHeight="false" outlineLevel="0" collapsed="false">
      <c r="A125" s="20" t="s">
        <v>180</v>
      </c>
      <c r="B125" s="21" t="s">
        <v>18</v>
      </c>
      <c r="C125" s="21" t="s">
        <v>181</v>
      </c>
      <c r="D125" s="22" t="n">
        <v>1.2</v>
      </c>
      <c r="E125" s="8" t="n">
        <f aca="false">SUM(F125:I125)</f>
        <v>0.062373055999986</v>
      </c>
      <c r="F125" s="10" t="n">
        <v>0.062373055999986</v>
      </c>
      <c r="G125" s="10" t="n">
        <v>0</v>
      </c>
      <c r="H125" s="10" t="n">
        <v>0</v>
      </c>
      <c r="I125" s="10" t="n">
        <v>0</v>
      </c>
      <c r="J125" s="10" t="n">
        <f aca="false">H125+I125</f>
        <v>0</v>
      </c>
      <c r="K125" s="11" t="n">
        <f aca="false">IF(E125&gt;0,J125/E125,0)</f>
        <v>0</v>
      </c>
      <c r="L125" s="12" t="n">
        <v>16</v>
      </c>
      <c r="M125" s="25" t="n">
        <v>16</v>
      </c>
      <c r="N125" s="24" t="n">
        <v>46308</v>
      </c>
      <c r="O125" s="10" t="n">
        <v>0.062373055999986</v>
      </c>
      <c r="P125" s="10" t="n">
        <v>0</v>
      </c>
      <c r="Q125" s="10" t="n">
        <v>0</v>
      </c>
      <c r="R125" s="10" t="n">
        <v>0</v>
      </c>
      <c r="S125" s="9" t="n">
        <f aca="false">COUNTIF(O125:R125,"&gt;0")</f>
        <v>1</v>
      </c>
    </row>
    <row r="126" customFormat="false" ht="15" hidden="false" customHeight="false" outlineLevel="0" collapsed="false">
      <c r="A126" s="20" t="s">
        <v>182</v>
      </c>
      <c r="B126" s="21" t="s">
        <v>18</v>
      </c>
      <c r="C126" s="21" t="s">
        <v>64</v>
      </c>
      <c r="D126" s="22" t="n">
        <v>4</v>
      </c>
      <c r="E126" s="8" t="n">
        <f aca="false">SUM(F126:I126)</f>
        <v>0.0619999999999976</v>
      </c>
      <c r="F126" s="10" t="n">
        <v>0</v>
      </c>
      <c r="G126" s="10" t="n">
        <v>0</v>
      </c>
      <c r="H126" s="10" t="n">
        <v>0</v>
      </c>
      <c r="I126" s="10" t="n">
        <v>0.0619999999999976</v>
      </c>
      <c r="J126" s="26" t="n">
        <f aca="false">H126+I126</f>
        <v>0.0619999999999976</v>
      </c>
      <c r="K126" s="11" t="n">
        <f aca="false">IF(E126&gt;0,J126/E126,0)</f>
        <v>1</v>
      </c>
      <c r="L126" s="12" t="n">
        <v>127</v>
      </c>
      <c r="M126" s="28" t="n">
        <v>127</v>
      </c>
      <c r="N126" s="24" t="n">
        <v>46197</v>
      </c>
      <c r="O126" s="10" t="n">
        <v>0.0619999999999976</v>
      </c>
      <c r="P126" s="10" t="n">
        <v>0</v>
      </c>
      <c r="Q126" s="10" t="n">
        <v>0</v>
      </c>
      <c r="R126" s="10" t="n">
        <v>0</v>
      </c>
      <c r="S126" s="9" t="n">
        <f aca="false">COUNTIF(O126:R126,"&gt;0")</f>
        <v>1</v>
      </c>
    </row>
    <row r="127" customFormat="false" ht="15" hidden="false" customHeight="false" outlineLevel="0" collapsed="false">
      <c r="A127" s="20" t="s">
        <v>183</v>
      </c>
      <c r="B127" s="21" t="s">
        <v>18</v>
      </c>
      <c r="C127" s="21" t="s">
        <v>109</v>
      </c>
      <c r="D127" s="22" t="n">
        <v>1.6</v>
      </c>
      <c r="E127" s="8" t="n">
        <f aca="false">SUM(F127:I127)</f>
        <v>0.0293056640000249</v>
      </c>
      <c r="F127" s="10" t="n">
        <v>0.0293056640000249</v>
      </c>
      <c r="G127" s="10" t="n">
        <v>0</v>
      </c>
      <c r="H127" s="10" t="n">
        <v>0</v>
      </c>
      <c r="I127" s="10" t="n">
        <v>0</v>
      </c>
      <c r="J127" s="10" t="n">
        <f aca="false">H127+I127</f>
        <v>0</v>
      </c>
      <c r="K127" s="11" t="n">
        <f aca="false">IF(E127&gt;0,J127/E127,0)</f>
        <v>0</v>
      </c>
      <c r="L127" s="12" t="n">
        <v>8</v>
      </c>
      <c r="M127" s="25" t="n">
        <v>8</v>
      </c>
      <c r="N127" s="24" t="n">
        <v>46316</v>
      </c>
      <c r="O127" s="10" t="n">
        <v>0.0293056640000249</v>
      </c>
      <c r="P127" s="10" t="n">
        <v>0</v>
      </c>
      <c r="Q127" s="10" t="n">
        <v>0</v>
      </c>
      <c r="R127" s="10" t="n">
        <v>0</v>
      </c>
      <c r="S127" s="9" t="n">
        <f aca="false">COUNTIF(O127:R127,"&gt;0")</f>
        <v>1</v>
      </c>
    </row>
    <row r="128" customFormat="false" ht="15" hidden="false" customHeight="false" outlineLevel="0" collapsed="false">
      <c r="A128" s="20" t="s">
        <v>184</v>
      </c>
      <c r="B128" s="21" t="s">
        <v>17</v>
      </c>
      <c r="C128" s="21" t="s">
        <v>107</v>
      </c>
      <c r="D128" s="22" t="n">
        <v>1.2</v>
      </c>
      <c r="E128" s="8" t="n">
        <f aca="false">SUM(F128:I128)</f>
        <v>0.0195334399999876</v>
      </c>
      <c r="F128" s="10" t="n">
        <v>0</v>
      </c>
      <c r="G128" s="10" t="n">
        <v>0.0195334399999876</v>
      </c>
      <c r="H128" s="10" t="n">
        <v>0</v>
      </c>
      <c r="I128" s="10" t="n">
        <v>0</v>
      </c>
      <c r="J128" s="10" t="n">
        <f aca="false">H128+I128</f>
        <v>0</v>
      </c>
      <c r="K128" s="11" t="n">
        <f aca="false">IF(E128&gt;0,J128/E128,0)</f>
        <v>0</v>
      </c>
      <c r="L128" s="12" t="n">
        <v>56</v>
      </c>
      <c r="M128" s="23" t="n">
        <v>56</v>
      </c>
      <c r="N128" s="24" t="n">
        <v>46268</v>
      </c>
      <c r="O128" s="10" t="n">
        <v>0.0195334399999876</v>
      </c>
      <c r="P128" s="10" t="n">
        <v>0</v>
      </c>
      <c r="Q128" s="10" t="n">
        <v>0</v>
      </c>
      <c r="R128" s="10" t="n">
        <v>0</v>
      </c>
      <c r="S128" s="9" t="n">
        <f aca="false">COUNTIF(O128:R128,"&gt;0")</f>
        <v>1</v>
      </c>
    </row>
    <row r="129" customFormat="false" ht="15" hidden="false" customHeight="false" outlineLevel="0" collapsed="false">
      <c r="A129" s="20" t="s">
        <v>185</v>
      </c>
      <c r="B129" s="21" t="s">
        <v>16</v>
      </c>
      <c r="C129" s="21" t="s">
        <v>100</v>
      </c>
      <c r="D129" s="22" t="n">
        <v>4</v>
      </c>
      <c r="E129" s="8" t="n">
        <f aca="false">SUM(F129:I129)</f>
        <v>0.0172000000000008</v>
      </c>
      <c r="F129" s="10" t="n">
        <v>0</v>
      </c>
      <c r="G129" s="10" t="n">
        <v>0</v>
      </c>
      <c r="H129" s="10" t="n">
        <v>0</v>
      </c>
      <c r="I129" s="10" t="n">
        <v>0.0172000000000008</v>
      </c>
      <c r="J129" s="26" t="n">
        <f aca="false">H129+I129</f>
        <v>0.0172000000000008</v>
      </c>
      <c r="K129" s="11" t="n">
        <f aca="false">IF(E129&gt;0,J129/E129,0)</f>
        <v>1</v>
      </c>
      <c r="L129" s="12" t="n">
        <v>123</v>
      </c>
      <c r="M129" s="28" t="n">
        <v>123</v>
      </c>
      <c r="N129" s="24" t="n">
        <v>46201</v>
      </c>
      <c r="O129" s="10" t="n">
        <v>0.0172000000000008</v>
      </c>
      <c r="P129" s="10" t="n">
        <v>0</v>
      </c>
      <c r="Q129" s="10" t="n">
        <v>0</v>
      </c>
      <c r="R129" s="10" t="n">
        <v>0</v>
      </c>
      <c r="S129" s="9" t="n">
        <f aca="false">COUNTIF(O129:R129,"&gt;0")</f>
        <v>1</v>
      </c>
    </row>
    <row r="130" customFormat="false" ht="15" hidden="false" customHeight="false" outlineLevel="0" collapsed="false">
      <c r="A130" s="20" t="s">
        <v>186</v>
      </c>
      <c r="B130" s="21" t="s">
        <v>17</v>
      </c>
      <c r="C130" s="21" t="s">
        <v>144</v>
      </c>
      <c r="D130" s="22" t="n">
        <v>4</v>
      </c>
      <c r="E130" s="8" t="n">
        <f aca="false">SUM(F130:I130)</f>
        <v>0.00544800000000123</v>
      </c>
      <c r="F130" s="10" t="n">
        <v>0</v>
      </c>
      <c r="G130" s="10" t="n">
        <v>0.00544800000000123</v>
      </c>
      <c r="H130" s="10" t="n">
        <v>0</v>
      </c>
      <c r="I130" s="10" t="n">
        <v>0</v>
      </c>
      <c r="J130" s="10" t="n">
        <f aca="false">H130+I130</f>
        <v>0</v>
      </c>
      <c r="K130" s="11" t="n">
        <f aca="false">IF(E130&gt;0,J130/E130,0)</f>
        <v>0</v>
      </c>
      <c r="L130" s="12" t="n">
        <v>38</v>
      </c>
      <c r="M130" s="23" t="n">
        <v>38</v>
      </c>
      <c r="N130" s="24" t="n">
        <v>46286</v>
      </c>
      <c r="O130" s="10" t="n">
        <v>0</v>
      </c>
      <c r="P130" s="10" t="n">
        <v>0</v>
      </c>
      <c r="Q130" s="10" t="n">
        <v>0</v>
      </c>
      <c r="R130" s="10" t="n">
        <v>0.00544800000000123</v>
      </c>
      <c r="S130" s="9" t="n">
        <f aca="false">COUNTIF(O130:R130,"&gt;0")</f>
        <v>1</v>
      </c>
    </row>
    <row r="131" customFormat="false" ht="15" hidden="false" customHeight="false" outlineLevel="0" collapsed="false">
      <c r="A131" s="13" t="s">
        <v>187</v>
      </c>
      <c r="B131" s="13"/>
      <c r="C131" s="13"/>
      <c r="D131" s="13"/>
      <c r="E131" s="15" t="n">
        <f aca="false">SUBTOTAL(9,E5:E130)</f>
        <v>2813.82306871384</v>
      </c>
      <c r="F131" s="15" t="n">
        <f aca="false">SUBTOTAL(9,F5:F130)</f>
        <v>2021.65412963058</v>
      </c>
      <c r="G131" s="15" t="n">
        <f aca="false">SUBTOTAL(9,G5:G130)</f>
        <v>497.428863759222</v>
      </c>
      <c r="H131" s="15" t="n">
        <f aca="false">SUBTOTAL(9,H5:H130)</f>
        <v>33.1059147098091</v>
      </c>
      <c r="I131" s="15" t="n">
        <f aca="false">SUBTOTAL(9,I5:I130)</f>
        <v>261.634160614229</v>
      </c>
      <c r="J131" s="15" t="n">
        <f aca="false">SUBTOTAL(9,J5:J130)</f>
        <v>294.740075324038</v>
      </c>
      <c r="K131" s="16" t="n">
        <f aca="false">IF(E131&gt;0,J131/E131,0)</f>
        <v>0.104747195586381</v>
      </c>
      <c r="L131" s="17" t="n">
        <f aca="true">IF(E131&gt;0,SUMPRODUCT(SUBTOTAL(9,OFFSET(E5,ROW(E5:E130)-ROW(E5),0)),L5:L130)/E131,0)</f>
        <v>31.0215908005722</v>
      </c>
      <c r="M131" s="13"/>
      <c r="N131" s="13"/>
      <c r="O131" s="15" t="n">
        <f aca="false">SUBTOTAL(9,O5:O130)</f>
        <v>895.247198917836</v>
      </c>
      <c r="P131" s="15" t="n">
        <f aca="false">SUBTOTAL(9,P5:P130)</f>
        <v>350.187164</v>
      </c>
      <c r="Q131" s="15" t="n">
        <f aca="false">SUBTOTAL(9,Q5:Q130)</f>
        <v>826.192144496</v>
      </c>
      <c r="R131" s="15" t="n">
        <f aca="false">SUBTOTAL(9,R5:R130)</f>
        <v>742.1965613</v>
      </c>
      <c r="S131" s="13"/>
    </row>
    <row r="133" customFormat="false" ht="15" hidden="false" customHeight="false" outlineLevel="0" collapsed="false">
      <c r="A133" s="29" t="s">
        <v>188</v>
      </c>
    </row>
    <row r="134" customFormat="false" ht="15" hidden="false" customHeight="false" outlineLevel="0" collapsed="false">
      <c r="A134" s="18" t="s">
        <v>189</v>
      </c>
    </row>
    <row r="135" customFormat="false" ht="15" hidden="false" customHeight="false" outlineLevel="0" collapsed="false">
      <c r="A135" s="18" t="s">
        <v>190</v>
      </c>
    </row>
    <row r="136" customFormat="false" ht="15" hidden="false" customHeight="false" outlineLevel="0" collapsed="false">
      <c r="A136" s="18" t="s">
        <v>191</v>
      </c>
    </row>
    <row r="137" customFormat="false" ht="15" hidden="false" customHeight="false" outlineLevel="0" collapsed="false">
      <c r="A137" s="18" t="s">
        <v>192</v>
      </c>
    </row>
    <row r="138" customFormat="false" ht="15" hidden="false" customHeight="false" outlineLevel="0" collapsed="false">
      <c r="A138" s="18" t="s">
        <v>193</v>
      </c>
    </row>
    <row r="139" customFormat="false" ht="15" hidden="false" customHeight="false" outlineLevel="0" collapsed="false">
      <c r="A139" s="18" t="s">
        <v>194</v>
      </c>
    </row>
  </sheetData>
  <autoFilter ref="A4:S13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2026-10-29T10:12:02Z</dcterms:created>
  <dc:creator>openpyxl</dc:creator>
  <dc:description/>
  <dc:language>en-US</dc:language>
  <cp:lastModifiedBy/>
  <dcterms:modified xsi:type="dcterms:W3CDTF">2026-10-29T10:12:02Z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