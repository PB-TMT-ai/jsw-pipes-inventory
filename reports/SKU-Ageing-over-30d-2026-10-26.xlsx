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plant" sheetId="1" state="visible" r:id="rId3"/>
    <sheet name="Over 30 days" sheetId="2" state="visible" r:id="rId4"/>
  </sheets>
  <definedNames>
    <definedName function="false" hidden="false" localSheetId="1" name="_xlnm.Print_Titles" vbProcedure="false">'Over 30 days'!$4:$4</definedName>
    <definedName function="false" hidden="true" localSheetId="1" name="_xlnm._FilterDatabase" vbProcedure="false">'Over 30 days'!$A$4:$K$92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<sst xmlns="http://schemas.openxmlformats.org/spreadsheetml/2006/main" count="418" uniqueCount="125">
  <si>
    <t xml:space="preserve">Stock over 30 days, by plant (MT) - as of 26-Oct-2026</t>
  </si>
  <si>
    <t xml:space="preserve">Plant</t>
  </si>
  <si>
    <t xml:space="preserve">Sells to</t>
  </si>
  <si>
    <t xml:space="preserve">SKUs</t>
  </si>
  <si>
    <t xml:space="preserve">Over 30 days</t>
  </si>
  <si>
    <t xml:space="preserve">31-60 days</t>
  </si>
  <si>
    <t xml:space="preserve">61-90 days</t>
  </si>
  <si>
    <t xml:space="preserve">90+ days</t>
  </si>
  <si>
    <t xml:space="preserve">Hyderabad</t>
  </si>
  <si>
    <t xml:space="preserve">South</t>
  </si>
  <si>
    <t xml:space="preserve">NPMD</t>
  </si>
  <si>
    <t xml:space="preserve">West</t>
  </si>
  <si>
    <t xml:space="preserve">Tapi</t>
  </si>
  <si>
    <t xml:space="preserve">Lepakshi</t>
  </si>
  <si>
    <t xml:space="preserve">Total</t>
  </si>
  <si>
    <t xml:space="preserve">Detail by SKU, with what sold since 19-Oct, is on the "Over 30 days" sheet.</t>
  </si>
  <si>
    <t xml:space="preserve">JSW Pipes &amp; Tubes - finished stock older than 30 days, by plant and SKU</t>
  </si>
  <si>
    <t xml:space="preserve">As of 26-Oct-2026 · data up to 25-Oct · stock = produced minus invoiced at each plant, aged first-in-first-out from the production date · MT</t>
  </si>
  <si>
    <t xml:space="preserve">Priority</t>
  </si>
  <si>
    <t xml:space="preserve">SKU</t>
  </si>
  <si>
    <t xml:space="preserve">Over 30 days (MT)</t>
  </si>
  <si>
    <t xml:space="preserve">31-60 days (MT)</t>
  </si>
  <si>
    <t xml:space="preserve">61-90 days (MT)</t>
  </si>
  <si>
    <t xml:space="preserve">90+ days (MT)</t>
  </si>
  <si>
    <t xml:space="preserve">Oldest batch (days)</t>
  </si>
  <si>
    <t xml:space="preserve">Total on hand (MT)</t>
  </si>
  <si>
    <t xml:space="preserve">Sold since 19-Oct (MT)</t>
  </si>
  <si>
    <t xml:space="preserve">P1: oldest batch over 90 days</t>
  </si>
  <si>
    <t xml:space="preserve">CHS 50 NB x 2.0</t>
  </si>
  <si>
    <t xml:space="preserve">CHS 80 NB x 2.5</t>
  </si>
  <si>
    <t xml:space="preserve">CHS 32 NB x 2.5</t>
  </si>
  <si>
    <t xml:space="preserve">CHS 40 NB x 2.0</t>
  </si>
  <si>
    <t xml:space="preserve">RHS 75x25 x 2.8</t>
  </si>
  <si>
    <t xml:space="preserve">CHS 80 NB x 2.0</t>
  </si>
  <si>
    <t xml:space="preserve">CHS 40 NB x 4.0</t>
  </si>
  <si>
    <t xml:space="preserve">CHS 80 NB x 1.6</t>
  </si>
  <si>
    <t xml:space="preserve">CHS 50 NB x 2.5</t>
  </si>
  <si>
    <t xml:space="preserve">CHS 20 NB x 1.6</t>
  </si>
  <si>
    <t xml:space="preserve">RHS 75x25 x 2.0</t>
  </si>
  <si>
    <t xml:space="preserve">CHS 20 NB x 2.8</t>
  </si>
  <si>
    <t xml:space="preserve">SHS 38x38 x 2.2</t>
  </si>
  <si>
    <t xml:space="preserve">CHS 40 NB x 2.5</t>
  </si>
  <si>
    <t xml:space="preserve">CHS 65 NB x 2.5</t>
  </si>
  <si>
    <t xml:space="preserve">RHS 75x25 x 2.5</t>
  </si>
  <si>
    <t xml:space="preserve">RHS 40x20 x 3.0</t>
  </si>
  <si>
    <t xml:space="preserve">CHS 80 NB x 2.8</t>
  </si>
  <si>
    <t xml:space="preserve">CHS 50 NB x 2.8</t>
  </si>
  <si>
    <t xml:space="preserve">CHS 20 NB x 2.5</t>
  </si>
  <si>
    <t xml:space="preserve">SHS 60x60 x 2.5</t>
  </si>
  <si>
    <t xml:space="preserve">SHS 30x30 x 2.5</t>
  </si>
  <si>
    <t xml:space="preserve">CHS 25 NB x 2.5</t>
  </si>
  <si>
    <t xml:space="preserve">RHS 100x50 x 2.8</t>
  </si>
  <si>
    <t xml:space="preserve">SHS 50x50 x 2.2</t>
  </si>
  <si>
    <t xml:space="preserve">CHS 50 NB x 1.6</t>
  </si>
  <si>
    <t xml:space="preserve">RHS 100x50 x 3.2</t>
  </si>
  <si>
    <t xml:space="preserve">RHS 50x25 x 2.8</t>
  </si>
  <si>
    <t xml:space="preserve">RHS 40x20 x 2.8</t>
  </si>
  <si>
    <t xml:space="preserve">SHS 75x75 x 2.0</t>
  </si>
  <si>
    <t xml:space="preserve">SHS 75x75 x 2.5</t>
  </si>
  <si>
    <t xml:space="preserve">RHS 40x20 x 2.2</t>
  </si>
  <si>
    <t xml:space="preserve">SHS 38x38 x 4.0</t>
  </si>
  <si>
    <t xml:space="preserve">CHS 65 NB x 4.0</t>
  </si>
  <si>
    <t xml:space="preserve">P2: oldest batch 61-90 days</t>
  </si>
  <si>
    <t xml:space="preserve">SHS 38x38 x 2.8</t>
  </si>
  <si>
    <t xml:space="preserve">CHS 25 NB x 1.6</t>
  </si>
  <si>
    <t xml:space="preserve">CHS 32 NB x 2.0</t>
  </si>
  <si>
    <t xml:space="preserve">CHS 80 NB x 3.2</t>
  </si>
  <si>
    <t xml:space="preserve">CHS 25 NB x 2.0</t>
  </si>
  <si>
    <t xml:space="preserve">RHS 50x25 x 2.5</t>
  </si>
  <si>
    <t xml:space="preserve">RHS 100x50 x 2.5</t>
  </si>
  <si>
    <t xml:space="preserve">CHS 80 NB x 4.0</t>
  </si>
  <si>
    <t xml:space="preserve">SHS 30x30 x 1.6</t>
  </si>
  <si>
    <t xml:space="preserve">P3: 31-60 days</t>
  </si>
  <si>
    <t xml:space="preserve">SHS 50x50 x 2.8</t>
  </si>
  <si>
    <t xml:space="preserve">CHS 65 NB x 2.0</t>
  </si>
  <si>
    <t xml:space="preserve">CHS 40 NB x 2.8</t>
  </si>
  <si>
    <t xml:space="preserve">new</t>
  </si>
  <si>
    <t xml:space="preserve">RHS 60x40 x 2.5</t>
  </si>
  <si>
    <t xml:space="preserve">SHS 60x60 x 4.0</t>
  </si>
  <si>
    <t xml:space="preserve">CHS 65 NB x 2.8</t>
  </si>
  <si>
    <t xml:space="preserve">RHS 80x40 x 2.0</t>
  </si>
  <si>
    <t xml:space="preserve">RHS 40x20 x 2.0</t>
  </si>
  <si>
    <t xml:space="preserve">RHS 80x40 x 2.8</t>
  </si>
  <si>
    <t xml:space="preserve">CHS 20 NB x 2.0</t>
  </si>
  <si>
    <t xml:space="preserve">SHS 50x50 x 4.0</t>
  </si>
  <si>
    <t xml:space="preserve">RHS 50x25 x 2.0</t>
  </si>
  <si>
    <t xml:space="preserve">CHS 32 NB x 4.0</t>
  </si>
  <si>
    <t xml:space="preserve">RHS 60x40 x 2.0</t>
  </si>
  <si>
    <t xml:space="preserve">SHS 38x38 x 2.5</t>
  </si>
  <si>
    <t xml:space="preserve">SHS 50x50 x 2.5</t>
  </si>
  <si>
    <t xml:space="preserve">RHS 80x40 x 2.5</t>
  </si>
  <si>
    <t xml:space="preserve">CHS 50 NB x 3.2</t>
  </si>
  <si>
    <t xml:space="preserve">CHS 32 NB x 1.6</t>
  </si>
  <si>
    <t xml:space="preserve">RHS 40x20 x 1.2</t>
  </si>
  <si>
    <t xml:space="preserve">RHS 80x40 x 3.0</t>
  </si>
  <si>
    <t xml:space="preserve">RHS 60x40 x 3.0</t>
  </si>
  <si>
    <t xml:space="preserve">SHS 50x50 x 2.0</t>
  </si>
  <si>
    <t xml:space="preserve">RHS 50x25 x 1.6</t>
  </si>
  <si>
    <t xml:space="preserve">RHS 80x40 x 1.6</t>
  </si>
  <si>
    <t xml:space="preserve">SHS 132x132 x 3.0</t>
  </si>
  <si>
    <t xml:space="preserve">SHS 132x132 x 4.0</t>
  </si>
  <si>
    <t xml:space="preserve">RHS 200x100 x 3.0</t>
  </si>
  <si>
    <t xml:space="preserve">SHS 72x72 x 5.0</t>
  </si>
  <si>
    <t xml:space="preserve">RHS 200x100 x 5.0</t>
  </si>
  <si>
    <t xml:space="preserve">RHS 145x82 x 3.0</t>
  </si>
  <si>
    <t xml:space="preserve">RHS 145x82 x 4.0</t>
  </si>
  <si>
    <t xml:space="preserve">SHS 40x40 x 2.0</t>
  </si>
  <si>
    <t xml:space="preserve">SHS 40x40 x 3.0</t>
  </si>
  <si>
    <t xml:space="preserve">SHS 100x100 x 5.0</t>
  </si>
  <si>
    <t xml:space="preserve">RHS 200x100 x 4.0</t>
  </si>
  <si>
    <t xml:space="preserve">SHS 72x72 x 2.0</t>
  </si>
  <si>
    <t xml:space="preserve">SHS 72x72 x 2.5</t>
  </si>
  <si>
    <t xml:space="preserve">SHS 100x100 x 3.0</t>
  </si>
  <si>
    <t xml:space="preserve">SHS 100x100 x 2.0</t>
  </si>
  <si>
    <t xml:space="preserve">SHS 100x100 x 2.5</t>
  </si>
  <si>
    <t xml:space="preserve">Total (follows the filter)</t>
  </si>
  <si>
    <t xml:space="preserve">How to read this sheet</t>
  </si>
  <si>
    <t xml:space="preserve">Priority is set by the age of the oldest batch still in stock: P1 over 90 days, P2 61-90 days, P3 31-60 days.</t>
  </si>
  <si>
    <t xml:space="preserve">The three age columns split each SKU's over-30-day tonnage by bracket; "Over 30 days" is their sum.</t>
  </si>
  <si>
    <t xml:space="preserve">"Sold since 19-Oct" = tonnes of that SKU's aged stock invoiced since last week's mail. 0 (red) = nothing moved; "new" = crossed 30 days this week.</t>
  </si>
  <si>
    <t xml:space="preserve">Sells to: Hyderabad and Lepakshi serve South distributors; NPMD and Tapi serve West.</t>
  </si>
  <si>
    <t xml:space="preserve">Use the filter arrows on the header row to pick a plant, region or priority; the Total row follows the filter.</t>
  </si>
  <si>
    <t xml:space="preserve">SKUs that sold out completely since 19-Oct are not listed (no stock over 30 days left), so "Sold since 19-Oct" is not totalled here. Total sold from last week's aged stock: 87.9 MT (see the email).</t>
  </si>
  <si>
    <t xml:space="preserve">Totals add rows already rounded to 2 decimals, so they can differ by 0.1 MT from the email (e.g. 757.34 here, 757.4 there).</t>
  </si>
  <si>
    <t xml:space="preserve">Figures come from the system. Please check availability with the plant before committing quantities.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</si>
</sst>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-#,##0.0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sz val="10"/>
      <color rgb="FF1E6B34"/>
      <name val="Arial"/>
      <family val="0"/>
      <charset val="1"/>
    </font>
    <font>
      <i val="true"/>
      <sz val="10"/>
      <color rgb="FF8A5300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6"/>
        <bgColor rgb="FFFFFFFF"/>
      </patternFill>
    </fill>
    <fill>
      <patternFill patternType="solid">
        <fgColor rgb="FFFBE3E1"/>
        <bgColor rgb="FFFFF1D6"/>
      </patternFill>
    </fill>
    <fill>
      <patternFill patternType="solid">
        <fgColor rgb="FFFFF1D6"/>
        <bgColor rgb="FFFFF9DB"/>
      </patternFill>
    </fill>
    <fill>
      <patternFill patternType="solid">
        <fgColor rgb="FFFFF9DB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BE3E1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8A5300"/>
          <bgColor rgb="FF000000"/>
        </patternFill>
      </fill>
    </dxf>
    <dxf>
      <fill>
        <patternFill patternType="solid">
          <fgColor rgb="FF9B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A5300"/>
      <rgbColor rgb="FF800080"/>
      <rgbColor rgb="FF008080"/>
      <rgbColor rgb="FFC0C0C0"/>
      <rgbColor rgb="FF808080"/>
      <rgbColor rgb="FF9999FF"/>
      <rgbColor rgb="FF993366"/>
      <rgbColor rgb="FFFFF9DB"/>
      <rgbColor rgb="FFEEF2F6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1D6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7" min="5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4" t="n">
        <f aca="false">COUNTIF('Over 30 days'!$B$5:$B$92,A4)</f>
        <v>63</v>
      </c>
      <c r="D4" s="5" t="n">
        <f aca="false">SUMIF('Over 30 days'!$B$5:$B$92,A4,'Over 30 days'!$E$5:$E$92)</f>
        <v>488.19</v>
      </c>
      <c r="E4" s="6" t="n">
        <f aca="false">SUMIF('Over 30 days'!$B$5:$B$92,A4,'Over 30 days'!$F$5:$F$92)</f>
        <v>187.9</v>
      </c>
      <c r="F4" s="6" t="n">
        <f aca="false">SUMIF('Over 30 days'!$B$5:$B$92,A4,'Over 30 days'!$G$5:$G$92)</f>
        <v>50.49</v>
      </c>
      <c r="G4" s="6" t="n">
        <f aca="false">SUMIF('Over 30 days'!$B$5:$B$92,A4,'Over 30 days'!$H$5:$H$92)</f>
        <v>249.8</v>
      </c>
    </row>
    <row r="5" customFormat="false" ht="15" hidden="false" customHeight="false" outlineLevel="0" collapsed="false">
      <c r="A5" s="3" t="s">
        <v>10</v>
      </c>
      <c r="B5" s="4" t="s">
        <v>11</v>
      </c>
      <c r="C5" s="4" t="n">
        <f aca="false">COUNTIF('Over 30 days'!$B$5:$B$92,A5)</f>
        <v>6</v>
      </c>
      <c r="D5" s="5" t="n">
        <f aca="false">SUMIF('Over 30 days'!$B$5:$B$92,A5,'Over 30 days'!$E$5:$E$92)</f>
        <v>156.85</v>
      </c>
      <c r="E5" s="6" t="n">
        <f aca="false">SUMIF('Over 30 days'!$B$5:$B$92,A5,'Over 30 days'!$F$5:$F$92)</f>
        <v>156.85</v>
      </c>
      <c r="F5" s="6" t="n">
        <f aca="false">SUMIF('Over 30 days'!$B$5:$B$92,A5,'Over 30 days'!$G$5:$G$92)</f>
        <v>0</v>
      </c>
      <c r="G5" s="6" t="n">
        <f aca="false">SUMIF('Over 30 days'!$B$5:$B$92,A5,'Over 30 days'!$H$5:$H$92)</f>
        <v>0</v>
      </c>
    </row>
    <row r="6" customFormat="false" ht="15" hidden="false" customHeight="false" outlineLevel="0" collapsed="false">
      <c r="A6" s="3" t="s">
        <v>12</v>
      </c>
      <c r="B6" s="4" t="s">
        <v>11</v>
      </c>
      <c r="C6" s="4" t="n">
        <f aca="false">COUNTIF('Over 30 days'!$B$5:$B$92,A6)</f>
        <v>12</v>
      </c>
      <c r="D6" s="5" t="n">
        <f aca="false">SUMIF('Over 30 days'!$B$5:$B$92,A6,'Over 30 days'!$E$5:$E$92)</f>
        <v>36.69</v>
      </c>
      <c r="E6" s="6" t="n">
        <f aca="false">SUMIF('Over 30 days'!$B$5:$B$92,A6,'Over 30 days'!$F$5:$F$92)</f>
        <v>36.69</v>
      </c>
      <c r="F6" s="6" t="n">
        <f aca="false">SUMIF('Over 30 days'!$B$5:$B$92,A6,'Over 30 days'!$G$5:$G$92)</f>
        <v>0</v>
      </c>
      <c r="G6" s="6" t="n">
        <f aca="false">SUMIF('Over 30 days'!$B$5:$B$92,A6,'Over 30 days'!$H$5:$H$92)</f>
        <v>0</v>
      </c>
    </row>
    <row r="7" customFormat="false" ht="15" hidden="false" customHeight="false" outlineLevel="0" collapsed="false">
      <c r="A7" s="3" t="s">
        <v>13</v>
      </c>
      <c r="B7" s="4" t="s">
        <v>9</v>
      </c>
      <c r="C7" s="4" t="n">
        <f aca="false">COUNTIF('Over 30 days'!$B$5:$B$92,A7)</f>
        <v>7</v>
      </c>
      <c r="D7" s="5" t="n">
        <f aca="false">SUMIF('Over 30 days'!$B$5:$B$92,A7,'Over 30 days'!$E$5:$E$92)</f>
        <v>75.61</v>
      </c>
      <c r="E7" s="6" t="n">
        <f aca="false">SUMIF('Over 30 days'!$B$5:$B$92,A7,'Over 30 days'!$F$5:$F$92)</f>
        <v>75.61</v>
      </c>
      <c r="F7" s="6" t="n">
        <f aca="false">SUMIF('Over 30 days'!$B$5:$B$92,A7,'Over 30 days'!$G$5:$G$92)</f>
        <v>0</v>
      </c>
      <c r="G7" s="6" t="n">
        <f aca="false">SUMIF('Over 30 days'!$B$5:$B$92,A7,'Over 30 days'!$H$5:$H$92)</f>
        <v>0</v>
      </c>
    </row>
    <row r="8" customFormat="false" ht="15" hidden="false" customHeight="false" outlineLevel="0" collapsed="false">
      <c r="A8" s="7" t="s">
        <v>14</v>
      </c>
      <c r="B8" s="7"/>
      <c r="C8" s="7" t="n">
        <f aca="false">SUM(C4:C7)</f>
        <v>88</v>
      </c>
      <c r="D8" s="8" t="n">
        <f aca="false">SUM(D4:D7)</f>
        <v>757.34</v>
      </c>
      <c r="E8" s="8" t="n">
        <f aca="false">SUM(E4:E7)</f>
        <v>457.05</v>
      </c>
      <c r="F8" s="8" t="n">
        <f aca="false">SUM(F4:F7)</f>
        <v>50.49</v>
      </c>
      <c r="G8" s="8" t="n">
        <f aca="false">SUM(G4:G7)</f>
        <v>249.8</v>
      </c>
    </row>
    <row r="10" customFormat="false" ht="15" hidden="false" customHeight="false" outlineLevel="0" collapsed="false">
      <c r="A10" s="9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16.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10" t="s">
        <v>17</v>
      </c>
    </row>
    <row r="4" customFormat="false" ht="30" hidden="false" customHeight="true" outlineLevel="0" collapsed="false">
      <c r="A4" s="11" t="s">
        <v>18</v>
      </c>
      <c r="B4" s="11" t="s">
        <v>1</v>
      </c>
      <c r="C4" s="11" t="s">
        <v>2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</row>
    <row r="5" customFormat="false" ht="15" hidden="false" customHeight="false" outlineLevel="0" collapsed="false">
      <c r="A5" s="12" t="s">
        <v>27</v>
      </c>
      <c r="B5" s="4" t="s">
        <v>8</v>
      </c>
      <c r="C5" s="4" t="s">
        <v>9</v>
      </c>
      <c r="D5" s="4" t="s">
        <v>28</v>
      </c>
      <c r="E5" s="5" t="n">
        <f aca="false">SUM(F5:H5)</f>
        <v>32.81</v>
      </c>
      <c r="F5" s="6" t="n">
        <v>0</v>
      </c>
      <c r="G5" s="6" t="n">
        <v>0</v>
      </c>
      <c r="H5" s="13" t="n">
        <v>32.81</v>
      </c>
      <c r="I5" s="4" t="n">
        <v>125</v>
      </c>
      <c r="J5" s="6" t="n">
        <v>32.81</v>
      </c>
      <c r="K5" s="14" t="n">
        <v>0</v>
      </c>
    </row>
    <row r="6" customFormat="false" ht="15" hidden="false" customHeight="false" outlineLevel="0" collapsed="false">
      <c r="A6" s="12" t="s">
        <v>27</v>
      </c>
      <c r="B6" s="4" t="s">
        <v>8</v>
      </c>
      <c r="C6" s="4" t="s">
        <v>9</v>
      </c>
      <c r="D6" s="4" t="s">
        <v>29</v>
      </c>
      <c r="E6" s="5" t="n">
        <f aca="false">SUM(F6:H6)</f>
        <v>29.9</v>
      </c>
      <c r="F6" s="6" t="n">
        <v>0</v>
      </c>
      <c r="G6" s="6" t="n">
        <v>8.95</v>
      </c>
      <c r="H6" s="13" t="n">
        <v>20.95</v>
      </c>
      <c r="I6" s="4" t="n">
        <v>111</v>
      </c>
      <c r="J6" s="6" t="n">
        <v>34.35</v>
      </c>
      <c r="K6" s="14" t="n">
        <v>0</v>
      </c>
    </row>
    <row r="7" customFormat="false" ht="15" hidden="false" customHeight="false" outlineLevel="0" collapsed="false">
      <c r="A7" s="12" t="s">
        <v>27</v>
      </c>
      <c r="B7" s="4" t="s">
        <v>8</v>
      </c>
      <c r="C7" s="4" t="s">
        <v>9</v>
      </c>
      <c r="D7" s="4" t="s">
        <v>30</v>
      </c>
      <c r="E7" s="5" t="n">
        <f aca="false">SUM(F7:H7)</f>
        <v>25.54</v>
      </c>
      <c r="F7" s="6" t="n">
        <v>0</v>
      </c>
      <c r="G7" s="6" t="n">
        <v>0</v>
      </c>
      <c r="H7" s="13" t="n">
        <v>25.54</v>
      </c>
      <c r="I7" s="4" t="n">
        <v>108</v>
      </c>
      <c r="J7" s="6" t="n">
        <v>29.84</v>
      </c>
      <c r="K7" s="14" t="n">
        <v>0</v>
      </c>
    </row>
    <row r="8" customFormat="false" ht="15" hidden="false" customHeight="false" outlineLevel="0" collapsed="false">
      <c r="A8" s="12" t="s">
        <v>27</v>
      </c>
      <c r="B8" s="4" t="s">
        <v>8</v>
      </c>
      <c r="C8" s="4" t="s">
        <v>9</v>
      </c>
      <c r="D8" s="4" t="s">
        <v>31</v>
      </c>
      <c r="E8" s="5" t="n">
        <f aca="false">SUM(F8:H8)</f>
        <v>24.64</v>
      </c>
      <c r="F8" s="6" t="n">
        <v>20.53</v>
      </c>
      <c r="G8" s="6" t="n">
        <v>0</v>
      </c>
      <c r="H8" s="13" t="n">
        <v>4.11</v>
      </c>
      <c r="I8" s="4" t="n">
        <v>101</v>
      </c>
      <c r="J8" s="6" t="n">
        <v>24.63</v>
      </c>
      <c r="K8" s="15" t="n">
        <v>2</v>
      </c>
    </row>
    <row r="9" customFormat="false" ht="15" hidden="false" customHeight="false" outlineLevel="0" collapsed="false">
      <c r="A9" s="12" t="s">
        <v>27</v>
      </c>
      <c r="B9" s="4" t="s">
        <v>8</v>
      </c>
      <c r="C9" s="4" t="s">
        <v>9</v>
      </c>
      <c r="D9" s="4" t="s">
        <v>32</v>
      </c>
      <c r="E9" s="5" t="n">
        <f aca="false">SUM(F9:H9)</f>
        <v>20.02</v>
      </c>
      <c r="F9" s="6" t="n">
        <v>0</v>
      </c>
      <c r="G9" s="6" t="n">
        <v>0</v>
      </c>
      <c r="H9" s="13" t="n">
        <v>20.02</v>
      </c>
      <c r="I9" s="4" t="n">
        <v>186</v>
      </c>
      <c r="J9" s="6" t="n">
        <v>20.02</v>
      </c>
      <c r="K9" s="14" t="n">
        <v>0</v>
      </c>
    </row>
    <row r="10" customFormat="false" ht="15" hidden="false" customHeight="false" outlineLevel="0" collapsed="false">
      <c r="A10" s="12" t="s">
        <v>27</v>
      </c>
      <c r="B10" s="4" t="s">
        <v>8</v>
      </c>
      <c r="C10" s="4" t="s">
        <v>9</v>
      </c>
      <c r="D10" s="4" t="s">
        <v>33</v>
      </c>
      <c r="E10" s="5" t="n">
        <f aca="false">SUM(F10:H10)</f>
        <v>16.97</v>
      </c>
      <c r="F10" s="6" t="n">
        <v>0</v>
      </c>
      <c r="G10" s="6" t="n">
        <v>0</v>
      </c>
      <c r="H10" s="13" t="n">
        <v>16.97</v>
      </c>
      <c r="I10" s="4" t="n">
        <v>111</v>
      </c>
      <c r="J10" s="6" t="n">
        <v>16.97</v>
      </c>
      <c r="K10" s="15" t="n">
        <v>2.1</v>
      </c>
    </row>
    <row r="11" customFormat="false" ht="15" hidden="false" customHeight="false" outlineLevel="0" collapsed="false">
      <c r="A11" s="12" t="s">
        <v>27</v>
      </c>
      <c r="B11" s="4" t="s">
        <v>8</v>
      </c>
      <c r="C11" s="4" t="s">
        <v>9</v>
      </c>
      <c r="D11" s="4" t="s">
        <v>34</v>
      </c>
      <c r="E11" s="5" t="n">
        <f aca="false">SUM(F11:H11)</f>
        <v>15.99</v>
      </c>
      <c r="F11" s="6" t="n">
        <v>0</v>
      </c>
      <c r="G11" s="6" t="n">
        <v>0</v>
      </c>
      <c r="H11" s="13" t="n">
        <v>15.99</v>
      </c>
      <c r="I11" s="4" t="n">
        <v>125</v>
      </c>
      <c r="J11" s="6" t="n">
        <v>15.99</v>
      </c>
      <c r="K11" s="14" t="n">
        <v>0</v>
      </c>
    </row>
    <row r="12" customFormat="false" ht="15" hidden="false" customHeight="false" outlineLevel="0" collapsed="false">
      <c r="A12" s="12" t="s">
        <v>27</v>
      </c>
      <c r="B12" s="4" t="s">
        <v>8</v>
      </c>
      <c r="C12" s="4" t="s">
        <v>9</v>
      </c>
      <c r="D12" s="4" t="s">
        <v>35</v>
      </c>
      <c r="E12" s="5" t="n">
        <f aca="false">SUM(F12:H12)</f>
        <v>15.21</v>
      </c>
      <c r="F12" s="6" t="n">
        <v>0</v>
      </c>
      <c r="G12" s="6" t="n">
        <v>0</v>
      </c>
      <c r="H12" s="13" t="n">
        <v>15.21</v>
      </c>
      <c r="I12" s="4" t="n">
        <v>110</v>
      </c>
      <c r="J12" s="6" t="n">
        <v>15.21</v>
      </c>
      <c r="K12" s="14" t="n">
        <v>0</v>
      </c>
    </row>
    <row r="13" customFormat="false" ht="15" hidden="false" customHeight="false" outlineLevel="0" collapsed="false">
      <c r="A13" s="12" t="s">
        <v>27</v>
      </c>
      <c r="B13" s="4" t="s">
        <v>8</v>
      </c>
      <c r="C13" s="4" t="s">
        <v>9</v>
      </c>
      <c r="D13" s="4" t="s">
        <v>36</v>
      </c>
      <c r="E13" s="5" t="n">
        <f aca="false">SUM(F13:H13)</f>
        <v>14.04</v>
      </c>
      <c r="F13" s="6" t="n">
        <v>0</v>
      </c>
      <c r="G13" s="6" t="n">
        <v>0</v>
      </c>
      <c r="H13" s="13" t="n">
        <v>14.04</v>
      </c>
      <c r="I13" s="4" t="n">
        <v>124</v>
      </c>
      <c r="J13" s="6" t="n">
        <v>14.04</v>
      </c>
      <c r="K13" s="14" t="n">
        <v>0</v>
      </c>
    </row>
    <row r="14" customFormat="false" ht="15" hidden="false" customHeight="false" outlineLevel="0" collapsed="false">
      <c r="A14" s="12" t="s">
        <v>27</v>
      </c>
      <c r="B14" s="4" t="s">
        <v>8</v>
      </c>
      <c r="C14" s="4" t="s">
        <v>9</v>
      </c>
      <c r="D14" s="4" t="s">
        <v>37</v>
      </c>
      <c r="E14" s="5" t="n">
        <f aca="false">SUM(F14:H14)</f>
        <v>10.77</v>
      </c>
      <c r="F14" s="6" t="n">
        <v>0</v>
      </c>
      <c r="G14" s="6" t="n">
        <v>0</v>
      </c>
      <c r="H14" s="13" t="n">
        <v>10.77</v>
      </c>
      <c r="I14" s="4" t="n">
        <v>96</v>
      </c>
      <c r="J14" s="6" t="n">
        <v>20.34</v>
      </c>
      <c r="K14" s="14" t="n">
        <v>0</v>
      </c>
    </row>
    <row r="15" customFormat="false" ht="15" hidden="false" customHeight="false" outlineLevel="0" collapsed="false">
      <c r="A15" s="12" t="s">
        <v>27</v>
      </c>
      <c r="B15" s="4" t="s">
        <v>8</v>
      </c>
      <c r="C15" s="4" t="s">
        <v>9</v>
      </c>
      <c r="D15" s="4" t="s">
        <v>38</v>
      </c>
      <c r="E15" s="5" t="n">
        <f aca="false">SUM(F15:H15)</f>
        <v>9.59</v>
      </c>
      <c r="F15" s="6" t="n">
        <v>0</v>
      </c>
      <c r="G15" s="6" t="n">
        <v>0</v>
      </c>
      <c r="H15" s="13" t="n">
        <v>9.59</v>
      </c>
      <c r="I15" s="4" t="n">
        <v>184</v>
      </c>
      <c r="J15" s="6" t="n">
        <v>9.59</v>
      </c>
      <c r="K15" s="15" t="n">
        <v>4.1</v>
      </c>
    </row>
    <row r="16" customFormat="false" ht="15" hidden="false" customHeight="false" outlineLevel="0" collapsed="false">
      <c r="A16" s="12" t="s">
        <v>27</v>
      </c>
      <c r="B16" s="4" t="s">
        <v>8</v>
      </c>
      <c r="C16" s="4" t="s">
        <v>9</v>
      </c>
      <c r="D16" s="4" t="s">
        <v>39</v>
      </c>
      <c r="E16" s="5" t="n">
        <f aca="false">SUM(F16:H16)</f>
        <v>8.39</v>
      </c>
      <c r="F16" s="6" t="n">
        <v>0</v>
      </c>
      <c r="G16" s="6" t="n">
        <v>0</v>
      </c>
      <c r="H16" s="13" t="n">
        <v>8.39</v>
      </c>
      <c r="I16" s="4" t="n">
        <v>133</v>
      </c>
      <c r="J16" s="6" t="n">
        <v>9.69</v>
      </c>
      <c r="K16" s="14" t="n">
        <v>0</v>
      </c>
    </row>
    <row r="17" customFormat="false" ht="15" hidden="false" customHeight="false" outlineLevel="0" collapsed="false">
      <c r="A17" s="12" t="s">
        <v>27</v>
      </c>
      <c r="B17" s="4" t="s">
        <v>8</v>
      </c>
      <c r="C17" s="4" t="s">
        <v>9</v>
      </c>
      <c r="D17" s="4" t="s">
        <v>40</v>
      </c>
      <c r="E17" s="5" t="n">
        <f aca="false">SUM(F17:H17)</f>
        <v>6.79</v>
      </c>
      <c r="F17" s="6" t="n">
        <v>0</v>
      </c>
      <c r="G17" s="6" t="n">
        <v>0</v>
      </c>
      <c r="H17" s="13" t="n">
        <v>6.79</v>
      </c>
      <c r="I17" s="4" t="n">
        <v>208</v>
      </c>
      <c r="J17" s="6" t="n">
        <v>6.79</v>
      </c>
      <c r="K17" s="14" t="n">
        <v>0</v>
      </c>
    </row>
    <row r="18" customFormat="false" ht="15" hidden="false" customHeight="false" outlineLevel="0" collapsed="false">
      <c r="A18" s="12" t="s">
        <v>27</v>
      </c>
      <c r="B18" s="4" t="s">
        <v>8</v>
      </c>
      <c r="C18" s="4" t="s">
        <v>9</v>
      </c>
      <c r="D18" s="4" t="s">
        <v>41</v>
      </c>
      <c r="E18" s="5" t="n">
        <f aca="false">SUM(F18:H18)</f>
        <v>6.12</v>
      </c>
      <c r="F18" s="6" t="n">
        <v>0</v>
      </c>
      <c r="G18" s="6" t="n">
        <v>0</v>
      </c>
      <c r="H18" s="13" t="n">
        <v>6.12</v>
      </c>
      <c r="I18" s="4" t="n">
        <v>128</v>
      </c>
      <c r="J18" s="6" t="n">
        <v>6.12</v>
      </c>
      <c r="K18" s="14" t="n">
        <v>0</v>
      </c>
    </row>
    <row r="19" customFormat="false" ht="15" hidden="false" customHeight="false" outlineLevel="0" collapsed="false">
      <c r="A19" s="12" t="s">
        <v>27</v>
      </c>
      <c r="B19" s="4" t="s">
        <v>8</v>
      </c>
      <c r="C19" s="4" t="s">
        <v>9</v>
      </c>
      <c r="D19" s="4" t="s">
        <v>42</v>
      </c>
      <c r="E19" s="5" t="n">
        <f aca="false">SUM(F19:H19)</f>
        <v>5.43</v>
      </c>
      <c r="F19" s="6" t="n">
        <v>0</v>
      </c>
      <c r="G19" s="6" t="n">
        <v>0</v>
      </c>
      <c r="H19" s="13" t="n">
        <v>5.43</v>
      </c>
      <c r="I19" s="4" t="n">
        <v>120</v>
      </c>
      <c r="J19" s="6" t="n">
        <v>5.43</v>
      </c>
      <c r="K19" s="14" t="n">
        <v>0</v>
      </c>
    </row>
    <row r="20" customFormat="false" ht="15" hidden="false" customHeight="false" outlineLevel="0" collapsed="false">
      <c r="A20" s="12" t="s">
        <v>27</v>
      </c>
      <c r="B20" s="4" t="s">
        <v>8</v>
      </c>
      <c r="C20" s="4" t="s">
        <v>9</v>
      </c>
      <c r="D20" s="4" t="s">
        <v>43</v>
      </c>
      <c r="E20" s="5" t="n">
        <f aca="false">SUM(F20:H20)</f>
        <v>5.14</v>
      </c>
      <c r="F20" s="6" t="n">
        <v>0</v>
      </c>
      <c r="G20" s="6" t="n">
        <v>0</v>
      </c>
      <c r="H20" s="13" t="n">
        <v>5.14</v>
      </c>
      <c r="I20" s="4" t="n">
        <v>182</v>
      </c>
      <c r="J20" s="6" t="n">
        <v>5.14</v>
      </c>
      <c r="K20" s="14" t="n">
        <v>0</v>
      </c>
    </row>
    <row r="21" customFormat="false" ht="15" hidden="false" customHeight="false" outlineLevel="0" collapsed="false">
      <c r="A21" s="12" t="s">
        <v>27</v>
      </c>
      <c r="B21" s="4" t="s">
        <v>8</v>
      </c>
      <c r="C21" s="4" t="s">
        <v>9</v>
      </c>
      <c r="D21" s="4" t="s">
        <v>44</v>
      </c>
      <c r="E21" s="5" t="n">
        <f aca="false">SUM(F21:H21)</f>
        <v>3.78</v>
      </c>
      <c r="F21" s="6" t="n">
        <v>0</v>
      </c>
      <c r="G21" s="6" t="n">
        <v>0</v>
      </c>
      <c r="H21" s="13" t="n">
        <v>3.78</v>
      </c>
      <c r="I21" s="4" t="n">
        <v>138</v>
      </c>
      <c r="J21" s="6" t="n">
        <v>3.78</v>
      </c>
      <c r="K21" s="14" t="n">
        <v>0</v>
      </c>
    </row>
    <row r="22" customFormat="false" ht="15" hidden="false" customHeight="false" outlineLevel="0" collapsed="false">
      <c r="A22" s="12" t="s">
        <v>27</v>
      </c>
      <c r="B22" s="4" t="s">
        <v>8</v>
      </c>
      <c r="C22" s="4" t="s">
        <v>9</v>
      </c>
      <c r="D22" s="4" t="s">
        <v>45</v>
      </c>
      <c r="E22" s="5" t="n">
        <f aca="false">SUM(F22:H22)</f>
        <v>3.41</v>
      </c>
      <c r="F22" s="6" t="n">
        <v>0</v>
      </c>
      <c r="G22" s="6" t="n">
        <v>0</v>
      </c>
      <c r="H22" s="13" t="n">
        <v>3.41</v>
      </c>
      <c r="I22" s="4" t="n">
        <v>110</v>
      </c>
      <c r="J22" s="6" t="n">
        <v>3.41</v>
      </c>
      <c r="K22" s="14" t="n">
        <v>0</v>
      </c>
    </row>
    <row r="23" customFormat="false" ht="15" hidden="false" customHeight="false" outlineLevel="0" collapsed="false">
      <c r="A23" s="12" t="s">
        <v>27</v>
      </c>
      <c r="B23" s="4" t="s">
        <v>8</v>
      </c>
      <c r="C23" s="4" t="s">
        <v>9</v>
      </c>
      <c r="D23" s="4" t="s">
        <v>46</v>
      </c>
      <c r="E23" s="5" t="n">
        <f aca="false">SUM(F23:H23)</f>
        <v>3.32</v>
      </c>
      <c r="F23" s="6" t="n">
        <v>0</v>
      </c>
      <c r="G23" s="6" t="n">
        <v>0</v>
      </c>
      <c r="H23" s="13" t="n">
        <v>3.32</v>
      </c>
      <c r="I23" s="4" t="n">
        <v>100</v>
      </c>
      <c r="J23" s="6" t="n">
        <v>3.32</v>
      </c>
      <c r="K23" s="14" t="n">
        <v>0</v>
      </c>
    </row>
    <row r="24" customFormat="false" ht="15" hidden="false" customHeight="false" outlineLevel="0" collapsed="false">
      <c r="A24" s="12" t="s">
        <v>27</v>
      </c>
      <c r="B24" s="4" t="s">
        <v>8</v>
      </c>
      <c r="C24" s="4" t="s">
        <v>9</v>
      </c>
      <c r="D24" s="4" t="s">
        <v>47</v>
      </c>
      <c r="E24" s="5" t="n">
        <f aca="false">SUM(F24:H24)</f>
        <v>2.87</v>
      </c>
      <c r="F24" s="6" t="n">
        <v>0</v>
      </c>
      <c r="G24" s="6" t="n">
        <v>0</v>
      </c>
      <c r="H24" s="13" t="n">
        <v>2.87</v>
      </c>
      <c r="I24" s="4" t="n">
        <v>96</v>
      </c>
      <c r="J24" s="6" t="n">
        <v>10.62</v>
      </c>
      <c r="K24" s="14" t="n">
        <v>0</v>
      </c>
    </row>
    <row r="25" customFormat="false" ht="15" hidden="false" customHeight="false" outlineLevel="0" collapsed="false">
      <c r="A25" s="12" t="s">
        <v>27</v>
      </c>
      <c r="B25" s="4" t="s">
        <v>8</v>
      </c>
      <c r="C25" s="4" t="s">
        <v>9</v>
      </c>
      <c r="D25" s="4" t="s">
        <v>48</v>
      </c>
      <c r="E25" s="5" t="n">
        <f aca="false">SUM(F25:H25)</f>
        <v>2.46</v>
      </c>
      <c r="F25" s="6" t="n">
        <v>0</v>
      </c>
      <c r="G25" s="6" t="n">
        <v>0</v>
      </c>
      <c r="H25" s="13" t="n">
        <v>2.46</v>
      </c>
      <c r="I25" s="4" t="n">
        <v>119</v>
      </c>
      <c r="J25" s="6" t="n">
        <v>2.46</v>
      </c>
      <c r="K25" s="14" t="n">
        <v>0</v>
      </c>
    </row>
    <row r="26" customFormat="false" ht="15" hidden="false" customHeight="false" outlineLevel="0" collapsed="false">
      <c r="A26" s="12" t="s">
        <v>27</v>
      </c>
      <c r="B26" s="4" t="s">
        <v>8</v>
      </c>
      <c r="C26" s="4" t="s">
        <v>9</v>
      </c>
      <c r="D26" s="4" t="s">
        <v>49</v>
      </c>
      <c r="E26" s="5" t="n">
        <f aca="false">SUM(F26:H26)</f>
        <v>2.43</v>
      </c>
      <c r="F26" s="6" t="n">
        <v>0</v>
      </c>
      <c r="G26" s="6" t="n">
        <v>0</v>
      </c>
      <c r="H26" s="13" t="n">
        <v>2.43</v>
      </c>
      <c r="I26" s="4" t="n">
        <v>112</v>
      </c>
      <c r="J26" s="6" t="n">
        <v>3.45</v>
      </c>
      <c r="K26" s="14" t="n">
        <v>0</v>
      </c>
    </row>
    <row r="27" customFormat="false" ht="15" hidden="false" customHeight="false" outlineLevel="0" collapsed="false">
      <c r="A27" s="12" t="s">
        <v>27</v>
      </c>
      <c r="B27" s="4" t="s">
        <v>8</v>
      </c>
      <c r="C27" s="4" t="s">
        <v>9</v>
      </c>
      <c r="D27" s="4" t="s">
        <v>50</v>
      </c>
      <c r="E27" s="5" t="n">
        <f aca="false">SUM(F27:H27)</f>
        <v>2.3</v>
      </c>
      <c r="F27" s="6" t="n">
        <v>0</v>
      </c>
      <c r="G27" s="6" t="n">
        <v>0</v>
      </c>
      <c r="H27" s="13" t="n">
        <v>2.3</v>
      </c>
      <c r="I27" s="4" t="n">
        <v>116</v>
      </c>
      <c r="J27" s="6" t="n">
        <v>5.4</v>
      </c>
      <c r="K27" s="14" t="n">
        <v>0</v>
      </c>
    </row>
    <row r="28" customFormat="false" ht="15" hidden="false" customHeight="false" outlineLevel="0" collapsed="false">
      <c r="A28" s="12" t="s">
        <v>27</v>
      </c>
      <c r="B28" s="4" t="s">
        <v>8</v>
      </c>
      <c r="C28" s="4" t="s">
        <v>9</v>
      </c>
      <c r="D28" s="4" t="s">
        <v>51</v>
      </c>
      <c r="E28" s="5" t="n">
        <f aca="false">SUM(F28:H28)</f>
        <v>2.06</v>
      </c>
      <c r="F28" s="6" t="n">
        <v>0</v>
      </c>
      <c r="G28" s="6" t="n">
        <v>0</v>
      </c>
      <c r="H28" s="13" t="n">
        <v>2.06</v>
      </c>
      <c r="I28" s="4" t="n">
        <v>111</v>
      </c>
      <c r="J28" s="6" t="n">
        <v>2.06</v>
      </c>
      <c r="K28" s="14" t="n">
        <v>0</v>
      </c>
    </row>
    <row r="29" customFormat="false" ht="15" hidden="false" customHeight="false" outlineLevel="0" collapsed="false">
      <c r="A29" s="12" t="s">
        <v>27</v>
      </c>
      <c r="B29" s="4" t="s">
        <v>8</v>
      </c>
      <c r="C29" s="4" t="s">
        <v>9</v>
      </c>
      <c r="D29" s="4" t="s">
        <v>52</v>
      </c>
      <c r="E29" s="5" t="n">
        <f aca="false">SUM(F29:H29)</f>
        <v>1.98</v>
      </c>
      <c r="F29" s="6" t="n">
        <v>0</v>
      </c>
      <c r="G29" s="6" t="n">
        <v>0</v>
      </c>
      <c r="H29" s="13" t="n">
        <v>1.98</v>
      </c>
      <c r="I29" s="4" t="n">
        <v>208</v>
      </c>
      <c r="J29" s="6" t="n">
        <v>1.98</v>
      </c>
      <c r="K29" s="14" t="n">
        <v>0</v>
      </c>
    </row>
    <row r="30" customFormat="false" ht="15" hidden="false" customHeight="false" outlineLevel="0" collapsed="false">
      <c r="A30" s="12" t="s">
        <v>27</v>
      </c>
      <c r="B30" s="4" t="s">
        <v>8</v>
      </c>
      <c r="C30" s="4" t="s">
        <v>9</v>
      </c>
      <c r="D30" s="4" t="s">
        <v>53</v>
      </c>
      <c r="E30" s="5" t="n">
        <f aca="false">SUM(F30:H30)</f>
        <v>1.68</v>
      </c>
      <c r="F30" s="6" t="n">
        <v>0</v>
      </c>
      <c r="G30" s="6" t="n">
        <v>0</v>
      </c>
      <c r="H30" s="13" t="n">
        <v>1.68</v>
      </c>
      <c r="I30" s="4" t="n">
        <v>94</v>
      </c>
      <c r="J30" s="6" t="n">
        <v>1.68</v>
      </c>
      <c r="K30" s="15" t="n">
        <v>4.3</v>
      </c>
    </row>
    <row r="31" customFormat="false" ht="15" hidden="false" customHeight="false" outlineLevel="0" collapsed="false">
      <c r="A31" s="12" t="s">
        <v>27</v>
      </c>
      <c r="B31" s="4" t="s">
        <v>8</v>
      </c>
      <c r="C31" s="4" t="s">
        <v>9</v>
      </c>
      <c r="D31" s="4" t="s">
        <v>54</v>
      </c>
      <c r="E31" s="5" t="n">
        <f aca="false">SUM(F31:H31)</f>
        <v>1.67</v>
      </c>
      <c r="F31" s="6" t="n">
        <v>0</v>
      </c>
      <c r="G31" s="6" t="n">
        <v>0</v>
      </c>
      <c r="H31" s="13" t="n">
        <v>1.67</v>
      </c>
      <c r="I31" s="4" t="n">
        <v>163</v>
      </c>
      <c r="J31" s="6" t="n">
        <v>1.67</v>
      </c>
      <c r="K31" s="14" t="n">
        <v>0</v>
      </c>
    </row>
    <row r="32" customFormat="false" ht="15" hidden="false" customHeight="false" outlineLevel="0" collapsed="false">
      <c r="A32" s="12" t="s">
        <v>27</v>
      </c>
      <c r="B32" s="4" t="s">
        <v>8</v>
      </c>
      <c r="C32" s="4" t="s">
        <v>9</v>
      </c>
      <c r="D32" s="4" t="s">
        <v>55</v>
      </c>
      <c r="E32" s="5" t="n">
        <f aca="false">SUM(F32:H32)</f>
        <v>1.49</v>
      </c>
      <c r="F32" s="6" t="n">
        <v>0</v>
      </c>
      <c r="G32" s="6" t="n">
        <v>0</v>
      </c>
      <c r="H32" s="13" t="n">
        <v>1.49</v>
      </c>
      <c r="I32" s="4" t="n">
        <v>159</v>
      </c>
      <c r="J32" s="6" t="n">
        <v>1.49</v>
      </c>
      <c r="K32" s="14" t="n">
        <v>0</v>
      </c>
    </row>
    <row r="33" customFormat="false" ht="15" hidden="false" customHeight="false" outlineLevel="0" collapsed="false">
      <c r="A33" s="12" t="s">
        <v>27</v>
      </c>
      <c r="B33" s="4" t="s">
        <v>8</v>
      </c>
      <c r="C33" s="4" t="s">
        <v>9</v>
      </c>
      <c r="D33" s="4" t="s">
        <v>56</v>
      </c>
      <c r="E33" s="5" t="n">
        <f aca="false">SUM(F33:H33)</f>
        <v>1.05</v>
      </c>
      <c r="F33" s="6" t="n">
        <v>0</v>
      </c>
      <c r="G33" s="6" t="n">
        <v>0</v>
      </c>
      <c r="H33" s="13" t="n">
        <v>1.05</v>
      </c>
      <c r="I33" s="4" t="n">
        <v>139</v>
      </c>
      <c r="J33" s="6" t="n">
        <v>12.39</v>
      </c>
      <c r="K33" s="14" t="n">
        <v>0</v>
      </c>
    </row>
    <row r="34" customFormat="false" ht="15" hidden="false" customHeight="false" outlineLevel="0" collapsed="false">
      <c r="A34" s="12" t="s">
        <v>27</v>
      </c>
      <c r="B34" s="4" t="s">
        <v>8</v>
      </c>
      <c r="C34" s="4" t="s">
        <v>9</v>
      </c>
      <c r="D34" s="4" t="s">
        <v>57</v>
      </c>
      <c r="E34" s="5" t="n">
        <f aca="false">SUM(F34:H34)</f>
        <v>0.81</v>
      </c>
      <c r="F34" s="6" t="n">
        <v>0</v>
      </c>
      <c r="G34" s="6" t="n">
        <v>0</v>
      </c>
      <c r="H34" s="13" t="n">
        <v>0.81</v>
      </c>
      <c r="I34" s="4" t="n">
        <v>118</v>
      </c>
      <c r="J34" s="6" t="n">
        <v>0.81</v>
      </c>
      <c r="K34" s="14" t="n">
        <v>0</v>
      </c>
    </row>
    <row r="35" customFormat="false" ht="15" hidden="false" customHeight="false" outlineLevel="0" collapsed="false">
      <c r="A35" s="12" t="s">
        <v>27</v>
      </c>
      <c r="B35" s="4" t="s">
        <v>8</v>
      </c>
      <c r="C35" s="4" t="s">
        <v>9</v>
      </c>
      <c r="D35" s="4" t="s">
        <v>58</v>
      </c>
      <c r="E35" s="5" t="n">
        <f aca="false">SUM(F35:H35)</f>
        <v>0.36</v>
      </c>
      <c r="F35" s="6" t="n">
        <v>0</v>
      </c>
      <c r="G35" s="6" t="n">
        <v>0</v>
      </c>
      <c r="H35" s="13" t="n">
        <v>0.36</v>
      </c>
      <c r="I35" s="4" t="n">
        <v>118</v>
      </c>
      <c r="J35" s="6" t="n">
        <v>0.36</v>
      </c>
      <c r="K35" s="14" t="n">
        <v>0</v>
      </c>
    </row>
    <row r="36" customFormat="false" ht="15" hidden="false" customHeight="false" outlineLevel="0" collapsed="false">
      <c r="A36" s="12" t="s">
        <v>27</v>
      </c>
      <c r="B36" s="4" t="s">
        <v>8</v>
      </c>
      <c r="C36" s="4" t="s">
        <v>9</v>
      </c>
      <c r="D36" s="4" t="s">
        <v>59</v>
      </c>
      <c r="E36" s="5" t="n">
        <f aca="false">SUM(F36:H36)</f>
        <v>0.18</v>
      </c>
      <c r="F36" s="6" t="n">
        <v>0</v>
      </c>
      <c r="G36" s="6" t="n">
        <v>0</v>
      </c>
      <c r="H36" s="13" t="n">
        <v>0.18</v>
      </c>
      <c r="I36" s="4" t="n">
        <v>138</v>
      </c>
      <c r="J36" s="6" t="n">
        <v>0.18</v>
      </c>
      <c r="K36" s="14" t="n">
        <v>0</v>
      </c>
    </row>
    <row r="37" customFormat="false" ht="15" hidden="false" customHeight="false" outlineLevel="0" collapsed="false">
      <c r="A37" s="12" t="s">
        <v>27</v>
      </c>
      <c r="B37" s="4" t="s">
        <v>8</v>
      </c>
      <c r="C37" s="4" t="s">
        <v>9</v>
      </c>
      <c r="D37" s="4" t="s">
        <v>60</v>
      </c>
      <c r="E37" s="5" t="n">
        <f aca="false">SUM(F37:H37)</f>
        <v>0.06</v>
      </c>
      <c r="F37" s="6" t="n">
        <v>0</v>
      </c>
      <c r="G37" s="6" t="n">
        <v>0</v>
      </c>
      <c r="H37" s="13" t="n">
        <v>0.06</v>
      </c>
      <c r="I37" s="4" t="n">
        <v>124</v>
      </c>
      <c r="J37" s="6" t="n">
        <v>0.06</v>
      </c>
      <c r="K37" s="14" t="n">
        <v>0</v>
      </c>
    </row>
    <row r="38" customFormat="false" ht="15" hidden="false" customHeight="false" outlineLevel="0" collapsed="false">
      <c r="A38" s="12" t="s">
        <v>27</v>
      </c>
      <c r="B38" s="4" t="s">
        <v>8</v>
      </c>
      <c r="C38" s="4" t="s">
        <v>9</v>
      </c>
      <c r="D38" s="4" t="s">
        <v>61</v>
      </c>
      <c r="E38" s="5" t="n">
        <f aca="false">SUM(F38:H38)</f>
        <v>0.02</v>
      </c>
      <c r="F38" s="6" t="n">
        <v>0</v>
      </c>
      <c r="G38" s="6" t="n">
        <v>0</v>
      </c>
      <c r="H38" s="13" t="n">
        <v>0.02</v>
      </c>
      <c r="I38" s="4" t="n">
        <v>120</v>
      </c>
      <c r="J38" s="6" t="n">
        <v>0.02</v>
      </c>
      <c r="K38" s="14" t="n">
        <v>0</v>
      </c>
    </row>
    <row r="39" customFormat="false" ht="15" hidden="false" customHeight="false" outlineLevel="0" collapsed="false">
      <c r="A39" s="16" t="s">
        <v>62</v>
      </c>
      <c r="B39" s="4" t="s">
        <v>8</v>
      </c>
      <c r="C39" s="4" t="s">
        <v>9</v>
      </c>
      <c r="D39" s="4" t="s">
        <v>63</v>
      </c>
      <c r="E39" s="5" t="n">
        <f aca="false">SUM(F39:H39)</f>
        <v>21.38</v>
      </c>
      <c r="F39" s="6" t="n">
        <v>15.58</v>
      </c>
      <c r="G39" s="6" t="n">
        <v>5.8</v>
      </c>
      <c r="H39" s="6" t="n">
        <v>0</v>
      </c>
      <c r="I39" s="4" t="n">
        <v>67</v>
      </c>
      <c r="J39" s="6" t="n">
        <v>21.38</v>
      </c>
      <c r="K39" s="14" t="n">
        <v>0</v>
      </c>
    </row>
    <row r="40" customFormat="false" ht="15" hidden="false" customHeight="false" outlineLevel="0" collapsed="false">
      <c r="A40" s="16" t="s">
        <v>62</v>
      </c>
      <c r="B40" s="4" t="s">
        <v>8</v>
      </c>
      <c r="C40" s="4" t="s">
        <v>9</v>
      </c>
      <c r="D40" s="4" t="s">
        <v>64</v>
      </c>
      <c r="E40" s="5" t="n">
        <f aca="false">SUM(F40:H40)</f>
        <v>9.05</v>
      </c>
      <c r="F40" s="6" t="n">
        <v>0</v>
      </c>
      <c r="G40" s="6" t="n">
        <v>9.05</v>
      </c>
      <c r="H40" s="6" t="n">
        <v>0</v>
      </c>
      <c r="I40" s="4" t="n">
        <v>65</v>
      </c>
      <c r="J40" s="6" t="n">
        <v>9.05</v>
      </c>
      <c r="K40" s="15" t="n">
        <v>4.05</v>
      </c>
    </row>
    <row r="41" customFormat="false" ht="15" hidden="false" customHeight="false" outlineLevel="0" collapsed="false">
      <c r="A41" s="16" t="s">
        <v>62</v>
      </c>
      <c r="B41" s="4" t="s">
        <v>8</v>
      </c>
      <c r="C41" s="4" t="s">
        <v>9</v>
      </c>
      <c r="D41" s="4" t="s">
        <v>65</v>
      </c>
      <c r="E41" s="5" t="n">
        <f aca="false">SUM(F41:H41)</f>
        <v>7.39</v>
      </c>
      <c r="F41" s="6" t="n">
        <v>0</v>
      </c>
      <c r="G41" s="6" t="n">
        <v>7.39</v>
      </c>
      <c r="H41" s="6" t="n">
        <v>0</v>
      </c>
      <c r="I41" s="4" t="n">
        <v>68</v>
      </c>
      <c r="J41" s="6" t="n">
        <v>7.39</v>
      </c>
      <c r="K41" s="15" t="n">
        <v>1.95</v>
      </c>
    </row>
    <row r="42" customFormat="false" ht="15" hidden="false" customHeight="false" outlineLevel="0" collapsed="false">
      <c r="A42" s="16" t="s">
        <v>62</v>
      </c>
      <c r="B42" s="4" t="s">
        <v>8</v>
      </c>
      <c r="C42" s="4" t="s">
        <v>9</v>
      </c>
      <c r="D42" s="4" t="s">
        <v>66</v>
      </c>
      <c r="E42" s="5" t="n">
        <f aca="false">SUM(F42:H42)</f>
        <v>6.77</v>
      </c>
      <c r="F42" s="6" t="n">
        <v>0</v>
      </c>
      <c r="G42" s="6" t="n">
        <v>6.77</v>
      </c>
      <c r="H42" s="6" t="n">
        <v>0</v>
      </c>
      <c r="I42" s="4" t="n">
        <v>88</v>
      </c>
      <c r="J42" s="6" t="n">
        <v>9.95</v>
      </c>
      <c r="K42" s="14" t="n">
        <v>0</v>
      </c>
    </row>
    <row r="43" customFormat="false" ht="15" hidden="false" customHeight="false" outlineLevel="0" collapsed="false">
      <c r="A43" s="16" t="s">
        <v>62</v>
      </c>
      <c r="B43" s="4" t="s">
        <v>8</v>
      </c>
      <c r="C43" s="4" t="s">
        <v>9</v>
      </c>
      <c r="D43" s="4" t="s">
        <v>67</v>
      </c>
      <c r="E43" s="5" t="n">
        <f aca="false">SUM(F43:H43)</f>
        <v>4.91</v>
      </c>
      <c r="F43" s="6" t="n">
        <v>0</v>
      </c>
      <c r="G43" s="6" t="n">
        <v>4.91</v>
      </c>
      <c r="H43" s="6" t="n">
        <v>0</v>
      </c>
      <c r="I43" s="4" t="n">
        <v>65</v>
      </c>
      <c r="J43" s="6" t="n">
        <v>4.91</v>
      </c>
      <c r="K43" s="14" t="n">
        <v>0</v>
      </c>
    </row>
    <row r="44" customFormat="false" ht="15" hidden="false" customHeight="false" outlineLevel="0" collapsed="false">
      <c r="A44" s="16" t="s">
        <v>62</v>
      </c>
      <c r="B44" s="4" t="s">
        <v>8</v>
      </c>
      <c r="C44" s="4" t="s">
        <v>9</v>
      </c>
      <c r="D44" s="4" t="s">
        <v>68</v>
      </c>
      <c r="E44" s="5" t="n">
        <f aca="false">SUM(F44:H44)</f>
        <v>4.39</v>
      </c>
      <c r="F44" s="6" t="n">
        <v>2.39</v>
      </c>
      <c r="G44" s="6" t="n">
        <v>2</v>
      </c>
      <c r="H44" s="6" t="n">
        <v>0</v>
      </c>
      <c r="I44" s="4" t="n">
        <v>70</v>
      </c>
      <c r="J44" s="6" t="n">
        <v>4.39</v>
      </c>
      <c r="K44" s="14" t="n">
        <v>0</v>
      </c>
    </row>
    <row r="45" customFormat="false" ht="15" hidden="false" customHeight="false" outlineLevel="0" collapsed="false">
      <c r="A45" s="16" t="s">
        <v>62</v>
      </c>
      <c r="B45" s="4" t="s">
        <v>8</v>
      </c>
      <c r="C45" s="4" t="s">
        <v>9</v>
      </c>
      <c r="D45" s="4" t="s">
        <v>69</v>
      </c>
      <c r="E45" s="5" t="n">
        <f aca="false">SUM(F45:H45)</f>
        <v>3.09</v>
      </c>
      <c r="F45" s="6" t="n">
        <v>0</v>
      </c>
      <c r="G45" s="6" t="n">
        <v>3.09</v>
      </c>
      <c r="H45" s="6" t="n">
        <v>0</v>
      </c>
      <c r="I45" s="4" t="n">
        <v>66</v>
      </c>
      <c r="J45" s="6" t="n">
        <v>3.09</v>
      </c>
      <c r="K45" s="14" t="n">
        <v>0</v>
      </c>
    </row>
    <row r="46" customFormat="false" ht="15" hidden="false" customHeight="false" outlineLevel="0" collapsed="false">
      <c r="A46" s="16" t="s">
        <v>62</v>
      </c>
      <c r="B46" s="4" t="s">
        <v>8</v>
      </c>
      <c r="C46" s="4" t="s">
        <v>9</v>
      </c>
      <c r="D46" s="4" t="s">
        <v>70</v>
      </c>
      <c r="E46" s="5" t="n">
        <f aca="false">SUM(F46:H46)</f>
        <v>2.13</v>
      </c>
      <c r="F46" s="6" t="n">
        <v>0</v>
      </c>
      <c r="G46" s="6" t="n">
        <v>2.13</v>
      </c>
      <c r="H46" s="6" t="n">
        <v>0</v>
      </c>
      <c r="I46" s="4" t="n">
        <v>88</v>
      </c>
      <c r="J46" s="6" t="n">
        <v>21.9</v>
      </c>
      <c r="K46" s="14" t="n">
        <v>0</v>
      </c>
    </row>
    <row r="47" customFormat="false" ht="15" hidden="false" customHeight="false" outlineLevel="0" collapsed="false">
      <c r="A47" s="16" t="s">
        <v>62</v>
      </c>
      <c r="B47" s="4" t="s">
        <v>8</v>
      </c>
      <c r="C47" s="4" t="s">
        <v>9</v>
      </c>
      <c r="D47" s="4" t="s">
        <v>71</v>
      </c>
      <c r="E47" s="5" t="n">
        <f aca="false">SUM(F47:H47)</f>
        <v>0.4</v>
      </c>
      <c r="F47" s="6" t="n">
        <v>0</v>
      </c>
      <c r="G47" s="6" t="n">
        <v>0.4</v>
      </c>
      <c r="H47" s="6" t="n">
        <v>0</v>
      </c>
      <c r="I47" s="4" t="n">
        <v>68</v>
      </c>
      <c r="J47" s="6" t="n">
        <v>0.4</v>
      </c>
      <c r="K47" s="14" t="n">
        <v>0</v>
      </c>
    </row>
    <row r="48" customFormat="false" ht="15" hidden="false" customHeight="false" outlineLevel="0" collapsed="false">
      <c r="A48" s="17" t="s">
        <v>72</v>
      </c>
      <c r="B48" s="4" t="s">
        <v>8</v>
      </c>
      <c r="C48" s="4" t="s">
        <v>9</v>
      </c>
      <c r="D48" s="4" t="s">
        <v>73</v>
      </c>
      <c r="E48" s="5" t="n">
        <f aca="false">SUM(F48:H48)</f>
        <v>23.92</v>
      </c>
      <c r="F48" s="6" t="n">
        <v>23.92</v>
      </c>
      <c r="G48" s="6" t="n">
        <v>0</v>
      </c>
      <c r="H48" s="6" t="n">
        <v>0</v>
      </c>
      <c r="I48" s="4" t="n">
        <v>47</v>
      </c>
      <c r="J48" s="6" t="n">
        <v>23.92</v>
      </c>
      <c r="K48" s="15" t="n">
        <v>7.05</v>
      </c>
    </row>
    <row r="49" customFormat="false" ht="15" hidden="false" customHeight="false" outlineLevel="0" collapsed="false">
      <c r="A49" s="17" t="s">
        <v>72</v>
      </c>
      <c r="B49" s="4" t="s">
        <v>8</v>
      </c>
      <c r="C49" s="4" t="s">
        <v>9</v>
      </c>
      <c r="D49" s="4" t="s">
        <v>74</v>
      </c>
      <c r="E49" s="5" t="n">
        <f aca="false">SUM(F49:H49)</f>
        <v>15.1</v>
      </c>
      <c r="F49" s="6" t="n">
        <v>15.1</v>
      </c>
      <c r="G49" s="6" t="n">
        <v>0</v>
      </c>
      <c r="H49" s="6" t="n">
        <v>0</v>
      </c>
      <c r="I49" s="4" t="n">
        <v>42</v>
      </c>
      <c r="J49" s="6" t="n">
        <v>15.1</v>
      </c>
      <c r="K49" s="15" t="n">
        <v>4.13</v>
      </c>
    </row>
    <row r="50" customFormat="false" ht="15" hidden="false" customHeight="false" outlineLevel="0" collapsed="false">
      <c r="A50" s="17" t="s">
        <v>72</v>
      </c>
      <c r="B50" s="4" t="s">
        <v>8</v>
      </c>
      <c r="C50" s="4" t="s">
        <v>9</v>
      </c>
      <c r="D50" s="4" t="s">
        <v>75</v>
      </c>
      <c r="E50" s="5" t="n">
        <f aca="false">SUM(F50:H50)</f>
        <v>14.86</v>
      </c>
      <c r="F50" s="6" t="n">
        <v>14.86</v>
      </c>
      <c r="G50" s="6" t="n">
        <v>0</v>
      </c>
      <c r="H50" s="6" t="n">
        <v>0</v>
      </c>
      <c r="I50" s="4" t="n">
        <v>37</v>
      </c>
      <c r="J50" s="6" t="n">
        <v>14.86</v>
      </c>
      <c r="K50" s="18" t="s">
        <v>76</v>
      </c>
    </row>
    <row r="51" customFormat="false" ht="15" hidden="false" customHeight="false" outlineLevel="0" collapsed="false">
      <c r="A51" s="17" t="s">
        <v>72</v>
      </c>
      <c r="B51" s="4" t="s">
        <v>8</v>
      </c>
      <c r="C51" s="4" t="s">
        <v>9</v>
      </c>
      <c r="D51" s="4" t="s">
        <v>77</v>
      </c>
      <c r="E51" s="5" t="n">
        <f aca="false">SUM(F51:H51)</f>
        <v>13.01</v>
      </c>
      <c r="F51" s="6" t="n">
        <v>13.01</v>
      </c>
      <c r="G51" s="6" t="n">
        <v>0</v>
      </c>
      <c r="H51" s="6" t="n">
        <v>0</v>
      </c>
      <c r="I51" s="4" t="n">
        <v>45</v>
      </c>
      <c r="J51" s="6" t="n">
        <v>13.01</v>
      </c>
      <c r="K51" s="14" t="n">
        <v>0</v>
      </c>
    </row>
    <row r="52" customFormat="false" ht="15" hidden="false" customHeight="false" outlineLevel="0" collapsed="false">
      <c r="A52" s="17" t="s">
        <v>72</v>
      </c>
      <c r="B52" s="4" t="s">
        <v>8</v>
      </c>
      <c r="C52" s="4" t="s">
        <v>9</v>
      </c>
      <c r="D52" s="4" t="s">
        <v>78</v>
      </c>
      <c r="E52" s="5" t="n">
        <f aca="false">SUM(F52:H52)</f>
        <v>9.88</v>
      </c>
      <c r="F52" s="6" t="n">
        <v>9.88</v>
      </c>
      <c r="G52" s="6" t="n">
        <v>0</v>
      </c>
      <c r="H52" s="6" t="n">
        <v>0</v>
      </c>
      <c r="I52" s="4" t="n">
        <v>32</v>
      </c>
      <c r="J52" s="6" t="n">
        <v>9.88</v>
      </c>
      <c r="K52" s="18" t="s">
        <v>76</v>
      </c>
    </row>
    <row r="53" customFormat="false" ht="15" hidden="false" customHeight="false" outlineLevel="0" collapsed="false">
      <c r="A53" s="17" t="s">
        <v>72</v>
      </c>
      <c r="B53" s="4" t="s">
        <v>8</v>
      </c>
      <c r="C53" s="4" t="s">
        <v>9</v>
      </c>
      <c r="D53" s="4" t="s">
        <v>79</v>
      </c>
      <c r="E53" s="5" t="n">
        <f aca="false">SUM(F53:H53)</f>
        <v>9.48</v>
      </c>
      <c r="F53" s="6" t="n">
        <v>9.48</v>
      </c>
      <c r="G53" s="6" t="n">
        <v>0</v>
      </c>
      <c r="H53" s="6" t="n">
        <v>0</v>
      </c>
      <c r="I53" s="4" t="n">
        <v>42</v>
      </c>
      <c r="J53" s="6" t="n">
        <v>9.48</v>
      </c>
      <c r="K53" s="14" t="n">
        <v>0</v>
      </c>
    </row>
    <row r="54" customFormat="false" ht="15" hidden="false" customHeight="false" outlineLevel="0" collapsed="false">
      <c r="A54" s="17" t="s">
        <v>72</v>
      </c>
      <c r="B54" s="4" t="s">
        <v>8</v>
      </c>
      <c r="C54" s="4" t="s">
        <v>9</v>
      </c>
      <c r="D54" s="4" t="s">
        <v>80</v>
      </c>
      <c r="E54" s="5" t="n">
        <f aca="false">SUM(F54:H54)</f>
        <v>9.18</v>
      </c>
      <c r="F54" s="6" t="n">
        <v>9.18</v>
      </c>
      <c r="G54" s="6" t="n">
        <v>0</v>
      </c>
      <c r="H54" s="6" t="n">
        <v>0</v>
      </c>
      <c r="I54" s="4" t="n">
        <v>32</v>
      </c>
      <c r="J54" s="6" t="n">
        <v>47.86</v>
      </c>
      <c r="K54" s="18" t="s">
        <v>76</v>
      </c>
    </row>
    <row r="55" customFormat="false" ht="15" hidden="false" customHeight="false" outlineLevel="0" collapsed="false">
      <c r="A55" s="17" t="s">
        <v>72</v>
      </c>
      <c r="B55" s="4" t="s">
        <v>8</v>
      </c>
      <c r="C55" s="4" t="s">
        <v>9</v>
      </c>
      <c r="D55" s="4" t="s">
        <v>81</v>
      </c>
      <c r="E55" s="5" t="n">
        <f aca="false">SUM(F55:H55)</f>
        <v>8.83</v>
      </c>
      <c r="F55" s="6" t="n">
        <v>8.83</v>
      </c>
      <c r="G55" s="6" t="n">
        <v>0</v>
      </c>
      <c r="H55" s="6" t="n">
        <v>0</v>
      </c>
      <c r="I55" s="4" t="n">
        <v>34</v>
      </c>
      <c r="J55" s="6" t="n">
        <v>8.83</v>
      </c>
      <c r="K55" s="18" t="s">
        <v>76</v>
      </c>
    </row>
    <row r="56" customFormat="false" ht="15" hidden="false" customHeight="false" outlineLevel="0" collapsed="false">
      <c r="A56" s="17" t="s">
        <v>72</v>
      </c>
      <c r="B56" s="4" t="s">
        <v>8</v>
      </c>
      <c r="C56" s="4" t="s">
        <v>9</v>
      </c>
      <c r="D56" s="4" t="s">
        <v>82</v>
      </c>
      <c r="E56" s="5" t="n">
        <f aca="false">SUM(F56:H56)</f>
        <v>7.16</v>
      </c>
      <c r="F56" s="6" t="n">
        <v>7.16</v>
      </c>
      <c r="G56" s="6" t="n">
        <v>0</v>
      </c>
      <c r="H56" s="6" t="n">
        <v>0</v>
      </c>
      <c r="I56" s="4" t="n">
        <v>44</v>
      </c>
      <c r="J56" s="6" t="n">
        <v>7.16</v>
      </c>
      <c r="K56" s="14" t="n">
        <v>0</v>
      </c>
    </row>
    <row r="57" customFormat="false" ht="15" hidden="false" customHeight="false" outlineLevel="0" collapsed="false">
      <c r="A57" s="17" t="s">
        <v>72</v>
      </c>
      <c r="B57" s="4" t="s">
        <v>8</v>
      </c>
      <c r="C57" s="4" t="s">
        <v>9</v>
      </c>
      <c r="D57" s="4" t="s">
        <v>83</v>
      </c>
      <c r="E57" s="5" t="n">
        <f aca="false">SUM(F57:H57)</f>
        <v>6.79</v>
      </c>
      <c r="F57" s="6" t="n">
        <v>6.79</v>
      </c>
      <c r="G57" s="6" t="n">
        <v>0</v>
      </c>
      <c r="H57" s="6" t="n">
        <v>0</v>
      </c>
      <c r="I57" s="4" t="n">
        <v>38</v>
      </c>
      <c r="J57" s="6" t="n">
        <v>14.62</v>
      </c>
      <c r="K57" s="15" t="n">
        <v>4.15</v>
      </c>
    </row>
    <row r="58" customFormat="false" ht="15" hidden="false" customHeight="false" outlineLevel="0" collapsed="false">
      <c r="A58" s="17" t="s">
        <v>72</v>
      </c>
      <c r="B58" s="4" t="s">
        <v>8</v>
      </c>
      <c r="C58" s="4" t="s">
        <v>9</v>
      </c>
      <c r="D58" s="4" t="s">
        <v>84</v>
      </c>
      <c r="E58" s="5" t="n">
        <f aca="false">SUM(F58:H58)</f>
        <v>5.89</v>
      </c>
      <c r="F58" s="6" t="n">
        <v>5.89</v>
      </c>
      <c r="G58" s="6" t="n">
        <v>0</v>
      </c>
      <c r="H58" s="6" t="n">
        <v>0</v>
      </c>
      <c r="I58" s="4" t="n">
        <v>33</v>
      </c>
      <c r="J58" s="6" t="n">
        <v>5.89</v>
      </c>
      <c r="K58" s="18" t="s">
        <v>76</v>
      </c>
    </row>
    <row r="59" customFormat="false" ht="15" hidden="false" customHeight="false" outlineLevel="0" collapsed="false">
      <c r="A59" s="17" t="s">
        <v>72</v>
      </c>
      <c r="B59" s="4" t="s">
        <v>8</v>
      </c>
      <c r="C59" s="4" t="s">
        <v>9</v>
      </c>
      <c r="D59" s="4" t="s">
        <v>85</v>
      </c>
      <c r="E59" s="5" t="n">
        <f aca="false">SUM(F59:H59)</f>
        <v>4.89</v>
      </c>
      <c r="F59" s="6" t="n">
        <v>4.89</v>
      </c>
      <c r="G59" s="6" t="n">
        <v>0</v>
      </c>
      <c r="H59" s="6" t="n">
        <v>0</v>
      </c>
      <c r="I59" s="4" t="n">
        <v>34</v>
      </c>
      <c r="J59" s="6" t="n">
        <v>21.68</v>
      </c>
      <c r="K59" s="18" t="s">
        <v>76</v>
      </c>
    </row>
    <row r="60" customFormat="false" ht="15" hidden="false" customHeight="false" outlineLevel="0" collapsed="false">
      <c r="A60" s="17" t="s">
        <v>72</v>
      </c>
      <c r="B60" s="4" t="s">
        <v>8</v>
      </c>
      <c r="C60" s="4" t="s">
        <v>9</v>
      </c>
      <c r="D60" s="4" t="s">
        <v>86</v>
      </c>
      <c r="E60" s="5" t="n">
        <f aca="false">SUM(F60:H60)</f>
        <v>4.63</v>
      </c>
      <c r="F60" s="6" t="n">
        <v>4.63</v>
      </c>
      <c r="G60" s="6" t="n">
        <v>0</v>
      </c>
      <c r="H60" s="6" t="n">
        <v>0</v>
      </c>
      <c r="I60" s="4" t="n">
        <v>49</v>
      </c>
      <c r="J60" s="6" t="n">
        <v>4.63</v>
      </c>
      <c r="K60" s="14" t="n">
        <v>0</v>
      </c>
    </row>
    <row r="61" customFormat="false" ht="15" hidden="false" customHeight="false" outlineLevel="0" collapsed="false">
      <c r="A61" s="17" t="s">
        <v>72</v>
      </c>
      <c r="B61" s="4" t="s">
        <v>8</v>
      </c>
      <c r="C61" s="4" t="s">
        <v>9</v>
      </c>
      <c r="D61" s="4" t="s">
        <v>87</v>
      </c>
      <c r="E61" s="5" t="n">
        <f aca="false">SUM(F61:H61)</f>
        <v>3.48</v>
      </c>
      <c r="F61" s="6" t="n">
        <v>3.48</v>
      </c>
      <c r="G61" s="6" t="n">
        <v>0</v>
      </c>
      <c r="H61" s="6" t="n">
        <v>0</v>
      </c>
      <c r="I61" s="4" t="n">
        <v>33</v>
      </c>
      <c r="J61" s="6" t="n">
        <v>49</v>
      </c>
      <c r="K61" s="18" t="s">
        <v>76</v>
      </c>
    </row>
    <row r="62" customFormat="false" ht="15" hidden="false" customHeight="false" outlineLevel="0" collapsed="false">
      <c r="A62" s="17" t="s">
        <v>72</v>
      </c>
      <c r="B62" s="4" t="s">
        <v>8</v>
      </c>
      <c r="C62" s="4" t="s">
        <v>9</v>
      </c>
      <c r="D62" s="4" t="s">
        <v>88</v>
      </c>
      <c r="E62" s="5" t="n">
        <f aca="false">SUM(F62:H62)</f>
        <v>3.03</v>
      </c>
      <c r="F62" s="6" t="n">
        <v>3.03</v>
      </c>
      <c r="G62" s="6" t="n">
        <v>0</v>
      </c>
      <c r="H62" s="6" t="n">
        <v>0</v>
      </c>
      <c r="I62" s="4" t="n">
        <v>37</v>
      </c>
      <c r="J62" s="6" t="n">
        <v>3.03</v>
      </c>
      <c r="K62" s="18" t="s">
        <v>76</v>
      </c>
    </row>
    <row r="63" customFormat="false" ht="15" hidden="false" customHeight="false" outlineLevel="0" collapsed="false">
      <c r="A63" s="17" t="s">
        <v>72</v>
      </c>
      <c r="B63" s="4" t="s">
        <v>8</v>
      </c>
      <c r="C63" s="4" t="s">
        <v>9</v>
      </c>
      <c r="D63" s="4" t="s">
        <v>89</v>
      </c>
      <c r="E63" s="5" t="n">
        <f aca="false">SUM(F63:H63)</f>
        <v>2.92</v>
      </c>
      <c r="F63" s="6" t="n">
        <v>2.92</v>
      </c>
      <c r="G63" s="6" t="n">
        <v>0</v>
      </c>
      <c r="H63" s="6" t="n">
        <v>0</v>
      </c>
      <c r="I63" s="4" t="n">
        <v>47</v>
      </c>
      <c r="J63" s="6" t="n">
        <v>2.92</v>
      </c>
      <c r="K63" s="14" t="n">
        <v>0</v>
      </c>
    </row>
    <row r="64" customFormat="false" ht="15" hidden="false" customHeight="false" outlineLevel="0" collapsed="false">
      <c r="A64" s="17" t="s">
        <v>72</v>
      </c>
      <c r="B64" s="4" t="s">
        <v>8</v>
      </c>
      <c r="C64" s="4" t="s">
        <v>9</v>
      </c>
      <c r="D64" s="4" t="s">
        <v>90</v>
      </c>
      <c r="E64" s="5" t="n">
        <f aca="false">SUM(F64:H64)</f>
        <v>2.58</v>
      </c>
      <c r="F64" s="6" t="n">
        <v>2.58</v>
      </c>
      <c r="G64" s="6" t="n">
        <v>0</v>
      </c>
      <c r="H64" s="6" t="n">
        <v>0</v>
      </c>
      <c r="I64" s="4" t="n">
        <v>44</v>
      </c>
      <c r="J64" s="6" t="n">
        <v>5.29</v>
      </c>
      <c r="K64" s="14" t="n">
        <v>0</v>
      </c>
    </row>
    <row r="65" customFormat="false" ht="15" hidden="false" customHeight="false" outlineLevel="0" collapsed="false">
      <c r="A65" s="17" t="s">
        <v>72</v>
      </c>
      <c r="B65" s="4" t="s">
        <v>8</v>
      </c>
      <c r="C65" s="4" t="s">
        <v>9</v>
      </c>
      <c r="D65" s="4" t="s">
        <v>91</v>
      </c>
      <c r="E65" s="5" t="n">
        <f aca="false">SUM(F65:H65)</f>
        <v>2.4</v>
      </c>
      <c r="F65" s="6" t="n">
        <v>2.4</v>
      </c>
      <c r="G65" s="6" t="n">
        <v>0</v>
      </c>
      <c r="H65" s="6" t="n">
        <v>0</v>
      </c>
      <c r="I65" s="4" t="n">
        <v>58</v>
      </c>
      <c r="J65" s="6" t="n">
        <v>33.52</v>
      </c>
      <c r="K65" s="14" t="n">
        <v>0</v>
      </c>
    </row>
    <row r="66" customFormat="false" ht="15" hidden="false" customHeight="false" outlineLevel="0" collapsed="false">
      <c r="A66" s="17" t="s">
        <v>72</v>
      </c>
      <c r="B66" s="4" t="s">
        <v>8</v>
      </c>
      <c r="C66" s="4" t="s">
        <v>9</v>
      </c>
      <c r="D66" s="4" t="s">
        <v>92</v>
      </c>
      <c r="E66" s="5" t="n">
        <f aca="false">SUM(F66:H66)</f>
        <v>1.35</v>
      </c>
      <c r="F66" s="6" t="n">
        <v>1.35</v>
      </c>
      <c r="G66" s="6" t="n">
        <v>0</v>
      </c>
      <c r="H66" s="6" t="n">
        <v>0</v>
      </c>
      <c r="I66" s="4" t="n">
        <v>49</v>
      </c>
      <c r="J66" s="6" t="n">
        <v>1.35</v>
      </c>
      <c r="K66" s="14" t="n">
        <v>0</v>
      </c>
    </row>
    <row r="67" customFormat="false" ht="15" hidden="false" customHeight="false" outlineLevel="0" collapsed="false">
      <c r="A67" s="17" t="s">
        <v>72</v>
      </c>
      <c r="B67" s="4" t="s">
        <v>8</v>
      </c>
      <c r="C67" s="4" t="s">
        <v>9</v>
      </c>
      <c r="D67" s="4" t="s">
        <v>93</v>
      </c>
      <c r="E67" s="5" t="n">
        <f aca="false">SUM(F67:H67)</f>
        <v>0.02</v>
      </c>
      <c r="F67" s="6" t="n">
        <v>0.02</v>
      </c>
      <c r="G67" s="6" t="n">
        <v>0</v>
      </c>
      <c r="H67" s="6" t="n">
        <v>0</v>
      </c>
      <c r="I67" s="4" t="n">
        <v>53</v>
      </c>
      <c r="J67" s="6" t="n">
        <v>0.02</v>
      </c>
      <c r="K67" s="14" t="n">
        <v>0</v>
      </c>
    </row>
    <row r="68" customFormat="false" ht="15" hidden="false" customHeight="false" outlineLevel="0" collapsed="false">
      <c r="A68" s="17" t="s">
        <v>72</v>
      </c>
      <c r="B68" s="4" t="s">
        <v>10</v>
      </c>
      <c r="C68" s="4" t="s">
        <v>11</v>
      </c>
      <c r="D68" s="4" t="s">
        <v>80</v>
      </c>
      <c r="E68" s="5" t="n">
        <f aca="false">SUM(F68:H68)</f>
        <v>56.23</v>
      </c>
      <c r="F68" s="6" t="n">
        <v>56.23</v>
      </c>
      <c r="G68" s="6" t="n">
        <v>0</v>
      </c>
      <c r="H68" s="6" t="n">
        <v>0</v>
      </c>
      <c r="I68" s="4" t="n">
        <v>41</v>
      </c>
      <c r="J68" s="6" t="n">
        <v>91.13</v>
      </c>
      <c r="K68" s="15" t="n">
        <v>8.02</v>
      </c>
    </row>
    <row r="69" customFormat="false" ht="15" hidden="false" customHeight="false" outlineLevel="0" collapsed="false">
      <c r="A69" s="17" t="s">
        <v>72</v>
      </c>
      <c r="B69" s="4" t="s">
        <v>10</v>
      </c>
      <c r="C69" s="4" t="s">
        <v>11</v>
      </c>
      <c r="D69" s="4" t="s">
        <v>94</v>
      </c>
      <c r="E69" s="5" t="n">
        <f aca="false">SUM(F69:H69)</f>
        <v>44.64</v>
      </c>
      <c r="F69" s="6" t="n">
        <v>44.64</v>
      </c>
      <c r="G69" s="6" t="n">
        <v>0</v>
      </c>
      <c r="H69" s="6" t="n">
        <v>0</v>
      </c>
      <c r="I69" s="4" t="n">
        <v>45</v>
      </c>
      <c r="J69" s="6" t="n">
        <v>44.64</v>
      </c>
      <c r="K69" s="15" t="n">
        <v>4.91</v>
      </c>
    </row>
    <row r="70" customFormat="false" ht="15" hidden="false" customHeight="false" outlineLevel="0" collapsed="false">
      <c r="A70" s="17" t="s">
        <v>72</v>
      </c>
      <c r="B70" s="4" t="s">
        <v>10</v>
      </c>
      <c r="C70" s="4" t="s">
        <v>11</v>
      </c>
      <c r="D70" s="4" t="s">
        <v>95</v>
      </c>
      <c r="E70" s="5" t="n">
        <f aca="false">SUM(F70:H70)</f>
        <v>27.43</v>
      </c>
      <c r="F70" s="6" t="n">
        <v>27.43</v>
      </c>
      <c r="G70" s="6" t="n">
        <v>0</v>
      </c>
      <c r="H70" s="6" t="n">
        <v>0</v>
      </c>
      <c r="I70" s="4" t="n">
        <v>50</v>
      </c>
      <c r="J70" s="6" t="n">
        <v>27.43</v>
      </c>
      <c r="K70" s="14" t="n">
        <v>0</v>
      </c>
    </row>
    <row r="71" customFormat="false" ht="15" hidden="false" customHeight="false" outlineLevel="0" collapsed="false">
      <c r="A71" s="17" t="s">
        <v>72</v>
      </c>
      <c r="B71" s="4" t="s">
        <v>10</v>
      </c>
      <c r="C71" s="4" t="s">
        <v>11</v>
      </c>
      <c r="D71" s="4" t="s">
        <v>96</v>
      </c>
      <c r="E71" s="5" t="n">
        <f aca="false">SUM(F71:H71)</f>
        <v>16.8</v>
      </c>
      <c r="F71" s="6" t="n">
        <v>16.8</v>
      </c>
      <c r="G71" s="6" t="n">
        <v>0</v>
      </c>
      <c r="H71" s="6" t="n">
        <v>0</v>
      </c>
      <c r="I71" s="4" t="n">
        <v>52</v>
      </c>
      <c r="J71" s="6" t="n">
        <v>58.72</v>
      </c>
      <c r="K71" s="15" t="n">
        <v>17.53</v>
      </c>
    </row>
    <row r="72" customFormat="false" ht="15" hidden="false" customHeight="false" outlineLevel="0" collapsed="false">
      <c r="A72" s="17" t="s">
        <v>72</v>
      </c>
      <c r="B72" s="4" t="s">
        <v>10</v>
      </c>
      <c r="C72" s="4" t="s">
        <v>11</v>
      </c>
      <c r="D72" s="4" t="s">
        <v>97</v>
      </c>
      <c r="E72" s="5" t="n">
        <f aca="false">SUM(F72:H72)</f>
        <v>11.12</v>
      </c>
      <c r="F72" s="6" t="n">
        <v>11.12</v>
      </c>
      <c r="G72" s="6" t="n">
        <v>0</v>
      </c>
      <c r="H72" s="6" t="n">
        <v>0</v>
      </c>
      <c r="I72" s="4" t="n">
        <v>33</v>
      </c>
      <c r="J72" s="6" t="n">
        <v>11.12</v>
      </c>
      <c r="K72" s="18" t="s">
        <v>76</v>
      </c>
    </row>
    <row r="73" customFormat="false" ht="15" hidden="false" customHeight="false" outlineLevel="0" collapsed="false">
      <c r="A73" s="17" t="s">
        <v>72</v>
      </c>
      <c r="B73" s="4" t="s">
        <v>10</v>
      </c>
      <c r="C73" s="4" t="s">
        <v>11</v>
      </c>
      <c r="D73" s="4" t="s">
        <v>98</v>
      </c>
      <c r="E73" s="5" t="n">
        <f aca="false">SUM(F73:H73)</f>
        <v>0.63</v>
      </c>
      <c r="F73" s="6" t="n">
        <v>0.63</v>
      </c>
      <c r="G73" s="6" t="n">
        <v>0</v>
      </c>
      <c r="H73" s="6" t="n">
        <v>0</v>
      </c>
      <c r="I73" s="4" t="n">
        <v>38</v>
      </c>
      <c r="J73" s="6" t="n">
        <v>62.64</v>
      </c>
      <c r="K73" s="14" t="n">
        <v>0</v>
      </c>
    </row>
    <row r="74" customFormat="false" ht="15" hidden="false" customHeight="false" outlineLevel="0" collapsed="false">
      <c r="A74" s="17" t="s">
        <v>72</v>
      </c>
      <c r="B74" s="4" t="s">
        <v>12</v>
      </c>
      <c r="C74" s="4" t="s">
        <v>11</v>
      </c>
      <c r="D74" s="4" t="s">
        <v>99</v>
      </c>
      <c r="E74" s="5" t="n">
        <f aca="false">SUM(F74:H74)</f>
        <v>9.37</v>
      </c>
      <c r="F74" s="6" t="n">
        <v>9.37</v>
      </c>
      <c r="G74" s="6" t="n">
        <v>0</v>
      </c>
      <c r="H74" s="6" t="n">
        <v>0</v>
      </c>
      <c r="I74" s="4" t="n">
        <v>31</v>
      </c>
      <c r="J74" s="6" t="n">
        <v>9.37</v>
      </c>
      <c r="K74" s="18" t="s">
        <v>76</v>
      </c>
    </row>
    <row r="75" customFormat="false" ht="15" hidden="false" customHeight="false" outlineLevel="0" collapsed="false">
      <c r="A75" s="17" t="s">
        <v>72</v>
      </c>
      <c r="B75" s="4" t="s">
        <v>12</v>
      </c>
      <c r="C75" s="4" t="s">
        <v>11</v>
      </c>
      <c r="D75" s="4" t="s">
        <v>100</v>
      </c>
      <c r="E75" s="5" t="n">
        <f aca="false">SUM(F75:H75)</f>
        <v>6.8</v>
      </c>
      <c r="F75" s="6" t="n">
        <v>6.8</v>
      </c>
      <c r="G75" s="6" t="n">
        <v>0</v>
      </c>
      <c r="H75" s="6" t="n">
        <v>0</v>
      </c>
      <c r="I75" s="4" t="n">
        <v>31</v>
      </c>
      <c r="J75" s="6" t="n">
        <v>6.8</v>
      </c>
      <c r="K75" s="18" t="s">
        <v>76</v>
      </c>
    </row>
    <row r="76" customFormat="false" ht="15" hidden="false" customHeight="false" outlineLevel="0" collapsed="false">
      <c r="A76" s="17" t="s">
        <v>72</v>
      </c>
      <c r="B76" s="4" t="s">
        <v>12</v>
      </c>
      <c r="C76" s="4" t="s">
        <v>11</v>
      </c>
      <c r="D76" s="4" t="s">
        <v>101</v>
      </c>
      <c r="E76" s="5" t="n">
        <f aca="false">SUM(F76:H76)</f>
        <v>5.47</v>
      </c>
      <c r="F76" s="6" t="n">
        <v>5.47</v>
      </c>
      <c r="G76" s="6" t="n">
        <v>0</v>
      </c>
      <c r="H76" s="6" t="n">
        <v>0</v>
      </c>
      <c r="I76" s="4" t="n">
        <v>35</v>
      </c>
      <c r="J76" s="6" t="n">
        <v>5.47</v>
      </c>
      <c r="K76" s="18" t="s">
        <v>76</v>
      </c>
    </row>
    <row r="77" customFormat="false" ht="15" hidden="false" customHeight="false" outlineLevel="0" collapsed="false">
      <c r="A77" s="17" t="s">
        <v>72</v>
      </c>
      <c r="B77" s="4" t="s">
        <v>12</v>
      </c>
      <c r="C77" s="4" t="s">
        <v>11</v>
      </c>
      <c r="D77" s="4" t="s">
        <v>84</v>
      </c>
      <c r="E77" s="5" t="n">
        <f aca="false">SUM(F77:H77)</f>
        <v>4.58</v>
      </c>
      <c r="F77" s="6" t="n">
        <v>4.58</v>
      </c>
      <c r="G77" s="6" t="n">
        <v>0</v>
      </c>
      <c r="H77" s="6" t="n">
        <v>0</v>
      </c>
      <c r="I77" s="4" t="n">
        <v>32</v>
      </c>
      <c r="J77" s="6" t="n">
        <v>4.58</v>
      </c>
      <c r="K77" s="18" t="s">
        <v>76</v>
      </c>
    </row>
    <row r="78" customFormat="false" ht="15" hidden="false" customHeight="false" outlineLevel="0" collapsed="false">
      <c r="A78" s="17" t="s">
        <v>72</v>
      </c>
      <c r="B78" s="4" t="s">
        <v>12</v>
      </c>
      <c r="C78" s="4" t="s">
        <v>11</v>
      </c>
      <c r="D78" s="4" t="s">
        <v>102</v>
      </c>
      <c r="E78" s="5" t="n">
        <f aca="false">SUM(F78:H78)</f>
        <v>4.49</v>
      </c>
      <c r="F78" s="6" t="n">
        <v>4.49</v>
      </c>
      <c r="G78" s="6" t="n">
        <v>0</v>
      </c>
      <c r="H78" s="6" t="n">
        <v>0</v>
      </c>
      <c r="I78" s="4" t="n">
        <v>60</v>
      </c>
      <c r="J78" s="6" t="n">
        <v>4.49</v>
      </c>
      <c r="K78" s="14" t="n">
        <v>0</v>
      </c>
    </row>
    <row r="79" customFormat="false" ht="15" hidden="false" customHeight="false" outlineLevel="0" collapsed="false">
      <c r="A79" s="17" t="s">
        <v>72</v>
      </c>
      <c r="B79" s="4" t="s">
        <v>12</v>
      </c>
      <c r="C79" s="4" t="s">
        <v>11</v>
      </c>
      <c r="D79" s="4" t="s">
        <v>103</v>
      </c>
      <c r="E79" s="5" t="n">
        <f aca="false">SUM(F79:H79)</f>
        <v>3.98</v>
      </c>
      <c r="F79" s="6" t="n">
        <v>3.98</v>
      </c>
      <c r="G79" s="6" t="n">
        <v>0</v>
      </c>
      <c r="H79" s="6" t="n">
        <v>0</v>
      </c>
      <c r="I79" s="4" t="n">
        <v>34</v>
      </c>
      <c r="J79" s="6" t="n">
        <v>3.98</v>
      </c>
      <c r="K79" s="18" t="s">
        <v>76</v>
      </c>
    </row>
    <row r="80" customFormat="false" ht="15" hidden="false" customHeight="false" outlineLevel="0" collapsed="false">
      <c r="A80" s="17" t="s">
        <v>72</v>
      </c>
      <c r="B80" s="4" t="s">
        <v>12</v>
      </c>
      <c r="C80" s="4" t="s">
        <v>11</v>
      </c>
      <c r="D80" s="4" t="s">
        <v>104</v>
      </c>
      <c r="E80" s="5" t="n">
        <f aca="false">SUM(F80:H80)</f>
        <v>1.04</v>
      </c>
      <c r="F80" s="6" t="n">
        <v>1.04</v>
      </c>
      <c r="G80" s="6" t="n">
        <v>0</v>
      </c>
      <c r="H80" s="6" t="n">
        <v>0</v>
      </c>
      <c r="I80" s="4" t="n">
        <v>33</v>
      </c>
      <c r="J80" s="6" t="n">
        <v>1.04</v>
      </c>
      <c r="K80" s="18" t="s">
        <v>76</v>
      </c>
    </row>
    <row r="81" customFormat="false" ht="15" hidden="false" customHeight="false" outlineLevel="0" collapsed="false">
      <c r="A81" s="17" t="s">
        <v>72</v>
      </c>
      <c r="B81" s="4" t="s">
        <v>12</v>
      </c>
      <c r="C81" s="4" t="s">
        <v>11</v>
      </c>
      <c r="D81" s="4" t="s">
        <v>105</v>
      </c>
      <c r="E81" s="5" t="n">
        <f aca="false">SUM(F81:H81)</f>
        <v>0.72</v>
      </c>
      <c r="F81" s="6" t="n">
        <v>0.72</v>
      </c>
      <c r="G81" s="6" t="n">
        <v>0</v>
      </c>
      <c r="H81" s="6" t="n">
        <v>0</v>
      </c>
      <c r="I81" s="4" t="n">
        <v>32</v>
      </c>
      <c r="J81" s="6" t="n">
        <v>0.72</v>
      </c>
      <c r="K81" s="18" t="s">
        <v>76</v>
      </c>
    </row>
    <row r="82" customFormat="false" ht="15" hidden="false" customHeight="false" outlineLevel="0" collapsed="false">
      <c r="A82" s="17" t="s">
        <v>72</v>
      </c>
      <c r="B82" s="4" t="s">
        <v>12</v>
      </c>
      <c r="C82" s="4" t="s">
        <v>11</v>
      </c>
      <c r="D82" s="4" t="s">
        <v>106</v>
      </c>
      <c r="E82" s="5" t="n">
        <f aca="false">SUM(F82:H82)</f>
        <v>0.11</v>
      </c>
      <c r="F82" s="6" t="n">
        <v>0.11</v>
      </c>
      <c r="G82" s="6" t="n">
        <v>0</v>
      </c>
      <c r="H82" s="6" t="n">
        <v>0</v>
      </c>
      <c r="I82" s="4" t="n">
        <v>37</v>
      </c>
      <c r="J82" s="6" t="n">
        <v>0.11</v>
      </c>
      <c r="K82" s="18" t="s">
        <v>76</v>
      </c>
    </row>
    <row r="83" customFormat="false" ht="15" hidden="false" customHeight="false" outlineLevel="0" collapsed="false">
      <c r="A83" s="17" t="s">
        <v>72</v>
      </c>
      <c r="B83" s="4" t="s">
        <v>12</v>
      </c>
      <c r="C83" s="4" t="s">
        <v>11</v>
      </c>
      <c r="D83" s="4" t="s">
        <v>107</v>
      </c>
      <c r="E83" s="5" t="n">
        <f aca="false">SUM(F83:H83)</f>
        <v>0.09</v>
      </c>
      <c r="F83" s="6" t="n">
        <v>0.09</v>
      </c>
      <c r="G83" s="6" t="n">
        <v>0</v>
      </c>
      <c r="H83" s="6" t="n">
        <v>0</v>
      </c>
      <c r="I83" s="4" t="n">
        <v>37</v>
      </c>
      <c r="J83" s="6" t="n">
        <v>0.09</v>
      </c>
      <c r="K83" s="18" t="s">
        <v>76</v>
      </c>
    </row>
    <row r="84" customFormat="false" ht="15" hidden="false" customHeight="false" outlineLevel="0" collapsed="false">
      <c r="A84" s="17" t="s">
        <v>72</v>
      </c>
      <c r="B84" s="4" t="s">
        <v>12</v>
      </c>
      <c r="C84" s="4" t="s">
        <v>11</v>
      </c>
      <c r="D84" s="4" t="s">
        <v>108</v>
      </c>
      <c r="E84" s="5" t="n">
        <f aca="false">SUM(F84:H84)</f>
        <v>0.03</v>
      </c>
      <c r="F84" s="6" t="n">
        <v>0.03</v>
      </c>
      <c r="G84" s="6" t="n">
        <v>0</v>
      </c>
      <c r="H84" s="6" t="n">
        <v>0</v>
      </c>
      <c r="I84" s="4" t="n">
        <v>57</v>
      </c>
      <c r="J84" s="6" t="n">
        <v>0.03</v>
      </c>
      <c r="K84" s="14" t="n">
        <v>0</v>
      </c>
    </row>
    <row r="85" customFormat="false" ht="15" hidden="false" customHeight="false" outlineLevel="0" collapsed="false">
      <c r="A85" s="17" t="s">
        <v>72</v>
      </c>
      <c r="B85" s="4" t="s">
        <v>12</v>
      </c>
      <c r="C85" s="4" t="s">
        <v>11</v>
      </c>
      <c r="D85" s="4" t="s">
        <v>109</v>
      </c>
      <c r="E85" s="5" t="n">
        <f aca="false">SUM(F85:H85)</f>
        <v>0.01</v>
      </c>
      <c r="F85" s="6" t="n">
        <v>0.01</v>
      </c>
      <c r="G85" s="6" t="n">
        <v>0</v>
      </c>
      <c r="H85" s="6" t="n">
        <v>0</v>
      </c>
      <c r="I85" s="4" t="n">
        <v>35</v>
      </c>
      <c r="J85" s="6" t="n">
        <v>0.01</v>
      </c>
      <c r="K85" s="18" t="s">
        <v>76</v>
      </c>
    </row>
    <row r="86" customFormat="false" ht="15" hidden="false" customHeight="false" outlineLevel="0" collapsed="false">
      <c r="A86" s="17" t="s">
        <v>72</v>
      </c>
      <c r="B86" s="4" t="s">
        <v>13</v>
      </c>
      <c r="C86" s="4" t="s">
        <v>9</v>
      </c>
      <c r="D86" s="4" t="s">
        <v>102</v>
      </c>
      <c r="E86" s="5" t="n">
        <f aca="false">SUM(F86:H86)</f>
        <v>51.75</v>
      </c>
      <c r="F86" s="6" t="n">
        <v>51.75</v>
      </c>
      <c r="G86" s="6" t="n">
        <v>0</v>
      </c>
      <c r="H86" s="6" t="n">
        <v>0</v>
      </c>
      <c r="I86" s="4" t="n">
        <v>34</v>
      </c>
      <c r="J86" s="6" t="n">
        <v>51.75</v>
      </c>
      <c r="K86" s="18" t="s">
        <v>76</v>
      </c>
    </row>
    <row r="87" customFormat="false" ht="15" hidden="false" customHeight="false" outlineLevel="0" collapsed="false">
      <c r="A87" s="17" t="s">
        <v>72</v>
      </c>
      <c r="B87" s="4" t="s">
        <v>13</v>
      </c>
      <c r="C87" s="4" t="s">
        <v>9</v>
      </c>
      <c r="D87" s="4" t="s">
        <v>110</v>
      </c>
      <c r="E87" s="5" t="n">
        <f aca="false">SUM(F87:H87)</f>
        <v>15.32</v>
      </c>
      <c r="F87" s="6" t="n">
        <v>15.32</v>
      </c>
      <c r="G87" s="6" t="n">
        <v>0</v>
      </c>
      <c r="H87" s="6" t="n">
        <v>0</v>
      </c>
      <c r="I87" s="4" t="n">
        <v>34</v>
      </c>
      <c r="J87" s="6" t="n">
        <v>15.32</v>
      </c>
      <c r="K87" s="18" t="s">
        <v>76</v>
      </c>
    </row>
    <row r="88" customFormat="false" ht="15" hidden="false" customHeight="false" outlineLevel="0" collapsed="false">
      <c r="A88" s="17" t="s">
        <v>72</v>
      </c>
      <c r="B88" s="4" t="s">
        <v>13</v>
      </c>
      <c r="C88" s="4" t="s">
        <v>9</v>
      </c>
      <c r="D88" s="4" t="s">
        <v>111</v>
      </c>
      <c r="E88" s="5" t="n">
        <f aca="false">SUM(F88:H88)</f>
        <v>5.39</v>
      </c>
      <c r="F88" s="6" t="n">
        <v>5.39</v>
      </c>
      <c r="G88" s="6" t="n">
        <v>0</v>
      </c>
      <c r="H88" s="6" t="n">
        <v>0</v>
      </c>
      <c r="I88" s="4" t="n">
        <v>32</v>
      </c>
      <c r="J88" s="6" t="n">
        <v>5.39</v>
      </c>
      <c r="K88" s="18" t="s">
        <v>76</v>
      </c>
    </row>
    <row r="89" customFormat="false" ht="15" hidden="false" customHeight="false" outlineLevel="0" collapsed="false">
      <c r="A89" s="17" t="s">
        <v>72</v>
      </c>
      <c r="B89" s="4" t="s">
        <v>13</v>
      </c>
      <c r="C89" s="4" t="s">
        <v>9</v>
      </c>
      <c r="D89" s="4" t="s">
        <v>108</v>
      </c>
      <c r="E89" s="5" t="n">
        <f aca="false">SUM(F89:H89)</f>
        <v>2.01</v>
      </c>
      <c r="F89" s="6" t="n">
        <v>2.01</v>
      </c>
      <c r="G89" s="6" t="n">
        <v>0</v>
      </c>
      <c r="H89" s="6" t="n">
        <v>0</v>
      </c>
      <c r="I89" s="4" t="n">
        <v>37</v>
      </c>
      <c r="J89" s="6" t="n">
        <v>2.01</v>
      </c>
      <c r="K89" s="18" t="s">
        <v>76</v>
      </c>
    </row>
    <row r="90" customFormat="false" ht="15" hidden="false" customHeight="false" outlineLevel="0" collapsed="false">
      <c r="A90" s="17" t="s">
        <v>72</v>
      </c>
      <c r="B90" s="4" t="s">
        <v>13</v>
      </c>
      <c r="C90" s="4" t="s">
        <v>9</v>
      </c>
      <c r="D90" s="4" t="s">
        <v>112</v>
      </c>
      <c r="E90" s="5" t="n">
        <f aca="false">SUM(F90:H90)</f>
        <v>0.54</v>
      </c>
      <c r="F90" s="6" t="n">
        <v>0.54</v>
      </c>
      <c r="G90" s="6" t="n">
        <v>0</v>
      </c>
      <c r="H90" s="6" t="n">
        <v>0</v>
      </c>
      <c r="I90" s="4" t="n">
        <v>37</v>
      </c>
      <c r="J90" s="6" t="n">
        <v>0.54</v>
      </c>
      <c r="K90" s="18" t="s">
        <v>76</v>
      </c>
    </row>
    <row r="91" customFormat="false" ht="15" hidden="false" customHeight="false" outlineLevel="0" collapsed="false">
      <c r="A91" s="17" t="s">
        <v>72</v>
      </c>
      <c r="B91" s="4" t="s">
        <v>13</v>
      </c>
      <c r="C91" s="4" t="s">
        <v>9</v>
      </c>
      <c r="D91" s="4" t="s">
        <v>113</v>
      </c>
      <c r="E91" s="5" t="n">
        <f aca="false">SUM(F91:H91)</f>
        <v>0.33</v>
      </c>
      <c r="F91" s="6" t="n">
        <v>0.33</v>
      </c>
      <c r="G91" s="6" t="n">
        <v>0</v>
      </c>
      <c r="H91" s="6" t="n">
        <v>0</v>
      </c>
      <c r="I91" s="4" t="n">
        <v>54</v>
      </c>
      <c r="J91" s="6" t="n">
        <v>0.33</v>
      </c>
      <c r="K91" s="14" t="n">
        <v>0</v>
      </c>
    </row>
    <row r="92" customFormat="false" ht="15" hidden="false" customHeight="false" outlineLevel="0" collapsed="false">
      <c r="A92" s="17" t="s">
        <v>72</v>
      </c>
      <c r="B92" s="4" t="s">
        <v>13</v>
      </c>
      <c r="C92" s="4" t="s">
        <v>9</v>
      </c>
      <c r="D92" s="4" t="s">
        <v>114</v>
      </c>
      <c r="E92" s="5" t="n">
        <f aca="false">SUM(F92:H92)</f>
        <v>0.27</v>
      </c>
      <c r="F92" s="6" t="n">
        <v>0.27</v>
      </c>
      <c r="G92" s="6" t="n">
        <v>0</v>
      </c>
      <c r="H92" s="6" t="n">
        <v>0</v>
      </c>
      <c r="I92" s="4" t="n">
        <v>37</v>
      </c>
      <c r="J92" s="6" t="n">
        <v>0.27</v>
      </c>
      <c r="K92" s="18" t="s">
        <v>76</v>
      </c>
    </row>
    <row r="93" customFormat="false" ht="15" hidden="false" customHeight="false" outlineLevel="0" collapsed="false">
      <c r="A93" s="19"/>
      <c r="B93" s="19"/>
      <c r="C93" s="19"/>
      <c r="D93" s="7" t="s">
        <v>115</v>
      </c>
      <c r="E93" s="8" t="n">
        <f aca="false">SUBTOTAL(9,E5:E92)</f>
        <v>757.34</v>
      </c>
      <c r="F93" s="8" t="n">
        <f aca="false">SUBTOTAL(9,F5:F92)</f>
        <v>457.05</v>
      </c>
      <c r="G93" s="8" t="n">
        <f aca="false">SUBTOTAL(9,G5:G92)</f>
        <v>50.49</v>
      </c>
      <c r="H93" s="8" t="n">
        <f aca="false">SUBTOTAL(9,H5:H92)</f>
        <v>249.8</v>
      </c>
      <c r="I93" s="19"/>
      <c r="J93" s="8" t="n">
        <f aca="false">SUBTOTAL(9,J5:J92)</f>
        <v>1104.59</v>
      </c>
      <c r="K93" s="19"/>
    </row>
    <row r="95" customFormat="false" ht="15" hidden="false" customHeight="false" outlineLevel="0" collapsed="false">
      <c r="A95" s="20" t="s">
        <v>116</v>
      </c>
    </row>
    <row r="96" customFormat="false" ht="15" hidden="false" customHeight="false" outlineLevel="0" collapsed="false">
      <c r="A96" s="9" t="s">
        <v>117</v>
      </c>
    </row>
    <row r="97" customFormat="false" ht="15" hidden="false" customHeight="false" outlineLevel="0" collapsed="false">
      <c r="A97" s="9" t="s">
        <v>118</v>
      </c>
    </row>
    <row r="98" customFormat="false" ht="15" hidden="false" customHeight="false" outlineLevel="0" collapsed="false">
      <c r="A98" s="9" t="s">
        <v>119</v>
      </c>
    </row>
    <row r="99" customFormat="false" ht="15" hidden="false" customHeight="false" outlineLevel="0" collapsed="false">
      <c r="A99" s="9" t="s">
        <v>120</v>
      </c>
    </row>
    <row r="100" customFormat="false" ht="15" hidden="false" customHeight="false" outlineLevel="0" collapsed="false">
      <c r="A100" s="9" t="s">
        <v>121</v>
      </c>
    </row>
    <row r="101" customFormat="false" ht="15" hidden="false" customHeight="false" outlineLevel="0" collapsed="false">
      <c r="A101" s="9" t="s">
        <v>122</v>
      </c>
    </row>
    <row r="102" customFormat="false" ht="15" hidden="false" customHeight="false" outlineLevel="0" collapsed="false">
      <c r="A102" s="9" t="s">
        <v>123</v>
      </c>
    </row>
    <row r="103" customFormat="false" ht="15" hidden="false" customHeight="false" outlineLevel="0" collapsed="false">
      <c r="A103" s="9" t="s">
        <v>124</v>
      </c>
    </row>
  </sheetData>
  <autoFilter ref="A4:K9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2026-10-26T10:43:06Z</dcterms:created>
  <dc:creator>openpyxl</dc:creator>
  <dc:description/>
  <dc:language>en-US</dc:language>
  <cp:lastModifiedBy/>
  <dcterms:modified xsi:type="dcterms:W3CDTF">2026-10-26T10:43:06Z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