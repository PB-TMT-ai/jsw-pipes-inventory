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Not matching" sheetId="2" state="visible" r:id="rId4"/>
    <sheet name="Thickness detail" sheetId="3" state="visible" r:id="rId5"/>
  </sheets>
  <definedNames>
    <definedName function="false" hidden="false" localSheetId="1" name="_xlnm.Print_Titles" vbProcedure="false">'Not matching'!$4:$4</definedName>
    <definedName function="false" hidden="true" localSheetId="1" name="_xlnm._FilterDatabase" vbProcedure="false">'Not matching'!$A$4:$Q$60</definedName>
    <definedName function="false" hidden="true" localSheetId="2" name="_xlnm._FilterDatabase" vbProcedure="false">'Thickness detail'!$A$4:$J$71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<sst xmlns="http://schemas.openxmlformats.org/spreadsheetml/2006/main" count="363" uniqueCount="129">
  <si>
    <t xml:space="preserve">Hyderabad FG - plant sheet vs system (29-Oct-2026)</t>
  </si>
  <si>
    <t xml:space="preserve">Totals (MT)</t>
  </si>
  <si>
    <t xml:space="preserve">Plant sheet Grand Total (as printed)</t>
  </si>
  <si>
    <t xml:space="preserve">From the sheet</t>
  </si>
  <si>
    <t xml:space="preserve">Plant sheet, sum of the 55 visible rows</t>
  </si>
  <si>
    <t xml:space="preserve">Typed from the sheet image</t>
  </si>
  <si>
    <t xml:space="preserve">Difference: rows hidden or filtered on the sheet</t>
  </si>
  <si>
    <t xml:space="preserve">Grand Total minus visible rows</t>
  </si>
  <si>
    <t xml:space="preserve">System FG on hand (sizes floored at 0)</t>
  </si>
  <si>
    <t xml:space="preserve">Approved rules S2/S10, 2.8-3.2 counted as 3.0</t>
  </si>
  <si>
    <t xml:space="preserve">System produced since 28-Mar</t>
  </si>
  <si>
    <t xml:space="preserve">Tubes x SKU master weight per tube</t>
  </si>
  <si>
    <t xml:space="preserve">System invoiced</t>
  </si>
  <si>
    <t xml:space="preserve">Zoho invoice register (to 26-Oct for Hyderabad)</t>
  </si>
  <si>
    <t xml:space="preserve">System produced - invoiced</t>
  </si>
  <si>
    <t xml:space="preserve">Billed beyond production (sizes below 0)</t>
  </si>
  <si>
    <t xml:space="preserve">FG on hand - this = produced - invoiced</t>
  </si>
  <si>
    <t xml:space="preserve">Check: FG on hand - billed beyond = produced - invoiced (should be 0)</t>
  </si>
  <si>
    <t xml:space="preserve">Plant Grand Total - system produced - invoiced</t>
  </si>
  <si>
    <t xml:space="preserve">What remains once sizes are not floored</t>
  </si>
  <si>
    <t xml:space="preserve">Sizes by category</t>
  </si>
  <si>
    <t xml:space="preserve">Sizes</t>
  </si>
  <si>
    <t xml:space="preserve">Plant sheet FG</t>
  </si>
  <si>
    <t xml:space="preserve">System FG</t>
  </si>
  <si>
    <t xml:space="preserve">Difference</t>
  </si>
  <si>
    <t xml:space="preserve">Produced - invoiced</t>
  </si>
  <si>
    <t xml:space="preserve">Billed beyond production</t>
  </si>
  <si>
    <t xml:space="preserve">Not on plant sheet</t>
  </si>
  <si>
    <t xml:space="preserve">On plant sheet, system shows 0</t>
  </si>
  <si>
    <t xml:space="preserve">System higher</t>
  </si>
  <si>
    <t xml:space="preserve">Plant higher</t>
  </si>
  <si>
    <t xml:space="preserve">Matching within 0.5 MT, or nil on both sides (not listed)</t>
  </si>
  <si>
    <t xml:space="preserve">All sizes</t>
  </si>
  <si>
    <t xml:space="preserve">Notes</t>
  </si>
  <si>
    <t xml:space="preserve">Plant sheet rows "25.4OD" are matched to the system's CHS 20 NB (the system has no 25.4 OD size; tonnages track closely at every thickness).</t>
  </si>
  <si>
    <t xml:space="preserve">Thickness 2.8, 2.9, 3.0 and 3.2 of the same size are counted as one size (3.0), as decided on 29-Oct; the "Thickness detail" sheet shows the codes underneath.</t>
  </si>
  <si>
    <t xml:space="preserve">System FG = produced minus invoiced at Hyderabad, per size, never below 0; invoices use up the oldest production first (approved Inventory Snapshot rules S1, S2, S10).</t>
  </si>
  <si>
    <t xml:space="preserve">Hyderabad has no invoice in the system dated after 26-Oct. Dispatches of 27-28 Oct, if any, are not yet in the figures.</t>
  </si>
  <si>
    <t xml:space="preserve">Production before tracking began (28-Mar-2026) is not in the system, so stock made before then and sold after shows as "billed beyond production".</t>
  </si>
  <si>
    <t xml:space="preserve">The plant sheet's 55 visible rows add up to 643.432 MT against its Grand Total of 649.586 MT; please check for hidden or filtered rows (6.154 MT).</t>
  </si>
  <si>
    <t xml:space="preserve">Hyderabad FG - sizes where the plant sheet and the system do not match</t>
  </si>
  <si>
    <t xml:space="preserve">Plant sheet 29-Oct-2026 vs system as of 29-Oct (data to 28-Oct; invoices to 26-Oct). Thickness 2.8-3.2 counted as 3.0. Production and invoices are totals since tracking began (28-Mar-2026). MT unless stated.</t>
  </si>
  <si>
    <t xml:space="preserve">Category</t>
  </si>
  <si>
    <t xml:space="preserve">Size</t>
  </si>
  <si>
    <t xml:space="preserve">Section</t>
  </si>
  <si>
    <t xml:space="preserve">Plant sheet FG (MT)</t>
  </si>
  <si>
    <t xml:space="preserve">System FG (MT)</t>
  </si>
  <si>
    <t xml:space="preserve">Difference system - plant (MT)</t>
  </si>
  <si>
    <t xml:space="preserve">Produced (MT)</t>
  </si>
  <si>
    <t xml:space="preserve">Produced (tubes)</t>
  </si>
  <si>
    <t xml:space="preserve">Invoiced (MT)</t>
  </si>
  <si>
    <t xml:space="preserve">Invoiced (pieces)</t>
  </si>
  <si>
    <t xml:space="preserve">Produced - invoiced (MT)</t>
  </si>
  <si>
    <t xml:space="preserve">Produced - invoiced (pieces)</t>
  </si>
  <si>
    <t xml:space="preserve">System FG over 60 days (MT)</t>
  </si>
  <si>
    <t xml:space="preserve">First produced</t>
  </si>
  <si>
    <t xml:space="preserve">Last produced</t>
  </si>
  <si>
    <t xml:space="preserve">Last invoiced</t>
  </si>
  <si>
    <t xml:space="preserve">What to check</t>
  </si>
  <si>
    <t xml:space="preserve">60X60X2.8</t>
  </si>
  <si>
    <t xml:space="preserve">SHS</t>
  </si>
  <si>
    <t xml:space="preserve">More billed than produced under this code. Sold under this code but made under another code (or before tracking began, 28-Mar).</t>
  </si>
  <si>
    <t xml:space="preserve">80X40X1.6</t>
  </si>
  <si>
    <t xml:space="preserve">RHS</t>
  </si>
  <si>
    <t xml:space="preserve">15NBX1.6</t>
  </si>
  <si>
    <t xml:space="preserve">CHS</t>
  </si>
  <si>
    <t xml:space="preserve">25NBX2.8</t>
  </si>
  <si>
    <t xml:space="preserve">More billed than produced under this code. Plant still holds stock: production likely entered under another code, or not entered. </t>
  </si>
  <si>
    <t xml:space="preserve">20X20X2</t>
  </si>
  <si>
    <t xml:space="preserve">50NBX4</t>
  </si>
  <si>
    <t xml:space="preserve">40X20X1.6</t>
  </si>
  <si>
    <t xml:space="preserve">100X50X2</t>
  </si>
  <si>
    <t xml:space="preserve">60X60X2</t>
  </si>
  <si>
    <t xml:space="preserve">25X25X1.2</t>
  </si>
  <si>
    <t xml:space="preserve">25X25X2.5</t>
  </si>
  <si>
    <t xml:space="preserve">25X25X3 (2.8-3.2)</t>
  </si>
  <si>
    <t xml:space="preserve">65NBX2.8</t>
  </si>
  <si>
    <t xml:space="preserve">System holds stock the plant does not list: likely sold/billed under another code, or on hidden rows of the sheet.</t>
  </si>
  <si>
    <t xml:space="preserve">100X50X2.5</t>
  </si>
  <si>
    <t xml:space="preserve">50X25X2.5</t>
  </si>
  <si>
    <t xml:space="preserve">40X20X2</t>
  </si>
  <si>
    <t xml:space="preserve">50X25X2.8</t>
  </si>
  <si>
    <t xml:space="preserve">32NBX1.6</t>
  </si>
  <si>
    <t xml:space="preserve">38X38X1.6</t>
  </si>
  <si>
    <t xml:space="preserve">40NBX2.5</t>
  </si>
  <si>
    <t xml:space="preserve">75X25X2.5</t>
  </si>
  <si>
    <t xml:space="preserve">25NBX2</t>
  </si>
  <si>
    <t xml:space="preserve">75X75X2</t>
  </si>
  <si>
    <t xml:space="preserve">50X50X3 (2.8-3.2)</t>
  </si>
  <si>
    <t xml:space="preserve">40X20X2.5</t>
  </si>
  <si>
    <t xml:space="preserve">Plant holds stock the system shows as nil: production likely entered under another code.</t>
  </si>
  <si>
    <t xml:space="preserve">80X40X2</t>
  </si>
  <si>
    <t xml:space="preserve">System higher: check for dispatches not yet invoiced (no Hyderabad invoice in the system after 26-Oct) and stock billed under a neighbouring code.</t>
  </si>
  <si>
    <t xml:space="preserve">60X40X2.8</t>
  </si>
  <si>
    <t xml:space="preserve">50NBX2</t>
  </si>
  <si>
    <t xml:space="preserve">80X40X3 (2.8-3.2)</t>
  </si>
  <si>
    <t xml:space="preserve">100X50X3 (2.8-3.2)</t>
  </si>
  <si>
    <t xml:space="preserve">38X38X2.5</t>
  </si>
  <si>
    <t xml:space="preserve">25.4ODX2 (20 NB)</t>
  </si>
  <si>
    <t xml:space="preserve">80X40X2.5</t>
  </si>
  <si>
    <t xml:space="preserve">50NBX3 (2.8-3.2)</t>
  </si>
  <si>
    <t xml:space="preserve">25NBX1.6</t>
  </si>
  <si>
    <t xml:space="preserve">25.4ODX2.5 (20 NB)</t>
  </si>
  <si>
    <t xml:space="preserve">25.4ODX1.6 (20 NB)</t>
  </si>
  <si>
    <t xml:space="preserve">50NBX2.5</t>
  </si>
  <si>
    <t xml:space="preserve">40NBX4</t>
  </si>
  <si>
    <t xml:space="preserve">75X25X2.8</t>
  </si>
  <si>
    <t xml:space="preserve">60X40X2.5</t>
  </si>
  <si>
    <t xml:space="preserve">80NBX2.5</t>
  </si>
  <si>
    <t xml:space="preserve">80NBX3 (2.8-3.2)</t>
  </si>
  <si>
    <t xml:space="preserve">32NBX2.5</t>
  </si>
  <si>
    <t xml:space="preserve">25X25X2</t>
  </si>
  <si>
    <t xml:space="preserve">50X25X2</t>
  </si>
  <si>
    <t xml:space="preserve">Plant higher: production may be under-recorded, or this code was billed for stock made under another code.</t>
  </si>
  <si>
    <t xml:space="preserve">38X38X3 (2.8-3.2)</t>
  </si>
  <si>
    <t xml:space="preserve">65NBX2.5</t>
  </si>
  <si>
    <t xml:space="preserve">38X38X2</t>
  </si>
  <si>
    <t xml:space="preserve">50X50X2</t>
  </si>
  <si>
    <t xml:space="preserve">60X40X2</t>
  </si>
  <si>
    <t xml:space="preserve">15NBX2</t>
  </si>
  <si>
    <t xml:space="preserve">50X50X1.6</t>
  </si>
  <si>
    <t xml:space="preserve">40NBX2</t>
  </si>
  <si>
    <t xml:space="preserve">40X20X3 (2.8-3.2)</t>
  </si>
  <si>
    <t xml:space="preserve">25NBX2.5</t>
  </si>
  <si>
    <t xml:space="preserve">Total (follows the filter)</t>
  </si>
  <si>
    <t xml:space="preserve">Codes behind each listed size (before the 2.8-3.2 merge)</t>
  </si>
  <si>
    <t xml:space="preserve">Shows which exact thickness each tonne was produced and invoiced under. A negative "Produced - invoiced" means more was billed under that code than was produced under it.</t>
  </si>
  <si>
    <t xml:space="preserve">Size (as listed)</t>
  </si>
  <si>
    <t xml:space="preserve">Code thickness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</si>
</sst>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0;[RED]\-#,##0.000"/>
    <numFmt numFmtId="166" formatCode="#,##0.000;[RED]\-#,##0.000;\-"/>
    <numFmt numFmtId="167" formatCode="0"/>
    <numFmt numFmtId="168" formatCode="#,##0;[RED]\-#,##0;\-"/>
    <numFmt numFmtId="169" formatCode="dd\-mmm\-yy"/>
    <numFmt numFmtId="170" formatCode="0.0#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A5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333333"/>
      <name val="Arial"/>
      <family val="0"/>
      <charset val="1"/>
    </font>
    <font>
      <sz val="9"/>
      <color rgb="FF555555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BE3E1"/>
        <bgColor rgb="FFFFF1D6"/>
      </patternFill>
    </fill>
    <fill>
      <patternFill patternType="solid">
        <fgColor rgb="FFFFF1D6"/>
        <bgColor rgb="FFFFF9DB"/>
      </patternFill>
    </fill>
    <fill>
      <patternFill patternType="solid">
        <fgColor rgb="FFFFF9DB"/>
        <bgColor rgb="FFFFF1D6"/>
      </patternFill>
    </fill>
    <fill>
      <patternFill patternType="solid">
        <fgColor rgb="FFE8F0FE"/>
        <bgColor rgb="FFEEF2F6"/>
      </patternFill>
    </fill>
    <fill>
      <patternFill patternType="solid">
        <fgColor rgb="FFEEF2F6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fgColor rgb="FFFBE3E1"/>
          <bgColor rgb="FF000000"/>
        </patternFill>
      </fill>
    </dxf>
    <dxf>
      <fill>
        <patternFill patternType="solid">
          <fgColor rgb="FFFFF1D6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E8F0FE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6"/>
      <rgbColor rgb="FFCCFFCC"/>
      <rgbColor rgb="FFFFF1D6"/>
      <rgbColor rgb="FF99CCFF"/>
      <rgbColor rgb="FFFF99CC"/>
      <rgbColor rgb="FFCC99FF"/>
      <rgbColor rgb="FFFBE3E1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4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v>649.586</v>
      </c>
      <c r="C3" s="3" t="s">
        <v>3</v>
      </c>
    </row>
    <row r="4" customFormat="false" ht="15" hidden="false" customHeight="false" outlineLevel="0" collapsed="false">
      <c r="A4" s="3" t="s">
        <v>4</v>
      </c>
      <c r="B4" s="4" t="n">
        <v>643.432</v>
      </c>
      <c r="C4" s="3" t="s">
        <v>5</v>
      </c>
    </row>
    <row r="5" customFormat="false" ht="15" hidden="false" customHeight="false" outlineLevel="0" collapsed="false">
      <c r="A5" s="3" t="s">
        <v>6</v>
      </c>
      <c r="B5" s="4" t="n">
        <f aca="false">B3-B4</f>
        <v>6.154</v>
      </c>
      <c r="C5" s="3" t="s">
        <v>7</v>
      </c>
    </row>
    <row r="6" customFormat="false" ht="15" hidden="false" customHeight="false" outlineLevel="0" collapsed="false">
      <c r="A6" s="3" t="s">
        <v>8</v>
      </c>
      <c r="B6" s="4" t="n">
        <v>683.80736041872</v>
      </c>
      <c r="C6" s="3" t="s">
        <v>9</v>
      </c>
    </row>
    <row r="7" customFormat="false" ht="15" hidden="false" customHeight="false" outlineLevel="0" collapsed="false">
      <c r="A7" s="3" t="s">
        <v>10</v>
      </c>
      <c r="B7" s="4" t="n">
        <v>6960.10004706745</v>
      </c>
      <c r="C7" s="3" t="s">
        <v>11</v>
      </c>
    </row>
    <row r="8" customFormat="false" ht="15" hidden="false" customHeight="false" outlineLevel="0" collapsed="false">
      <c r="A8" s="3" t="s">
        <v>12</v>
      </c>
      <c r="B8" s="4" t="n">
        <v>6323.554</v>
      </c>
      <c r="C8" s="3" t="s">
        <v>13</v>
      </c>
    </row>
    <row r="9" customFormat="false" ht="15" hidden="false" customHeight="false" outlineLevel="0" collapsed="false">
      <c r="A9" s="3" t="s">
        <v>14</v>
      </c>
      <c r="B9" s="4" t="n">
        <f aca="false">B7-B8</f>
        <v>636.546047067445</v>
      </c>
      <c r="C9" s="3"/>
    </row>
    <row r="10" customFormat="false" ht="15" hidden="false" customHeight="false" outlineLevel="0" collapsed="false">
      <c r="A10" s="3" t="s">
        <v>15</v>
      </c>
      <c r="B10" s="4" t="n">
        <v>47.2613133512749</v>
      </c>
      <c r="C10" s="3" t="s">
        <v>16</v>
      </c>
    </row>
    <row r="11" customFormat="false" ht="15" hidden="false" customHeight="false" outlineLevel="0" collapsed="false">
      <c r="A11" s="3" t="s">
        <v>17</v>
      </c>
      <c r="B11" s="4" t="n">
        <f aca="false">ROUND(B6-B10-B9,6)</f>
        <v>0</v>
      </c>
      <c r="C11" s="3"/>
    </row>
    <row r="12" customFormat="false" ht="15" hidden="false" customHeight="false" outlineLevel="0" collapsed="false">
      <c r="A12" s="3" t="s">
        <v>18</v>
      </c>
      <c r="B12" s="4" t="n">
        <f aca="false">B3-B9</f>
        <v>13.0399529325548</v>
      </c>
      <c r="C12" s="3" t="s">
        <v>19</v>
      </c>
    </row>
    <row r="14" customFormat="false" ht="23.85" hidden="false" customHeight="false" outlineLevel="0" collapsed="false">
      <c r="A14" s="5" t="s">
        <v>20</v>
      </c>
      <c r="B14" s="5" t="s">
        <v>21</v>
      </c>
      <c r="C14" s="5" t="s">
        <v>22</v>
      </c>
      <c r="D14" s="5" t="s">
        <v>23</v>
      </c>
      <c r="E14" s="5" t="s">
        <v>24</v>
      </c>
      <c r="F14" s="5" t="s">
        <v>25</v>
      </c>
    </row>
    <row r="15" customFormat="false" ht="15" hidden="false" customHeight="false" outlineLevel="0" collapsed="false">
      <c r="A15" s="6" t="s">
        <v>26</v>
      </c>
      <c r="B15" s="7" t="n">
        <f aca="false">COUNTIF('Not matching'!$A$5:$A$60,A15)</f>
        <v>12</v>
      </c>
      <c r="C15" s="8" t="n">
        <f aca="false">SUMIF('Not matching'!$A$5:$A$60,A15,'Not matching'!$D$5:$D$60)</f>
        <v>7.038</v>
      </c>
      <c r="D15" s="8" t="n">
        <f aca="false">SUMIF('Not matching'!$A$5:$A$60,A15,'Not matching'!$E$5:$E$60)</f>
        <v>0</v>
      </c>
      <c r="E15" s="8" t="n">
        <f aca="false">D15-C15</f>
        <v>-7.038</v>
      </c>
      <c r="F15" s="8" t="n">
        <f aca="false">SUMIF('Not matching'!$A$5:$A$60,A15,'Not matching'!$K$5:$K$60)</f>
        <v>-44.6046352454332</v>
      </c>
    </row>
    <row r="16" customFormat="false" ht="15" hidden="false" customHeight="false" outlineLevel="0" collapsed="false">
      <c r="A16" s="9" t="s">
        <v>27</v>
      </c>
      <c r="B16" s="7" t="n">
        <f aca="false">COUNTIF('Not matching'!$A$5:$A$60,A16)</f>
        <v>12</v>
      </c>
      <c r="C16" s="8" t="n">
        <f aca="false">SUMIF('Not matching'!$A$5:$A$60,A16,'Not matching'!$D$5:$D$60)</f>
        <v>0</v>
      </c>
      <c r="D16" s="8" t="n">
        <f aca="false">SUMIF('Not matching'!$A$5:$A$60,A16,'Not matching'!$E$5:$E$60)</f>
        <v>20.7074183080787</v>
      </c>
      <c r="E16" s="8" t="n">
        <f aca="false">D16-C16</f>
        <v>20.7074183080787</v>
      </c>
      <c r="F16" s="8" t="n">
        <f aca="false">SUMIF('Not matching'!$A$5:$A$60,A16,'Not matching'!$K$5:$K$60)</f>
        <v>20.7074183080787</v>
      </c>
    </row>
    <row r="17" customFormat="false" ht="15" hidden="false" customHeight="false" outlineLevel="0" collapsed="false">
      <c r="A17" s="9" t="s">
        <v>28</v>
      </c>
      <c r="B17" s="7" t="n">
        <f aca="false">COUNTIF('Not matching'!$A$5:$A$60,A17)</f>
        <v>1</v>
      </c>
      <c r="C17" s="8" t="n">
        <f aca="false">SUMIF('Not matching'!$A$5:$A$60,A17,'Not matching'!$D$5:$D$60)</f>
        <v>1.693</v>
      </c>
      <c r="D17" s="8" t="n">
        <f aca="false">SUMIF('Not matching'!$A$5:$A$60,A17,'Not matching'!$E$5:$E$60)</f>
        <v>0</v>
      </c>
      <c r="E17" s="8" t="n">
        <f aca="false">D17-C17</f>
        <v>-1.693</v>
      </c>
      <c r="F17" s="8" t="n">
        <f aca="false">SUMIF('Not matching'!$A$5:$A$60,A17,'Not matching'!$K$5:$K$60)</f>
        <v>-0.226302499999999</v>
      </c>
    </row>
    <row r="18" customFormat="false" ht="15" hidden="false" customHeight="false" outlineLevel="0" collapsed="false">
      <c r="A18" s="10" t="s">
        <v>29</v>
      </c>
      <c r="B18" s="7" t="n">
        <f aca="false">COUNTIF('Not matching'!$A$5:$A$60,A18)</f>
        <v>20</v>
      </c>
      <c r="C18" s="8" t="n">
        <f aca="false">SUMIF('Not matching'!$A$5:$A$60,A18,'Not matching'!$D$5:$D$60)</f>
        <v>332.695</v>
      </c>
      <c r="D18" s="8" t="n">
        <f aca="false">SUMIF('Not matching'!$A$5:$A$60,A18,'Not matching'!$E$5:$E$60)</f>
        <v>386.319503904547</v>
      </c>
      <c r="E18" s="8" t="n">
        <f aca="false">D18-C18</f>
        <v>53.6245039045468</v>
      </c>
      <c r="F18" s="8" t="n">
        <f aca="false">SUMIF('Not matching'!$A$5:$A$60,A18,'Not matching'!$K$5:$K$60)</f>
        <v>386.319503904547</v>
      </c>
    </row>
    <row r="19" customFormat="false" ht="15" hidden="false" customHeight="false" outlineLevel="0" collapsed="false">
      <c r="A19" s="11" t="s">
        <v>30</v>
      </c>
      <c r="B19" s="7" t="n">
        <f aca="false">COUNTIF('Not matching'!$A$5:$A$60,A19)</f>
        <v>11</v>
      </c>
      <c r="C19" s="8" t="n">
        <f aca="false">SUMIF('Not matching'!$A$5:$A$60,A19,'Not matching'!$D$5:$D$60)</f>
        <v>147.096</v>
      </c>
      <c r="D19" s="8" t="n">
        <f aca="false">SUMIF('Not matching'!$A$5:$A$60,A19,'Not matching'!$E$5:$E$60)</f>
        <v>120.967480586054</v>
      </c>
      <c r="E19" s="8" t="n">
        <f aca="false">D19-C19</f>
        <v>-26.1285194139458</v>
      </c>
      <c r="F19" s="8" t="n">
        <f aca="false">SUMIF('Not matching'!$A$5:$A$60,A19,'Not matching'!$K$5:$K$60)</f>
        <v>120.967480586054</v>
      </c>
    </row>
    <row r="20" customFormat="false" ht="15" hidden="false" customHeight="false" outlineLevel="0" collapsed="false">
      <c r="A20" s="8" t="s">
        <v>31</v>
      </c>
      <c r="B20" s="7" t="n">
        <v>39</v>
      </c>
      <c r="C20" s="8" t="n">
        <v>154.91</v>
      </c>
      <c r="D20" s="8" t="n">
        <v>155.81295762004</v>
      </c>
      <c r="E20" s="8" t="n">
        <f aca="false">D20-C20</f>
        <v>0.902957620039814</v>
      </c>
      <c r="F20" s="8" t="n">
        <v>153.382582014198</v>
      </c>
    </row>
    <row r="21" customFormat="false" ht="15" hidden="false" customHeight="false" outlineLevel="0" collapsed="false">
      <c r="A21" s="12" t="s">
        <v>32</v>
      </c>
      <c r="B21" s="13" t="n">
        <f aca="false">SUM(B15:B20)</f>
        <v>95</v>
      </c>
      <c r="C21" s="12" t="n">
        <f aca="false">SUM(C15:C20)</f>
        <v>643.432</v>
      </c>
      <c r="D21" s="12" t="n">
        <f aca="false">SUM(D15:D20)</f>
        <v>683.80736041872</v>
      </c>
      <c r="E21" s="12" t="n">
        <f aca="false">D21-C21</f>
        <v>40.3753604187195</v>
      </c>
      <c r="F21" s="12" t="n">
        <f aca="false">SUM(F15:F20)</f>
        <v>636.546047067445</v>
      </c>
    </row>
    <row r="23" customFormat="false" ht="15" hidden="false" customHeight="false" outlineLevel="0" collapsed="false">
      <c r="A23" s="14" t="s">
        <v>33</v>
      </c>
    </row>
    <row r="24" customFormat="false" ht="15" hidden="false" customHeight="false" outlineLevel="0" collapsed="false">
      <c r="A24" s="15" t="s">
        <v>34</v>
      </c>
    </row>
    <row r="25" customFormat="false" ht="15" hidden="false" customHeight="false" outlineLevel="0" collapsed="false">
      <c r="A25" s="15" t="s">
        <v>35</v>
      </c>
    </row>
    <row r="26" customFormat="false" ht="15" hidden="false" customHeight="false" outlineLevel="0" collapsed="false">
      <c r="A26" s="15" t="s">
        <v>36</v>
      </c>
    </row>
    <row r="27" customFormat="false" ht="15" hidden="false" customHeight="false" outlineLevel="0" collapsed="false">
      <c r="A27" s="15" t="s">
        <v>37</v>
      </c>
    </row>
    <row r="28" customFormat="false" ht="15" hidden="false" customHeight="false" outlineLevel="0" collapsed="false">
      <c r="A28" s="15" t="s">
        <v>38</v>
      </c>
    </row>
    <row r="29" customFormat="false" ht="15" hidden="false" customHeight="false" outlineLevel="0" collapsed="false">
      <c r="A29" s="1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3" min="12" style="0" width="11"/>
    <col collapsed="false" customWidth="true" hidden="false" outlineLevel="0" max="16" min="14" style="0" width="10"/>
    <col collapsed="false" customWidth="true" hidden="false" outlineLevel="0" max="17" min="17" style="0" width="60"/>
  </cols>
  <sheetData>
    <row r="1" customFormat="false" ht="16.15" hidden="false" customHeight="false" outlineLevel="0" collapsed="false">
      <c r="A1" s="1" t="s">
        <v>40</v>
      </c>
    </row>
    <row r="2" customFormat="false" ht="15" hidden="false" customHeight="false" outlineLevel="0" collapsed="false">
      <c r="A2" s="16" t="s">
        <v>41</v>
      </c>
    </row>
    <row r="4" customFormat="false" ht="39.75" hidden="false" customHeight="true" outlineLevel="0" collapsed="false">
      <c r="A4" s="17" t="s">
        <v>42</v>
      </c>
      <c r="B4" s="17" t="s">
        <v>43</v>
      </c>
      <c r="C4" s="17" t="s">
        <v>44</v>
      </c>
      <c r="D4" s="17" t="s">
        <v>45</v>
      </c>
      <c r="E4" s="17" t="s">
        <v>46</v>
      </c>
      <c r="F4" s="17" t="s">
        <v>47</v>
      </c>
      <c r="G4" s="17" t="s">
        <v>48</v>
      </c>
      <c r="H4" s="17" t="s">
        <v>49</v>
      </c>
      <c r="I4" s="17" t="s">
        <v>50</v>
      </c>
      <c r="J4" s="17" t="s">
        <v>51</v>
      </c>
      <c r="K4" s="17" t="s">
        <v>52</v>
      </c>
      <c r="L4" s="17" t="s">
        <v>53</v>
      </c>
      <c r="M4" s="17" t="s">
        <v>54</v>
      </c>
      <c r="N4" s="17" t="s">
        <v>55</v>
      </c>
      <c r="O4" s="17" t="s">
        <v>56</v>
      </c>
      <c r="P4" s="17" t="s">
        <v>57</v>
      </c>
      <c r="Q4" s="17" t="s">
        <v>58</v>
      </c>
    </row>
    <row r="5" customFormat="false" ht="23.85" hidden="false" customHeight="false" outlineLevel="0" collapsed="false">
      <c r="A5" s="18" t="s">
        <v>26</v>
      </c>
      <c r="B5" s="19" t="s">
        <v>59</v>
      </c>
      <c r="C5" s="20" t="s">
        <v>60</v>
      </c>
      <c r="D5" s="8" t="n">
        <v>0</v>
      </c>
      <c r="E5" s="8" t="n">
        <v>0</v>
      </c>
      <c r="F5" s="8" t="n">
        <f aca="false">E5-D5</f>
        <v>0</v>
      </c>
      <c r="G5" s="8" t="n">
        <v>31.38110976</v>
      </c>
      <c r="H5" s="21" t="n">
        <v>1040</v>
      </c>
      <c r="I5" s="8" t="n">
        <v>42.865</v>
      </c>
      <c r="J5" s="21" t="n">
        <v>1420</v>
      </c>
      <c r="K5" s="8" t="n">
        <f aca="false">G5-I5</f>
        <v>-11.48389024</v>
      </c>
      <c r="L5" s="21" t="n">
        <f aca="false">H5-J5</f>
        <v>-380</v>
      </c>
      <c r="M5" s="8" t="n">
        <v>0</v>
      </c>
      <c r="N5" s="22" t="n">
        <v>46202</v>
      </c>
      <c r="O5" s="22" t="n">
        <v>46284</v>
      </c>
      <c r="P5" s="22" t="n">
        <v>46307</v>
      </c>
      <c r="Q5" s="23" t="s">
        <v>61</v>
      </c>
    </row>
    <row r="6" customFormat="false" ht="23.85" hidden="false" customHeight="false" outlineLevel="0" collapsed="false">
      <c r="A6" s="18" t="s">
        <v>26</v>
      </c>
      <c r="B6" s="19" t="s">
        <v>62</v>
      </c>
      <c r="C6" s="20" t="s">
        <v>63</v>
      </c>
      <c r="D6" s="8" t="n">
        <v>0</v>
      </c>
      <c r="E6" s="8" t="n">
        <v>0</v>
      </c>
      <c r="F6" s="8" t="n">
        <f aca="false">E6-D6</f>
        <v>0</v>
      </c>
      <c r="G6" s="8" t="n">
        <v>126.326992896</v>
      </c>
      <c r="H6" s="21" t="n">
        <v>7176</v>
      </c>
      <c r="I6" s="8" t="n">
        <v>133.895</v>
      </c>
      <c r="J6" s="21" t="n">
        <v>7607</v>
      </c>
      <c r="K6" s="8" t="n">
        <f aca="false">G6-I6</f>
        <v>-7.5680071039999</v>
      </c>
      <c r="L6" s="21" t="n">
        <f aca="false">H6-J6</f>
        <v>-431</v>
      </c>
      <c r="M6" s="8" t="n">
        <v>0</v>
      </c>
      <c r="N6" s="22" t="n">
        <v>46146</v>
      </c>
      <c r="O6" s="22" t="n">
        <v>46237</v>
      </c>
      <c r="P6" s="22" t="n">
        <v>46295</v>
      </c>
      <c r="Q6" s="23" t="s">
        <v>61</v>
      </c>
    </row>
    <row r="7" customFormat="false" ht="23.85" hidden="false" customHeight="false" outlineLevel="0" collapsed="false">
      <c r="A7" s="18" t="s">
        <v>26</v>
      </c>
      <c r="B7" s="19" t="s">
        <v>64</v>
      </c>
      <c r="C7" s="20" t="s">
        <v>65</v>
      </c>
      <c r="D7" s="8" t="n">
        <v>0</v>
      </c>
      <c r="E7" s="8" t="n">
        <v>0</v>
      </c>
      <c r="F7" s="8" t="n">
        <f aca="false">E7-D7</f>
        <v>0</v>
      </c>
      <c r="G7" s="8" t="n">
        <v>28.4829461399923</v>
      </c>
      <c r="H7" s="21" t="n">
        <v>6107</v>
      </c>
      <c r="I7" s="8" t="n">
        <v>34.16</v>
      </c>
      <c r="J7" s="21" t="n">
        <v>7324</v>
      </c>
      <c r="K7" s="8" t="n">
        <f aca="false">G7-I7</f>
        <v>-5.67705386000767</v>
      </c>
      <c r="L7" s="21" t="n">
        <f aca="false">H7-J7</f>
        <v>-1217</v>
      </c>
      <c r="M7" s="8" t="n">
        <v>0</v>
      </c>
      <c r="N7" s="22" t="n">
        <v>46226</v>
      </c>
      <c r="O7" s="22" t="n">
        <v>46293</v>
      </c>
      <c r="P7" s="22" t="n">
        <v>46319</v>
      </c>
      <c r="Q7" s="23" t="s">
        <v>61</v>
      </c>
    </row>
    <row r="8" customFormat="false" ht="23.85" hidden="false" customHeight="false" outlineLevel="0" collapsed="false">
      <c r="A8" s="18" t="s">
        <v>26</v>
      </c>
      <c r="B8" s="19" t="s">
        <v>66</v>
      </c>
      <c r="C8" s="20" t="s">
        <v>65</v>
      </c>
      <c r="D8" s="8" t="n">
        <v>3.449</v>
      </c>
      <c r="E8" s="8" t="n">
        <v>0</v>
      </c>
      <c r="F8" s="8" t="n">
        <f aca="false">E8-D8</f>
        <v>-3.449</v>
      </c>
      <c r="G8" s="8" t="n">
        <v>27.54</v>
      </c>
      <c r="H8" s="21" t="n">
        <v>2295</v>
      </c>
      <c r="I8" s="8" t="n">
        <v>32.175</v>
      </c>
      <c r="J8" s="21" t="n">
        <v>2545</v>
      </c>
      <c r="K8" s="8" t="n">
        <f aca="false">G8-I8</f>
        <v>-4.635</v>
      </c>
      <c r="L8" s="21" t="n">
        <f aca="false">H8-J8</f>
        <v>-250</v>
      </c>
      <c r="M8" s="8" t="n">
        <v>0</v>
      </c>
      <c r="N8" s="22" t="n">
        <v>46205</v>
      </c>
      <c r="O8" s="22" t="n">
        <v>46298</v>
      </c>
      <c r="P8" s="22" t="n">
        <v>46303</v>
      </c>
      <c r="Q8" s="23" t="s">
        <v>67</v>
      </c>
    </row>
    <row r="9" customFormat="false" ht="23.85" hidden="false" customHeight="false" outlineLevel="0" collapsed="false">
      <c r="A9" s="18" t="s">
        <v>26</v>
      </c>
      <c r="B9" s="19" t="s">
        <v>68</v>
      </c>
      <c r="C9" s="20" t="s">
        <v>60</v>
      </c>
      <c r="D9" s="8" t="n">
        <v>0</v>
      </c>
      <c r="E9" s="8" t="n">
        <v>0</v>
      </c>
      <c r="F9" s="8" t="n">
        <f aca="false">E9-D9</f>
        <v>0</v>
      </c>
      <c r="G9" s="8" t="n">
        <v>71.5068432</v>
      </c>
      <c r="H9" s="21" t="n">
        <v>10543</v>
      </c>
      <c r="I9" s="8" t="n">
        <v>74.28</v>
      </c>
      <c r="J9" s="21" t="n">
        <v>10951</v>
      </c>
      <c r="K9" s="8" t="n">
        <f aca="false">G9-I9</f>
        <v>-2.77315679999998</v>
      </c>
      <c r="L9" s="21" t="n">
        <f aca="false">H9-J9</f>
        <v>-408</v>
      </c>
      <c r="M9" s="8" t="n">
        <v>0</v>
      </c>
      <c r="N9" s="22" t="n">
        <v>46179</v>
      </c>
      <c r="O9" s="22" t="n">
        <v>46280</v>
      </c>
      <c r="P9" s="22" t="n">
        <v>46310</v>
      </c>
      <c r="Q9" s="23" t="s">
        <v>61</v>
      </c>
    </row>
    <row r="10" customFormat="false" ht="23.85" hidden="false" customHeight="false" outlineLevel="0" collapsed="false">
      <c r="A10" s="18" t="s">
        <v>26</v>
      </c>
      <c r="B10" s="19" t="s">
        <v>69</v>
      </c>
      <c r="C10" s="20" t="s">
        <v>65</v>
      </c>
      <c r="D10" s="8" t="n">
        <v>0</v>
      </c>
      <c r="E10" s="8" t="n">
        <v>0</v>
      </c>
      <c r="F10" s="8" t="n">
        <f aca="false">E10-D10</f>
        <v>0</v>
      </c>
      <c r="G10" s="8" t="n">
        <v>6.74887264657441</v>
      </c>
      <c r="H10" s="21" t="n">
        <v>274</v>
      </c>
      <c r="I10" s="8" t="n">
        <v>9.386</v>
      </c>
      <c r="J10" s="21" t="n">
        <v>381</v>
      </c>
      <c r="K10" s="8" t="n">
        <f aca="false">G10-I10</f>
        <v>-2.63712735342559</v>
      </c>
      <c r="L10" s="21" t="n">
        <f aca="false">H10-J10</f>
        <v>-107</v>
      </c>
      <c r="M10" s="8" t="n">
        <v>0</v>
      </c>
      <c r="N10" s="22" t="n">
        <v>46196</v>
      </c>
      <c r="O10" s="22" t="n">
        <v>46196</v>
      </c>
      <c r="P10" s="22" t="n">
        <v>46233</v>
      </c>
      <c r="Q10" s="23" t="s">
        <v>61</v>
      </c>
    </row>
    <row r="11" customFormat="false" ht="23.85" hidden="false" customHeight="false" outlineLevel="0" collapsed="false">
      <c r="A11" s="18" t="s">
        <v>26</v>
      </c>
      <c r="B11" s="19" t="s">
        <v>70</v>
      </c>
      <c r="C11" s="20" t="s">
        <v>63</v>
      </c>
      <c r="D11" s="8" t="n">
        <v>0</v>
      </c>
      <c r="E11" s="8" t="n">
        <v>0</v>
      </c>
      <c r="F11" s="8" t="n">
        <f aca="false">E11-D11</f>
        <v>0</v>
      </c>
      <c r="G11" s="8" t="n">
        <v>52.700875776</v>
      </c>
      <c r="H11" s="21" t="n">
        <v>6156</v>
      </c>
      <c r="I11" s="8" t="n">
        <v>55.063</v>
      </c>
      <c r="J11" s="21" t="n">
        <v>6432</v>
      </c>
      <c r="K11" s="8" t="n">
        <f aca="false">G11-I11</f>
        <v>-2.36212422400001</v>
      </c>
      <c r="L11" s="21" t="n">
        <f aca="false">H11-J11</f>
        <v>-276</v>
      </c>
      <c r="M11" s="8" t="n">
        <v>0</v>
      </c>
      <c r="N11" s="22" t="n">
        <v>46179</v>
      </c>
      <c r="O11" s="22" t="n">
        <v>46212</v>
      </c>
      <c r="P11" s="22" t="n">
        <v>46247</v>
      </c>
      <c r="Q11" s="23" t="s">
        <v>61</v>
      </c>
    </row>
    <row r="12" customFormat="false" ht="23.85" hidden="false" customHeight="false" outlineLevel="0" collapsed="false">
      <c r="A12" s="18" t="s">
        <v>26</v>
      </c>
      <c r="B12" s="19" t="s">
        <v>71</v>
      </c>
      <c r="C12" s="20" t="s">
        <v>63</v>
      </c>
      <c r="D12" s="8" t="n">
        <v>0</v>
      </c>
      <c r="E12" s="8" t="n">
        <v>0</v>
      </c>
      <c r="F12" s="8" t="n">
        <f aca="false">E12-D12</f>
        <v>0</v>
      </c>
      <c r="G12" s="8" t="n">
        <v>225.6349992</v>
      </c>
      <c r="H12" s="21" t="n">
        <v>8203</v>
      </c>
      <c r="I12" s="8" t="n">
        <v>227.961</v>
      </c>
      <c r="J12" s="21" t="n">
        <v>8287</v>
      </c>
      <c r="K12" s="8" t="n">
        <f aca="false">G12-I12</f>
        <v>-2.3260008</v>
      </c>
      <c r="L12" s="21" t="n">
        <f aca="false">H12-J12</f>
        <v>-84</v>
      </c>
      <c r="M12" s="8" t="n">
        <v>0</v>
      </c>
      <c r="N12" s="22" t="n">
        <v>46156</v>
      </c>
      <c r="O12" s="22" t="n">
        <v>46311</v>
      </c>
      <c r="P12" s="22" t="n">
        <v>46317</v>
      </c>
      <c r="Q12" s="23" t="s">
        <v>61</v>
      </c>
    </row>
    <row r="13" customFormat="false" ht="23.85" hidden="false" customHeight="false" outlineLevel="0" collapsed="false">
      <c r="A13" s="18" t="s">
        <v>26</v>
      </c>
      <c r="B13" s="19" t="s">
        <v>72</v>
      </c>
      <c r="C13" s="20" t="s">
        <v>60</v>
      </c>
      <c r="D13" s="8" t="n">
        <v>0</v>
      </c>
      <c r="E13" s="8" t="n">
        <v>0</v>
      </c>
      <c r="F13" s="8" t="n">
        <f aca="false">E13-D13</f>
        <v>0</v>
      </c>
      <c r="G13" s="8" t="n">
        <v>49.918</v>
      </c>
      <c r="H13" s="21" t="n">
        <v>2269</v>
      </c>
      <c r="I13" s="8" t="n">
        <v>52.215</v>
      </c>
      <c r="J13" s="21" t="n">
        <v>2374</v>
      </c>
      <c r="K13" s="8" t="n">
        <f aca="false">G13-I13</f>
        <v>-2.297</v>
      </c>
      <c r="L13" s="21" t="n">
        <f aca="false">H13-J13</f>
        <v>-105</v>
      </c>
      <c r="M13" s="8" t="n">
        <v>0</v>
      </c>
      <c r="N13" s="22" t="n">
        <v>46175</v>
      </c>
      <c r="O13" s="22" t="n">
        <v>46284</v>
      </c>
      <c r="P13" s="22" t="n">
        <v>46310</v>
      </c>
      <c r="Q13" s="23" t="s">
        <v>61</v>
      </c>
    </row>
    <row r="14" customFormat="false" ht="23.85" hidden="false" customHeight="false" outlineLevel="0" collapsed="false">
      <c r="A14" s="18" t="s">
        <v>26</v>
      </c>
      <c r="B14" s="19" t="s">
        <v>73</v>
      </c>
      <c r="C14" s="20" t="s">
        <v>60</v>
      </c>
      <c r="D14" s="8" t="n">
        <v>0</v>
      </c>
      <c r="E14" s="8" t="n">
        <v>0</v>
      </c>
      <c r="F14" s="8" t="n">
        <f aca="false">E14-D14</f>
        <v>0</v>
      </c>
      <c r="G14" s="8" t="n">
        <v>24.735096288</v>
      </c>
      <c r="H14" s="21" t="n">
        <v>4597</v>
      </c>
      <c r="I14" s="8" t="n">
        <v>26.3</v>
      </c>
      <c r="J14" s="21" t="n">
        <v>4887</v>
      </c>
      <c r="K14" s="8" t="n">
        <f aca="false">G14-I14</f>
        <v>-1.56490371200001</v>
      </c>
      <c r="L14" s="21" t="n">
        <f aca="false">H14-J14</f>
        <v>-290</v>
      </c>
      <c r="M14" s="8" t="n">
        <v>0</v>
      </c>
      <c r="N14" s="22" t="n">
        <v>46265</v>
      </c>
      <c r="O14" s="22" t="n">
        <v>46275</v>
      </c>
      <c r="P14" s="22" t="n">
        <v>46286</v>
      </c>
      <c r="Q14" s="23" t="s">
        <v>61</v>
      </c>
    </row>
    <row r="15" customFormat="false" ht="23.85" hidden="false" customHeight="false" outlineLevel="0" collapsed="false">
      <c r="A15" s="18" t="s">
        <v>26</v>
      </c>
      <c r="B15" s="19" t="s">
        <v>74</v>
      </c>
      <c r="C15" s="20" t="s">
        <v>60</v>
      </c>
      <c r="D15" s="8" t="n">
        <v>0</v>
      </c>
      <c r="E15" s="8" t="n">
        <v>0</v>
      </c>
      <c r="F15" s="8" t="n">
        <f aca="false">E15-D15</f>
        <v>0</v>
      </c>
      <c r="G15" s="8" t="n">
        <v>80.41383</v>
      </c>
      <c r="H15" s="21" t="n">
        <v>7588</v>
      </c>
      <c r="I15" s="8" t="n">
        <v>81.107</v>
      </c>
      <c r="J15" s="21" t="n">
        <v>7654</v>
      </c>
      <c r="K15" s="8" t="n">
        <f aca="false">G15-I15</f>
        <v>-0.693170000000009</v>
      </c>
      <c r="L15" s="21" t="n">
        <f aca="false">H15-J15</f>
        <v>-66</v>
      </c>
      <c r="M15" s="8" t="n">
        <v>0</v>
      </c>
      <c r="N15" s="22" t="n">
        <v>46133</v>
      </c>
      <c r="O15" s="22" t="n">
        <v>46275</v>
      </c>
      <c r="P15" s="22" t="n">
        <v>46286</v>
      </c>
      <c r="Q15" s="23" t="s">
        <v>61</v>
      </c>
    </row>
    <row r="16" customFormat="false" ht="23.85" hidden="false" customHeight="false" outlineLevel="0" collapsed="false">
      <c r="A16" s="18" t="s">
        <v>26</v>
      </c>
      <c r="B16" s="19" t="s">
        <v>75</v>
      </c>
      <c r="C16" s="20" t="s">
        <v>60</v>
      </c>
      <c r="D16" s="8" t="n">
        <v>3.589</v>
      </c>
      <c r="E16" s="8" t="n">
        <v>0</v>
      </c>
      <c r="F16" s="8" t="n">
        <f aca="false">E16-D16</f>
        <v>-3.589</v>
      </c>
      <c r="G16" s="8" t="n">
        <v>41.907798848</v>
      </c>
      <c r="H16" s="21" t="n">
        <v>3521</v>
      </c>
      <c r="I16" s="8" t="n">
        <v>42.495</v>
      </c>
      <c r="J16" s="21" t="n">
        <v>3587</v>
      </c>
      <c r="K16" s="8" t="n">
        <f aca="false">G16-I16</f>
        <v>-0.587201151999985</v>
      </c>
      <c r="L16" s="21" t="n">
        <f aca="false">H16-J16</f>
        <v>-66</v>
      </c>
      <c r="M16" s="8" t="n">
        <v>0</v>
      </c>
      <c r="N16" s="22" t="n">
        <v>46140</v>
      </c>
      <c r="O16" s="22" t="n">
        <v>46298</v>
      </c>
      <c r="P16" s="22" t="n">
        <v>46312</v>
      </c>
      <c r="Q16" s="23" t="s">
        <v>67</v>
      </c>
    </row>
    <row r="17" customFormat="false" ht="23.85" hidden="false" customHeight="false" outlineLevel="0" collapsed="false">
      <c r="A17" s="24" t="s">
        <v>27</v>
      </c>
      <c r="B17" s="19" t="s">
        <v>76</v>
      </c>
      <c r="C17" s="20" t="s">
        <v>65</v>
      </c>
      <c r="D17" s="8" t="n">
        <v>0</v>
      </c>
      <c r="E17" s="8" t="n">
        <v>5.38384355438487</v>
      </c>
      <c r="F17" s="8" t="n">
        <f aca="false">E17-D17</f>
        <v>5.38384355438487</v>
      </c>
      <c r="G17" s="8" t="n">
        <v>47.6188435543849</v>
      </c>
      <c r="H17" s="21" t="n">
        <v>1568</v>
      </c>
      <c r="I17" s="8" t="n">
        <v>42.235</v>
      </c>
      <c r="J17" s="21" t="n">
        <v>1391</v>
      </c>
      <c r="K17" s="8" t="n">
        <f aca="false">G17-I17</f>
        <v>5.38384355438487</v>
      </c>
      <c r="L17" s="21" t="n">
        <f aca="false">H17-J17</f>
        <v>177</v>
      </c>
      <c r="M17" s="8" t="n">
        <v>0</v>
      </c>
      <c r="N17" s="22" t="n">
        <v>46201</v>
      </c>
      <c r="O17" s="22" t="n">
        <v>46279</v>
      </c>
      <c r="P17" s="22" t="n">
        <v>46308</v>
      </c>
      <c r="Q17" s="23" t="s">
        <v>77</v>
      </c>
    </row>
    <row r="18" customFormat="false" ht="23.85" hidden="false" customHeight="false" outlineLevel="0" collapsed="false">
      <c r="A18" s="24" t="s">
        <v>27</v>
      </c>
      <c r="B18" s="19" t="s">
        <v>78</v>
      </c>
      <c r="C18" s="20" t="s">
        <v>63</v>
      </c>
      <c r="D18" s="8" t="n">
        <v>0</v>
      </c>
      <c r="E18" s="8" t="n">
        <v>3.09150749999996</v>
      </c>
      <c r="F18" s="8" t="n">
        <f aca="false">E18-D18</f>
        <v>3.09150749999996</v>
      </c>
      <c r="G18" s="8" t="n">
        <v>96.1935075</v>
      </c>
      <c r="H18" s="21" t="n">
        <v>2817</v>
      </c>
      <c r="I18" s="8" t="n">
        <v>93.102</v>
      </c>
      <c r="J18" s="21" t="n">
        <v>2727</v>
      </c>
      <c r="K18" s="8" t="n">
        <f aca="false">G18-I18</f>
        <v>3.09150749999996</v>
      </c>
      <c r="L18" s="21" t="n">
        <f aca="false">H18-J18</f>
        <v>90</v>
      </c>
      <c r="M18" s="8" t="n">
        <v>3.09150749999996</v>
      </c>
      <c r="N18" s="22" t="n">
        <v>46151</v>
      </c>
      <c r="O18" s="22" t="n">
        <v>46255</v>
      </c>
      <c r="P18" s="22" t="n">
        <v>46264</v>
      </c>
      <c r="Q18" s="23" t="s">
        <v>77</v>
      </c>
    </row>
    <row r="19" customFormat="false" ht="23.85" hidden="false" customHeight="false" outlineLevel="0" collapsed="false">
      <c r="A19" s="24" t="s">
        <v>27</v>
      </c>
      <c r="B19" s="19" t="s">
        <v>79</v>
      </c>
      <c r="C19" s="20" t="s">
        <v>63</v>
      </c>
      <c r="D19" s="8" t="n">
        <v>0</v>
      </c>
      <c r="E19" s="8" t="n">
        <v>1.93852</v>
      </c>
      <c r="F19" s="8" t="n">
        <f aca="false">E19-D19</f>
        <v>1.93852</v>
      </c>
      <c r="G19" s="8" t="n">
        <v>59.87352</v>
      </c>
      <c r="H19" s="21" t="n">
        <v>3632</v>
      </c>
      <c r="I19" s="8" t="n">
        <v>57.935</v>
      </c>
      <c r="J19" s="21" t="n">
        <v>3514</v>
      </c>
      <c r="K19" s="8" t="n">
        <f aca="false">G19-I19</f>
        <v>1.93852</v>
      </c>
      <c r="L19" s="21" t="n">
        <f aca="false">H19-J19</f>
        <v>118</v>
      </c>
      <c r="M19" s="8" t="n">
        <v>0</v>
      </c>
      <c r="N19" s="22" t="n">
        <v>46163</v>
      </c>
      <c r="O19" s="22" t="n">
        <v>46287</v>
      </c>
      <c r="P19" s="22" t="n">
        <v>46295</v>
      </c>
      <c r="Q19" s="23" t="s">
        <v>77</v>
      </c>
    </row>
    <row r="20" customFormat="false" ht="23.85" hidden="false" customHeight="false" outlineLevel="0" collapsed="false">
      <c r="A20" s="24" t="s">
        <v>27</v>
      </c>
      <c r="B20" s="19" t="s">
        <v>80</v>
      </c>
      <c r="C20" s="20" t="s">
        <v>63</v>
      </c>
      <c r="D20" s="8" t="n">
        <v>0</v>
      </c>
      <c r="E20" s="8" t="n">
        <v>1.65271839999999</v>
      </c>
      <c r="F20" s="8" t="n">
        <f aca="false">E20-D20</f>
        <v>1.65271839999999</v>
      </c>
      <c r="G20" s="8" t="n">
        <v>116.5397184</v>
      </c>
      <c r="H20" s="21" t="n">
        <v>11046</v>
      </c>
      <c r="I20" s="8" t="n">
        <v>114.887</v>
      </c>
      <c r="J20" s="21" t="n">
        <v>10890</v>
      </c>
      <c r="K20" s="8" t="n">
        <f aca="false">G20-I20</f>
        <v>1.6527184</v>
      </c>
      <c r="L20" s="21" t="n">
        <f aca="false">H20-J20</f>
        <v>156</v>
      </c>
      <c r="M20" s="8" t="n">
        <v>0</v>
      </c>
      <c r="N20" s="22" t="n">
        <v>46182</v>
      </c>
      <c r="O20" s="22" t="n">
        <v>46287</v>
      </c>
      <c r="P20" s="22" t="n">
        <v>46305</v>
      </c>
      <c r="Q20" s="23" t="s">
        <v>77</v>
      </c>
    </row>
    <row r="21" customFormat="false" ht="23.85" hidden="false" customHeight="false" outlineLevel="0" collapsed="false">
      <c r="A21" s="24" t="s">
        <v>27</v>
      </c>
      <c r="B21" s="19" t="s">
        <v>81</v>
      </c>
      <c r="C21" s="20" t="s">
        <v>63</v>
      </c>
      <c r="D21" s="8" t="n">
        <v>0</v>
      </c>
      <c r="E21" s="8" t="n">
        <v>1.49284396800001</v>
      </c>
      <c r="F21" s="8" t="n">
        <f aca="false">E21-D21</f>
        <v>1.49284396800001</v>
      </c>
      <c r="G21" s="8" t="n">
        <v>37.927843968</v>
      </c>
      <c r="H21" s="21" t="n">
        <v>2072</v>
      </c>
      <c r="I21" s="8" t="n">
        <v>36.435</v>
      </c>
      <c r="J21" s="21" t="n">
        <v>1991</v>
      </c>
      <c r="K21" s="8" t="n">
        <f aca="false">G21-I21</f>
        <v>1.49284396800002</v>
      </c>
      <c r="L21" s="21" t="n">
        <f aca="false">H21-J21</f>
        <v>81</v>
      </c>
      <c r="M21" s="8" t="n">
        <v>1.49284396800001</v>
      </c>
      <c r="N21" s="22" t="n">
        <v>46157</v>
      </c>
      <c r="O21" s="22" t="n">
        <v>46162</v>
      </c>
      <c r="P21" s="22" t="n">
        <v>46310</v>
      </c>
      <c r="Q21" s="23" t="s">
        <v>77</v>
      </c>
    </row>
    <row r="22" customFormat="false" ht="23.85" hidden="false" customHeight="false" outlineLevel="0" collapsed="false">
      <c r="A22" s="24" t="s">
        <v>27</v>
      </c>
      <c r="B22" s="19" t="s">
        <v>82</v>
      </c>
      <c r="C22" s="20" t="s">
        <v>65</v>
      </c>
      <c r="D22" s="8" t="n">
        <v>0</v>
      </c>
      <c r="E22" s="8" t="n">
        <v>1.35044088702466</v>
      </c>
      <c r="F22" s="8" t="n">
        <f aca="false">E22-D22</f>
        <v>1.35044088702466</v>
      </c>
      <c r="G22" s="8" t="n">
        <v>26.5054408870247</v>
      </c>
      <c r="H22" s="21" t="n">
        <v>2744</v>
      </c>
      <c r="I22" s="8" t="n">
        <v>25.155</v>
      </c>
      <c r="J22" s="21" t="n">
        <v>2604</v>
      </c>
      <c r="K22" s="8" t="n">
        <f aca="false">G22-I22</f>
        <v>1.35044088702466</v>
      </c>
      <c r="L22" s="21" t="n">
        <f aca="false">H22-J22</f>
        <v>140</v>
      </c>
      <c r="M22" s="8" t="n">
        <v>0</v>
      </c>
      <c r="N22" s="22" t="n">
        <v>46212</v>
      </c>
      <c r="O22" s="22" t="n">
        <v>46272</v>
      </c>
      <c r="P22" s="22" t="n">
        <v>46302</v>
      </c>
      <c r="Q22" s="23" t="s">
        <v>77</v>
      </c>
    </row>
    <row r="23" customFormat="false" ht="23.85" hidden="false" customHeight="false" outlineLevel="0" collapsed="false">
      <c r="A23" s="24" t="s">
        <v>27</v>
      </c>
      <c r="B23" s="19" t="s">
        <v>83</v>
      </c>
      <c r="C23" s="20" t="s">
        <v>60</v>
      </c>
      <c r="D23" s="8" t="n">
        <v>0</v>
      </c>
      <c r="E23" s="8" t="n">
        <v>1.1760019200002</v>
      </c>
      <c r="F23" s="8" t="n">
        <f aca="false">E23-D23</f>
        <v>1.1760019200002</v>
      </c>
      <c r="G23" s="8" t="n">
        <v>180.99000192</v>
      </c>
      <c r="H23" s="21" t="n">
        <v>16495</v>
      </c>
      <c r="I23" s="8" t="n">
        <v>179.814</v>
      </c>
      <c r="J23" s="21" t="n">
        <v>16387</v>
      </c>
      <c r="K23" s="8" t="n">
        <f aca="false">G23-I23</f>
        <v>1.1760019200002</v>
      </c>
      <c r="L23" s="21" t="n">
        <f aca="false">H23-J23</f>
        <v>108</v>
      </c>
      <c r="M23" s="8" t="n">
        <v>0</v>
      </c>
      <c r="N23" s="22" t="n">
        <v>46153</v>
      </c>
      <c r="O23" s="22" t="n">
        <v>46300</v>
      </c>
      <c r="P23" s="22" t="n">
        <v>46305</v>
      </c>
      <c r="Q23" s="23" t="s">
        <v>77</v>
      </c>
    </row>
    <row r="24" customFormat="false" ht="23.85" hidden="false" customHeight="false" outlineLevel="0" collapsed="false">
      <c r="A24" s="24" t="s">
        <v>27</v>
      </c>
      <c r="B24" s="19" t="s">
        <v>84</v>
      </c>
      <c r="C24" s="20" t="s">
        <v>65</v>
      </c>
      <c r="D24" s="8" t="n">
        <v>0</v>
      </c>
      <c r="E24" s="8" t="n">
        <v>1.10166481737043</v>
      </c>
      <c r="F24" s="8" t="n">
        <f aca="false">E24-D24</f>
        <v>1.10166481737043</v>
      </c>
      <c r="G24" s="8" t="n">
        <v>28.3616648173704</v>
      </c>
      <c r="H24" s="21" t="n">
        <v>1674</v>
      </c>
      <c r="I24" s="8" t="n">
        <v>27.26</v>
      </c>
      <c r="J24" s="21" t="n">
        <v>1609</v>
      </c>
      <c r="K24" s="8" t="n">
        <f aca="false">G24-I24</f>
        <v>1.10166481737043</v>
      </c>
      <c r="L24" s="21" t="n">
        <f aca="false">H24-J24</f>
        <v>65</v>
      </c>
      <c r="M24" s="8" t="n">
        <v>1.10166481737043</v>
      </c>
      <c r="N24" s="22" t="n">
        <v>46192</v>
      </c>
      <c r="O24" s="22" t="n">
        <v>46193</v>
      </c>
      <c r="P24" s="22" t="n">
        <v>46307</v>
      </c>
      <c r="Q24" s="23" t="s">
        <v>77</v>
      </c>
    </row>
    <row r="25" customFormat="false" ht="23.85" hidden="false" customHeight="false" outlineLevel="0" collapsed="false">
      <c r="A25" s="24" t="s">
        <v>27</v>
      </c>
      <c r="B25" s="19" t="s">
        <v>85</v>
      </c>
      <c r="C25" s="20" t="s">
        <v>63</v>
      </c>
      <c r="D25" s="8" t="n">
        <v>0</v>
      </c>
      <c r="E25" s="8" t="n">
        <v>1.095805</v>
      </c>
      <c r="F25" s="8" t="n">
        <f aca="false">E25-D25</f>
        <v>1.095805</v>
      </c>
      <c r="G25" s="8" t="n">
        <v>17.405805</v>
      </c>
      <c r="H25" s="21" t="n">
        <v>778</v>
      </c>
      <c r="I25" s="8" t="n">
        <v>16.31</v>
      </c>
      <c r="J25" s="21" t="n">
        <v>729</v>
      </c>
      <c r="K25" s="8" t="n">
        <f aca="false">G25-I25</f>
        <v>1.095805</v>
      </c>
      <c r="L25" s="21" t="n">
        <f aca="false">H25-J25</f>
        <v>49</v>
      </c>
      <c r="M25" s="8" t="n">
        <v>1.095805</v>
      </c>
      <c r="N25" s="22" t="n">
        <v>46139</v>
      </c>
      <c r="O25" s="22" t="n">
        <v>46139</v>
      </c>
      <c r="P25" s="22" t="n">
        <v>46321</v>
      </c>
      <c r="Q25" s="23" t="s">
        <v>77</v>
      </c>
    </row>
    <row r="26" customFormat="false" ht="23.85" hidden="false" customHeight="false" outlineLevel="0" collapsed="false">
      <c r="A26" s="24" t="s">
        <v>27</v>
      </c>
      <c r="B26" s="19" t="s">
        <v>86</v>
      </c>
      <c r="C26" s="20" t="s">
        <v>65</v>
      </c>
      <c r="D26" s="8" t="n">
        <v>0</v>
      </c>
      <c r="E26" s="8" t="n">
        <v>0.884169445298547</v>
      </c>
      <c r="F26" s="8" t="n">
        <f aca="false">E26-D26</f>
        <v>0.884169445298547</v>
      </c>
      <c r="G26" s="8" t="n">
        <v>56.1091694452986</v>
      </c>
      <c r="H26" s="21" t="n">
        <v>5981</v>
      </c>
      <c r="I26" s="8" t="n">
        <v>55.225</v>
      </c>
      <c r="J26" s="21" t="n">
        <v>5887</v>
      </c>
      <c r="K26" s="8" t="n">
        <f aca="false">G26-I26</f>
        <v>0.884169445298547</v>
      </c>
      <c r="L26" s="21" t="n">
        <f aca="false">H26-J26</f>
        <v>94</v>
      </c>
      <c r="M26" s="8" t="n">
        <v>0.884169445298547</v>
      </c>
      <c r="N26" s="22" t="n">
        <v>46204</v>
      </c>
      <c r="O26" s="22" t="n">
        <v>46256</v>
      </c>
      <c r="P26" s="22" t="n">
        <v>46321</v>
      </c>
      <c r="Q26" s="23" t="s">
        <v>77</v>
      </c>
    </row>
    <row r="27" customFormat="false" ht="23.85" hidden="false" customHeight="false" outlineLevel="0" collapsed="false">
      <c r="A27" s="24" t="s">
        <v>27</v>
      </c>
      <c r="B27" s="19" t="s">
        <v>87</v>
      </c>
      <c r="C27" s="20" t="s">
        <v>60</v>
      </c>
      <c r="D27" s="8" t="n">
        <v>0</v>
      </c>
      <c r="E27" s="8" t="n">
        <v>0.810000000000002</v>
      </c>
      <c r="F27" s="8" t="n">
        <f aca="false">E27-D27</f>
        <v>0.810000000000002</v>
      </c>
      <c r="G27" s="8" t="n">
        <v>25.3</v>
      </c>
      <c r="H27" s="21" t="n">
        <v>920</v>
      </c>
      <c r="I27" s="8" t="n">
        <v>24.49</v>
      </c>
      <c r="J27" s="21" t="n">
        <v>891</v>
      </c>
      <c r="K27" s="8" t="n">
        <f aca="false">G27-I27</f>
        <v>0.810000000000002</v>
      </c>
      <c r="L27" s="21" t="n">
        <f aca="false">H27-J27</f>
        <v>29</v>
      </c>
      <c r="M27" s="8" t="n">
        <v>0.810000000000002</v>
      </c>
      <c r="N27" s="22" t="n">
        <v>46203</v>
      </c>
      <c r="O27" s="22" t="n">
        <v>46203</v>
      </c>
      <c r="P27" s="22" t="n">
        <v>46207</v>
      </c>
      <c r="Q27" s="23" t="s">
        <v>77</v>
      </c>
    </row>
    <row r="28" customFormat="false" ht="23.85" hidden="false" customHeight="false" outlineLevel="0" collapsed="false">
      <c r="A28" s="24" t="s">
        <v>27</v>
      </c>
      <c r="B28" s="19" t="s">
        <v>88</v>
      </c>
      <c r="C28" s="20" t="s">
        <v>60</v>
      </c>
      <c r="D28" s="8" t="n">
        <v>0</v>
      </c>
      <c r="E28" s="8" t="n">
        <v>0.729902816000028</v>
      </c>
      <c r="F28" s="8" t="n">
        <f aca="false">E28-D28</f>
        <v>0.729902816000028</v>
      </c>
      <c r="G28" s="8" t="n">
        <v>187.846902816</v>
      </c>
      <c r="H28" s="21" t="n">
        <v>7392</v>
      </c>
      <c r="I28" s="8" t="n">
        <v>187.117</v>
      </c>
      <c r="J28" s="21" t="n">
        <v>7320</v>
      </c>
      <c r="K28" s="8" t="n">
        <f aca="false">G28-I28</f>
        <v>0.729902816000021</v>
      </c>
      <c r="L28" s="21" t="n">
        <f aca="false">H28-J28</f>
        <v>72</v>
      </c>
      <c r="M28" s="8" t="n">
        <v>0</v>
      </c>
      <c r="N28" s="22" t="n">
        <v>46112</v>
      </c>
      <c r="O28" s="22" t="n">
        <v>46274</v>
      </c>
      <c r="P28" s="22" t="n">
        <v>46317</v>
      </c>
      <c r="Q28" s="23" t="s">
        <v>77</v>
      </c>
    </row>
    <row r="29" customFormat="false" ht="23.85" hidden="false" customHeight="false" outlineLevel="0" collapsed="false">
      <c r="A29" s="24" t="s">
        <v>28</v>
      </c>
      <c r="B29" s="19" t="s">
        <v>89</v>
      </c>
      <c r="C29" s="20" t="s">
        <v>63</v>
      </c>
      <c r="D29" s="8" t="n">
        <v>1.693</v>
      </c>
      <c r="E29" s="8" t="n">
        <v>0</v>
      </c>
      <c r="F29" s="8" t="n">
        <f aca="false">E29-D29</f>
        <v>-1.693</v>
      </c>
      <c r="G29" s="8" t="n">
        <v>24.0786975</v>
      </c>
      <c r="H29" s="21" t="n">
        <v>1859</v>
      </c>
      <c r="I29" s="8" t="n">
        <v>24.305</v>
      </c>
      <c r="J29" s="21" t="n">
        <v>1877</v>
      </c>
      <c r="K29" s="8" t="n">
        <f aca="false">G29-I29</f>
        <v>-0.226302499999999</v>
      </c>
      <c r="L29" s="21" t="n">
        <f aca="false">H29-J29</f>
        <v>-18</v>
      </c>
      <c r="M29" s="8" t="n">
        <v>0</v>
      </c>
      <c r="N29" s="22" t="n">
        <v>46183</v>
      </c>
      <c r="O29" s="22" t="n">
        <v>46309</v>
      </c>
      <c r="P29" s="22" t="n">
        <v>46286</v>
      </c>
      <c r="Q29" s="23" t="s">
        <v>90</v>
      </c>
    </row>
    <row r="30" customFormat="false" ht="35.05" hidden="false" customHeight="false" outlineLevel="0" collapsed="false">
      <c r="A30" s="25" t="s">
        <v>29</v>
      </c>
      <c r="B30" s="19" t="s">
        <v>91</v>
      </c>
      <c r="C30" s="20" t="s">
        <v>63</v>
      </c>
      <c r="D30" s="8" t="n">
        <v>28.752</v>
      </c>
      <c r="E30" s="8" t="n">
        <v>35.7587936</v>
      </c>
      <c r="F30" s="8" t="n">
        <f aca="false">E30-D30</f>
        <v>7.00679359999996</v>
      </c>
      <c r="G30" s="8" t="n">
        <v>271.4097936</v>
      </c>
      <c r="H30" s="21" t="n">
        <v>12419</v>
      </c>
      <c r="I30" s="8" t="n">
        <v>235.651</v>
      </c>
      <c r="J30" s="21" t="n">
        <v>10782</v>
      </c>
      <c r="K30" s="8" t="n">
        <f aca="false">G30-I30</f>
        <v>35.7587936</v>
      </c>
      <c r="L30" s="21" t="n">
        <f aca="false">H30-J30</f>
        <v>1637</v>
      </c>
      <c r="M30" s="8" t="n">
        <v>0</v>
      </c>
      <c r="N30" s="22" t="n">
        <v>46141</v>
      </c>
      <c r="O30" s="22" t="n">
        <v>46309</v>
      </c>
      <c r="P30" s="22" t="n">
        <v>46319</v>
      </c>
      <c r="Q30" s="23" t="s">
        <v>92</v>
      </c>
    </row>
    <row r="31" customFormat="false" ht="35.05" hidden="false" customHeight="false" outlineLevel="0" collapsed="false">
      <c r="A31" s="25" t="s">
        <v>29</v>
      </c>
      <c r="B31" s="19" t="s">
        <v>93</v>
      </c>
      <c r="C31" s="20" t="s">
        <v>63</v>
      </c>
      <c r="D31" s="8" t="n">
        <v>16.966</v>
      </c>
      <c r="E31" s="8" t="n">
        <v>22.624130496</v>
      </c>
      <c r="F31" s="8" t="n">
        <f aca="false">E31-D31</f>
        <v>5.65813049600002</v>
      </c>
      <c r="G31" s="8" t="n">
        <v>93.595130496</v>
      </c>
      <c r="H31" s="21" t="n">
        <v>3759</v>
      </c>
      <c r="I31" s="8" t="n">
        <v>70.971</v>
      </c>
      <c r="J31" s="21" t="n">
        <v>2852</v>
      </c>
      <c r="K31" s="8" t="n">
        <f aca="false">G31-I31</f>
        <v>22.624130496</v>
      </c>
      <c r="L31" s="21" t="n">
        <f aca="false">H31-J31</f>
        <v>907</v>
      </c>
      <c r="M31" s="8" t="n">
        <v>0</v>
      </c>
      <c r="N31" s="22" t="n">
        <v>46133</v>
      </c>
      <c r="O31" s="22" t="n">
        <v>46307</v>
      </c>
      <c r="P31" s="22" t="n">
        <v>46312</v>
      </c>
      <c r="Q31" s="23" t="s">
        <v>92</v>
      </c>
    </row>
    <row r="32" customFormat="false" ht="35.05" hidden="false" customHeight="false" outlineLevel="0" collapsed="false">
      <c r="A32" s="25" t="s">
        <v>29</v>
      </c>
      <c r="B32" s="19" t="s">
        <v>94</v>
      </c>
      <c r="C32" s="20" t="s">
        <v>65</v>
      </c>
      <c r="D32" s="8" t="n">
        <v>27.325</v>
      </c>
      <c r="E32" s="8" t="n">
        <v>32.8148270267837</v>
      </c>
      <c r="F32" s="8" t="n">
        <f aca="false">E32-D32</f>
        <v>5.48982702678365</v>
      </c>
      <c r="G32" s="8" t="n">
        <v>51.8458270267837</v>
      </c>
      <c r="H32" s="21" t="n">
        <v>3005</v>
      </c>
      <c r="I32" s="8" t="n">
        <v>19.031</v>
      </c>
      <c r="J32" s="21" t="n">
        <v>1103</v>
      </c>
      <c r="K32" s="8" t="n">
        <f aca="false">G32-I32</f>
        <v>32.8148270267837</v>
      </c>
      <c r="L32" s="21" t="n">
        <f aca="false">H32-J32</f>
        <v>1902</v>
      </c>
      <c r="M32" s="8" t="n">
        <v>32.8148270267837</v>
      </c>
      <c r="N32" s="22" t="n">
        <v>46196</v>
      </c>
      <c r="O32" s="22" t="n">
        <v>46227</v>
      </c>
      <c r="P32" s="22" t="n">
        <v>46264</v>
      </c>
      <c r="Q32" s="23" t="s">
        <v>92</v>
      </c>
    </row>
    <row r="33" customFormat="false" ht="35.05" hidden="false" customHeight="false" outlineLevel="0" collapsed="false">
      <c r="A33" s="25" t="s">
        <v>29</v>
      </c>
      <c r="B33" s="19" t="s">
        <v>95</v>
      </c>
      <c r="C33" s="20" t="s">
        <v>63</v>
      </c>
      <c r="D33" s="8" t="n">
        <v>20.704</v>
      </c>
      <c r="E33" s="8" t="n">
        <v>24.529190656</v>
      </c>
      <c r="F33" s="8" t="n">
        <f aca="false">E33-D33</f>
        <v>3.82519065599997</v>
      </c>
      <c r="G33" s="8" t="n">
        <v>139.776190656</v>
      </c>
      <c r="H33" s="21" t="n">
        <v>4589</v>
      </c>
      <c r="I33" s="8" t="n">
        <v>115.247</v>
      </c>
      <c r="J33" s="21" t="n">
        <v>3818</v>
      </c>
      <c r="K33" s="8" t="n">
        <f aca="false">G33-I33</f>
        <v>24.529190656</v>
      </c>
      <c r="L33" s="21" t="n">
        <f aca="false">H33-J33</f>
        <v>771</v>
      </c>
      <c r="M33" s="8" t="n">
        <v>0</v>
      </c>
      <c r="N33" s="22" t="n">
        <v>46142</v>
      </c>
      <c r="O33" s="22" t="n">
        <v>46322</v>
      </c>
      <c r="P33" s="22" t="n">
        <v>46295</v>
      </c>
      <c r="Q33" s="23" t="s">
        <v>92</v>
      </c>
    </row>
    <row r="34" customFormat="false" ht="35.05" hidden="false" customHeight="false" outlineLevel="0" collapsed="false">
      <c r="A34" s="25" t="s">
        <v>29</v>
      </c>
      <c r="B34" s="19" t="s">
        <v>96</v>
      </c>
      <c r="C34" s="20" t="s">
        <v>63</v>
      </c>
      <c r="D34" s="8" t="n">
        <v>8.726</v>
      </c>
      <c r="E34" s="8" t="n">
        <v>12.3371932480001</v>
      </c>
      <c r="F34" s="8" t="n">
        <f aca="false">E34-D34</f>
        <v>3.61119324800005</v>
      </c>
      <c r="G34" s="8" t="n">
        <v>134.376193248</v>
      </c>
      <c r="H34" s="21" t="n">
        <v>3383</v>
      </c>
      <c r="I34" s="8" t="n">
        <v>122.039</v>
      </c>
      <c r="J34" s="21" t="n">
        <v>3080</v>
      </c>
      <c r="K34" s="8" t="n">
        <f aca="false">G34-I34</f>
        <v>12.337193248</v>
      </c>
      <c r="L34" s="21" t="n">
        <f aca="false">H34-J34</f>
        <v>303</v>
      </c>
      <c r="M34" s="8" t="n">
        <v>0</v>
      </c>
      <c r="N34" s="22" t="n">
        <v>46155</v>
      </c>
      <c r="O34" s="22" t="n">
        <v>46296</v>
      </c>
      <c r="P34" s="22" t="n">
        <v>46312</v>
      </c>
      <c r="Q34" s="23" t="s">
        <v>92</v>
      </c>
    </row>
    <row r="35" customFormat="false" ht="35.05" hidden="false" customHeight="false" outlineLevel="0" collapsed="false">
      <c r="A35" s="25" t="s">
        <v>29</v>
      </c>
      <c r="B35" s="19" t="s">
        <v>97</v>
      </c>
      <c r="C35" s="20" t="s">
        <v>60</v>
      </c>
      <c r="D35" s="8" t="n">
        <v>19.677</v>
      </c>
      <c r="E35" s="8" t="n">
        <v>23.161798</v>
      </c>
      <c r="F35" s="8" t="n">
        <f aca="false">E35-D35</f>
        <v>3.48479800000001</v>
      </c>
      <c r="G35" s="8" t="n">
        <v>149.748798</v>
      </c>
      <c r="H35" s="21" t="n">
        <v>8956</v>
      </c>
      <c r="I35" s="8" t="n">
        <v>126.587</v>
      </c>
      <c r="J35" s="21" t="n">
        <v>7573</v>
      </c>
      <c r="K35" s="8" t="n">
        <f aca="false">G35-I35</f>
        <v>23.161798</v>
      </c>
      <c r="L35" s="21" t="n">
        <f aca="false">H35-J35</f>
        <v>1383</v>
      </c>
      <c r="M35" s="8" t="n">
        <v>0</v>
      </c>
      <c r="N35" s="22" t="n">
        <v>46111</v>
      </c>
      <c r="O35" s="22" t="n">
        <v>46322</v>
      </c>
      <c r="P35" s="22" t="n">
        <v>46309</v>
      </c>
      <c r="Q35" s="23" t="s">
        <v>92</v>
      </c>
    </row>
    <row r="36" customFormat="false" ht="35.05" hidden="false" customHeight="false" outlineLevel="0" collapsed="false">
      <c r="A36" s="25" t="s">
        <v>29</v>
      </c>
      <c r="B36" s="19" t="s">
        <v>98</v>
      </c>
      <c r="C36" s="20" t="s">
        <v>65</v>
      </c>
      <c r="D36" s="8" t="n">
        <v>11.431</v>
      </c>
      <c r="E36" s="8" t="n">
        <v>14.6224114638618</v>
      </c>
      <c r="F36" s="8" t="n">
        <f aca="false">E36-D36</f>
        <v>3.19141146386181</v>
      </c>
      <c r="G36" s="8" t="n">
        <v>84.3734114638618</v>
      </c>
      <c r="H36" s="21" t="n">
        <v>11450</v>
      </c>
      <c r="I36" s="8" t="n">
        <v>69.751</v>
      </c>
      <c r="J36" s="21" t="n">
        <v>9464</v>
      </c>
      <c r="K36" s="8" t="n">
        <f aca="false">G36-I36</f>
        <v>14.6224114638618</v>
      </c>
      <c r="L36" s="21" t="n">
        <f aca="false">H36-J36</f>
        <v>1986</v>
      </c>
      <c r="M36" s="8" t="n">
        <v>0</v>
      </c>
      <c r="N36" s="22" t="n">
        <v>46184</v>
      </c>
      <c r="O36" s="22" t="n">
        <v>46308</v>
      </c>
      <c r="P36" s="22" t="n">
        <v>46317</v>
      </c>
      <c r="Q36" s="23" t="s">
        <v>92</v>
      </c>
    </row>
    <row r="37" customFormat="false" ht="35.05" hidden="false" customHeight="false" outlineLevel="0" collapsed="false">
      <c r="A37" s="25" t="s">
        <v>29</v>
      </c>
      <c r="B37" s="19" t="s">
        <v>99</v>
      </c>
      <c r="C37" s="20" t="s">
        <v>63</v>
      </c>
      <c r="D37" s="8" t="n">
        <v>18.884</v>
      </c>
      <c r="E37" s="8" t="n">
        <v>21.946045</v>
      </c>
      <c r="F37" s="8" t="n">
        <f aca="false">E37-D37</f>
        <v>3.06204499999999</v>
      </c>
      <c r="G37" s="8" t="n">
        <v>133.950045</v>
      </c>
      <c r="H37" s="21" t="n">
        <v>4946</v>
      </c>
      <c r="I37" s="8" t="n">
        <v>112.004</v>
      </c>
      <c r="J37" s="21" t="n">
        <v>4135</v>
      </c>
      <c r="K37" s="8" t="n">
        <f aca="false">G37-I37</f>
        <v>21.946045</v>
      </c>
      <c r="L37" s="21" t="n">
        <f aca="false">H37-J37</f>
        <v>811</v>
      </c>
      <c r="M37" s="8" t="n">
        <v>0</v>
      </c>
      <c r="N37" s="22" t="n">
        <v>46142</v>
      </c>
      <c r="O37" s="22" t="n">
        <v>46322</v>
      </c>
      <c r="P37" s="22" t="n">
        <v>46291</v>
      </c>
      <c r="Q37" s="23" t="s">
        <v>92</v>
      </c>
    </row>
    <row r="38" customFormat="false" ht="35.05" hidden="false" customHeight="false" outlineLevel="0" collapsed="false">
      <c r="A38" s="25" t="s">
        <v>29</v>
      </c>
      <c r="B38" s="19" t="s">
        <v>100</v>
      </c>
      <c r="C38" s="20" t="s">
        <v>65</v>
      </c>
      <c r="D38" s="8" t="n">
        <v>15.655</v>
      </c>
      <c r="E38" s="8" t="n">
        <v>18.6965553667495</v>
      </c>
      <c r="F38" s="8" t="n">
        <f aca="false">E38-D38</f>
        <v>3.04155536674954</v>
      </c>
      <c r="G38" s="8" t="n">
        <v>99.9575553667495</v>
      </c>
      <c r="H38" s="21" t="n">
        <v>3878</v>
      </c>
      <c r="I38" s="8" t="n">
        <v>81.261</v>
      </c>
      <c r="J38" s="21" t="n">
        <v>3171</v>
      </c>
      <c r="K38" s="8" t="n">
        <f aca="false">G38-I38</f>
        <v>18.6965553667495</v>
      </c>
      <c r="L38" s="21" t="n">
        <f aca="false">H38-J38</f>
        <v>707</v>
      </c>
      <c r="M38" s="8" t="n">
        <v>0</v>
      </c>
      <c r="N38" s="22" t="n">
        <v>46196</v>
      </c>
      <c r="O38" s="22" t="n">
        <v>46318</v>
      </c>
      <c r="P38" s="22" t="n">
        <v>46321</v>
      </c>
      <c r="Q38" s="23" t="s">
        <v>92</v>
      </c>
    </row>
    <row r="39" customFormat="false" ht="35.05" hidden="false" customHeight="false" outlineLevel="0" collapsed="false">
      <c r="A39" s="25" t="s">
        <v>29</v>
      </c>
      <c r="B39" s="19" t="s">
        <v>101</v>
      </c>
      <c r="C39" s="20" t="s">
        <v>65</v>
      </c>
      <c r="D39" s="8" t="n">
        <v>6.762</v>
      </c>
      <c r="E39" s="8" t="n">
        <v>9.04905037447167</v>
      </c>
      <c r="F39" s="8" t="n">
        <f aca="false">E39-D39</f>
        <v>2.28705037447168</v>
      </c>
      <c r="G39" s="8" t="n">
        <v>47.5740503744717</v>
      </c>
      <c r="H39" s="21" t="n">
        <v>6260</v>
      </c>
      <c r="I39" s="8" t="n">
        <v>38.525</v>
      </c>
      <c r="J39" s="21" t="n">
        <v>5068</v>
      </c>
      <c r="K39" s="8" t="n">
        <f aca="false">G39-I39</f>
        <v>9.04905037447167</v>
      </c>
      <c r="L39" s="21" t="n">
        <f aca="false">H39-J39</f>
        <v>1192</v>
      </c>
      <c r="M39" s="8" t="n">
        <v>9.04905037447167</v>
      </c>
      <c r="N39" s="22" t="n">
        <v>46204</v>
      </c>
      <c r="O39" s="22" t="n">
        <v>46256</v>
      </c>
      <c r="P39" s="22" t="n">
        <v>46319</v>
      </c>
      <c r="Q39" s="23" t="s">
        <v>92</v>
      </c>
    </row>
    <row r="40" customFormat="false" ht="35.05" hidden="false" customHeight="false" outlineLevel="0" collapsed="false">
      <c r="A40" s="25" t="s">
        <v>29</v>
      </c>
      <c r="B40" s="19" t="s">
        <v>102</v>
      </c>
      <c r="C40" s="20" t="s">
        <v>65</v>
      </c>
      <c r="D40" s="8" t="n">
        <v>8.571</v>
      </c>
      <c r="E40" s="8" t="n">
        <v>10.6181676337717</v>
      </c>
      <c r="F40" s="8" t="n">
        <f aca="false">E40-D40</f>
        <v>2.04716763377169</v>
      </c>
      <c r="G40" s="8" t="n">
        <v>24.9481676337717</v>
      </c>
      <c r="H40" s="21" t="n">
        <v>2764</v>
      </c>
      <c r="I40" s="8" t="n">
        <v>14.33</v>
      </c>
      <c r="J40" s="21" t="n">
        <v>1587</v>
      </c>
      <c r="K40" s="8" t="n">
        <f aca="false">G40-I40</f>
        <v>10.6181676337717</v>
      </c>
      <c r="L40" s="21" t="n">
        <f aca="false">H40-J40</f>
        <v>1177</v>
      </c>
      <c r="M40" s="8" t="n">
        <v>2.87376537987296</v>
      </c>
      <c r="N40" s="22" t="n">
        <v>46184</v>
      </c>
      <c r="O40" s="22" t="n">
        <v>46308</v>
      </c>
      <c r="P40" s="22" t="n">
        <v>46275</v>
      </c>
      <c r="Q40" s="23" t="s">
        <v>92</v>
      </c>
    </row>
    <row r="41" customFormat="false" ht="35.05" hidden="false" customHeight="false" outlineLevel="0" collapsed="false">
      <c r="A41" s="25" t="s">
        <v>29</v>
      </c>
      <c r="B41" s="19" t="s">
        <v>103</v>
      </c>
      <c r="C41" s="20" t="s">
        <v>65</v>
      </c>
      <c r="D41" s="8" t="n">
        <v>18.327</v>
      </c>
      <c r="E41" s="8" t="n">
        <v>20.3448108030086</v>
      </c>
      <c r="F41" s="8" t="n">
        <f aca="false">E41-D41</f>
        <v>2.01781080300863</v>
      </c>
      <c r="G41" s="8" t="n">
        <v>56.9928108030086</v>
      </c>
      <c r="H41" s="21" t="n">
        <v>9515</v>
      </c>
      <c r="I41" s="8" t="n">
        <v>36.648</v>
      </c>
      <c r="J41" s="21" t="n">
        <v>6118</v>
      </c>
      <c r="K41" s="8" t="n">
        <f aca="false">G41-I41</f>
        <v>20.3448108030086</v>
      </c>
      <c r="L41" s="21" t="n">
        <f aca="false">H41-J41</f>
        <v>3397</v>
      </c>
      <c r="M41" s="8" t="n">
        <v>10.7731332766599</v>
      </c>
      <c r="N41" s="22" t="n">
        <v>46184</v>
      </c>
      <c r="O41" s="22" t="n">
        <v>46307</v>
      </c>
      <c r="P41" s="22" t="n">
        <v>46305</v>
      </c>
      <c r="Q41" s="23" t="s">
        <v>92</v>
      </c>
    </row>
    <row r="42" customFormat="false" ht="35.05" hidden="false" customHeight="false" outlineLevel="0" collapsed="false">
      <c r="A42" s="25" t="s">
        <v>29</v>
      </c>
      <c r="B42" s="19" t="s">
        <v>104</v>
      </c>
      <c r="C42" s="20" t="s">
        <v>65</v>
      </c>
      <c r="D42" s="8" t="n">
        <v>12.48</v>
      </c>
      <c r="E42" s="8" t="n">
        <v>14.0415575471577</v>
      </c>
      <c r="F42" s="8" t="n">
        <f aca="false">E42-D42</f>
        <v>1.56155754715769</v>
      </c>
      <c r="G42" s="8" t="n">
        <v>28.0525575471577</v>
      </c>
      <c r="H42" s="21" t="n">
        <v>1312</v>
      </c>
      <c r="I42" s="8" t="n">
        <v>14.011</v>
      </c>
      <c r="J42" s="21" t="n">
        <v>655</v>
      </c>
      <c r="K42" s="8" t="n">
        <f aca="false">G42-I42</f>
        <v>14.0415575471577</v>
      </c>
      <c r="L42" s="21" t="n">
        <f aca="false">H42-J42</f>
        <v>657</v>
      </c>
      <c r="M42" s="8" t="n">
        <v>14.0415575471577</v>
      </c>
      <c r="N42" s="22" t="n">
        <v>46197</v>
      </c>
      <c r="O42" s="22" t="n">
        <v>46221</v>
      </c>
      <c r="P42" s="22" t="n">
        <v>46302</v>
      </c>
      <c r="Q42" s="23" t="s">
        <v>92</v>
      </c>
    </row>
    <row r="43" customFormat="false" ht="35.05" hidden="false" customHeight="false" outlineLevel="0" collapsed="false">
      <c r="A43" s="25" t="s">
        <v>29</v>
      </c>
      <c r="B43" s="19" t="s">
        <v>105</v>
      </c>
      <c r="C43" s="20" t="s">
        <v>65</v>
      </c>
      <c r="D43" s="8" t="n">
        <v>5.509</v>
      </c>
      <c r="E43" s="8" t="n">
        <v>6.987</v>
      </c>
      <c r="F43" s="8" t="n">
        <f aca="false">E43-D43</f>
        <v>1.478</v>
      </c>
      <c r="G43" s="8" t="n">
        <v>35.133</v>
      </c>
      <c r="H43" s="21" t="n">
        <v>1434</v>
      </c>
      <c r="I43" s="8" t="n">
        <v>28.146</v>
      </c>
      <c r="J43" s="21" t="n">
        <v>1148</v>
      </c>
      <c r="K43" s="8" t="n">
        <f aca="false">G43-I43</f>
        <v>6.987</v>
      </c>
      <c r="L43" s="21" t="n">
        <f aca="false">H43-J43</f>
        <v>286</v>
      </c>
      <c r="M43" s="8" t="n">
        <v>6.987</v>
      </c>
      <c r="N43" s="22" t="n">
        <v>46196</v>
      </c>
      <c r="O43" s="22" t="n">
        <v>46196</v>
      </c>
      <c r="P43" s="22" t="n">
        <v>46295</v>
      </c>
      <c r="Q43" s="23" t="s">
        <v>92</v>
      </c>
    </row>
    <row r="44" customFormat="false" ht="35.05" hidden="false" customHeight="false" outlineLevel="0" collapsed="false">
      <c r="A44" s="25" t="s">
        <v>29</v>
      </c>
      <c r="B44" s="19" t="s">
        <v>106</v>
      </c>
      <c r="C44" s="20" t="s">
        <v>63</v>
      </c>
      <c r="D44" s="8" t="n">
        <v>18.573</v>
      </c>
      <c r="E44" s="8" t="n">
        <v>20.02434368</v>
      </c>
      <c r="F44" s="8" t="n">
        <f aca="false">E44-D44</f>
        <v>1.45134368</v>
      </c>
      <c r="G44" s="8" t="n">
        <v>27.26434368</v>
      </c>
      <c r="H44" s="21" t="n">
        <v>1095</v>
      </c>
      <c r="I44" s="8" t="n">
        <v>7.24</v>
      </c>
      <c r="J44" s="21" t="n">
        <v>291</v>
      </c>
      <c r="K44" s="8" t="n">
        <f aca="false">G44-I44</f>
        <v>20.02434368</v>
      </c>
      <c r="L44" s="21" t="n">
        <f aca="false">H44-J44</f>
        <v>804</v>
      </c>
      <c r="M44" s="8" t="n">
        <v>20.02434368</v>
      </c>
      <c r="N44" s="22" t="n">
        <v>46135</v>
      </c>
      <c r="O44" s="22" t="n">
        <v>46139</v>
      </c>
      <c r="P44" s="22" t="n">
        <v>46265</v>
      </c>
      <c r="Q44" s="23" t="s">
        <v>92</v>
      </c>
    </row>
    <row r="45" customFormat="false" ht="35.05" hidden="false" customHeight="false" outlineLevel="0" collapsed="false">
      <c r="A45" s="25" t="s">
        <v>29</v>
      </c>
      <c r="B45" s="19" t="s">
        <v>107</v>
      </c>
      <c r="C45" s="20" t="s">
        <v>63</v>
      </c>
      <c r="D45" s="8" t="n">
        <v>11.674</v>
      </c>
      <c r="E45" s="8" t="n">
        <v>13.0084675</v>
      </c>
      <c r="F45" s="8" t="n">
        <f aca="false">E45-D45</f>
        <v>1.3344675</v>
      </c>
      <c r="G45" s="8" t="n">
        <v>126.6954675</v>
      </c>
      <c r="H45" s="21" t="n">
        <v>5663</v>
      </c>
      <c r="I45" s="8" t="n">
        <v>113.687</v>
      </c>
      <c r="J45" s="21" t="n">
        <v>5083</v>
      </c>
      <c r="K45" s="8" t="n">
        <f aca="false">G45-I45</f>
        <v>13.0084675</v>
      </c>
      <c r="L45" s="21" t="n">
        <f aca="false">H45-J45</f>
        <v>580</v>
      </c>
      <c r="M45" s="8" t="n">
        <v>0</v>
      </c>
      <c r="N45" s="22" t="n">
        <v>46130</v>
      </c>
      <c r="O45" s="22" t="n">
        <v>46276</v>
      </c>
      <c r="P45" s="22" t="n">
        <v>46311</v>
      </c>
      <c r="Q45" s="23" t="s">
        <v>92</v>
      </c>
    </row>
    <row r="46" customFormat="false" ht="35.05" hidden="false" customHeight="false" outlineLevel="0" collapsed="false">
      <c r="A46" s="25" t="s">
        <v>29</v>
      </c>
      <c r="B46" s="19" t="s">
        <v>108</v>
      </c>
      <c r="C46" s="20" t="s">
        <v>65</v>
      </c>
      <c r="D46" s="8" t="n">
        <v>33.383</v>
      </c>
      <c r="E46" s="8" t="n">
        <v>34.3465701717689</v>
      </c>
      <c r="F46" s="8" t="n">
        <f aca="false">E46-D46</f>
        <v>0.963570171768858</v>
      </c>
      <c r="G46" s="8" t="n">
        <v>54.0465701717689</v>
      </c>
      <c r="H46" s="21" t="n">
        <v>1691</v>
      </c>
      <c r="I46" s="8" t="n">
        <v>19.7</v>
      </c>
      <c r="J46" s="21" t="n">
        <v>616</v>
      </c>
      <c r="K46" s="8" t="n">
        <f aca="false">G46-I46</f>
        <v>34.3465701717689</v>
      </c>
      <c r="L46" s="21" t="n">
        <f aca="false">H46-J46</f>
        <v>1075</v>
      </c>
      <c r="M46" s="8" t="n">
        <v>29.9039484959109</v>
      </c>
      <c r="N46" s="22" t="n">
        <v>46210</v>
      </c>
      <c r="O46" s="22" t="n">
        <v>46312</v>
      </c>
      <c r="P46" s="22" t="n">
        <v>46281</v>
      </c>
      <c r="Q46" s="23" t="s">
        <v>92</v>
      </c>
    </row>
    <row r="47" customFormat="false" ht="35.05" hidden="false" customHeight="false" outlineLevel="0" collapsed="false">
      <c r="A47" s="25" t="s">
        <v>29</v>
      </c>
      <c r="B47" s="19" t="s">
        <v>109</v>
      </c>
      <c r="C47" s="20" t="s">
        <v>65</v>
      </c>
      <c r="D47" s="8" t="n">
        <v>12.496</v>
      </c>
      <c r="E47" s="8" t="n">
        <v>13.3602673449761</v>
      </c>
      <c r="F47" s="8" t="n">
        <f aca="false">E47-D47</f>
        <v>0.864267344976119</v>
      </c>
      <c r="G47" s="8" t="n">
        <v>58.1552673449761</v>
      </c>
      <c r="H47" s="21" t="n">
        <v>1591</v>
      </c>
      <c r="I47" s="8" t="n">
        <v>44.795</v>
      </c>
      <c r="J47" s="21" t="n">
        <v>1235</v>
      </c>
      <c r="K47" s="8" t="n">
        <f aca="false">G47-I47</f>
        <v>13.3602673449761</v>
      </c>
      <c r="L47" s="21" t="n">
        <f aca="false">H47-J47</f>
        <v>356</v>
      </c>
      <c r="M47" s="8" t="n">
        <v>10.1813673449761</v>
      </c>
      <c r="N47" s="22" t="n">
        <v>46210</v>
      </c>
      <c r="O47" s="22" t="n">
        <v>46312</v>
      </c>
      <c r="P47" s="22" t="n">
        <v>46310</v>
      </c>
      <c r="Q47" s="23" t="s">
        <v>92</v>
      </c>
    </row>
    <row r="48" customFormat="false" ht="35.05" hidden="false" customHeight="false" outlineLevel="0" collapsed="false">
      <c r="A48" s="25" t="s">
        <v>29</v>
      </c>
      <c r="B48" s="19" t="s">
        <v>110</v>
      </c>
      <c r="C48" s="20" t="s">
        <v>65</v>
      </c>
      <c r="D48" s="8" t="n">
        <v>25.051</v>
      </c>
      <c r="E48" s="8" t="n">
        <v>25.7355663919971</v>
      </c>
      <c r="F48" s="8" t="n">
        <f aca="false">E48-D48</f>
        <v>0.684566391997141</v>
      </c>
      <c r="G48" s="8" t="n">
        <v>57.4455663919972</v>
      </c>
      <c r="H48" s="21" t="n">
        <v>3892</v>
      </c>
      <c r="I48" s="8" t="n">
        <v>31.71</v>
      </c>
      <c r="J48" s="21" t="n">
        <v>2148</v>
      </c>
      <c r="K48" s="8" t="n">
        <f aca="false">G48-I48</f>
        <v>25.7355663919971</v>
      </c>
      <c r="L48" s="21" t="n">
        <f aca="false">H48-J48</f>
        <v>1744</v>
      </c>
      <c r="M48" s="8" t="n">
        <v>21.4404328308278</v>
      </c>
      <c r="N48" s="22" t="n">
        <v>46189</v>
      </c>
      <c r="O48" s="22" t="n">
        <v>46305</v>
      </c>
      <c r="P48" s="22" t="n">
        <v>46308</v>
      </c>
      <c r="Q48" s="23" t="s">
        <v>92</v>
      </c>
    </row>
    <row r="49" customFormat="false" ht="35.05" hidden="false" customHeight="false" outlineLevel="0" collapsed="false">
      <c r="A49" s="25" t="s">
        <v>29</v>
      </c>
      <c r="B49" s="19" t="s">
        <v>111</v>
      </c>
      <c r="C49" s="20" t="s">
        <v>60</v>
      </c>
      <c r="D49" s="8" t="n">
        <v>11.749</v>
      </c>
      <c r="E49" s="8" t="n">
        <v>12.3127576</v>
      </c>
      <c r="F49" s="8" t="n">
        <f aca="false">E49-D49</f>
        <v>0.56375760000001</v>
      </c>
      <c r="G49" s="8" t="n">
        <v>213.7047576</v>
      </c>
      <c r="H49" s="21" t="n">
        <v>24659</v>
      </c>
      <c r="I49" s="8" t="n">
        <v>201.392</v>
      </c>
      <c r="J49" s="21" t="n">
        <v>23239</v>
      </c>
      <c r="K49" s="8" t="n">
        <f aca="false">G49-I49</f>
        <v>12.3127576</v>
      </c>
      <c r="L49" s="21" t="n">
        <f aca="false">H49-J49</f>
        <v>1420</v>
      </c>
      <c r="M49" s="8" t="n">
        <v>0</v>
      </c>
      <c r="N49" s="22" t="n">
        <v>46125</v>
      </c>
      <c r="O49" s="22" t="n">
        <v>46315</v>
      </c>
      <c r="P49" s="22" t="n">
        <v>46314</v>
      </c>
      <c r="Q49" s="23" t="s">
        <v>92</v>
      </c>
    </row>
    <row r="50" customFormat="false" ht="23.85" hidden="false" customHeight="false" outlineLevel="0" collapsed="false">
      <c r="A50" s="26" t="s">
        <v>30</v>
      </c>
      <c r="B50" s="19" t="s">
        <v>112</v>
      </c>
      <c r="C50" s="20" t="s">
        <v>63</v>
      </c>
      <c r="D50" s="8" t="n">
        <v>16.866</v>
      </c>
      <c r="E50" s="8" t="n">
        <v>11.3509284</v>
      </c>
      <c r="F50" s="8" t="n">
        <f aca="false">E50-D50</f>
        <v>-5.5150716</v>
      </c>
      <c r="G50" s="8" t="n">
        <v>96.0559284</v>
      </c>
      <c r="H50" s="21" t="n">
        <v>7181</v>
      </c>
      <c r="I50" s="8" t="n">
        <v>84.705</v>
      </c>
      <c r="J50" s="21" t="n">
        <v>6333</v>
      </c>
      <c r="K50" s="8" t="n">
        <f aca="false">G50-I50</f>
        <v>11.3509284</v>
      </c>
      <c r="L50" s="21" t="n">
        <f aca="false">H50-J50</f>
        <v>848</v>
      </c>
      <c r="M50" s="8" t="n">
        <v>0</v>
      </c>
      <c r="N50" s="22" t="n">
        <v>46198</v>
      </c>
      <c r="O50" s="22" t="n">
        <v>46317</v>
      </c>
      <c r="P50" s="22" t="n">
        <v>46317</v>
      </c>
      <c r="Q50" s="23" t="s">
        <v>113</v>
      </c>
    </row>
    <row r="51" customFormat="false" ht="23.85" hidden="false" customHeight="false" outlineLevel="0" collapsed="false">
      <c r="A51" s="26" t="s">
        <v>30</v>
      </c>
      <c r="B51" s="19" t="s">
        <v>114</v>
      </c>
      <c r="C51" s="20" t="s">
        <v>60</v>
      </c>
      <c r="D51" s="8" t="n">
        <v>13.237</v>
      </c>
      <c r="E51" s="8" t="n">
        <v>8.127012416</v>
      </c>
      <c r="F51" s="8" t="n">
        <f aca="false">E51-D51</f>
        <v>-5.109987584</v>
      </c>
      <c r="G51" s="8" t="n">
        <v>93.382012416</v>
      </c>
      <c r="H51" s="21" t="n">
        <v>5029</v>
      </c>
      <c r="I51" s="8" t="n">
        <v>85.255</v>
      </c>
      <c r="J51" s="21" t="n">
        <v>4554</v>
      </c>
      <c r="K51" s="8" t="n">
        <f aca="false">G51-I51</f>
        <v>8.127012416</v>
      </c>
      <c r="L51" s="21" t="n">
        <f aca="false">H51-J51</f>
        <v>475</v>
      </c>
      <c r="M51" s="8" t="n">
        <v>0</v>
      </c>
      <c r="N51" s="22" t="n">
        <v>46109</v>
      </c>
      <c r="O51" s="22" t="n">
        <v>46284</v>
      </c>
      <c r="P51" s="22" t="n">
        <v>46310</v>
      </c>
      <c r="Q51" s="23" t="s">
        <v>113</v>
      </c>
    </row>
    <row r="52" customFormat="false" ht="23.85" hidden="false" customHeight="false" outlineLevel="0" collapsed="false">
      <c r="A52" s="26" t="s">
        <v>30</v>
      </c>
      <c r="B52" s="19" t="s">
        <v>115</v>
      </c>
      <c r="C52" s="20" t="s">
        <v>65</v>
      </c>
      <c r="D52" s="8" t="n">
        <v>9.126</v>
      </c>
      <c r="E52" s="8" t="n">
        <v>5.43362912409522</v>
      </c>
      <c r="F52" s="8" t="n">
        <f aca="false">E52-D52</f>
        <v>-3.69237087590478</v>
      </c>
      <c r="G52" s="8" t="n">
        <v>20.5286291240952</v>
      </c>
      <c r="H52" s="21" t="n">
        <v>754</v>
      </c>
      <c r="I52" s="8" t="n">
        <v>15.095</v>
      </c>
      <c r="J52" s="21" t="n">
        <v>554</v>
      </c>
      <c r="K52" s="8" t="n">
        <f aca="false">G52-I52</f>
        <v>5.43362912409522</v>
      </c>
      <c r="L52" s="21" t="n">
        <f aca="false">H52-J52</f>
        <v>200</v>
      </c>
      <c r="M52" s="8" t="n">
        <v>5.43362912409522</v>
      </c>
      <c r="N52" s="22" t="n">
        <v>46201</v>
      </c>
      <c r="O52" s="22" t="n">
        <v>46201</v>
      </c>
      <c r="P52" s="22" t="n">
        <v>46310</v>
      </c>
      <c r="Q52" s="23" t="s">
        <v>113</v>
      </c>
    </row>
    <row r="53" customFormat="false" ht="23.85" hidden="false" customHeight="false" outlineLevel="0" collapsed="false">
      <c r="A53" s="26" t="s">
        <v>30</v>
      </c>
      <c r="B53" s="19" t="s">
        <v>116</v>
      </c>
      <c r="C53" s="20" t="s">
        <v>60</v>
      </c>
      <c r="D53" s="8" t="n">
        <v>27.56</v>
      </c>
      <c r="E53" s="8" t="n">
        <v>25.205768</v>
      </c>
      <c r="F53" s="8" t="n">
        <f aca="false">E53-D53</f>
        <v>-2.354232</v>
      </c>
      <c r="G53" s="8" t="n">
        <v>229.380768</v>
      </c>
      <c r="H53" s="21" t="n">
        <v>16910</v>
      </c>
      <c r="I53" s="8" t="n">
        <v>204.175</v>
      </c>
      <c r="J53" s="21" t="n">
        <v>15051</v>
      </c>
      <c r="K53" s="8" t="n">
        <f aca="false">G53-I53</f>
        <v>25.205768</v>
      </c>
      <c r="L53" s="21" t="n">
        <f aca="false">H53-J53</f>
        <v>1859</v>
      </c>
      <c r="M53" s="8" t="n">
        <v>0</v>
      </c>
      <c r="N53" s="22" t="n">
        <v>46154</v>
      </c>
      <c r="O53" s="22" t="n">
        <v>46323</v>
      </c>
      <c r="P53" s="22" t="n">
        <v>46310</v>
      </c>
      <c r="Q53" s="23" t="s">
        <v>113</v>
      </c>
    </row>
    <row r="54" customFormat="false" ht="23.85" hidden="false" customHeight="false" outlineLevel="0" collapsed="false">
      <c r="A54" s="26" t="s">
        <v>30</v>
      </c>
      <c r="B54" s="19" t="s">
        <v>117</v>
      </c>
      <c r="C54" s="20" t="s">
        <v>60</v>
      </c>
      <c r="D54" s="8" t="n">
        <v>6.407</v>
      </c>
      <c r="E54" s="8" t="n">
        <v>4.14146880000003</v>
      </c>
      <c r="F54" s="8" t="n">
        <f aca="false">E54-D54</f>
        <v>-2.26553119999997</v>
      </c>
      <c r="G54" s="8" t="n">
        <v>362.0354688</v>
      </c>
      <c r="H54" s="21" t="n">
        <v>20017</v>
      </c>
      <c r="I54" s="8" t="n">
        <v>357.894</v>
      </c>
      <c r="J54" s="21" t="n">
        <v>19794</v>
      </c>
      <c r="K54" s="8" t="n">
        <f aca="false">G54-I54</f>
        <v>4.1414688000001</v>
      </c>
      <c r="L54" s="21" t="n">
        <f aca="false">H54-J54</f>
        <v>223</v>
      </c>
      <c r="M54" s="8" t="n">
        <v>0</v>
      </c>
      <c r="N54" s="22" t="n">
        <v>46118</v>
      </c>
      <c r="O54" s="22" t="n">
        <v>46302</v>
      </c>
      <c r="P54" s="22" t="n">
        <v>46314</v>
      </c>
      <c r="Q54" s="23" t="s">
        <v>113</v>
      </c>
    </row>
    <row r="55" customFormat="false" ht="23.85" hidden="false" customHeight="false" outlineLevel="0" collapsed="false">
      <c r="A55" s="26" t="s">
        <v>30</v>
      </c>
      <c r="B55" s="19" t="s">
        <v>118</v>
      </c>
      <c r="C55" s="20" t="s">
        <v>63</v>
      </c>
      <c r="D55" s="8" t="n">
        <v>22.891</v>
      </c>
      <c r="E55" s="8" t="n">
        <v>20.6869648</v>
      </c>
      <c r="F55" s="8" t="n">
        <f aca="false">E55-D55</f>
        <v>-2.20403519999999</v>
      </c>
      <c r="G55" s="8" t="n">
        <v>292.2219648</v>
      </c>
      <c r="H55" s="21" t="n">
        <v>16157</v>
      </c>
      <c r="I55" s="8" t="n">
        <v>271.535</v>
      </c>
      <c r="J55" s="21" t="n">
        <v>15013</v>
      </c>
      <c r="K55" s="8" t="n">
        <f aca="false">G55-I55</f>
        <v>20.6869648000001</v>
      </c>
      <c r="L55" s="21" t="n">
        <f aca="false">H55-J55</f>
        <v>1144</v>
      </c>
      <c r="M55" s="8" t="n">
        <v>0</v>
      </c>
      <c r="N55" s="22" t="n">
        <v>46128</v>
      </c>
      <c r="O55" s="22" t="n">
        <v>46314</v>
      </c>
      <c r="P55" s="22" t="n">
        <v>46317</v>
      </c>
      <c r="Q55" s="23" t="s">
        <v>113</v>
      </c>
    </row>
    <row r="56" customFormat="false" ht="23.85" hidden="false" customHeight="false" outlineLevel="0" collapsed="false">
      <c r="A56" s="26" t="s">
        <v>30</v>
      </c>
      <c r="B56" s="19" t="s">
        <v>119</v>
      </c>
      <c r="C56" s="20" t="s">
        <v>65</v>
      </c>
      <c r="D56" s="8" t="n">
        <v>4.761</v>
      </c>
      <c r="E56" s="8" t="n">
        <v>3.38020000000001</v>
      </c>
      <c r="F56" s="8" t="n">
        <f aca="false">E56-D56</f>
        <v>-1.38079999999999</v>
      </c>
      <c r="G56" s="8" t="n">
        <v>39.2502</v>
      </c>
      <c r="H56" s="21" t="n">
        <v>6886</v>
      </c>
      <c r="I56" s="8" t="n">
        <v>35.87</v>
      </c>
      <c r="J56" s="21" t="n">
        <v>6292</v>
      </c>
      <c r="K56" s="8" t="n">
        <f aca="false">G56-I56</f>
        <v>3.3802</v>
      </c>
      <c r="L56" s="21" t="n">
        <f aca="false">H56-J56</f>
        <v>594</v>
      </c>
      <c r="M56" s="8" t="n">
        <v>0</v>
      </c>
      <c r="N56" s="22" t="n">
        <v>46227</v>
      </c>
      <c r="O56" s="22" t="n">
        <v>46291</v>
      </c>
      <c r="P56" s="22" t="n">
        <v>46319</v>
      </c>
      <c r="Q56" s="23" t="s">
        <v>113</v>
      </c>
    </row>
    <row r="57" customFormat="false" ht="23.85" hidden="false" customHeight="false" outlineLevel="0" collapsed="false">
      <c r="A57" s="26" t="s">
        <v>30</v>
      </c>
      <c r="B57" s="19" t="s">
        <v>120</v>
      </c>
      <c r="C57" s="20" t="s">
        <v>60</v>
      </c>
      <c r="D57" s="8" t="n">
        <v>8.671</v>
      </c>
      <c r="E57" s="8" t="n">
        <v>7.5433387520001</v>
      </c>
      <c r="F57" s="8" t="n">
        <f aca="false">E57-D57</f>
        <v>-1.1276612479999</v>
      </c>
      <c r="G57" s="8" t="n">
        <v>155.555338752</v>
      </c>
      <c r="H57" s="21" t="n">
        <v>10662</v>
      </c>
      <c r="I57" s="8" t="n">
        <v>148.012</v>
      </c>
      <c r="J57" s="21" t="n">
        <v>10145</v>
      </c>
      <c r="K57" s="8" t="n">
        <f aca="false">G57-I57</f>
        <v>7.5433387520001</v>
      </c>
      <c r="L57" s="21" t="n">
        <f aca="false">H57-J57</f>
        <v>517</v>
      </c>
      <c r="M57" s="8" t="n">
        <v>0</v>
      </c>
      <c r="N57" s="22" t="n">
        <v>46147</v>
      </c>
      <c r="O57" s="22" t="n">
        <v>46302</v>
      </c>
      <c r="P57" s="22" t="n">
        <v>46317</v>
      </c>
      <c r="Q57" s="23" t="s">
        <v>113</v>
      </c>
    </row>
    <row r="58" customFormat="false" ht="23.85" hidden="false" customHeight="false" outlineLevel="0" collapsed="false">
      <c r="A58" s="26" t="s">
        <v>30</v>
      </c>
      <c r="B58" s="19" t="s">
        <v>121</v>
      </c>
      <c r="C58" s="20" t="s">
        <v>65</v>
      </c>
      <c r="D58" s="8" t="n">
        <v>25.549</v>
      </c>
      <c r="E58" s="8" t="n">
        <v>24.6311525361491</v>
      </c>
      <c r="F58" s="8" t="n">
        <f aca="false">E58-D58</f>
        <v>-0.917847463850858</v>
      </c>
      <c r="G58" s="8" t="n">
        <v>84.1161525361491</v>
      </c>
      <c r="H58" s="21" t="n">
        <v>6139</v>
      </c>
      <c r="I58" s="8" t="n">
        <v>59.485</v>
      </c>
      <c r="J58" s="21" t="n">
        <v>4343</v>
      </c>
      <c r="K58" s="8" t="n">
        <f aca="false">G58-I58</f>
        <v>24.6311525361491</v>
      </c>
      <c r="L58" s="21" t="n">
        <f aca="false">H58-J58</f>
        <v>1796</v>
      </c>
      <c r="M58" s="8" t="n">
        <v>4.10566035515037</v>
      </c>
      <c r="N58" s="22" t="n">
        <v>46193</v>
      </c>
      <c r="O58" s="22" t="n">
        <v>46286</v>
      </c>
      <c r="P58" s="22" t="n">
        <v>46314</v>
      </c>
      <c r="Q58" s="23" t="s">
        <v>113</v>
      </c>
    </row>
    <row r="59" customFormat="false" ht="23.85" hidden="false" customHeight="false" outlineLevel="0" collapsed="false">
      <c r="A59" s="26" t="s">
        <v>30</v>
      </c>
      <c r="B59" s="19" t="s">
        <v>122</v>
      </c>
      <c r="C59" s="20" t="s">
        <v>63</v>
      </c>
      <c r="D59" s="8" t="n">
        <v>10.988</v>
      </c>
      <c r="E59" s="8" t="n">
        <v>10.190473856</v>
      </c>
      <c r="F59" s="8" t="n">
        <f aca="false">E59-D59</f>
        <v>-0.797526143999999</v>
      </c>
      <c r="G59" s="8" t="n">
        <v>26.010473856</v>
      </c>
      <c r="H59" s="21" t="n">
        <v>1797</v>
      </c>
      <c r="I59" s="8" t="n">
        <v>15.82</v>
      </c>
      <c r="J59" s="21" t="n">
        <v>1086</v>
      </c>
      <c r="K59" s="8" t="n">
        <f aca="false">G59-I59</f>
        <v>10.190473856</v>
      </c>
      <c r="L59" s="21" t="n">
        <f aca="false">H59-J59</f>
        <v>711</v>
      </c>
      <c r="M59" s="8" t="n">
        <v>0</v>
      </c>
      <c r="N59" s="22" t="n">
        <v>46179</v>
      </c>
      <c r="O59" s="22" t="n">
        <v>46309</v>
      </c>
      <c r="P59" s="22" t="n">
        <v>46295</v>
      </c>
      <c r="Q59" s="23" t="s">
        <v>113</v>
      </c>
    </row>
    <row r="60" customFormat="false" ht="23.85" hidden="false" customHeight="false" outlineLevel="0" collapsed="false">
      <c r="A60" s="26" t="s">
        <v>30</v>
      </c>
      <c r="B60" s="19" t="s">
        <v>123</v>
      </c>
      <c r="C60" s="20" t="s">
        <v>65</v>
      </c>
      <c r="D60" s="8" t="n">
        <v>1.04</v>
      </c>
      <c r="E60" s="8" t="n">
        <v>0.27654390180969</v>
      </c>
      <c r="F60" s="8" t="n">
        <f aca="false">E60-D60</f>
        <v>-0.76345609819031</v>
      </c>
      <c r="G60" s="8" t="n">
        <v>28.4615439018097</v>
      </c>
      <c r="H60" s="21" t="n">
        <v>2466</v>
      </c>
      <c r="I60" s="8" t="n">
        <v>28.185</v>
      </c>
      <c r="J60" s="21" t="n">
        <v>2441</v>
      </c>
      <c r="K60" s="8" t="n">
        <f aca="false">G60-I60</f>
        <v>0.276543901809692</v>
      </c>
      <c r="L60" s="21" t="n">
        <f aca="false">H60-J60</f>
        <v>25</v>
      </c>
      <c r="M60" s="8" t="n">
        <v>0</v>
      </c>
      <c r="N60" s="22" t="n">
        <v>46205</v>
      </c>
      <c r="O60" s="22" t="n">
        <v>46298</v>
      </c>
      <c r="P60" s="22" t="n">
        <v>46321</v>
      </c>
      <c r="Q60" s="23" t="s">
        <v>113</v>
      </c>
    </row>
    <row r="61" customFormat="false" ht="15" hidden="false" customHeight="false" outlineLevel="0" collapsed="false">
      <c r="A61" s="27"/>
      <c r="B61" s="27" t="s">
        <v>124</v>
      </c>
      <c r="C61" s="27"/>
      <c r="D61" s="12" t="n">
        <f aca="false">SUBTOTAL(9,D5:D60)</f>
        <v>488.522</v>
      </c>
      <c r="E61" s="12" t="n">
        <f aca="false">SUBTOTAL(9,E5:E60)</f>
        <v>527.99440279868</v>
      </c>
      <c r="F61" s="12" t="n">
        <f aca="false">SUBTOTAL(9,F5:F60)</f>
        <v>39.4724027986797</v>
      </c>
      <c r="G61" s="12" t="n">
        <f aca="false">SUBTOTAL(9,G5:G60)</f>
        <v>4988.09246505325</v>
      </c>
      <c r="H61" s="28" t="n">
        <f aca="false">SUBTOTAL(9,H5:H60)</f>
        <v>329006</v>
      </c>
      <c r="I61" s="12" t="n">
        <f aca="false">SUBTOTAL(9,I5:I60)</f>
        <v>4504.929</v>
      </c>
      <c r="J61" s="28" t="n">
        <f aca="false">SUBTOTAL(9,J5:J60)</f>
        <v>300038</v>
      </c>
      <c r="K61" s="12" t="n">
        <f aca="false">SUBTOTAL(9,K5:K60)</f>
        <v>483.163465053247</v>
      </c>
      <c r="L61" s="28" t="n">
        <f aca="false">SUBTOTAL(9,L5:L60)</f>
        <v>28968</v>
      </c>
      <c r="M61" s="12" t="n">
        <f aca="false">SUBTOTAL(9,M5:M60)</f>
        <v>176.104706166575</v>
      </c>
      <c r="N61" s="27"/>
      <c r="O61" s="27"/>
      <c r="P61" s="27"/>
      <c r="Q61" s="27"/>
    </row>
  </sheetData>
  <autoFilter ref="A4:Q6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5" min="3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10" min="9" style="0" width="12"/>
  </cols>
  <sheetData>
    <row r="1" customFormat="false" ht="16.1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16" t="s">
        <v>126</v>
      </c>
    </row>
    <row r="4" customFormat="false" ht="39.75" hidden="false" customHeight="true" outlineLevel="0" collapsed="false">
      <c r="A4" s="17" t="s">
        <v>127</v>
      </c>
      <c r="B4" s="17" t="s">
        <v>128</v>
      </c>
      <c r="C4" s="17" t="s">
        <v>45</v>
      </c>
      <c r="D4" s="17" t="s">
        <v>46</v>
      </c>
      <c r="E4" s="17" t="s">
        <v>48</v>
      </c>
      <c r="F4" s="17" t="s">
        <v>49</v>
      </c>
      <c r="G4" s="17" t="s">
        <v>50</v>
      </c>
      <c r="H4" s="17" t="s">
        <v>51</v>
      </c>
      <c r="I4" s="17" t="s">
        <v>52</v>
      </c>
      <c r="J4" s="17" t="s">
        <v>53</v>
      </c>
    </row>
    <row r="5" customFormat="false" ht="15" hidden="false" customHeight="false" outlineLevel="0" collapsed="false">
      <c r="A5" s="20" t="s">
        <v>59</v>
      </c>
      <c r="B5" s="29" t="n">
        <v>2.8</v>
      </c>
      <c r="C5" s="8" t="n">
        <v>0</v>
      </c>
      <c r="D5" s="8" t="n">
        <v>0</v>
      </c>
      <c r="E5" s="8" t="n">
        <v>31.38110976</v>
      </c>
      <c r="F5" s="21" t="n">
        <v>1040</v>
      </c>
      <c r="G5" s="8" t="n">
        <v>42.865</v>
      </c>
      <c r="H5" s="21" t="n">
        <v>1420</v>
      </c>
      <c r="I5" s="8" t="n">
        <f aca="false">E5-G5</f>
        <v>-11.48389024</v>
      </c>
      <c r="J5" s="21" t="n">
        <f aca="false">F5-H5</f>
        <v>-380</v>
      </c>
    </row>
    <row r="6" customFormat="false" ht="15" hidden="false" customHeight="false" outlineLevel="0" collapsed="false">
      <c r="A6" s="20" t="s">
        <v>62</v>
      </c>
      <c r="B6" s="29" t="n">
        <v>1.6</v>
      </c>
      <c r="C6" s="8" t="n">
        <v>0</v>
      </c>
      <c r="D6" s="8" t="n">
        <v>0</v>
      </c>
      <c r="E6" s="8" t="n">
        <v>126.326992896</v>
      </c>
      <c r="F6" s="21" t="n">
        <v>7176</v>
      </c>
      <c r="G6" s="8" t="n">
        <v>133.895</v>
      </c>
      <c r="H6" s="21" t="n">
        <v>7607</v>
      </c>
      <c r="I6" s="8" t="n">
        <f aca="false">E6-G6</f>
        <v>-7.5680071039999</v>
      </c>
      <c r="J6" s="21" t="n">
        <f aca="false">F6-H6</f>
        <v>-431</v>
      </c>
    </row>
    <row r="7" customFormat="false" ht="15" hidden="false" customHeight="false" outlineLevel="0" collapsed="false">
      <c r="A7" s="20" t="s">
        <v>64</v>
      </c>
      <c r="B7" s="29" t="n">
        <v>1.6</v>
      </c>
      <c r="C7" s="8" t="n">
        <v>0</v>
      </c>
      <c r="D7" s="8" t="n">
        <v>0</v>
      </c>
      <c r="E7" s="8" t="n">
        <v>28.4829461399923</v>
      </c>
      <c r="F7" s="21" t="n">
        <v>6107</v>
      </c>
      <c r="G7" s="8" t="n">
        <v>34.16</v>
      </c>
      <c r="H7" s="21" t="n">
        <v>7324</v>
      </c>
      <c r="I7" s="8" t="n">
        <f aca="false">E7-G7</f>
        <v>-5.67705386000767</v>
      </c>
      <c r="J7" s="21" t="n">
        <f aca="false">F7-H7</f>
        <v>-1217</v>
      </c>
    </row>
    <row r="8" customFormat="false" ht="15" hidden="false" customHeight="false" outlineLevel="0" collapsed="false">
      <c r="A8" s="20" t="s">
        <v>66</v>
      </c>
      <c r="B8" s="29" t="n">
        <v>2.8</v>
      </c>
      <c r="C8" s="8" t="n">
        <v>3.449</v>
      </c>
      <c r="D8" s="8" t="n">
        <v>0</v>
      </c>
      <c r="E8" s="8" t="n">
        <v>27.54</v>
      </c>
      <c r="F8" s="21" t="n">
        <v>2295</v>
      </c>
      <c r="G8" s="8" t="n">
        <v>32.175</v>
      </c>
      <c r="H8" s="21" t="n">
        <v>2545</v>
      </c>
      <c r="I8" s="8" t="n">
        <f aca="false">E8-G8</f>
        <v>-4.635</v>
      </c>
      <c r="J8" s="21" t="n">
        <f aca="false">F8-H8</f>
        <v>-250</v>
      </c>
    </row>
    <row r="9" customFormat="false" ht="15" hidden="false" customHeight="false" outlineLevel="0" collapsed="false">
      <c r="A9" s="20" t="s">
        <v>68</v>
      </c>
      <c r="B9" s="29" t="n">
        <v>2</v>
      </c>
      <c r="C9" s="8" t="n">
        <v>0</v>
      </c>
      <c r="D9" s="8" t="n">
        <v>0</v>
      </c>
      <c r="E9" s="8" t="n">
        <v>71.5068432</v>
      </c>
      <c r="F9" s="21" t="n">
        <v>10543</v>
      </c>
      <c r="G9" s="8" t="n">
        <v>74.28</v>
      </c>
      <c r="H9" s="21" t="n">
        <v>10951</v>
      </c>
      <c r="I9" s="8" t="n">
        <f aca="false">E9-G9</f>
        <v>-2.77315679999998</v>
      </c>
      <c r="J9" s="21" t="n">
        <f aca="false">F9-H9</f>
        <v>-408</v>
      </c>
    </row>
    <row r="10" customFormat="false" ht="15" hidden="false" customHeight="false" outlineLevel="0" collapsed="false">
      <c r="A10" s="20" t="s">
        <v>69</v>
      </c>
      <c r="B10" s="29" t="n">
        <v>4</v>
      </c>
      <c r="C10" s="8" t="n">
        <v>0</v>
      </c>
      <c r="D10" s="8" t="n">
        <v>0</v>
      </c>
      <c r="E10" s="8" t="n">
        <v>6.74887264657441</v>
      </c>
      <c r="F10" s="21" t="n">
        <v>274</v>
      </c>
      <c r="G10" s="8" t="n">
        <v>9.386</v>
      </c>
      <c r="H10" s="21" t="n">
        <v>381</v>
      </c>
      <c r="I10" s="8" t="n">
        <f aca="false">E10-G10</f>
        <v>-2.63712735342559</v>
      </c>
      <c r="J10" s="21" t="n">
        <f aca="false">F10-H10</f>
        <v>-107</v>
      </c>
    </row>
    <row r="11" customFormat="false" ht="15" hidden="false" customHeight="false" outlineLevel="0" collapsed="false">
      <c r="A11" s="20" t="s">
        <v>70</v>
      </c>
      <c r="B11" s="29" t="n">
        <v>1.6</v>
      </c>
      <c r="C11" s="8" t="n">
        <v>0</v>
      </c>
      <c r="D11" s="8" t="n">
        <v>0</v>
      </c>
      <c r="E11" s="8" t="n">
        <v>52.700875776</v>
      </c>
      <c r="F11" s="21" t="n">
        <v>6156</v>
      </c>
      <c r="G11" s="8" t="n">
        <v>55.063</v>
      </c>
      <c r="H11" s="21" t="n">
        <v>6432</v>
      </c>
      <c r="I11" s="8" t="n">
        <f aca="false">E11-G11</f>
        <v>-2.36212422400001</v>
      </c>
      <c r="J11" s="21" t="n">
        <f aca="false">F11-H11</f>
        <v>-276</v>
      </c>
    </row>
    <row r="12" customFormat="false" ht="15" hidden="false" customHeight="false" outlineLevel="0" collapsed="false">
      <c r="A12" s="20" t="s">
        <v>71</v>
      </c>
      <c r="B12" s="29" t="n">
        <v>2</v>
      </c>
      <c r="C12" s="8" t="n">
        <v>0</v>
      </c>
      <c r="D12" s="8" t="n">
        <v>0</v>
      </c>
      <c r="E12" s="8" t="n">
        <v>225.6349992</v>
      </c>
      <c r="F12" s="21" t="n">
        <v>8203</v>
      </c>
      <c r="G12" s="8" t="n">
        <v>227.961</v>
      </c>
      <c r="H12" s="21" t="n">
        <v>8287</v>
      </c>
      <c r="I12" s="8" t="n">
        <f aca="false">E12-G12</f>
        <v>-2.3260008</v>
      </c>
      <c r="J12" s="21" t="n">
        <f aca="false">F12-H12</f>
        <v>-84</v>
      </c>
    </row>
    <row r="13" customFormat="false" ht="15" hidden="false" customHeight="false" outlineLevel="0" collapsed="false">
      <c r="A13" s="20" t="s">
        <v>72</v>
      </c>
      <c r="B13" s="29" t="n">
        <v>2</v>
      </c>
      <c r="C13" s="8" t="n">
        <v>0</v>
      </c>
      <c r="D13" s="8" t="n">
        <v>0</v>
      </c>
      <c r="E13" s="8" t="n">
        <v>49.918</v>
      </c>
      <c r="F13" s="21" t="n">
        <v>2269</v>
      </c>
      <c r="G13" s="8" t="n">
        <v>52.215</v>
      </c>
      <c r="H13" s="21" t="n">
        <v>2374</v>
      </c>
      <c r="I13" s="8" t="n">
        <f aca="false">E13-G13</f>
        <v>-2.297</v>
      </c>
      <c r="J13" s="21" t="n">
        <f aca="false">F13-H13</f>
        <v>-105</v>
      </c>
    </row>
    <row r="14" customFormat="false" ht="15" hidden="false" customHeight="false" outlineLevel="0" collapsed="false">
      <c r="A14" s="20" t="s">
        <v>73</v>
      </c>
      <c r="B14" s="29" t="n">
        <v>1.2</v>
      </c>
      <c r="C14" s="8" t="n">
        <v>0</v>
      </c>
      <c r="D14" s="8" t="n">
        <v>0</v>
      </c>
      <c r="E14" s="8" t="n">
        <v>24.735096288</v>
      </c>
      <c r="F14" s="21" t="n">
        <v>4597</v>
      </c>
      <c r="G14" s="8" t="n">
        <v>26.3</v>
      </c>
      <c r="H14" s="21" t="n">
        <v>4887</v>
      </c>
      <c r="I14" s="8" t="n">
        <f aca="false">E14-G14</f>
        <v>-1.56490371200001</v>
      </c>
      <c r="J14" s="21" t="n">
        <f aca="false">F14-H14</f>
        <v>-290</v>
      </c>
    </row>
    <row r="15" customFormat="false" ht="15" hidden="false" customHeight="false" outlineLevel="0" collapsed="false">
      <c r="A15" s="20" t="s">
        <v>74</v>
      </c>
      <c r="B15" s="29" t="n">
        <v>2.5</v>
      </c>
      <c r="C15" s="8" t="n">
        <v>0</v>
      </c>
      <c r="D15" s="8" t="n">
        <v>0</v>
      </c>
      <c r="E15" s="8" t="n">
        <v>80.41383</v>
      </c>
      <c r="F15" s="21" t="n">
        <v>7588</v>
      </c>
      <c r="G15" s="8" t="n">
        <v>81.107</v>
      </c>
      <c r="H15" s="21" t="n">
        <v>7654</v>
      </c>
      <c r="I15" s="8" t="n">
        <f aca="false">E15-G15</f>
        <v>-0.693170000000009</v>
      </c>
      <c r="J15" s="21" t="n">
        <f aca="false">F15-H15</f>
        <v>-66</v>
      </c>
    </row>
    <row r="16" customFormat="false" ht="15" hidden="false" customHeight="false" outlineLevel="0" collapsed="false">
      <c r="A16" s="25" t="s">
        <v>75</v>
      </c>
      <c r="B16" s="29" t="n">
        <v>2.8</v>
      </c>
      <c r="C16" s="8" t="n">
        <v>0</v>
      </c>
      <c r="D16" s="8" t="n">
        <v>0</v>
      </c>
      <c r="E16" s="8" t="n">
        <v>28.890898848</v>
      </c>
      <c r="F16" s="21" t="n">
        <v>2467</v>
      </c>
      <c r="G16" s="8" t="n">
        <v>32.69</v>
      </c>
      <c r="H16" s="21" t="n">
        <v>2793</v>
      </c>
      <c r="I16" s="8" t="n">
        <f aca="false">E16-G16</f>
        <v>-3.79910115199999</v>
      </c>
      <c r="J16" s="21" t="n">
        <f aca="false">F16-H16</f>
        <v>-326</v>
      </c>
    </row>
    <row r="17" customFormat="false" ht="15" hidden="false" customHeight="false" outlineLevel="0" collapsed="false">
      <c r="A17" s="25" t="s">
        <v>75</v>
      </c>
      <c r="B17" s="29" t="n">
        <v>3.2</v>
      </c>
      <c r="C17" s="8" t="n">
        <v>3.589</v>
      </c>
      <c r="D17" s="8" t="n">
        <v>3.2119</v>
      </c>
      <c r="E17" s="8" t="n">
        <v>13.0169</v>
      </c>
      <c r="F17" s="21" t="n">
        <v>1054</v>
      </c>
      <c r="G17" s="8" t="n">
        <v>9.805</v>
      </c>
      <c r="H17" s="21" t="n">
        <v>794</v>
      </c>
      <c r="I17" s="8" t="n">
        <f aca="false">E17-G17</f>
        <v>3.2119</v>
      </c>
      <c r="J17" s="21" t="n">
        <f aca="false">F17-H17</f>
        <v>260</v>
      </c>
    </row>
    <row r="18" customFormat="false" ht="15" hidden="false" customHeight="false" outlineLevel="0" collapsed="false">
      <c r="A18" s="20" t="s">
        <v>76</v>
      </c>
      <c r="B18" s="29" t="n">
        <v>2.8</v>
      </c>
      <c r="C18" s="8" t="n">
        <v>0</v>
      </c>
      <c r="D18" s="8" t="n">
        <v>5.38384355438487</v>
      </c>
      <c r="E18" s="8" t="n">
        <v>47.6188435543849</v>
      </c>
      <c r="F18" s="21" t="n">
        <v>1568</v>
      </c>
      <c r="G18" s="8" t="n">
        <v>42.235</v>
      </c>
      <c r="H18" s="21" t="n">
        <v>1391</v>
      </c>
      <c r="I18" s="8" t="n">
        <f aca="false">E18-G18</f>
        <v>5.38384355438487</v>
      </c>
      <c r="J18" s="21" t="n">
        <f aca="false">F18-H18</f>
        <v>177</v>
      </c>
    </row>
    <row r="19" customFormat="false" ht="15" hidden="false" customHeight="false" outlineLevel="0" collapsed="false">
      <c r="A19" s="20" t="s">
        <v>78</v>
      </c>
      <c r="B19" s="29" t="n">
        <v>2.5</v>
      </c>
      <c r="C19" s="8" t="n">
        <v>0</v>
      </c>
      <c r="D19" s="8" t="n">
        <v>3.09150749999996</v>
      </c>
      <c r="E19" s="8" t="n">
        <v>96.1935075</v>
      </c>
      <c r="F19" s="21" t="n">
        <v>2817</v>
      </c>
      <c r="G19" s="8" t="n">
        <v>93.102</v>
      </c>
      <c r="H19" s="21" t="n">
        <v>2727</v>
      </c>
      <c r="I19" s="8" t="n">
        <f aca="false">E19-G19</f>
        <v>3.09150749999996</v>
      </c>
      <c r="J19" s="21" t="n">
        <f aca="false">F19-H19</f>
        <v>90</v>
      </c>
    </row>
    <row r="20" customFormat="false" ht="15" hidden="false" customHeight="false" outlineLevel="0" collapsed="false">
      <c r="A20" s="20" t="s">
        <v>79</v>
      </c>
      <c r="B20" s="29" t="n">
        <v>2.5</v>
      </c>
      <c r="C20" s="8" t="n">
        <v>0</v>
      </c>
      <c r="D20" s="8" t="n">
        <v>1.93852</v>
      </c>
      <c r="E20" s="8" t="n">
        <v>59.87352</v>
      </c>
      <c r="F20" s="21" t="n">
        <v>3632</v>
      </c>
      <c r="G20" s="8" t="n">
        <v>57.935</v>
      </c>
      <c r="H20" s="21" t="n">
        <v>3514</v>
      </c>
      <c r="I20" s="8" t="n">
        <f aca="false">E20-G20</f>
        <v>1.93852</v>
      </c>
      <c r="J20" s="21" t="n">
        <f aca="false">F20-H20</f>
        <v>118</v>
      </c>
    </row>
    <row r="21" customFormat="false" ht="15" hidden="false" customHeight="false" outlineLevel="0" collapsed="false">
      <c r="A21" s="20" t="s">
        <v>80</v>
      </c>
      <c r="B21" s="29" t="n">
        <v>2</v>
      </c>
      <c r="C21" s="8" t="n">
        <v>0</v>
      </c>
      <c r="D21" s="8" t="n">
        <v>1.65271839999999</v>
      </c>
      <c r="E21" s="8" t="n">
        <v>116.5397184</v>
      </c>
      <c r="F21" s="21" t="n">
        <v>11046</v>
      </c>
      <c r="G21" s="8" t="n">
        <v>114.887</v>
      </c>
      <c r="H21" s="21" t="n">
        <v>10890</v>
      </c>
      <c r="I21" s="8" t="n">
        <f aca="false">E21-G21</f>
        <v>1.6527184</v>
      </c>
      <c r="J21" s="21" t="n">
        <f aca="false">F21-H21</f>
        <v>156</v>
      </c>
    </row>
    <row r="22" customFormat="false" ht="15" hidden="false" customHeight="false" outlineLevel="0" collapsed="false">
      <c r="A22" s="20" t="s">
        <v>81</v>
      </c>
      <c r="B22" s="29" t="n">
        <v>2.8</v>
      </c>
      <c r="C22" s="8" t="n">
        <v>0</v>
      </c>
      <c r="D22" s="8" t="n">
        <v>1.49284396800001</v>
      </c>
      <c r="E22" s="8" t="n">
        <v>37.927843968</v>
      </c>
      <c r="F22" s="21" t="n">
        <v>2072</v>
      </c>
      <c r="G22" s="8" t="n">
        <v>36.435</v>
      </c>
      <c r="H22" s="21" t="n">
        <v>1991</v>
      </c>
      <c r="I22" s="8" t="n">
        <f aca="false">E22-G22</f>
        <v>1.49284396800002</v>
      </c>
      <c r="J22" s="21" t="n">
        <f aca="false">F22-H22</f>
        <v>81</v>
      </c>
    </row>
    <row r="23" customFormat="false" ht="15" hidden="false" customHeight="false" outlineLevel="0" collapsed="false">
      <c r="A23" s="20" t="s">
        <v>82</v>
      </c>
      <c r="B23" s="29" t="n">
        <v>1.6</v>
      </c>
      <c r="C23" s="8" t="n">
        <v>0</v>
      </c>
      <c r="D23" s="8" t="n">
        <v>1.35044088702466</v>
      </c>
      <c r="E23" s="8" t="n">
        <v>26.5054408870247</v>
      </c>
      <c r="F23" s="21" t="n">
        <v>2744</v>
      </c>
      <c r="G23" s="8" t="n">
        <v>25.155</v>
      </c>
      <c r="H23" s="21" t="n">
        <v>2604</v>
      </c>
      <c r="I23" s="8" t="n">
        <f aca="false">E23-G23</f>
        <v>1.35044088702466</v>
      </c>
      <c r="J23" s="21" t="n">
        <f aca="false">F23-H23</f>
        <v>140</v>
      </c>
    </row>
    <row r="24" customFormat="false" ht="15" hidden="false" customHeight="false" outlineLevel="0" collapsed="false">
      <c r="A24" s="20" t="s">
        <v>83</v>
      </c>
      <c r="B24" s="29" t="n">
        <v>1.6</v>
      </c>
      <c r="C24" s="8" t="n">
        <v>0</v>
      </c>
      <c r="D24" s="8" t="n">
        <v>1.1760019200002</v>
      </c>
      <c r="E24" s="8" t="n">
        <v>180.99000192</v>
      </c>
      <c r="F24" s="21" t="n">
        <v>16495</v>
      </c>
      <c r="G24" s="8" t="n">
        <v>179.814</v>
      </c>
      <c r="H24" s="21" t="n">
        <v>16387</v>
      </c>
      <c r="I24" s="8" t="n">
        <f aca="false">E24-G24</f>
        <v>1.1760019200002</v>
      </c>
      <c r="J24" s="21" t="n">
        <f aca="false">F24-H24</f>
        <v>108</v>
      </c>
    </row>
    <row r="25" customFormat="false" ht="15" hidden="false" customHeight="false" outlineLevel="0" collapsed="false">
      <c r="A25" s="20" t="s">
        <v>84</v>
      </c>
      <c r="B25" s="29" t="n">
        <v>2.5</v>
      </c>
      <c r="C25" s="8" t="n">
        <v>0</v>
      </c>
      <c r="D25" s="8" t="n">
        <v>1.10166481737043</v>
      </c>
      <c r="E25" s="8" t="n">
        <v>28.3616648173704</v>
      </c>
      <c r="F25" s="21" t="n">
        <v>1674</v>
      </c>
      <c r="G25" s="8" t="n">
        <v>27.26</v>
      </c>
      <c r="H25" s="21" t="n">
        <v>1609</v>
      </c>
      <c r="I25" s="8" t="n">
        <f aca="false">E25-G25</f>
        <v>1.10166481737043</v>
      </c>
      <c r="J25" s="21" t="n">
        <f aca="false">F25-H25</f>
        <v>65</v>
      </c>
    </row>
    <row r="26" customFormat="false" ht="15" hidden="false" customHeight="false" outlineLevel="0" collapsed="false">
      <c r="A26" s="20" t="s">
        <v>85</v>
      </c>
      <c r="B26" s="29" t="n">
        <v>2.5</v>
      </c>
      <c r="C26" s="8" t="n">
        <v>0</v>
      </c>
      <c r="D26" s="8" t="n">
        <v>1.095805</v>
      </c>
      <c r="E26" s="8" t="n">
        <v>17.405805</v>
      </c>
      <c r="F26" s="21" t="n">
        <v>778</v>
      </c>
      <c r="G26" s="8" t="n">
        <v>16.31</v>
      </c>
      <c r="H26" s="21" t="n">
        <v>729</v>
      </c>
      <c r="I26" s="8" t="n">
        <f aca="false">E26-G26</f>
        <v>1.095805</v>
      </c>
      <c r="J26" s="21" t="n">
        <f aca="false">F26-H26</f>
        <v>49</v>
      </c>
    </row>
    <row r="27" customFormat="false" ht="15" hidden="false" customHeight="false" outlineLevel="0" collapsed="false">
      <c r="A27" s="20" t="s">
        <v>86</v>
      </c>
      <c r="B27" s="29" t="n">
        <v>2</v>
      </c>
      <c r="C27" s="8" t="n">
        <v>0</v>
      </c>
      <c r="D27" s="8" t="n">
        <v>0.884169445298547</v>
      </c>
      <c r="E27" s="8" t="n">
        <v>56.1091694452986</v>
      </c>
      <c r="F27" s="21" t="n">
        <v>5981</v>
      </c>
      <c r="G27" s="8" t="n">
        <v>55.225</v>
      </c>
      <c r="H27" s="21" t="n">
        <v>5887</v>
      </c>
      <c r="I27" s="8" t="n">
        <f aca="false">E27-G27</f>
        <v>0.884169445298547</v>
      </c>
      <c r="J27" s="21" t="n">
        <f aca="false">F27-H27</f>
        <v>94</v>
      </c>
    </row>
    <row r="28" customFormat="false" ht="15" hidden="false" customHeight="false" outlineLevel="0" collapsed="false">
      <c r="A28" s="20" t="s">
        <v>87</v>
      </c>
      <c r="B28" s="29" t="n">
        <v>2</v>
      </c>
      <c r="C28" s="8" t="n">
        <v>0</v>
      </c>
      <c r="D28" s="8" t="n">
        <v>0.810000000000002</v>
      </c>
      <c r="E28" s="8" t="n">
        <v>25.3</v>
      </c>
      <c r="F28" s="21" t="n">
        <v>920</v>
      </c>
      <c r="G28" s="8" t="n">
        <v>24.49</v>
      </c>
      <c r="H28" s="21" t="n">
        <v>891</v>
      </c>
      <c r="I28" s="8" t="n">
        <f aca="false">E28-G28</f>
        <v>0.810000000000002</v>
      </c>
      <c r="J28" s="21" t="n">
        <f aca="false">F28-H28</f>
        <v>29</v>
      </c>
    </row>
    <row r="29" customFormat="false" ht="15" hidden="false" customHeight="false" outlineLevel="0" collapsed="false">
      <c r="A29" s="25" t="s">
        <v>88</v>
      </c>
      <c r="B29" s="29" t="n">
        <v>2.8</v>
      </c>
      <c r="C29" s="8" t="n">
        <v>0</v>
      </c>
      <c r="D29" s="8" t="n">
        <v>23.918199616</v>
      </c>
      <c r="E29" s="8" t="n">
        <v>127.333199616</v>
      </c>
      <c r="F29" s="21" t="n">
        <v>5114</v>
      </c>
      <c r="G29" s="8" t="n">
        <v>103.415</v>
      </c>
      <c r="H29" s="21" t="n">
        <v>4155</v>
      </c>
      <c r="I29" s="8" t="n">
        <f aca="false">E29-G29</f>
        <v>23.918199616</v>
      </c>
      <c r="J29" s="21" t="n">
        <f aca="false">F29-H29</f>
        <v>959</v>
      </c>
    </row>
    <row r="30" customFormat="false" ht="15" hidden="false" customHeight="false" outlineLevel="0" collapsed="false">
      <c r="A30" s="25" t="s">
        <v>88</v>
      </c>
      <c r="B30" s="29" t="n">
        <v>2.9</v>
      </c>
      <c r="C30" s="8" t="n">
        <v>0</v>
      </c>
      <c r="D30" s="8" t="n">
        <v>0</v>
      </c>
      <c r="E30" s="8" t="n">
        <v>0</v>
      </c>
      <c r="F30" s="21" t="n">
        <v>0</v>
      </c>
      <c r="G30" s="8" t="n">
        <v>12.002</v>
      </c>
      <c r="H30" s="21" t="n">
        <v>466</v>
      </c>
      <c r="I30" s="8" t="n">
        <f aca="false">E30-G30</f>
        <v>-12.002</v>
      </c>
      <c r="J30" s="21" t="n">
        <f aca="false">F30-H30</f>
        <v>-466</v>
      </c>
    </row>
    <row r="31" customFormat="false" ht="15" hidden="false" customHeight="false" outlineLevel="0" collapsed="false">
      <c r="A31" s="25" t="s">
        <v>88</v>
      </c>
      <c r="B31" s="29" t="n">
        <v>3</v>
      </c>
      <c r="C31" s="8" t="n">
        <v>0</v>
      </c>
      <c r="D31" s="8" t="n">
        <v>0</v>
      </c>
      <c r="E31" s="8" t="n">
        <v>60.5137032</v>
      </c>
      <c r="F31" s="21" t="n">
        <v>2278</v>
      </c>
      <c r="G31" s="8" t="n">
        <v>71.7</v>
      </c>
      <c r="H31" s="21" t="n">
        <v>2699</v>
      </c>
      <c r="I31" s="8" t="n">
        <f aca="false">E31-G31</f>
        <v>-11.1862968</v>
      </c>
      <c r="J31" s="21" t="n">
        <f aca="false">F31-H31</f>
        <v>-421</v>
      </c>
    </row>
    <row r="32" customFormat="false" ht="15" hidden="false" customHeight="false" outlineLevel="0" collapsed="false">
      <c r="A32" s="20" t="s">
        <v>89</v>
      </c>
      <c r="B32" s="29" t="n">
        <v>2.5</v>
      </c>
      <c r="C32" s="8" t="n">
        <v>1.693</v>
      </c>
      <c r="D32" s="8" t="n">
        <v>0</v>
      </c>
      <c r="E32" s="8" t="n">
        <v>24.0786975</v>
      </c>
      <c r="F32" s="21" t="n">
        <v>1859</v>
      </c>
      <c r="G32" s="8" t="n">
        <v>24.305</v>
      </c>
      <c r="H32" s="21" t="n">
        <v>1877</v>
      </c>
      <c r="I32" s="8" t="n">
        <f aca="false">E32-G32</f>
        <v>-0.226302499999999</v>
      </c>
      <c r="J32" s="21" t="n">
        <f aca="false">F32-H32</f>
        <v>-18</v>
      </c>
    </row>
    <row r="33" customFormat="false" ht="15" hidden="false" customHeight="false" outlineLevel="0" collapsed="false">
      <c r="A33" s="20" t="s">
        <v>91</v>
      </c>
      <c r="B33" s="29" t="n">
        <v>2</v>
      </c>
      <c r="C33" s="8" t="n">
        <v>28.752</v>
      </c>
      <c r="D33" s="8" t="n">
        <v>35.7587936</v>
      </c>
      <c r="E33" s="8" t="n">
        <v>271.4097936</v>
      </c>
      <c r="F33" s="21" t="n">
        <v>12419</v>
      </c>
      <c r="G33" s="8" t="n">
        <v>235.651</v>
      </c>
      <c r="H33" s="21" t="n">
        <v>10782</v>
      </c>
      <c r="I33" s="8" t="n">
        <f aca="false">E33-G33</f>
        <v>35.7587936</v>
      </c>
      <c r="J33" s="21" t="n">
        <f aca="false">F33-H33</f>
        <v>1637</v>
      </c>
    </row>
    <row r="34" customFormat="false" ht="15" hidden="false" customHeight="false" outlineLevel="0" collapsed="false">
      <c r="A34" s="20" t="s">
        <v>93</v>
      </c>
      <c r="B34" s="29" t="n">
        <v>2.8</v>
      </c>
      <c r="C34" s="8" t="n">
        <v>16.966</v>
      </c>
      <c r="D34" s="8" t="n">
        <v>22.624130496</v>
      </c>
      <c r="E34" s="8" t="n">
        <v>93.595130496</v>
      </c>
      <c r="F34" s="21" t="n">
        <v>3759</v>
      </c>
      <c r="G34" s="8" t="n">
        <v>70.971</v>
      </c>
      <c r="H34" s="21" t="n">
        <v>2852</v>
      </c>
      <c r="I34" s="8" t="n">
        <f aca="false">E34-G34</f>
        <v>22.624130496</v>
      </c>
      <c r="J34" s="21" t="n">
        <f aca="false">F34-H34</f>
        <v>907</v>
      </c>
    </row>
    <row r="35" customFormat="false" ht="15" hidden="false" customHeight="false" outlineLevel="0" collapsed="false">
      <c r="A35" s="20" t="s">
        <v>94</v>
      </c>
      <c r="B35" s="29" t="n">
        <v>2</v>
      </c>
      <c r="C35" s="8" t="n">
        <v>27.325</v>
      </c>
      <c r="D35" s="8" t="n">
        <v>32.8148270267837</v>
      </c>
      <c r="E35" s="8" t="n">
        <v>51.8458270267837</v>
      </c>
      <c r="F35" s="21" t="n">
        <v>3005</v>
      </c>
      <c r="G35" s="8" t="n">
        <v>19.031</v>
      </c>
      <c r="H35" s="21" t="n">
        <v>1103</v>
      </c>
      <c r="I35" s="8" t="n">
        <f aca="false">E35-G35</f>
        <v>32.8148270267837</v>
      </c>
      <c r="J35" s="21" t="n">
        <f aca="false">F35-H35</f>
        <v>1902</v>
      </c>
    </row>
    <row r="36" customFormat="false" ht="15" hidden="false" customHeight="false" outlineLevel="0" collapsed="false">
      <c r="A36" s="25" t="s">
        <v>95</v>
      </c>
      <c r="B36" s="29" t="n">
        <v>2.8</v>
      </c>
      <c r="C36" s="8" t="n">
        <v>0</v>
      </c>
      <c r="D36" s="8" t="n">
        <v>3.91069465599997</v>
      </c>
      <c r="E36" s="8" t="n">
        <v>119.157694656</v>
      </c>
      <c r="F36" s="21" t="n">
        <v>3949</v>
      </c>
      <c r="G36" s="8" t="n">
        <v>115.247</v>
      </c>
      <c r="H36" s="21" t="n">
        <v>3818</v>
      </c>
      <c r="I36" s="8" t="n">
        <f aca="false">E36-G36</f>
        <v>3.910694656</v>
      </c>
      <c r="J36" s="21" t="n">
        <f aca="false">F36-H36</f>
        <v>131</v>
      </c>
    </row>
    <row r="37" customFormat="false" ht="15" hidden="false" customHeight="false" outlineLevel="0" collapsed="false">
      <c r="A37" s="25" t="s">
        <v>95</v>
      </c>
      <c r="B37" s="29" t="n">
        <v>3</v>
      </c>
      <c r="C37" s="8" t="n">
        <v>20.704</v>
      </c>
      <c r="D37" s="8" t="n">
        <v>20.618496</v>
      </c>
      <c r="E37" s="8" t="n">
        <v>20.618496</v>
      </c>
      <c r="F37" s="21" t="n">
        <v>640</v>
      </c>
      <c r="G37" s="8" t="n">
        <v>0</v>
      </c>
      <c r="H37" s="21" t="n">
        <v>0</v>
      </c>
      <c r="I37" s="8" t="n">
        <f aca="false">E37-G37</f>
        <v>20.618496</v>
      </c>
      <c r="J37" s="21" t="n">
        <f aca="false">F37-H37</f>
        <v>640</v>
      </c>
    </row>
    <row r="38" customFormat="false" ht="15" hidden="false" customHeight="false" outlineLevel="0" collapsed="false">
      <c r="A38" s="25" t="s">
        <v>96</v>
      </c>
      <c r="B38" s="29" t="n">
        <v>2.8</v>
      </c>
      <c r="C38" s="8" t="n">
        <v>0</v>
      </c>
      <c r="D38" s="8" t="n">
        <v>2.06041052800003</v>
      </c>
      <c r="E38" s="8" t="n">
        <v>73.774410528</v>
      </c>
      <c r="F38" s="21" t="n">
        <v>1937</v>
      </c>
      <c r="G38" s="8" t="n">
        <v>71.714</v>
      </c>
      <c r="H38" s="21" t="n">
        <v>1885</v>
      </c>
      <c r="I38" s="8" t="n">
        <f aca="false">E38-G38</f>
        <v>2.06041052800003</v>
      </c>
      <c r="J38" s="21" t="n">
        <f aca="false">F38-H38</f>
        <v>52</v>
      </c>
    </row>
    <row r="39" customFormat="false" ht="15" hidden="false" customHeight="false" outlineLevel="0" collapsed="false">
      <c r="A39" s="25" t="s">
        <v>96</v>
      </c>
      <c r="B39" s="29" t="n">
        <v>3</v>
      </c>
      <c r="C39" s="8" t="n">
        <v>8.726</v>
      </c>
      <c r="D39" s="8" t="n">
        <v>8.6096</v>
      </c>
      <c r="E39" s="8" t="n">
        <v>30.0846</v>
      </c>
      <c r="F39" s="21" t="n">
        <v>741</v>
      </c>
      <c r="G39" s="8" t="n">
        <v>21.475</v>
      </c>
      <c r="H39" s="21" t="n">
        <v>529</v>
      </c>
      <c r="I39" s="8" t="n">
        <f aca="false">E39-G39</f>
        <v>8.6096</v>
      </c>
      <c r="J39" s="21" t="n">
        <f aca="false">F39-H39</f>
        <v>212</v>
      </c>
    </row>
    <row r="40" customFormat="false" ht="15" hidden="false" customHeight="false" outlineLevel="0" collapsed="false">
      <c r="A40" s="25" t="s">
        <v>96</v>
      </c>
      <c r="B40" s="29" t="n">
        <v>3.2</v>
      </c>
      <c r="C40" s="8" t="n">
        <v>0</v>
      </c>
      <c r="D40" s="8" t="n">
        <v>1.66718272</v>
      </c>
      <c r="E40" s="8" t="n">
        <v>30.51718272</v>
      </c>
      <c r="F40" s="21" t="n">
        <v>705</v>
      </c>
      <c r="G40" s="8" t="n">
        <v>28.85</v>
      </c>
      <c r="H40" s="21" t="n">
        <v>666</v>
      </c>
      <c r="I40" s="8" t="n">
        <f aca="false">E40-G40</f>
        <v>1.66718272</v>
      </c>
      <c r="J40" s="21" t="n">
        <f aca="false">F40-H40</f>
        <v>39</v>
      </c>
    </row>
    <row r="41" customFormat="false" ht="15" hidden="false" customHeight="false" outlineLevel="0" collapsed="false">
      <c r="A41" s="20" t="s">
        <v>97</v>
      </c>
      <c r="B41" s="29" t="n">
        <v>2.5</v>
      </c>
      <c r="C41" s="8" t="n">
        <v>19.677</v>
      </c>
      <c r="D41" s="8" t="n">
        <v>23.161798</v>
      </c>
      <c r="E41" s="8" t="n">
        <v>149.748798</v>
      </c>
      <c r="F41" s="21" t="n">
        <v>8956</v>
      </c>
      <c r="G41" s="8" t="n">
        <v>126.587</v>
      </c>
      <c r="H41" s="21" t="n">
        <v>7573</v>
      </c>
      <c r="I41" s="8" t="n">
        <f aca="false">E41-G41</f>
        <v>23.161798</v>
      </c>
      <c r="J41" s="21" t="n">
        <f aca="false">F41-H41</f>
        <v>1383</v>
      </c>
    </row>
    <row r="42" customFormat="false" ht="15" hidden="false" customHeight="false" outlineLevel="0" collapsed="false">
      <c r="A42" s="20" t="s">
        <v>98</v>
      </c>
      <c r="B42" s="29" t="n">
        <v>2</v>
      </c>
      <c r="C42" s="8" t="n">
        <v>11.431</v>
      </c>
      <c r="D42" s="8" t="n">
        <v>14.6224114638618</v>
      </c>
      <c r="E42" s="8" t="n">
        <v>84.3734114638618</v>
      </c>
      <c r="F42" s="21" t="n">
        <v>11450</v>
      </c>
      <c r="G42" s="8" t="n">
        <v>69.751</v>
      </c>
      <c r="H42" s="21" t="n">
        <v>9464</v>
      </c>
      <c r="I42" s="8" t="n">
        <f aca="false">E42-G42</f>
        <v>14.6224114638618</v>
      </c>
      <c r="J42" s="21" t="n">
        <f aca="false">F42-H42</f>
        <v>1986</v>
      </c>
    </row>
    <row r="43" customFormat="false" ht="15" hidden="false" customHeight="false" outlineLevel="0" collapsed="false">
      <c r="A43" s="20" t="s">
        <v>99</v>
      </c>
      <c r="B43" s="29" t="n">
        <v>2.5</v>
      </c>
      <c r="C43" s="8" t="n">
        <v>18.884</v>
      </c>
      <c r="D43" s="8" t="n">
        <v>21.946045</v>
      </c>
      <c r="E43" s="8" t="n">
        <v>133.950045</v>
      </c>
      <c r="F43" s="21" t="n">
        <v>4946</v>
      </c>
      <c r="G43" s="8" t="n">
        <v>112.004</v>
      </c>
      <c r="H43" s="21" t="n">
        <v>4135</v>
      </c>
      <c r="I43" s="8" t="n">
        <f aca="false">E43-G43</f>
        <v>21.946045</v>
      </c>
      <c r="J43" s="21" t="n">
        <f aca="false">F43-H43</f>
        <v>811</v>
      </c>
    </row>
    <row r="44" customFormat="false" ht="15" hidden="false" customHeight="false" outlineLevel="0" collapsed="false">
      <c r="A44" s="25" t="s">
        <v>100</v>
      </c>
      <c r="B44" s="29" t="n">
        <v>2.8</v>
      </c>
      <c r="C44" s="8" t="n">
        <v>0</v>
      </c>
      <c r="D44" s="8" t="n">
        <v>3.32262312468675</v>
      </c>
      <c r="E44" s="8" t="n">
        <v>36.2586231246868</v>
      </c>
      <c r="F44" s="21" t="n">
        <v>1522</v>
      </c>
      <c r="G44" s="8" t="n">
        <v>32.936</v>
      </c>
      <c r="H44" s="21" t="n">
        <v>1384</v>
      </c>
      <c r="I44" s="8" t="n">
        <f aca="false">E44-G44</f>
        <v>3.32262312468675</v>
      </c>
      <c r="J44" s="21" t="n">
        <f aca="false">F44-H44</f>
        <v>138</v>
      </c>
    </row>
    <row r="45" customFormat="false" ht="15" hidden="false" customHeight="false" outlineLevel="0" collapsed="false">
      <c r="A45" s="25" t="s">
        <v>100</v>
      </c>
      <c r="B45" s="29" t="n">
        <v>3.2</v>
      </c>
      <c r="C45" s="8" t="n">
        <v>15.655</v>
      </c>
      <c r="D45" s="8" t="n">
        <v>15.3739322420628</v>
      </c>
      <c r="E45" s="8" t="n">
        <v>63.6989322420628</v>
      </c>
      <c r="F45" s="21" t="n">
        <v>2356</v>
      </c>
      <c r="G45" s="8" t="n">
        <v>48.325</v>
      </c>
      <c r="H45" s="21" t="n">
        <v>1787</v>
      </c>
      <c r="I45" s="8" t="n">
        <f aca="false">E45-G45</f>
        <v>15.3739322420628</v>
      </c>
      <c r="J45" s="21" t="n">
        <f aca="false">F45-H45</f>
        <v>569</v>
      </c>
    </row>
    <row r="46" customFormat="false" ht="15" hidden="false" customHeight="false" outlineLevel="0" collapsed="false">
      <c r="A46" s="20" t="s">
        <v>101</v>
      </c>
      <c r="B46" s="29" t="n">
        <v>1.6</v>
      </c>
      <c r="C46" s="8" t="n">
        <v>6.762</v>
      </c>
      <c r="D46" s="8" t="n">
        <v>9.04905037447167</v>
      </c>
      <c r="E46" s="8" t="n">
        <v>47.5740503744717</v>
      </c>
      <c r="F46" s="21" t="n">
        <v>6260</v>
      </c>
      <c r="G46" s="8" t="n">
        <v>38.525</v>
      </c>
      <c r="H46" s="21" t="n">
        <v>5068</v>
      </c>
      <c r="I46" s="8" t="n">
        <f aca="false">E46-G46</f>
        <v>9.04905037447167</v>
      </c>
      <c r="J46" s="21" t="n">
        <f aca="false">F46-H46</f>
        <v>1192</v>
      </c>
    </row>
    <row r="47" customFormat="false" ht="15" hidden="false" customHeight="false" outlineLevel="0" collapsed="false">
      <c r="A47" s="20" t="s">
        <v>102</v>
      </c>
      <c r="B47" s="29" t="n">
        <v>2.5</v>
      </c>
      <c r="C47" s="8" t="n">
        <v>8.571</v>
      </c>
      <c r="D47" s="8" t="n">
        <v>10.6181676337717</v>
      </c>
      <c r="E47" s="8" t="n">
        <v>24.9481676337717</v>
      </c>
      <c r="F47" s="21" t="n">
        <v>2764</v>
      </c>
      <c r="G47" s="8" t="n">
        <v>14.33</v>
      </c>
      <c r="H47" s="21" t="n">
        <v>1587</v>
      </c>
      <c r="I47" s="8" t="n">
        <f aca="false">E47-G47</f>
        <v>10.6181676337717</v>
      </c>
      <c r="J47" s="21" t="n">
        <f aca="false">F47-H47</f>
        <v>1177</v>
      </c>
    </row>
    <row r="48" customFormat="false" ht="15" hidden="false" customHeight="false" outlineLevel="0" collapsed="false">
      <c r="A48" s="20" t="s">
        <v>103</v>
      </c>
      <c r="B48" s="29" t="n">
        <v>1.6</v>
      </c>
      <c r="C48" s="8" t="n">
        <v>18.327</v>
      </c>
      <c r="D48" s="8" t="n">
        <v>20.3448108030086</v>
      </c>
      <c r="E48" s="8" t="n">
        <v>56.9928108030086</v>
      </c>
      <c r="F48" s="21" t="n">
        <v>9515</v>
      </c>
      <c r="G48" s="8" t="n">
        <v>36.648</v>
      </c>
      <c r="H48" s="21" t="n">
        <v>6118</v>
      </c>
      <c r="I48" s="8" t="n">
        <f aca="false">E48-G48</f>
        <v>20.3448108030086</v>
      </c>
      <c r="J48" s="21" t="n">
        <f aca="false">F48-H48</f>
        <v>3397</v>
      </c>
    </row>
    <row r="49" customFormat="false" ht="15" hidden="false" customHeight="false" outlineLevel="0" collapsed="false">
      <c r="A49" s="20" t="s">
        <v>104</v>
      </c>
      <c r="B49" s="29" t="n">
        <v>2.5</v>
      </c>
      <c r="C49" s="8" t="n">
        <v>12.48</v>
      </c>
      <c r="D49" s="8" t="n">
        <v>14.0415575471577</v>
      </c>
      <c r="E49" s="8" t="n">
        <v>28.0525575471577</v>
      </c>
      <c r="F49" s="21" t="n">
        <v>1312</v>
      </c>
      <c r="G49" s="8" t="n">
        <v>14.011</v>
      </c>
      <c r="H49" s="21" t="n">
        <v>655</v>
      </c>
      <c r="I49" s="8" t="n">
        <f aca="false">E49-G49</f>
        <v>14.0415575471577</v>
      </c>
      <c r="J49" s="21" t="n">
        <f aca="false">F49-H49</f>
        <v>657</v>
      </c>
    </row>
    <row r="50" customFormat="false" ht="15" hidden="false" customHeight="false" outlineLevel="0" collapsed="false">
      <c r="A50" s="20" t="s">
        <v>105</v>
      </c>
      <c r="B50" s="29" t="n">
        <v>4</v>
      </c>
      <c r="C50" s="8" t="n">
        <v>5.509</v>
      </c>
      <c r="D50" s="8" t="n">
        <v>6.987</v>
      </c>
      <c r="E50" s="8" t="n">
        <v>35.133</v>
      </c>
      <c r="F50" s="21" t="n">
        <v>1434</v>
      </c>
      <c r="G50" s="8" t="n">
        <v>28.146</v>
      </c>
      <c r="H50" s="21" t="n">
        <v>1148</v>
      </c>
      <c r="I50" s="8" t="n">
        <f aca="false">E50-G50</f>
        <v>6.987</v>
      </c>
      <c r="J50" s="21" t="n">
        <f aca="false">F50-H50</f>
        <v>286</v>
      </c>
    </row>
    <row r="51" customFormat="false" ht="15" hidden="false" customHeight="false" outlineLevel="0" collapsed="false">
      <c r="A51" s="20" t="s">
        <v>106</v>
      </c>
      <c r="B51" s="29" t="n">
        <v>2.8</v>
      </c>
      <c r="C51" s="8" t="n">
        <v>18.573</v>
      </c>
      <c r="D51" s="8" t="n">
        <v>20.02434368</v>
      </c>
      <c r="E51" s="8" t="n">
        <v>27.26434368</v>
      </c>
      <c r="F51" s="21" t="n">
        <v>1095</v>
      </c>
      <c r="G51" s="8" t="n">
        <v>7.24</v>
      </c>
      <c r="H51" s="21" t="n">
        <v>291</v>
      </c>
      <c r="I51" s="8" t="n">
        <f aca="false">E51-G51</f>
        <v>20.02434368</v>
      </c>
      <c r="J51" s="21" t="n">
        <f aca="false">F51-H51</f>
        <v>804</v>
      </c>
    </row>
    <row r="52" customFormat="false" ht="15" hidden="false" customHeight="false" outlineLevel="0" collapsed="false">
      <c r="A52" s="20" t="s">
        <v>107</v>
      </c>
      <c r="B52" s="29" t="n">
        <v>2.5</v>
      </c>
      <c r="C52" s="8" t="n">
        <v>11.674</v>
      </c>
      <c r="D52" s="8" t="n">
        <v>13.0084675</v>
      </c>
      <c r="E52" s="8" t="n">
        <v>126.6954675</v>
      </c>
      <c r="F52" s="21" t="n">
        <v>5663</v>
      </c>
      <c r="G52" s="8" t="n">
        <v>113.687</v>
      </c>
      <c r="H52" s="21" t="n">
        <v>5083</v>
      </c>
      <c r="I52" s="8" t="n">
        <f aca="false">E52-G52</f>
        <v>13.0084675</v>
      </c>
      <c r="J52" s="21" t="n">
        <f aca="false">F52-H52</f>
        <v>580</v>
      </c>
    </row>
    <row r="53" customFormat="false" ht="15" hidden="false" customHeight="false" outlineLevel="0" collapsed="false">
      <c r="A53" s="20" t="s">
        <v>108</v>
      </c>
      <c r="B53" s="29" t="n">
        <v>2.5</v>
      </c>
      <c r="C53" s="8" t="n">
        <v>33.383</v>
      </c>
      <c r="D53" s="8" t="n">
        <v>34.3465701717689</v>
      </c>
      <c r="E53" s="8" t="n">
        <v>54.0465701717689</v>
      </c>
      <c r="F53" s="21" t="n">
        <v>1691</v>
      </c>
      <c r="G53" s="8" t="n">
        <v>19.7</v>
      </c>
      <c r="H53" s="21" t="n">
        <v>616</v>
      </c>
      <c r="I53" s="8" t="n">
        <f aca="false">E53-G53</f>
        <v>34.3465701717689</v>
      </c>
      <c r="J53" s="21" t="n">
        <f aca="false">F53-H53</f>
        <v>1075</v>
      </c>
    </row>
    <row r="54" customFormat="false" ht="15" hidden="false" customHeight="false" outlineLevel="0" collapsed="false">
      <c r="A54" s="25" t="s">
        <v>109</v>
      </c>
      <c r="B54" s="29" t="n">
        <v>2.8</v>
      </c>
      <c r="C54" s="8" t="n">
        <v>2.503</v>
      </c>
      <c r="D54" s="8" t="n">
        <v>3.41136734497612</v>
      </c>
      <c r="E54" s="8" t="n">
        <v>37.7413673449761</v>
      </c>
      <c r="F54" s="21" t="n">
        <v>1058</v>
      </c>
      <c r="G54" s="8" t="n">
        <v>34.33</v>
      </c>
      <c r="H54" s="21" t="n">
        <v>962</v>
      </c>
      <c r="I54" s="8" t="n">
        <f aca="false">E54-G54</f>
        <v>3.41136734497614</v>
      </c>
      <c r="J54" s="21" t="n">
        <f aca="false">F54-H54</f>
        <v>96</v>
      </c>
    </row>
    <row r="55" customFormat="false" ht="15" hidden="false" customHeight="false" outlineLevel="0" collapsed="false">
      <c r="A55" s="25" t="s">
        <v>109</v>
      </c>
      <c r="B55" s="29" t="n">
        <v>3.2</v>
      </c>
      <c r="C55" s="8" t="n">
        <v>9.993</v>
      </c>
      <c r="D55" s="8" t="n">
        <v>9.9489</v>
      </c>
      <c r="E55" s="8" t="n">
        <v>20.4139</v>
      </c>
      <c r="F55" s="21" t="n">
        <v>533</v>
      </c>
      <c r="G55" s="8" t="n">
        <v>10.465</v>
      </c>
      <c r="H55" s="21" t="n">
        <v>273</v>
      </c>
      <c r="I55" s="8" t="n">
        <f aca="false">E55-G55</f>
        <v>9.94889999999999</v>
      </c>
      <c r="J55" s="21" t="n">
        <f aca="false">F55-H55</f>
        <v>260</v>
      </c>
    </row>
    <row r="56" customFormat="false" ht="15" hidden="false" customHeight="false" outlineLevel="0" collapsed="false">
      <c r="A56" s="20" t="s">
        <v>110</v>
      </c>
      <c r="B56" s="29" t="n">
        <v>2.5</v>
      </c>
      <c r="C56" s="8" t="n">
        <v>25.051</v>
      </c>
      <c r="D56" s="8" t="n">
        <v>25.7355663919971</v>
      </c>
      <c r="E56" s="8" t="n">
        <v>57.4455663919972</v>
      </c>
      <c r="F56" s="21" t="n">
        <v>3892</v>
      </c>
      <c r="G56" s="8" t="n">
        <v>31.71</v>
      </c>
      <c r="H56" s="21" t="n">
        <v>2148</v>
      </c>
      <c r="I56" s="8" t="n">
        <f aca="false">E56-G56</f>
        <v>25.7355663919971</v>
      </c>
      <c r="J56" s="21" t="n">
        <f aca="false">F56-H56</f>
        <v>1744</v>
      </c>
    </row>
    <row r="57" customFormat="false" ht="15" hidden="false" customHeight="false" outlineLevel="0" collapsed="false">
      <c r="A57" s="20" t="s">
        <v>111</v>
      </c>
      <c r="B57" s="29" t="n">
        <v>2</v>
      </c>
      <c r="C57" s="8" t="n">
        <v>11.749</v>
      </c>
      <c r="D57" s="8" t="n">
        <v>12.3127576</v>
      </c>
      <c r="E57" s="8" t="n">
        <v>213.7047576</v>
      </c>
      <c r="F57" s="21" t="n">
        <v>24659</v>
      </c>
      <c r="G57" s="8" t="n">
        <v>201.392</v>
      </c>
      <c r="H57" s="21" t="n">
        <v>23239</v>
      </c>
      <c r="I57" s="8" t="n">
        <f aca="false">E57-G57</f>
        <v>12.3127576</v>
      </c>
      <c r="J57" s="21" t="n">
        <f aca="false">F57-H57</f>
        <v>1420</v>
      </c>
    </row>
    <row r="58" customFormat="false" ht="15" hidden="false" customHeight="false" outlineLevel="0" collapsed="false">
      <c r="A58" s="20" t="s">
        <v>112</v>
      </c>
      <c r="B58" s="29" t="n">
        <v>2</v>
      </c>
      <c r="C58" s="8" t="n">
        <v>16.866</v>
      </c>
      <c r="D58" s="8" t="n">
        <v>11.3509284</v>
      </c>
      <c r="E58" s="8" t="n">
        <v>96.0559284</v>
      </c>
      <c r="F58" s="21" t="n">
        <v>7181</v>
      </c>
      <c r="G58" s="8" t="n">
        <v>84.705</v>
      </c>
      <c r="H58" s="21" t="n">
        <v>6333</v>
      </c>
      <c r="I58" s="8" t="n">
        <f aca="false">E58-G58</f>
        <v>11.3509284</v>
      </c>
      <c r="J58" s="21" t="n">
        <f aca="false">F58-H58</f>
        <v>848</v>
      </c>
    </row>
    <row r="59" customFormat="false" ht="15" hidden="false" customHeight="false" outlineLevel="0" collapsed="false">
      <c r="A59" s="25" t="s">
        <v>114</v>
      </c>
      <c r="B59" s="29" t="n">
        <v>2.8</v>
      </c>
      <c r="C59" s="8" t="n">
        <v>13.237</v>
      </c>
      <c r="D59" s="8" t="n">
        <v>17.077012416</v>
      </c>
      <c r="E59" s="8" t="n">
        <v>93.382012416</v>
      </c>
      <c r="F59" s="21" t="n">
        <v>5029</v>
      </c>
      <c r="G59" s="8" t="n">
        <v>76.305</v>
      </c>
      <c r="H59" s="21" t="n">
        <v>4109</v>
      </c>
      <c r="I59" s="8" t="n">
        <f aca="false">E59-G59</f>
        <v>17.077012416</v>
      </c>
      <c r="J59" s="21" t="n">
        <f aca="false">F59-H59</f>
        <v>920</v>
      </c>
    </row>
    <row r="60" customFormat="false" ht="15" hidden="false" customHeight="false" outlineLevel="0" collapsed="false">
      <c r="A60" s="25" t="s">
        <v>114</v>
      </c>
      <c r="B60" s="29" t="n">
        <v>2.9</v>
      </c>
      <c r="C60" s="8" t="n">
        <v>0</v>
      </c>
      <c r="D60" s="8" t="n">
        <v>0</v>
      </c>
      <c r="E60" s="8" t="n">
        <v>0</v>
      </c>
      <c r="F60" s="21" t="n">
        <v>0</v>
      </c>
      <c r="G60" s="8" t="n">
        <v>4.15</v>
      </c>
      <c r="H60" s="21" t="n">
        <v>216</v>
      </c>
      <c r="I60" s="8" t="n">
        <f aca="false">E60-G60</f>
        <v>-4.15</v>
      </c>
      <c r="J60" s="21" t="n">
        <f aca="false">F60-H60</f>
        <v>-216</v>
      </c>
    </row>
    <row r="61" customFormat="false" ht="15" hidden="false" customHeight="false" outlineLevel="0" collapsed="false">
      <c r="A61" s="25" t="s">
        <v>114</v>
      </c>
      <c r="B61" s="29" t="n">
        <v>3.2</v>
      </c>
      <c r="C61" s="8" t="n">
        <v>0</v>
      </c>
      <c r="D61" s="8" t="n">
        <v>0</v>
      </c>
      <c r="E61" s="8" t="n">
        <v>0</v>
      </c>
      <c r="F61" s="21" t="n">
        <v>0</v>
      </c>
      <c r="G61" s="8" t="n">
        <v>4.8</v>
      </c>
      <c r="H61" s="21" t="n">
        <v>229</v>
      </c>
      <c r="I61" s="8" t="n">
        <f aca="false">E61-G61</f>
        <v>-4.8</v>
      </c>
      <c r="J61" s="21" t="n">
        <f aca="false">F61-H61</f>
        <v>-229</v>
      </c>
    </row>
    <row r="62" customFormat="false" ht="15" hidden="false" customHeight="false" outlineLevel="0" collapsed="false">
      <c r="A62" s="20" t="s">
        <v>115</v>
      </c>
      <c r="B62" s="29" t="n">
        <v>2.5</v>
      </c>
      <c r="C62" s="8" t="n">
        <v>9.126</v>
      </c>
      <c r="D62" s="8" t="n">
        <v>5.43362912409522</v>
      </c>
      <c r="E62" s="8" t="n">
        <v>20.5286291240952</v>
      </c>
      <c r="F62" s="21" t="n">
        <v>754</v>
      </c>
      <c r="G62" s="8" t="n">
        <v>15.095</v>
      </c>
      <c r="H62" s="21" t="n">
        <v>554</v>
      </c>
      <c r="I62" s="8" t="n">
        <f aca="false">E62-G62</f>
        <v>5.43362912409522</v>
      </c>
      <c r="J62" s="21" t="n">
        <f aca="false">F62-H62</f>
        <v>200</v>
      </c>
    </row>
    <row r="63" customFormat="false" ht="15" hidden="false" customHeight="false" outlineLevel="0" collapsed="false">
      <c r="A63" s="20" t="s">
        <v>116</v>
      </c>
      <c r="B63" s="29" t="n">
        <v>2</v>
      </c>
      <c r="C63" s="8" t="n">
        <v>27.56</v>
      </c>
      <c r="D63" s="8" t="n">
        <v>25.205768</v>
      </c>
      <c r="E63" s="8" t="n">
        <v>229.380768</v>
      </c>
      <c r="F63" s="21" t="n">
        <v>16910</v>
      </c>
      <c r="G63" s="8" t="n">
        <v>204.175</v>
      </c>
      <c r="H63" s="21" t="n">
        <v>15051</v>
      </c>
      <c r="I63" s="8" t="n">
        <f aca="false">E63-G63</f>
        <v>25.205768</v>
      </c>
      <c r="J63" s="21" t="n">
        <f aca="false">F63-H63</f>
        <v>1859</v>
      </c>
    </row>
    <row r="64" customFormat="false" ht="15" hidden="false" customHeight="false" outlineLevel="0" collapsed="false">
      <c r="A64" s="20" t="s">
        <v>117</v>
      </c>
      <c r="B64" s="29" t="n">
        <v>2</v>
      </c>
      <c r="C64" s="8" t="n">
        <v>6.407</v>
      </c>
      <c r="D64" s="8" t="n">
        <v>4.14146880000003</v>
      </c>
      <c r="E64" s="8" t="n">
        <v>362.0354688</v>
      </c>
      <c r="F64" s="21" t="n">
        <v>20017</v>
      </c>
      <c r="G64" s="8" t="n">
        <v>357.894</v>
      </c>
      <c r="H64" s="21" t="n">
        <v>19794</v>
      </c>
      <c r="I64" s="8" t="n">
        <f aca="false">E64-G64</f>
        <v>4.1414688000001</v>
      </c>
      <c r="J64" s="21" t="n">
        <f aca="false">F64-H64</f>
        <v>223</v>
      </c>
    </row>
    <row r="65" customFormat="false" ht="15" hidden="false" customHeight="false" outlineLevel="0" collapsed="false">
      <c r="A65" s="20" t="s">
        <v>118</v>
      </c>
      <c r="B65" s="29" t="n">
        <v>2</v>
      </c>
      <c r="C65" s="8" t="n">
        <v>22.891</v>
      </c>
      <c r="D65" s="8" t="n">
        <v>20.6869648</v>
      </c>
      <c r="E65" s="8" t="n">
        <v>292.2219648</v>
      </c>
      <c r="F65" s="21" t="n">
        <v>16157</v>
      </c>
      <c r="G65" s="8" t="n">
        <v>271.535</v>
      </c>
      <c r="H65" s="21" t="n">
        <v>15013</v>
      </c>
      <c r="I65" s="8" t="n">
        <f aca="false">E65-G65</f>
        <v>20.6869648000001</v>
      </c>
      <c r="J65" s="21" t="n">
        <f aca="false">F65-H65</f>
        <v>1144</v>
      </c>
    </row>
    <row r="66" customFormat="false" ht="15" hidden="false" customHeight="false" outlineLevel="0" collapsed="false">
      <c r="A66" s="20" t="s">
        <v>119</v>
      </c>
      <c r="B66" s="29" t="n">
        <v>2</v>
      </c>
      <c r="C66" s="8" t="n">
        <v>4.761</v>
      </c>
      <c r="D66" s="8" t="n">
        <v>3.38020000000001</v>
      </c>
      <c r="E66" s="8" t="n">
        <v>39.2502</v>
      </c>
      <c r="F66" s="21" t="n">
        <v>6886</v>
      </c>
      <c r="G66" s="8" t="n">
        <v>35.87</v>
      </c>
      <c r="H66" s="21" t="n">
        <v>6292</v>
      </c>
      <c r="I66" s="8" t="n">
        <f aca="false">E66-G66</f>
        <v>3.3802</v>
      </c>
      <c r="J66" s="21" t="n">
        <f aca="false">F66-H66</f>
        <v>594</v>
      </c>
    </row>
    <row r="67" customFormat="false" ht="15" hidden="false" customHeight="false" outlineLevel="0" collapsed="false">
      <c r="A67" s="20" t="s">
        <v>120</v>
      </c>
      <c r="B67" s="29" t="n">
        <v>1.6</v>
      </c>
      <c r="C67" s="8" t="n">
        <v>8.671</v>
      </c>
      <c r="D67" s="8" t="n">
        <v>7.5433387520001</v>
      </c>
      <c r="E67" s="8" t="n">
        <v>155.555338752</v>
      </c>
      <c r="F67" s="21" t="n">
        <v>10662</v>
      </c>
      <c r="G67" s="8" t="n">
        <v>148.012</v>
      </c>
      <c r="H67" s="21" t="n">
        <v>10145</v>
      </c>
      <c r="I67" s="8" t="n">
        <f aca="false">E67-G67</f>
        <v>7.5433387520001</v>
      </c>
      <c r="J67" s="21" t="n">
        <f aca="false">F67-H67</f>
        <v>517</v>
      </c>
    </row>
    <row r="68" customFormat="false" ht="15" hidden="false" customHeight="false" outlineLevel="0" collapsed="false">
      <c r="A68" s="20" t="s">
        <v>121</v>
      </c>
      <c r="B68" s="29" t="n">
        <v>2</v>
      </c>
      <c r="C68" s="8" t="n">
        <v>25.549</v>
      </c>
      <c r="D68" s="8" t="n">
        <v>24.6311525361491</v>
      </c>
      <c r="E68" s="8" t="n">
        <v>84.1161525361491</v>
      </c>
      <c r="F68" s="21" t="n">
        <v>6139</v>
      </c>
      <c r="G68" s="8" t="n">
        <v>59.485</v>
      </c>
      <c r="H68" s="21" t="n">
        <v>4343</v>
      </c>
      <c r="I68" s="8" t="n">
        <f aca="false">E68-G68</f>
        <v>24.6311525361491</v>
      </c>
      <c r="J68" s="21" t="n">
        <f aca="false">F68-H68</f>
        <v>1796</v>
      </c>
    </row>
    <row r="69" customFormat="false" ht="15" hidden="false" customHeight="false" outlineLevel="0" collapsed="false">
      <c r="A69" s="25" t="s">
        <v>122</v>
      </c>
      <c r="B69" s="29" t="n">
        <v>2.8</v>
      </c>
      <c r="C69" s="8" t="n">
        <v>10.988</v>
      </c>
      <c r="D69" s="8" t="n">
        <v>10.285894656</v>
      </c>
      <c r="E69" s="8" t="n">
        <v>22.225894656</v>
      </c>
      <c r="F69" s="21" t="n">
        <v>1549</v>
      </c>
      <c r="G69" s="8" t="n">
        <v>11.94</v>
      </c>
      <c r="H69" s="21" t="n">
        <v>832</v>
      </c>
      <c r="I69" s="8" t="n">
        <f aca="false">E69-G69</f>
        <v>10.285894656</v>
      </c>
      <c r="J69" s="21" t="n">
        <f aca="false">F69-H69</f>
        <v>717</v>
      </c>
    </row>
    <row r="70" customFormat="false" ht="15" hidden="false" customHeight="false" outlineLevel="0" collapsed="false">
      <c r="A70" s="25" t="s">
        <v>122</v>
      </c>
      <c r="B70" s="29" t="n">
        <v>3</v>
      </c>
      <c r="C70" s="8" t="n">
        <v>0</v>
      </c>
      <c r="D70" s="8" t="n">
        <v>0</v>
      </c>
      <c r="E70" s="8" t="n">
        <v>3.7845792</v>
      </c>
      <c r="F70" s="21" t="n">
        <v>248</v>
      </c>
      <c r="G70" s="8" t="n">
        <v>3.88</v>
      </c>
      <c r="H70" s="21" t="n">
        <v>254</v>
      </c>
      <c r="I70" s="8" t="n">
        <f aca="false">E70-G70</f>
        <v>-0.0954207999999999</v>
      </c>
      <c r="J70" s="21" t="n">
        <f aca="false">F70-H70</f>
        <v>-6</v>
      </c>
    </row>
    <row r="71" customFormat="false" ht="15" hidden="false" customHeight="false" outlineLevel="0" collapsed="false">
      <c r="A71" s="20" t="s">
        <v>123</v>
      </c>
      <c r="B71" s="29" t="n">
        <v>2.5</v>
      </c>
      <c r="C71" s="8" t="n">
        <v>1.04</v>
      </c>
      <c r="D71" s="8" t="n">
        <v>0.27654390180969</v>
      </c>
      <c r="E71" s="8" t="n">
        <v>28.4615439018097</v>
      </c>
      <c r="F71" s="21" t="n">
        <v>2466</v>
      </c>
      <c r="G71" s="8" t="n">
        <v>28.185</v>
      </c>
      <c r="H71" s="21" t="n">
        <v>2441</v>
      </c>
      <c r="I71" s="8" t="n">
        <f aca="false">E71-G71</f>
        <v>0.276543901809692</v>
      </c>
      <c r="J71" s="21" t="n">
        <f aca="false">F71-H71</f>
        <v>25</v>
      </c>
    </row>
  </sheetData>
  <autoFilter ref="A4:J7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2026-10-29T11:17:17Z</dcterms:created>
  <dc:creator>openpyxl</dc:creator>
  <dc:description/>
  <dc:language>en-US</dc:language>
  <cp:lastModifiedBy/>
  <dcterms:modified xsi:type="dcterms:W3CDTF">2026-10-29T11:17:17Z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