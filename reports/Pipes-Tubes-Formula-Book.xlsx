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tart Here" sheetId="1" state="visible" r:id="rId3"/>
    <sheet name="Words" sheetId="2" state="visible" r:id="rId4"/>
    <sheet name="1 Weight" sheetId="3" state="visible" r:id="rId5"/>
    <sheet name="2 Coil" sheetId="4" state="visible" r:id="rId6"/>
    <sheet name="3 Stock" sheetId="5" state="visible" r:id="rId7"/>
    <sheet name="4 Ageing" sheetId="6" state="visible" r:id="rId8"/>
    <sheet name="5 Orders" sheetId="7" state="visible" r:id="rId9"/>
    <sheet name="6 MTD" sheetId="8" state="visible" r:id="rId10"/>
    <sheet name="7 Money" sheetId="9" state="visible" r:id="rId11"/>
    <sheet name="8 Excel" sheetId="10" state="visible" r:id="rId12"/>
    <sheet name="Know This" sheetId="11" state="visible" r:id="rId1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<sst xmlns="http://schemas.openxmlformats.org/spreadsheetml/2006/main" count="484" uniqueCount="398">
  <si>
    <t xml:space="preserve">Pipes &amp; Tubes — Formula Book (basic)</t>
  </si>
  <si>
    <t xml:space="preserve">REMEMBER:  Coil → Slit → Make → Dispatch.  Count in MT.  Oldest goes first.</t>
  </si>
  <si>
    <t xml:space="preserve">Yellow cell + blue text = you type.  Every other number is a formula — click it to see how it works.</t>
  </si>
  <si>
    <t xml:space="preserve">The 14 formulas to memorize</t>
  </si>
  <si>
    <t xml:space="preserve">#</t>
  </si>
  <si>
    <t xml:space="preserve">Formula</t>
  </si>
  <si>
    <t xml:space="preserve">Used for</t>
  </si>
  <si>
    <t xml:space="preserve">MT = Pcs × kg per pipe ÷ 1000</t>
  </si>
  <si>
    <t xml:space="preserve">Pieces to tonnes</t>
  </si>
  <si>
    <t xml:space="preserve">Pcs = MT × 1000 ÷ kg per pipe</t>
  </si>
  <si>
    <t xml:space="preserve">Tonnes to pieces</t>
  </si>
  <si>
    <t xml:space="preserve">kg per pipe (square/rect) = (2×(H+B) − 4×T) × T × 0.00785 × Length m</t>
  </si>
  <si>
    <t xml:space="preserve">Check weight of SHS / RHS</t>
  </si>
  <si>
    <t xml:space="preserve">kg per pipe (round) = (OD − T) × T × 0.02466 × Length m</t>
  </si>
  <si>
    <t xml:space="preserve">Check weight of CHS</t>
  </si>
  <si>
    <t xml:space="preserve">Baby coil MT = Mother MT × Baby width ÷ Total width</t>
  </si>
  <si>
    <t xml:space="preserve">Slitting</t>
  </si>
  <si>
    <t xml:space="preserve">Cost per MT = Coil cost ÷ Coil MT</t>
  </si>
  <si>
    <t xml:space="preserve">Coil costing</t>
  </si>
  <si>
    <t xml:space="preserve">Yield % = Pipe MT made ÷ Coil MT used</t>
  </si>
  <si>
    <t xml:space="preserve">How much pipe from coil</t>
  </si>
  <si>
    <t xml:space="preserve">Closing stock = Opening + Made − Dispatched</t>
  </si>
  <si>
    <t xml:space="preserve">Stock</t>
  </si>
  <si>
    <t xml:space="preserve">Days of stock = Stock MT ÷ Dispatch MT per day</t>
  </si>
  <si>
    <t xml:space="preserve">Is stock too much / too little</t>
  </si>
  <si>
    <t xml:space="preserve">Age (days) = Today − Production date</t>
  </si>
  <si>
    <t xml:space="preserve">Ageing</t>
  </si>
  <si>
    <t xml:space="preserve">Pending to Serve = Confirmed + Non-confirmed</t>
  </si>
  <si>
    <t xml:space="preserve">Open order book</t>
  </si>
  <si>
    <t xml:space="preserve">Month projection = MTD ÷ Days passed × Days in month</t>
  </si>
  <si>
    <t xml:space="preserve">Where the month will land</t>
  </si>
  <si>
    <t xml:space="preserve">Conversion ₹ per pipe = kg × (Base + Thickness extra) ÷ 1000</t>
  </si>
  <si>
    <t xml:space="preserve">What the contract manufacturer is paid</t>
  </si>
  <si>
    <t xml:space="preserve">Weight variance % = (Weighbridge − Theoretical) ÷ Theoretical</t>
  </si>
  <si>
    <t xml:space="preserve">Truck weight check (±5% OK)</t>
  </si>
  <si>
    <t xml:space="preserve">How the business flows</t>
  </si>
  <si>
    <t xml:space="preserve">1. Coil Inward — a big HR steel coil ("mother coil") arrives at a plant. Its plant is fixed here forever.</t>
  </si>
  <si>
    <t xml:space="preserve">2. Slitting — the mother coil is cut lengthwise into narrow strips ("baby coils").</t>
  </si>
  <si>
    <t xml:space="preserve">3. Production — each baby coil is rolled and welded into pipes. Uses baby coils, never mother coils.</t>
  </si>
  <si>
    <t xml:space="preserve">4. Dispatch — pipes leave on an invoice to a distributor (from the Zoho invoice register).</t>
  </si>
  <si>
    <t xml:space="preserve">Sheets in this book</t>
  </si>
  <si>
    <t xml:space="preserve">Words — the language of the business</t>
  </si>
  <si>
    <t xml:space="preserve">1 Weight — pcs, MT, kg per pipe</t>
  </si>
  <si>
    <t xml:space="preserve">2 Coil — slitting, cost per MT, yield</t>
  </si>
  <si>
    <t xml:space="preserve">3 Stock — closing stock, days of stock</t>
  </si>
  <si>
    <t xml:space="preserve">4 Ageing — how old the stock is (FIFO)</t>
  </si>
  <si>
    <t xml:space="preserve">5 Orders — order book by plant</t>
  </si>
  <si>
    <t xml:space="preserve">6 MTD — month-to-date and projection</t>
  </si>
  <si>
    <t xml:space="preserve">7 Money — conversion, cost per pipe, weighbridge</t>
  </si>
  <si>
    <t xml:space="preserve">8 Excel — the 15 Excel functions you need</t>
  </si>
  <si>
    <t xml:space="preserve">Know This — 12 rules of this business</t>
  </si>
  <si>
    <t xml:space="preserve">Numbers are real JSW Pipes &amp; Tubes data from the inventory app, as on 12-Oct-2026.</t>
  </si>
  <si>
    <t xml:space="preserve">Words you will hear every day</t>
  </si>
  <si>
    <t xml:space="preserve">REMEMBER:  Size × Size × Thickness.  NB is a trade name, not the real size.</t>
  </si>
  <si>
    <t xml:space="preserve">Word</t>
  </si>
  <si>
    <t xml:space="preserve">Meaning (simple)</t>
  </si>
  <si>
    <t xml:space="preserve">Example from our data</t>
  </si>
  <si>
    <t xml:space="preserve">MT</t>
  </si>
  <si>
    <t xml:space="preserve">Metric tonne = 1,000 kg. All stock and sales are counted in MT.</t>
  </si>
  <si>
    <t xml:space="preserve">Hyderabad stock 996.3 MT</t>
  </si>
  <si>
    <t xml:space="preserve">Pcs</t>
  </si>
  <si>
    <t xml:space="preserve">Number of pipes. One pipe is usually 6 m long.</t>
  </si>
  <si>
    <t xml:space="preserve">1,618 pcs of 50X50X2</t>
  </si>
  <si>
    <t xml:space="preserve">SHS</t>
  </si>
  <si>
    <t xml:space="preserve">Square Hollow Section — a square pipe.</t>
  </si>
  <si>
    <t xml:space="preserve">50X50X2 = 50 mm × 50 mm, 2 mm thick</t>
  </si>
  <si>
    <t xml:space="preserve">RHS</t>
  </si>
  <si>
    <t xml:space="preserve">Rectangular Hollow Section — a rectangle pipe.</t>
  </si>
  <si>
    <t xml:space="preserve">60X40X2 = 60 × 40 mm, 2 mm thick</t>
  </si>
  <si>
    <t xml:space="preserve">CHS</t>
  </si>
  <si>
    <t xml:space="preserve">Circular Hollow Section — a round pipe.</t>
  </si>
  <si>
    <t xml:space="preserve">32NBX2.5</t>
  </si>
  <si>
    <t xml:space="preserve">NB</t>
  </si>
  <si>
    <t xml:space="preserve">Nominal Bore — the trade name of a round size. NOT the outside size.</t>
  </si>
  <si>
    <t xml:space="preserve">32 NB has a real outside of 42.4 mm</t>
  </si>
  <si>
    <t xml:space="preserve">OD</t>
  </si>
  <si>
    <t xml:space="preserve">Outside Diameter of a round pipe, in mm.</t>
  </si>
  <si>
    <t xml:space="preserve">50 NB → OD 60.3 mm</t>
  </si>
  <si>
    <t xml:space="preserve">Thickness (T)</t>
  </si>
  <si>
    <t xml:space="preserve">Wall thickness in mm. Thinner = lighter, but costlier to make.</t>
  </si>
  <si>
    <t xml:space="preserve">1.6, 2, 2.5, 2.8, 4, 5 mm</t>
  </si>
  <si>
    <t xml:space="preserve">Mother coil / HR coil</t>
  </si>
  <si>
    <t xml:space="preserve">The big hot-rolled steel coil we buy. Enters at Coil Inward.</t>
  </si>
  <si>
    <t xml:space="preserve">HYD-0426-48: 1000 mm wide, 15.365 MT</t>
  </si>
  <si>
    <t xml:space="preserve">Cutting the mother coil lengthwise into narrow strips.</t>
  </si>
  <si>
    <t xml:space="preserve">1 mother → 4 strips</t>
  </si>
  <si>
    <t xml:space="preserve">Baby coil</t>
  </si>
  <si>
    <t xml:space="preserve">One strip after slitting. Production uses these.</t>
  </si>
  <si>
    <t xml:space="preserve">HYD-0426-48-A, 395 mm wide</t>
  </si>
  <si>
    <t xml:space="preserve">Production</t>
  </si>
  <si>
    <t xml:space="preserve">Rolling baby coils into pipes.</t>
  </si>
  <si>
    <t xml:space="preserve">Hyderabad made 1,011.8 MT in Sep-2026</t>
  </si>
  <si>
    <t xml:space="preserve">Dispatch / Invoice</t>
  </si>
  <si>
    <t xml:space="preserve">Pipes leaving the plant on an invoice.</t>
  </si>
  <si>
    <t xml:space="preserve">Tapi invoiced 944.0 MT in Sep-2026</t>
  </si>
  <si>
    <t xml:space="preserve">Plant</t>
  </si>
  <si>
    <t xml:space="preserve">Where pipes are made: Hyderabad, Lepakshi, NPMD, Tapi.</t>
  </si>
  <si>
    <t xml:space="preserve">4 plants</t>
  </si>
  <si>
    <t xml:space="preserve">Service area</t>
  </si>
  <si>
    <t xml:space="preserve">Which region a plant sells to.</t>
  </si>
  <si>
    <t xml:space="preserve">Hyderabad + Lepakshi → South; NPMD + Tapi → West</t>
  </si>
  <si>
    <t xml:space="preserve">Distributor</t>
  </si>
  <si>
    <t xml:space="preserve">The customer who orders from us.</t>
  </si>
  <si>
    <t xml:space="preserve">Indent</t>
  </si>
  <si>
    <t xml:space="preserve">The whole order book: Invoiced + Confirmed + Non-confirmed.</t>
  </si>
  <si>
    <t xml:space="preserve">Confirmed</t>
  </si>
  <si>
    <t xml:space="preserve">Order released by the ERP, not yet invoiced.</t>
  </si>
  <si>
    <t xml:space="preserve">Tapi 157.9 MT</t>
  </si>
  <si>
    <t xml:space="preserve">Non-confirmed</t>
  </si>
  <si>
    <t xml:space="preserve">Ordered, but not yet released.</t>
  </si>
  <si>
    <t xml:space="preserve">Hyderabad 608.2 MT</t>
  </si>
  <si>
    <t xml:space="preserve">Pending to Serve</t>
  </si>
  <si>
    <t xml:space="preserve">Confirmed + Non-confirmed = everything still owed.</t>
  </si>
  <si>
    <t xml:space="preserve">Best Estimate (BE)</t>
  </si>
  <si>
    <t xml:space="preserve">The MT planned to invoice to a distributor in a month.</t>
  </si>
  <si>
    <t xml:space="preserve">MTD</t>
  </si>
  <si>
    <t xml:space="preserve">Month To Date — from the 1st of the month till today.</t>
  </si>
  <si>
    <t xml:space="preserve">Oct MTD Hyderabad 305.6 MT</t>
  </si>
  <si>
    <t xml:space="preserve">FIFO</t>
  </si>
  <si>
    <t xml:space="preserve">First In, First Out — the oldest goes out first.</t>
  </si>
  <si>
    <t xml:space="preserve">Oldest coil used first; oldest pipes sold first</t>
  </si>
  <si>
    <t xml:space="preserve">How many days stock has been lying since it was made.</t>
  </si>
  <si>
    <t xml:space="preserve">75X25X2.8 at Hyderabad: 172 days</t>
  </si>
  <si>
    <t xml:space="preserve">Weight per tube</t>
  </si>
  <si>
    <t xml:space="preserve">kg of one pipe, from the SKU master.</t>
  </si>
  <si>
    <t xml:space="preserve">50X50X2 = 18.0864 kg</t>
  </si>
  <si>
    <t xml:space="preserve">Conversion charge</t>
  </si>
  <si>
    <t xml:space="preserve">₹ per MT paid to the contract manufacturer to turn steel into pipes.</t>
  </si>
  <si>
    <t xml:space="preserve">₹2,900 / MT base</t>
  </si>
  <si>
    <t xml:space="preserve">Ladder price</t>
  </si>
  <si>
    <t xml:space="preserve">Base conversion + thickness extra.</t>
  </si>
  <si>
    <t xml:space="preserve">50X50X2: 2,900 + 500 = ₹3,400 / MT</t>
  </si>
  <si>
    <t xml:space="preserve">Theoretical weight</t>
  </si>
  <si>
    <t xml:space="preserve">Weight by the master/formula. Actual = weighbridge reading.</t>
  </si>
  <si>
    <t xml:space="preserve">Yield</t>
  </si>
  <si>
    <t xml:space="preserve">How much pipe you get out of the coil you put in.</t>
  </si>
  <si>
    <t xml:space="preserve">Pipe MT ÷ Coil MT</t>
  </si>
  <si>
    <t xml:space="preserve">Scrap</t>
  </si>
  <si>
    <t xml:space="preserve">Steel left over that cannot become pipe. A baby-coil end under 0.2 MT is scrap.</t>
  </si>
  <si>
    <t xml:space="preserve">0.2 MT rule</t>
  </si>
  <si>
    <t xml:space="preserve">1. Weight — pieces, tonnes and kg per pipe</t>
  </si>
  <si>
    <t xml:space="preserve">REMEMBER:  MT = Pcs × kg ÷ 1000.   Same perimeter + same thickness = same weight.</t>
  </si>
  <si>
    <t xml:space="preserve">A. Pieces ↔ Tonnes   (Hyderabad 50X50X2 stock on 12-Oct-2026)</t>
  </si>
  <si>
    <t xml:space="preserve">What</t>
  </si>
  <si>
    <t xml:space="preserve">Value</t>
  </si>
  <si>
    <t xml:space="preserve">In plain words</t>
  </si>
  <si>
    <t xml:space="preserve">Pieces in stock</t>
  </si>
  <si>
    <t xml:space="preserve">you type this</t>
  </si>
  <si>
    <t xml:space="preserve">kg per pipe (SKU master)</t>
  </si>
  <si>
    <t xml:space="preserve">Tonnes (MT)</t>
  </si>
  <si>
    <t xml:space="preserve">=B6*B7/1000</t>
  </si>
  <si>
    <t xml:space="preserve">Pieces × kg, then ÷1000 to turn kg into MT</t>
  </si>
  <si>
    <t xml:space="preserve">Back to pieces</t>
  </si>
  <si>
    <t xml:space="preserve">=B8*1000/B7</t>
  </si>
  <si>
    <t xml:space="preserve">MT × 1000 = kg, ÷ kg per pipe = pieces</t>
  </si>
  <si>
    <t xml:space="preserve">B. Square &amp; rectangle pipes (SHS / RHS)   kg = (2×(H+B) − 4×T) × T × 0.00785 × Length</t>
  </si>
  <si>
    <t xml:space="preserve">Size</t>
  </si>
  <si>
    <t xml:space="preserve">H mm</t>
  </si>
  <si>
    <t xml:space="preserve">B mm</t>
  </si>
  <si>
    <t xml:space="preserve">T mm</t>
  </si>
  <si>
    <t xml:space="preserve">Length m</t>
  </si>
  <si>
    <t xml:space="preserve">kg per pipe (formula)</t>
  </si>
  <si>
    <t xml:space="preserve">Same?</t>
  </si>
  <si>
    <t xml:space="preserve">25X25X1.6</t>
  </si>
  <si>
    <t xml:space="preserve">50X50X2</t>
  </si>
  <si>
    <t xml:space="preserve">60X40X2</t>
  </si>
  <si>
    <t xml:space="preserve">75X25X2.8</t>
  </si>
  <si>
    <t xml:space="preserve">100X50X2.5</t>
  </si>
  <si>
    <t xml:space="preserve">150X150X5</t>
  </si>
  <si>
    <t xml:space="preserve">0.00785 = weight of steel: 7.85 g per cm³, written per mm² per metre.  4×T removes the 4 rounded corners.</t>
  </si>
  <si>
    <t xml:space="preserve">Look: 50X50X2 and 60X40X2 weigh the same — both have a 200 mm perimeter and 2 mm wall.</t>
  </si>
  <si>
    <t xml:space="preserve">C. Round pipes (CHS)   kg = (OD − T) × T × 0.02466 × Length</t>
  </si>
  <si>
    <t xml:space="preserve">OD mm</t>
  </si>
  <si>
    <t xml:space="preserve">50NBX2</t>
  </si>
  <si>
    <t xml:space="preserve">0.02466 = 3.1416 × 0.00785.  For a round pipe use the real OD, never the NB number.</t>
  </si>
  <si>
    <t xml:space="preserve">The SKU master weight is the official one. Use these formulas only to check it or to estimate a new size.</t>
  </si>
  <si>
    <t xml:space="preserve">2. Coil — slitting, cost per MT, yield</t>
  </si>
  <si>
    <t xml:space="preserve">REMEMBER:  Baby MT = Mother MT × Baby width ÷ Total width.   Cost per MT stays the same.</t>
  </si>
  <si>
    <t xml:space="preserve">A. Mother coil   (HYD-0426-48, Hyderabad, inward 27-Apr-2026, 2.5 mm)</t>
  </si>
  <si>
    <t xml:space="preserve">Mother coil MT</t>
  </si>
  <si>
    <t xml:space="preserve">Coil cost ₹</t>
  </si>
  <si>
    <t xml:space="preserve">Cost per MT ₹</t>
  </si>
  <si>
    <t xml:space="preserve">=B7/B6</t>
  </si>
  <si>
    <t xml:space="preserve">Total cost ÷ total tonnes</t>
  </si>
  <si>
    <t xml:space="preserve">B. Slitting into baby coils</t>
  </si>
  <si>
    <t xml:space="preserve">Width mm</t>
  </si>
  <si>
    <t xml:space="preserve">Share of width</t>
  </si>
  <si>
    <t xml:space="preserve">Baby coil MT</t>
  </si>
  <si>
    <t xml:space="preserve">Baby cost ₹</t>
  </si>
  <si>
    <t xml:space="preserve">HYD-0426-48-A</t>
  </si>
  <si>
    <t xml:space="preserve">HYD-0426-48-B</t>
  </si>
  <si>
    <t xml:space="preserve">HYD-0426-48-C</t>
  </si>
  <si>
    <t xml:space="preserve">HYD-0426-48-D</t>
  </si>
  <si>
    <t xml:space="preserve">Total</t>
  </si>
  <si>
    <t xml:space="preserve">Share = width ÷ sum of all baby widths.  Baby MT = share × mother MT.  The totals come back to the mother exactly.</t>
  </si>
  <si>
    <t xml:space="preserve">Here the strips add to 1,001 mm on a 1,000 mm coil — dividing by the strips' own total keeps the weight correct.</t>
  </si>
  <si>
    <t xml:space="preserve">C. Yield — Sep-2026 by plant</t>
  </si>
  <si>
    <t xml:space="preserve">Coil used MT</t>
  </si>
  <si>
    <t xml:space="preserve">Pipes made MT</t>
  </si>
  <si>
    <t xml:space="preserve">Yield %</t>
  </si>
  <si>
    <t xml:space="preserve">Scrap MT</t>
  </si>
  <si>
    <t xml:space="preserve">Hyderabad</t>
  </si>
  <si>
    <t xml:space="preserve">Lepakshi</t>
  </si>
  <si>
    <t xml:space="preserve">NPMD</t>
  </si>
  <si>
    <t xml:space="preserve">Tapi</t>
  </si>
  <si>
    <t xml:space="preserve">Yield % = pipes made ÷ coil used.   Scrap = coil used − pipes made.</t>
  </si>
  <si>
    <t xml:space="preserve">Watch out: the app books 'coil used' equal to the pipe weight, so yield always shows ~100%.</t>
  </si>
  <si>
    <t xml:space="preserve">For a TRUE yield, type the weighed scrap from the plant: Yield % = (Coil used − Scrap) ÷ Coil used.</t>
  </si>
  <si>
    <t xml:space="preserve">3. Stock — closing stock and days of stock</t>
  </si>
  <si>
    <t xml:space="preserve">REMEMBER:  Closing = Opening + Made − Dispatched.   Days of stock = Stock ÷ sales per day.</t>
  </si>
  <si>
    <t xml:space="preserve">A. Stock equation   (Hyderabad 50X50X2, pieces)</t>
  </si>
  <si>
    <t xml:space="preserve">Opening stock</t>
  </si>
  <si>
    <t xml:space="preserve">Made (produced)</t>
  </si>
  <si>
    <t xml:space="preserve">Dispatched</t>
  </si>
  <si>
    <t xml:space="preserve">Closing stock</t>
  </si>
  <si>
    <t xml:space="preserve">=B6+B7-B8</t>
  </si>
  <si>
    <t xml:space="preserve">What came in, minus what went out</t>
  </si>
  <si>
    <t xml:space="preserve">If closing comes out negative: you sold more than you recorded making — opening stock or a data gap. Unknown is not zero.</t>
  </si>
  <si>
    <t xml:space="preserve">B. Days of stock by plant   (stock 12-Oct-2026, dispatch Sep-2026)</t>
  </si>
  <si>
    <t xml:space="preserve">Days in Sep</t>
  </si>
  <si>
    <t xml:space="preserve">'High' above (days)</t>
  </si>
  <si>
    <t xml:space="preserve">'Low' below (days)</t>
  </si>
  <si>
    <t xml:space="preserve">Stock MT</t>
  </si>
  <si>
    <t xml:space="preserve">Sep dispatch MT</t>
  </si>
  <si>
    <t xml:space="preserve">Dispatch per day</t>
  </si>
  <si>
    <t xml:space="preserve">Days of stock</t>
  </si>
  <si>
    <t xml:space="preserve">Status</t>
  </si>
  <si>
    <t xml:space="preserve">All plants</t>
  </si>
  <si>
    <t xml:space="preserve">Days of stock = how many days the stock lasts if sales continue at the same speed.</t>
  </si>
  <si>
    <t xml:space="preserve">4. Ageing — how old is the stock (FIFO)</t>
  </si>
  <si>
    <t xml:space="preserve">REMEMBER:  Age = Today − Production date.   Sales eat the OLDEST pipes first.</t>
  </si>
  <si>
    <t xml:space="preserve">A. One batch — the simplest case</t>
  </si>
  <si>
    <t xml:space="preserve">Ageing as on</t>
  </si>
  <si>
    <t xml:space="preserve">Production date</t>
  </si>
  <si>
    <t xml:space="preserve">Age (days)</t>
  </si>
  <si>
    <t xml:space="preserve">=B6-B7</t>
  </si>
  <si>
    <t xml:space="preserve">Later date minus earlier date = days</t>
  </si>
  <si>
    <t xml:space="preserve">Bucket</t>
  </si>
  <si>
    <t xml:space="preserve">=IF(B8&lt;=30,"0-30",IF(B8&lt;=60,"31-60",...))</t>
  </si>
  <si>
    <t xml:space="preserve">Drop the age into a box</t>
  </si>
  <si>
    <t xml:space="preserve">Tip: type =TODAY() in B6 and the age updates every day by itself.</t>
  </si>
  <si>
    <t xml:space="preserve">B. Many batches — FIFO   (Hyderabad 75X25X2.8: 3 batches made, 291 pcs dispatched)</t>
  </si>
  <si>
    <t xml:space="preserve">Total dispatched</t>
  </si>
  <si>
    <t xml:space="preserve">Pcs made</t>
  </si>
  <si>
    <t xml:space="preserve">Made so far</t>
  </si>
  <si>
    <t xml:space="preserve">Still in stock</t>
  </si>
  <si>
    <t xml:space="preserve">MT left</t>
  </si>
  <si>
    <t xml:space="preserve">MT made</t>
  </si>
  <si>
    <t xml:space="preserve">Step 1  Sort batches oldest first.</t>
  </si>
  <si>
    <t xml:space="preserve">Step 2  Made so far = running total of pcs           =SUM($B$16:B16)</t>
  </si>
  <si>
    <t xml:space="preserve">Step 3  Still in stock = MAX(0, MIN(Pcs made, Made so far − Total dispatched))</t>
  </si>
  <si>
    <t xml:space="preserve">        → the 291 sold pcs are taken out of the 23-Apr batch first; the other two batches are untouched.</t>
  </si>
  <si>
    <t xml:space="preserve">Step 4  Age and bucket only for pcs still in stock.</t>
  </si>
  <si>
    <t xml:space="preserve">Plant-wise: add a Plant column, and put Plant into every SUMIFS — each plant's sales only eat its own stock.</t>
  </si>
  <si>
    <t xml:space="preserve">The full plant-wise ageing for all SKUs is in reports/SKU-Ageing-by-Plant-2026-10-12.xlsx.</t>
  </si>
  <si>
    <t xml:space="preserve">5. Orders — the order book by plant</t>
  </si>
  <si>
    <t xml:space="preserve">REMEMBER:  Pending to Serve = Confirmed + Non-confirmed.   Fill rate = Invoiced ÷ Ordered.</t>
  </si>
  <si>
    <t xml:space="preserve">Ordered MT</t>
  </si>
  <si>
    <t xml:space="preserve">Invoiced MT</t>
  </si>
  <si>
    <t xml:space="preserve">Confirmed MT</t>
  </si>
  <si>
    <t xml:space="preserve">Non-confirmed MT</t>
  </si>
  <si>
    <t xml:space="preserve">Pending to Serve MT</t>
  </si>
  <si>
    <t xml:space="preserve">Fill rate %</t>
  </si>
  <si>
    <t xml:space="preserve">Confirmed = released by ERP, not yet invoiced.  Non-confirmed = ordered, not yet released.</t>
  </si>
  <si>
    <t xml:space="preserve">Pending to Serve = everything still owed, whether or not the pipes exist yet.</t>
  </si>
  <si>
    <t xml:space="preserve">Pending to Dispatch = Confirmed + the part of Non-confirmed we can serve from stock today. Smaller number — don't mix the two.</t>
  </si>
  <si>
    <t xml:space="preserve">Source: raw order-book columns as stored, 12-Oct-2026. The app screen nets Confirmed against invoices, so it can show less.</t>
  </si>
  <si>
    <t xml:space="preserve">6. MTD — month to date and where the month will land</t>
  </si>
  <si>
    <t xml:space="preserve">REMEMBER:  Projection = MTD ÷ Days passed × Days in month.</t>
  </si>
  <si>
    <t xml:space="preserve">Today</t>
  </si>
  <si>
    <t xml:space="preserve">Days passed</t>
  </si>
  <si>
    <t xml:space="preserve">← invoices are loaded up to 11-Oct, so count 11 days</t>
  </si>
  <si>
    <t xml:space="preserve">Days in month</t>
  </si>
  <si>
    <t xml:space="preserve">← =DAY(EOMONTH(B4,0)) finds the last day of the month</t>
  </si>
  <si>
    <t xml:space="preserve">Sep MT (full)</t>
  </si>
  <si>
    <t xml:space="preserve">Oct MTD MT</t>
  </si>
  <si>
    <t xml:space="preserve">Per day MT</t>
  </si>
  <si>
    <t xml:space="preserve">Oct projected MT</t>
  </si>
  <si>
    <t xml:space="preserve">vs Sep</t>
  </si>
  <si>
    <t xml:space="preserve">Per day = MTD ÷ days passed.   Projected = per day × days in month.   vs Sep = projected ÷ Sep − 1.</t>
  </si>
  <si>
    <t xml:space="preserve">Early in the month the projection jumps around — trust it more after the 15th.</t>
  </si>
  <si>
    <t xml:space="preserve">7. Money — conversion, cost of a pipe, weighbridge</t>
  </si>
  <si>
    <t xml:space="preserve">REMEMBER:  Ladder = Base + Thickness extra.   ₹ per pipe = kg × ₹ per MT ÷ 1000.</t>
  </si>
  <si>
    <t xml:space="preserve">A. Conversion charge (paid to the contract manufacturer)</t>
  </si>
  <si>
    <t xml:space="preserve">kg per pipe</t>
  </si>
  <si>
    <t xml:space="preserve">Base ₹/MT</t>
  </si>
  <si>
    <t xml:space="preserve">Thickness extra ₹/MT</t>
  </si>
  <si>
    <t xml:space="preserve">Ladder ₹/MT</t>
  </si>
  <si>
    <t xml:space="preserve">Conversion ₹ per pipe</t>
  </si>
  <si>
    <t xml:space="preserve">Thin pipes pay an extra: mostly 1.0–1.2 mm ₹1,000 · 1.6 mm ₹750 · 1.8–2.0 mm ₹500 · 2.2 mm+ ₹0. Always read it from the SKU master.</t>
  </si>
  <si>
    <t xml:space="preserve">B. Basic cost of one pipe   (100X50X2.5, steel from coil HYD-0426-48)</t>
  </si>
  <si>
    <t xml:space="preserve">Coil cost ₹ per MT</t>
  </si>
  <si>
    <t xml:space="preserve">Ladder ₹ per MT</t>
  </si>
  <si>
    <t xml:space="preserve">Steel ₹ per pipe</t>
  </si>
  <si>
    <t xml:space="preserve">=B14*B15/1000</t>
  </si>
  <si>
    <t xml:space="preserve">kg × coil rate ÷ 1000</t>
  </si>
  <si>
    <t xml:space="preserve">=B14*B16/1000</t>
  </si>
  <si>
    <t xml:space="preserve">kg × ladder ÷ 1000</t>
  </si>
  <si>
    <t xml:space="preserve">Total ₹ per pipe</t>
  </si>
  <si>
    <t xml:space="preserve">=B17+B18</t>
  </si>
  <si>
    <t xml:space="preserve">Steel + making</t>
  </si>
  <si>
    <t xml:space="preserve">Total ₹ per MT</t>
  </si>
  <si>
    <t xml:space="preserve">=B19/B14*1000</t>
  </si>
  <si>
    <t xml:space="preserve">Same cost, per tonne</t>
  </si>
  <si>
    <t xml:space="preserve">Basic only: no freight, no GST, no scrap loss.</t>
  </si>
  <si>
    <t xml:space="preserve">C. Weighbridge check   (1,000 pcs of 50X50X2 on a truck)</t>
  </si>
  <si>
    <t xml:space="preserve">Pieces loaded</t>
  </si>
  <si>
    <t xml:space="preserve">Theoretical MT</t>
  </si>
  <si>
    <t xml:space="preserve">=B25*B26/1000</t>
  </si>
  <si>
    <t xml:space="preserve">What the truck SHOULD weigh</t>
  </si>
  <si>
    <t xml:space="preserve">Weighbridge MT</t>
  </si>
  <si>
    <t xml:space="preserve">Variance MT</t>
  </si>
  <si>
    <t xml:space="preserve">=B28-B27</t>
  </si>
  <si>
    <t xml:space="preserve">Actual − theoretical</t>
  </si>
  <si>
    <t xml:space="preserve">Variance %</t>
  </si>
  <si>
    <t xml:space="preserve">=B29/B27</t>
  </si>
  <si>
    <t xml:space="preserve">Difference as % of theoretical</t>
  </si>
  <si>
    <t xml:space="preserve">OK?</t>
  </si>
  <si>
    <t xml:space="preserve">=IF(ABS(B30)&lt;=5%,"OK","Check")</t>
  </si>
  <si>
    <t xml:space="preserve">Within ±5% is accepted</t>
  </si>
  <si>
    <t xml:space="preserve">18.4 MT is an example reading — type your own. No weighbridge readings are recorded in the app yet.</t>
  </si>
  <si>
    <t xml:space="preserve">8. Excel — the 15 functions you need</t>
  </si>
  <si>
    <t xml:space="preserve">REMEMBER:  SUMIFS = add up rows that match.  $ locks a cell (press F4).</t>
  </si>
  <si>
    <t xml:space="preserve">Practice table (real, 12-Oct-2026)</t>
  </si>
  <si>
    <t xml:space="preserve">Region</t>
  </si>
  <si>
    <t xml:space="preserve">South</t>
  </si>
  <si>
    <t xml:space="preserve">West</t>
  </si>
  <si>
    <t xml:space="preserve">Functions</t>
  </si>
  <si>
    <t xml:space="preserve">Function</t>
  </si>
  <si>
    <t xml:space="preserve">What it does</t>
  </si>
  <si>
    <t xml:space="preserve">Example</t>
  </si>
  <si>
    <t xml:space="preserve">Answer</t>
  </si>
  <si>
    <t xml:space="preserve">SUM</t>
  </si>
  <si>
    <t xml:space="preserve">Adds numbers</t>
  </si>
  <si>
    <t xml:space="preserve">=SUM(C6:C9)</t>
  </si>
  <si>
    <t xml:space="preserve">SUMIF</t>
  </si>
  <si>
    <t xml:space="preserve">Adds rows that match ONE condition</t>
  </si>
  <si>
    <t xml:space="preserve">=SUMIF(B6:B9,"South",C6:C9)</t>
  </si>
  <si>
    <t xml:space="preserve">SUMIFS</t>
  </si>
  <si>
    <t xml:space="preserve">Adds rows that match MANY conditions</t>
  </si>
  <si>
    <t xml:space="preserve">=SUMIFS(D6:D9,B6:B9,"West",C6:C9,"&gt;500")</t>
  </si>
  <si>
    <t xml:space="preserve">COUNTIF</t>
  </si>
  <si>
    <t xml:space="preserve">Counts rows that match</t>
  </si>
  <si>
    <t xml:space="preserve">=COUNTIF(B6:B9,"South")</t>
  </si>
  <si>
    <t xml:space="preserve">AVERAGE</t>
  </si>
  <si>
    <t xml:space="preserve">Average</t>
  </si>
  <si>
    <t xml:space="preserve">=AVERAGE(D6:D9)</t>
  </si>
  <si>
    <t xml:space="preserve">MAX / MIN</t>
  </si>
  <si>
    <t xml:space="preserve">Biggest / smallest</t>
  </si>
  <si>
    <t xml:space="preserve">=MAX(C6:C9)</t>
  </si>
  <si>
    <t xml:space="preserve">MAXIFS</t>
  </si>
  <si>
    <t xml:space="preserve">Biggest among rows that match</t>
  </si>
  <si>
    <t xml:space="preserve">=MAXIFS(C6:C9,B6:B9,"West")</t>
  </si>
  <si>
    <t xml:space="preserve">IF</t>
  </si>
  <si>
    <t xml:space="preserve">Choose by a test</t>
  </si>
  <si>
    <t xml:space="preserve">=IF(C6&gt;D6,"Stock &gt; 1 month","OK")</t>
  </si>
  <si>
    <t xml:space="preserve">IFERROR</t>
  </si>
  <si>
    <t xml:space="preserve">Show something else instead of an error</t>
  </si>
  <si>
    <t xml:space="preserve">=IFERROR(C6/0,0)</t>
  </si>
  <si>
    <t xml:space="preserve">VLOOKUP</t>
  </si>
  <si>
    <t xml:space="preserve">Find a row, return a column to the right</t>
  </si>
  <si>
    <t xml:space="preserve">=VLOOKUP("Tapi",A6:E9,3,FALSE)</t>
  </si>
  <si>
    <t xml:space="preserve">INDEX + MATCH</t>
  </si>
  <si>
    <t xml:space="preserve">Find anything, any direction</t>
  </si>
  <si>
    <t xml:space="preserve">=INDEX(C6:C9,MATCH("NPMD",A6:A9,0))</t>
  </si>
  <si>
    <t xml:space="preserve">ROUND</t>
  </si>
  <si>
    <t xml:space="preserve">Cut decimals</t>
  </si>
  <si>
    <t xml:space="preserve">=ROUND(C6,0)</t>
  </si>
  <si>
    <t xml:space="preserve">TODAY</t>
  </si>
  <si>
    <t xml:space="preserve">Today's date (changes daily)</t>
  </si>
  <si>
    <t xml:space="preserve">=TODAY()</t>
  </si>
  <si>
    <t xml:space="preserve">Date − Date</t>
  </si>
  <si>
    <t xml:space="preserve">Days between two dates</t>
  </si>
  <si>
    <t xml:space="preserve">=DATE(2026,10,12)-DATE(2026,4,23)</t>
  </si>
  <si>
    <t xml:space="preserve">EOMONTH</t>
  </si>
  <si>
    <t xml:space="preserve">Last day of a month</t>
  </si>
  <si>
    <t xml:space="preserve">=EOMONTH(DATE(2026,10,12),0)</t>
  </si>
  <si>
    <t xml:space="preserve">Shortcuts</t>
  </si>
  <si>
    <t xml:space="preserve">F4 — add $ to lock a cell (A1 → $A$1) so it doesn't move when you copy</t>
  </si>
  <si>
    <t xml:space="preserve">Alt + =  — quick SUM</t>
  </si>
  <si>
    <t xml:space="preserve">Ctrl + Shift + L — filter on/off</t>
  </si>
  <si>
    <t xml:space="preserve">Ctrl + T — make a table</t>
  </si>
  <si>
    <t xml:space="preserve">F2 — edit the cell and see its formula</t>
  </si>
  <si>
    <t xml:space="preserve">Ctrl + ` — show all formulas on the sheet</t>
  </si>
  <si>
    <t xml:space="preserve">12 things to know in the pipes business</t>
  </si>
  <si>
    <t xml:space="preserve">REMEMBER:  Plant never moves.  Unknown is not zero.</t>
  </si>
  <si>
    <t xml:space="preserve">Everything is counted in MT (1 MT = 1,000 kg). kg ÷ 1000 = MT.</t>
  </si>
  <si>
    <t xml:space="preserve">Pipe name = Size × Thickness. 50X50X2 → 50 by 50 mm, 2 mm wall. NB is a trade name for round pipes, not the real size.</t>
  </si>
  <si>
    <t xml:space="preserve">Same perimeter + same thickness = same weight. 50X50X2 and 60X40X2 both weigh 18.0864 kg.</t>
  </si>
  <si>
    <t xml:space="preserve">The flow is Mother coil → Slitting → Baby coil → Production → Dispatch. Production uses baby coils, never mother coils.</t>
  </si>
  <si>
    <t xml:space="preserve">A coil's plant is set once at Coil Inward and never changes. Stock never moves between plants on paper.</t>
  </si>
  <si>
    <t xml:space="preserve">Hyderabad + Lepakshi serve South. NPMD + Tapi serve West. Never offer a distributor stock from the other region.</t>
  </si>
  <si>
    <t xml:space="preserve">FIFO everywhere: oldest coil is used first, oldest pipe is sold first. That is how ageing is counted.</t>
  </si>
  <si>
    <t xml:space="preserve">Official pipe weight = SKU master. The weight formula is only to check it or to estimate a new size.</t>
  </si>
  <si>
    <t xml:space="preserve">Unknown is not zero. A '?' means missing data, not empty stock.</t>
  </si>
  <si>
    <t xml:space="preserve">A baby-coil end under 0.2 MT is scrap, not stock.</t>
  </si>
  <si>
    <t xml:space="preserve">Weighbridge vs theoretical weight within ±5% is accepted; outside that, check the truck.</t>
  </si>
  <si>
    <t xml:space="preserve">Pending to Serve (all open orders) is not Pending to Dispatch (what we can ship from stock now). Say which one you mean.</t>
  </si>
</sst>
</file>

<file path=xl/styles.xml><?xml version="1.0" encoding="utf-8"?>
<styleSheet xmlns="http://schemas.openxmlformats.org/spreadsheetml/2006/main">
  <numFmts count="11">
    <numFmt numFmtId="164" formatCode="General"/>
    <numFmt numFmtId="165" formatCode="#,##0"/>
    <numFmt numFmtId="166" formatCode="0.0000"/>
    <numFmt numFmtId="167" formatCode="0.000"/>
    <numFmt numFmtId="168" formatCode="0.0%"/>
    <numFmt numFmtId="169" formatCode="#,##0.0"/>
    <numFmt numFmtId="170" formatCode="0.0"/>
    <numFmt numFmtId="171" formatCode="dd\-mmm\-yyyy"/>
    <numFmt numFmtId="172" formatCode="0"/>
    <numFmt numFmtId="173" formatCode="\+0%;\-0%;0%"/>
    <numFmt numFmtId="174" formatCode="#,##0.00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5"/>
      <color rgb="FF1F3864"/>
      <name val="Arial"/>
      <family val="0"/>
      <charset val="1"/>
    </font>
    <font>
      <b val="true"/>
      <sz val="12"/>
      <color rgb="FF375623"/>
      <name val="Arial"/>
      <family val="0"/>
      <charset val="1"/>
    </font>
    <font>
      <i val="true"/>
      <sz val="11"/>
      <color rgb="FF595959"/>
      <name val="Arial"/>
      <family val="0"/>
      <charset val="1"/>
    </font>
    <font>
      <b val="true"/>
      <sz val="12"/>
      <color rgb="FF1F3864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color rgb="FF000000"/>
      <name val="Arial"/>
      <family val="0"/>
      <charset val="1"/>
    </font>
    <font>
      <b val="true"/>
      <sz val="11"/>
      <color rgb="FF000000"/>
      <name val="Arial"/>
      <family val="0"/>
      <charset val="1"/>
    </font>
    <font>
      <sz val="11"/>
      <name val="Arial"/>
      <family val="0"/>
      <charset val="1"/>
    </font>
    <font>
      <sz val="11"/>
      <color rgb="FF0000FF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E2EFDA"/>
        <bgColor rgb="FFFFF2CC"/>
      </patternFill>
    </fill>
    <fill>
      <patternFill patternType="solid">
        <fgColor rgb="FF1F3864"/>
        <bgColor rgb="FF333399"/>
      </patternFill>
    </fill>
    <fill>
      <patternFill patternType="solid">
        <fgColor rgb="FFFFF2CC"/>
        <bgColor rgb="FFE2EFDA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5" fontId="12" fillId="4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6" fontId="12" fillId="4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7" fontId="9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5" fontId="9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12" fillId="4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7" fontId="12" fillId="4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8" fontId="9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5" fontId="10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8" fontId="10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7" fontId="10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9" fontId="12" fillId="4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9" fontId="9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70" fontId="9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9" fontId="10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70" fontId="10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71" fontId="12" fillId="4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72" fontId="9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12" fillId="4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73" fontId="9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73" fontId="10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74" fontId="9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71" fontId="9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">
    <dxf>
      <fill>
        <patternFill>
          <bgColor rgb="FFF8CBAD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8CBAD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7562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C40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46"/>
    <col collapsed="false" customWidth="true" hidden="false" outlineLevel="0" max="3" min="3" style="0" width="52"/>
  </cols>
  <sheetData>
    <row r="1" customFormat="false" ht="18.5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  <c r="B2" s="2"/>
      <c r="C2" s="2"/>
    </row>
    <row r="3" customFormat="false" ht="15" hidden="false" customHeight="false" outlineLevel="0" collapsed="false">
      <c r="A3" s="3" t="s">
        <v>2</v>
      </c>
    </row>
    <row r="5" customFormat="false" ht="15" hidden="false" customHeight="false" outlineLevel="0" collapsed="false">
      <c r="A5" s="4" t="s">
        <v>3</v>
      </c>
    </row>
    <row r="6" customFormat="false" ht="30" hidden="false" customHeight="true" outlineLevel="0" collapsed="false">
      <c r="A6" s="5" t="s">
        <v>4</v>
      </c>
      <c r="B6" s="5" t="s">
        <v>5</v>
      </c>
      <c r="C6" s="5" t="s">
        <v>6</v>
      </c>
    </row>
    <row r="7" customFormat="false" ht="15" hidden="false" customHeight="false" outlineLevel="0" collapsed="false">
      <c r="A7" s="6" t="n">
        <v>1</v>
      </c>
      <c r="B7" s="7" t="s">
        <v>7</v>
      </c>
      <c r="C7" s="8" t="s">
        <v>8</v>
      </c>
    </row>
    <row r="8" customFormat="false" ht="15" hidden="false" customHeight="false" outlineLevel="0" collapsed="false">
      <c r="A8" s="6" t="n">
        <v>2</v>
      </c>
      <c r="B8" s="7" t="s">
        <v>9</v>
      </c>
      <c r="C8" s="8" t="s">
        <v>10</v>
      </c>
    </row>
    <row r="9" customFormat="false" ht="26.85" hidden="false" customHeight="false" outlineLevel="0" collapsed="false">
      <c r="A9" s="6" t="n">
        <v>3</v>
      </c>
      <c r="B9" s="7" t="s">
        <v>11</v>
      </c>
      <c r="C9" s="8" t="s">
        <v>12</v>
      </c>
    </row>
    <row r="10" customFormat="false" ht="26.85" hidden="false" customHeight="false" outlineLevel="0" collapsed="false">
      <c r="A10" s="6" t="n">
        <v>4</v>
      </c>
      <c r="B10" s="7" t="s">
        <v>13</v>
      </c>
      <c r="C10" s="8" t="s">
        <v>14</v>
      </c>
    </row>
    <row r="11" customFormat="false" ht="26.85" hidden="false" customHeight="false" outlineLevel="0" collapsed="false">
      <c r="A11" s="6" t="n">
        <v>5</v>
      </c>
      <c r="B11" s="7" t="s">
        <v>15</v>
      </c>
      <c r="C11" s="8" t="s">
        <v>16</v>
      </c>
    </row>
    <row r="12" customFormat="false" ht="15" hidden="false" customHeight="false" outlineLevel="0" collapsed="false">
      <c r="A12" s="6" t="n">
        <v>6</v>
      </c>
      <c r="B12" s="7" t="s">
        <v>17</v>
      </c>
      <c r="C12" s="8" t="s">
        <v>18</v>
      </c>
    </row>
    <row r="13" customFormat="false" ht="15" hidden="false" customHeight="false" outlineLevel="0" collapsed="false">
      <c r="A13" s="6" t="n">
        <v>7</v>
      </c>
      <c r="B13" s="7" t="s">
        <v>19</v>
      </c>
      <c r="C13" s="8" t="s">
        <v>20</v>
      </c>
    </row>
    <row r="14" customFormat="false" ht="26.85" hidden="false" customHeight="false" outlineLevel="0" collapsed="false">
      <c r="A14" s="6" t="n">
        <v>8</v>
      </c>
      <c r="B14" s="7" t="s">
        <v>21</v>
      </c>
      <c r="C14" s="8" t="s">
        <v>22</v>
      </c>
    </row>
    <row r="15" customFormat="false" ht="26.85" hidden="false" customHeight="false" outlineLevel="0" collapsed="false">
      <c r="A15" s="6" t="n">
        <v>9</v>
      </c>
      <c r="B15" s="7" t="s">
        <v>23</v>
      </c>
      <c r="C15" s="8" t="s">
        <v>24</v>
      </c>
    </row>
    <row r="16" customFormat="false" ht="15" hidden="false" customHeight="false" outlineLevel="0" collapsed="false">
      <c r="A16" s="6" t="n">
        <v>10</v>
      </c>
      <c r="B16" s="7" t="s">
        <v>25</v>
      </c>
      <c r="C16" s="8" t="s">
        <v>26</v>
      </c>
    </row>
    <row r="17" customFormat="false" ht="26.85" hidden="false" customHeight="false" outlineLevel="0" collapsed="false">
      <c r="A17" s="6" t="n">
        <v>11</v>
      </c>
      <c r="B17" s="7" t="s">
        <v>27</v>
      </c>
      <c r="C17" s="8" t="s">
        <v>28</v>
      </c>
    </row>
    <row r="18" customFormat="false" ht="26.85" hidden="false" customHeight="false" outlineLevel="0" collapsed="false">
      <c r="A18" s="6" t="n">
        <v>12</v>
      </c>
      <c r="B18" s="7" t="s">
        <v>29</v>
      </c>
      <c r="C18" s="8" t="s">
        <v>30</v>
      </c>
    </row>
    <row r="19" customFormat="false" ht="26.85" hidden="false" customHeight="false" outlineLevel="0" collapsed="false">
      <c r="A19" s="6" t="n">
        <v>13</v>
      </c>
      <c r="B19" s="7" t="s">
        <v>31</v>
      </c>
      <c r="C19" s="8" t="s">
        <v>32</v>
      </c>
    </row>
    <row r="20" customFormat="false" ht="26.85" hidden="false" customHeight="false" outlineLevel="0" collapsed="false">
      <c r="A20" s="6" t="n">
        <v>14</v>
      </c>
      <c r="B20" s="7" t="s">
        <v>33</v>
      </c>
      <c r="C20" s="8" t="s">
        <v>34</v>
      </c>
    </row>
    <row r="22" customFormat="false" ht="15" hidden="false" customHeight="false" outlineLevel="0" collapsed="false">
      <c r="A22" s="4" t="s">
        <v>35</v>
      </c>
    </row>
    <row r="23" customFormat="false" ht="15" hidden="false" customHeight="false" outlineLevel="0" collapsed="false">
      <c r="B23" s="9" t="s">
        <v>36</v>
      </c>
    </row>
    <row r="24" customFormat="false" ht="15" hidden="false" customHeight="false" outlineLevel="0" collapsed="false">
      <c r="B24" s="9" t="s">
        <v>37</v>
      </c>
    </row>
    <row r="25" customFormat="false" ht="15" hidden="false" customHeight="false" outlineLevel="0" collapsed="false">
      <c r="B25" s="9" t="s">
        <v>38</v>
      </c>
    </row>
    <row r="26" customFormat="false" ht="15" hidden="false" customHeight="false" outlineLevel="0" collapsed="false">
      <c r="B26" s="9" t="s">
        <v>39</v>
      </c>
    </row>
    <row r="28" customFormat="false" ht="15" hidden="false" customHeight="false" outlineLevel="0" collapsed="false">
      <c r="A28" s="4" t="s">
        <v>40</v>
      </c>
    </row>
    <row r="29" customFormat="false" ht="15" hidden="false" customHeight="false" outlineLevel="0" collapsed="false">
      <c r="B29" s="9" t="s">
        <v>41</v>
      </c>
    </row>
    <row r="30" customFormat="false" ht="15" hidden="false" customHeight="false" outlineLevel="0" collapsed="false">
      <c r="B30" s="9" t="s">
        <v>42</v>
      </c>
    </row>
    <row r="31" customFormat="false" ht="15" hidden="false" customHeight="false" outlineLevel="0" collapsed="false">
      <c r="B31" s="9" t="s">
        <v>43</v>
      </c>
    </row>
    <row r="32" customFormat="false" ht="15" hidden="false" customHeight="false" outlineLevel="0" collapsed="false">
      <c r="B32" s="9" t="s">
        <v>44</v>
      </c>
    </row>
    <row r="33" customFormat="false" ht="15" hidden="false" customHeight="false" outlineLevel="0" collapsed="false">
      <c r="B33" s="9" t="s">
        <v>45</v>
      </c>
    </row>
    <row r="34" customFormat="false" ht="15" hidden="false" customHeight="false" outlineLevel="0" collapsed="false">
      <c r="B34" s="9" t="s">
        <v>46</v>
      </c>
    </row>
    <row r="35" customFormat="false" ht="15" hidden="false" customHeight="false" outlineLevel="0" collapsed="false">
      <c r="B35" s="9" t="s">
        <v>47</v>
      </c>
    </row>
    <row r="36" customFormat="false" ht="15" hidden="false" customHeight="false" outlineLevel="0" collapsed="false">
      <c r="B36" s="9" t="s">
        <v>48</v>
      </c>
    </row>
    <row r="37" customFormat="false" ht="15" hidden="false" customHeight="false" outlineLevel="0" collapsed="false">
      <c r="B37" s="9" t="s">
        <v>49</v>
      </c>
    </row>
    <row r="38" customFormat="false" ht="15" hidden="false" customHeight="false" outlineLevel="0" collapsed="false">
      <c r="B38" s="9" t="s">
        <v>50</v>
      </c>
    </row>
    <row r="40" customFormat="false" ht="15" hidden="false" customHeight="false" outlineLevel="0" collapsed="false">
      <c r="A40" s="3" t="s">
        <v>51</v>
      </c>
    </row>
  </sheetData>
  <mergeCells count="1">
    <mergeCell ref="A2:C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C3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60"/>
    <col collapsed="false" customWidth="true" hidden="false" outlineLevel="0" max="3" min="3" style="0" width="44"/>
  </cols>
  <sheetData>
    <row r="1" customFormat="false" ht="18.55" hidden="false" customHeight="false" outlineLevel="0" collapsed="false">
      <c r="A1" s="1" t="s">
        <v>52</v>
      </c>
    </row>
    <row r="2" customFormat="false" ht="15" hidden="false" customHeight="false" outlineLevel="0" collapsed="false">
      <c r="A2" s="2" t="s">
        <v>53</v>
      </c>
      <c r="B2" s="2"/>
      <c r="C2" s="2"/>
    </row>
    <row r="4" customFormat="false" ht="30" hidden="false" customHeight="true" outlineLevel="0" collapsed="false">
      <c r="A4" s="5" t="s">
        <v>54</v>
      </c>
      <c r="B4" s="5" t="s">
        <v>55</v>
      </c>
      <c r="C4" s="5" t="s">
        <v>56</v>
      </c>
    </row>
    <row r="5" customFormat="false" ht="15" hidden="false" customHeight="false" outlineLevel="0" collapsed="false">
      <c r="A5" s="10" t="s">
        <v>57</v>
      </c>
      <c r="B5" s="8" t="s">
        <v>58</v>
      </c>
      <c r="C5" s="8" t="s">
        <v>59</v>
      </c>
    </row>
    <row r="6" customFormat="false" ht="15" hidden="false" customHeight="false" outlineLevel="0" collapsed="false">
      <c r="A6" s="10" t="s">
        <v>60</v>
      </c>
      <c r="B6" s="8" t="s">
        <v>61</v>
      </c>
      <c r="C6" s="8" t="s">
        <v>62</v>
      </c>
    </row>
    <row r="7" customFormat="false" ht="15" hidden="false" customHeight="false" outlineLevel="0" collapsed="false">
      <c r="A7" s="10" t="s">
        <v>63</v>
      </c>
      <c r="B7" s="8" t="s">
        <v>64</v>
      </c>
      <c r="C7" s="8" t="s">
        <v>65</v>
      </c>
    </row>
    <row r="8" customFormat="false" ht="15" hidden="false" customHeight="false" outlineLevel="0" collapsed="false">
      <c r="A8" s="10" t="s">
        <v>66</v>
      </c>
      <c r="B8" s="8" t="s">
        <v>67</v>
      </c>
      <c r="C8" s="8" t="s">
        <v>68</v>
      </c>
    </row>
    <row r="9" customFormat="false" ht="15" hidden="false" customHeight="false" outlineLevel="0" collapsed="false">
      <c r="A9" s="10" t="s">
        <v>69</v>
      </c>
      <c r="B9" s="8" t="s">
        <v>70</v>
      </c>
      <c r="C9" s="8" t="s">
        <v>71</v>
      </c>
    </row>
    <row r="10" customFormat="false" ht="26.85" hidden="false" customHeight="false" outlineLevel="0" collapsed="false">
      <c r="A10" s="10" t="s">
        <v>72</v>
      </c>
      <c r="B10" s="8" t="s">
        <v>73</v>
      </c>
      <c r="C10" s="8" t="s">
        <v>74</v>
      </c>
    </row>
    <row r="11" customFormat="false" ht="15" hidden="false" customHeight="false" outlineLevel="0" collapsed="false">
      <c r="A11" s="10" t="s">
        <v>75</v>
      </c>
      <c r="B11" s="8" t="s">
        <v>76</v>
      </c>
      <c r="C11" s="8" t="s">
        <v>77</v>
      </c>
    </row>
    <row r="12" customFormat="false" ht="15" hidden="false" customHeight="false" outlineLevel="0" collapsed="false">
      <c r="A12" s="10" t="s">
        <v>78</v>
      </c>
      <c r="B12" s="8" t="s">
        <v>79</v>
      </c>
      <c r="C12" s="8" t="s">
        <v>80</v>
      </c>
    </row>
    <row r="13" customFormat="false" ht="15" hidden="false" customHeight="false" outlineLevel="0" collapsed="false">
      <c r="A13" s="10" t="s">
        <v>81</v>
      </c>
      <c r="B13" s="8" t="s">
        <v>82</v>
      </c>
      <c r="C13" s="8" t="s">
        <v>83</v>
      </c>
    </row>
    <row r="14" customFormat="false" ht="15" hidden="false" customHeight="false" outlineLevel="0" collapsed="false">
      <c r="A14" s="10" t="s">
        <v>16</v>
      </c>
      <c r="B14" s="8" t="s">
        <v>84</v>
      </c>
      <c r="C14" s="8" t="s">
        <v>85</v>
      </c>
    </row>
    <row r="15" customFormat="false" ht="15" hidden="false" customHeight="false" outlineLevel="0" collapsed="false">
      <c r="A15" s="10" t="s">
        <v>86</v>
      </c>
      <c r="B15" s="8" t="s">
        <v>87</v>
      </c>
      <c r="C15" s="8" t="s">
        <v>88</v>
      </c>
    </row>
    <row r="16" customFormat="false" ht="15" hidden="false" customHeight="false" outlineLevel="0" collapsed="false">
      <c r="A16" s="10" t="s">
        <v>89</v>
      </c>
      <c r="B16" s="8" t="s">
        <v>90</v>
      </c>
      <c r="C16" s="8" t="s">
        <v>91</v>
      </c>
    </row>
    <row r="17" customFormat="false" ht="15" hidden="false" customHeight="false" outlineLevel="0" collapsed="false">
      <c r="A17" s="10" t="s">
        <v>92</v>
      </c>
      <c r="B17" s="8" t="s">
        <v>93</v>
      </c>
      <c r="C17" s="8" t="s">
        <v>94</v>
      </c>
    </row>
    <row r="18" customFormat="false" ht="15" hidden="false" customHeight="false" outlineLevel="0" collapsed="false">
      <c r="A18" s="10" t="s">
        <v>95</v>
      </c>
      <c r="B18" s="8" t="s">
        <v>96</v>
      </c>
      <c r="C18" s="8" t="s">
        <v>97</v>
      </c>
    </row>
    <row r="19" customFormat="false" ht="26.85" hidden="false" customHeight="false" outlineLevel="0" collapsed="false">
      <c r="A19" s="10" t="s">
        <v>98</v>
      </c>
      <c r="B19" s="8" t="s">
        <v>99</v>
      </c>
      <c r="C19" s="8" t="s">
        <v>100</v>
      </c>
    </row>
    <row r="20" customFormat="false" ht="15" hidden="false" customHeight="false" outlineLevel="0" collapsed="false">
      <c r="A20" s="10" t="s">
        <v>101</v>
      </c>
      <c r="B20" s="8" t="s">
        <v>102</v>
      </c>
      <c r="C20" s="8"/>
    </row>
    <row r="21" customFormat="false" ht="15" hidden="false" customHeight="false" outlineLevel="0" collapsed="false">
      <c r="A21" s="10" t="s">
        <v>103</v>
      </c>
      <c r="B21" s="8" t="s">
        <v>104</v>
      </c>
      <c r="C21" s="8"/>
    </row>
    <row r="22" customFormat="false" ht="15" hidden="false" customHeight="false" outlineLevel="0" collapsed="false">
      <c r="A22" s="10" t="s">
        <v>105</v>
      </c>
      <c r="B22" s="8" t="s">
        <v>106</v>
      </c>
      <c r="C22" s="8" t="s">
        <v>107</v>
      </c>
    </row>
    <row r="23" customFormat="false" ht="15" hidden="false" customHeight="false" outlineLevel="0" collapsed="false">
      <c r="A23" s="10" t="s">
        <v>108</v>
      </c>
      <c r="B23" s="8" t="s">
        <v>109</v>
      </c>
      <c r="C23" s="8" t="s">
        <v>110</v>
      </c>
    </row>
    <row r="24" customFormat="false" ht="15" hidden="false" customHeight="false" outlineLevel="0" collapsed="false">
      <c r="A24" s="10" t="s">
        <v>111</v>
      </c>
      <c r="B24" s="8" t="s">
        <v>112</v>
      </c>
      <c r="C24" s="8"/>
    </row>
    <row r="25" customFormat="false" ht="15" hidden="false" customHeight="false" outlineLevel="0" collapsed="false">
      <c r="A25" s="10" t="s">
        <v>113</v>
      </c>
      <c r="B25" s="8" t="s">
        <v>114</v>
      </c>
      <c r="C25" s="8"/>
    </row>
    <row r="26" customFormat="false" ht="15" hidden="false" customHeight="false" outlineLevel="0" collapsed="false">
      <c r="A26" s="10" t="s">
        <v>115</v>
      </c>
      <c r="B26" s="8" t="s">
        <v>116</v>
      </c>
      <c r="C26" s="8" t="s">
        <v>117</v>
      </c>
    </row>
    <row r="27" customFormat="false" ht="15" hidden="false" customHeight="false" outlineLevel="0" collapsed="false">
      <c r="A27" s="10" t="s">
        <v>118</v>
      </c>
      <c r="B27" s="8" t="s">
        <v>119</v>
      </c>
      <c r="C27" s="8" t="s">
        <v>120</v>
      </c>
    </row>
    <row r="28" customFormat="false" ht="15" hidden="false" customHeight="false" outlineLevel="0" collapsed="false">
      <c r="A28" s="10" t="s">
        <v>26</v>
      </c>
      <c r="B28" s="8" t="s">
        <v>121</v>
      </c>
      <c r="C28" s="8" t="s">
        <v>122</v>
      </c>
    </row>
    <row r="29" customFormat="false" ht="15" hidden="false" customHeight="false" outlineLevel="0" collapsed="false">
      <c r="A29" s="10" t="s">
        <v>123</v>
      </c>
      <c r="B29" s="8" t="s">
        <v>124</v>
      </c>
      <c r="C29" s="8" t="s">
        <v>125</v>
      </c>
    </row>
    <row r="30" customFormat="false" ht="26.85" hidden="false" customHeight="false" outlineLevel="0" collapsed="false">
      <c r="A30" s="10" t="s">
        <v>126</v>
      </c>
      <c r="B30" s="8" t="s">
        <v>127</v>
      </c>
      <c r="C30" s="8" t="s">
        <v>128</v>
      </c>
    </row>
    <row r="31" customFormat="false" ht="15" hidden="false" customHeight="false" outlineLevel="0" collapsed="false">
      <c r="A31" s="10" t="s">
        <v>129</v>
      </c>
      <c r="B31" s="8" t="s">
        <v>130</v>
      </c>
      <c r="C31" s="8" t="s">
        <v>131</v>
      </c>
    </row>
    <row r="32" customFormat="false" ht="15" hidden="false" customHeight="false" outlineLevel="0" collapsed="false">
      <c r="A32" s="10" t="s">
        <v>132</v>
      </c>
      <c r="B32" s="8" t="s">
        <v>133</v>
      </c>
      <c r="C32" s="8"/>
    </row>
    <row r="33" customFormat="false" ht="15" hidden="false" customHeight="false" outlineLevel="0" collapsed="false">
      <c r="A33" s="10" t="s">
        <v>134</v>
      </c>
      <c r="B33" s="8" t="s">
        <v>135</v>
      </c>
      <c r="C33" s="8" t="s">
        <v>136</v>
      </c>
    </row>
    <row r="34" customFormat="false" ht="26.85" hidden="false" customHeight="false" outlineLevel="0" collapsed="false">
      <c r="A34" s="10" t="s">
        <v>137</v>
      </c>
      <c r="B34" s="8" t="s">
        <v>138</v>
      </c>
      <c r="C34" s="8" t="s">
        <v>139</v>
      </c>
    </row>
  </sheetData>
  <mergeCells count="1">
    <mergeCell ref="A2:C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2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4"/>
    <col collapsed="false" customWidth="true" hidden="false" outlineLevel="0" max="3" min="3" style="0" width="18"/>
    <col collapsed="false" customWidth="true" hidden="false" outlineLevel="0" max="4" min="4" style="0" width="32"/>
    <col collapsed="false" customWidth="true" hidden="false" outlineLevel="0" max="5" min="5" style="0" width="11"/>
    <col collapsed="false" customWidth="true" hidden="false" outlineLevel="0" max="7" min="6" style="0" width="16"/>
    <col collapsed="false" customWidth="true" hidden="false" outlineLevel="0" max="8" min="8" style="0" width="9"/>
  </cols>
  <sheetData>
    <row r="1" customFormat="false" ht="18.55" hidden="false" customHeight="false" outlineLevel="0" collapsed="false">
      <c r="A1" s="1" t="s">
        <v>140</v>
      </c>
    </row>
    <row r="2" customFormat="false" ht="15" hidden="false" customHeight="false" outlineLevel="0" collapsed="false">
      <c r="A2" s="2" t="s">
        <v>141</v>
      </c>
      <c r="B2" s="2"/>
      <c r="C2" s="2"/>
      <c r="D2" s="2"/>
    </row>
    <row r="4" customFormat="false" ht="15" hidden="false" customHeight="false" outlineLevel="0" collapsed="false">
      <c r="A4" s="4" t="s">
        <v>142</v>
      </c>
    </row>
    <row r="5" customFormat="false" ht="30" hidden="false" customHeight="true" outlineLevel="0" collapsed="false">
      <c r="A5" s="5" t="s">
        <v>143</v>
      </c>
      <c r="B5" s="5" t="s">
        <v>144</v>
      </c>
      <c r="C5" s="5" t="s">
        <v>5</v>
      </c>
      <c r="D5" s="5" t="s">
        <v>145</v>
      </c>
    </row>
    <row r="6" customFormat="false" ht="15" hidden="false" customHeight="false" outlineLevel="0" collapsed="false">
      <c r="A6" s="10" t="s">
        <v>146</v>
      </c>
      <c r="B6" s="11" t="n">
        <v>1618</v>
      </c>
      <c r="C6" s="8" t="s">
        <v>147</v>
      </c>
      <c r="D6" s="8"/>
    </row>
    <row r="7" customFormat="false" ht="15" hidden="false" customHeight="false" outlineLevel="0" collapsed="false">
      <c r="A7" s="10" t="s">
        <v>148</v>
      </c>
      <c r="B7" s="12" t="n">
        <v>18.0864</v>
      </c>
      <c r="C7" s="8" t="s">
        <v>147</v>
      </c>
      <c r="D7" s="8"/>
    </row>
    <row r="8" customFormat="false" ht="26.85" hidden="false" customHeight="false" outlineLevel="0" collapsed="false">
      <c r="A8" s="10" t="s">
        <v>149</v>
      </c>
      <c r="B8" s="13" t="n">
        <f aca="false">B6*B7/1000</f>
        <v>29.2637952</v>
      </c>
      <c r="C8" s="8" t="s">
        <v>150</v>
      </c>
      <c r="D8" s="8" t="s">
        <v>151</v>
      </c>
    </row>
    <row r="9" customFormat="false" ht="26.85" hidden="false" customHeight="false" outlineLevel="0" collapsed="false">
      <c r="A9" s="10" t="s">
        <v>152</v>
      </c>
      <c r="B9" s="14" t="n">
        <f aca="false">B8*1000/B7</f>
        <v>1618</v>
      </c>
      <c r="C9" s="8" t="s">
        <v>153</v>
      </c>
      <c r="D9" s="8" t="s">
        <v>154</v>
      </c>
    </row>
    <row r="11" customFormat="false" ht="15" hidden="false" customHeight="false" outlineLevel="0" collapsed="false">
      <c r="A11" s="4" t="s">
        <v>155</v>
      </c>
    </row>
    <row r="12" customFormat="false" ht="30" hidden="false" customHeight="true" outlineLevel="0" collapsed="false">
      <c r="A12" s="5" t="s">
        <v>156</v>
      </c>
      <c r="B12" s="5" t="s">
        <v>157</v>
      </c>
      <c r="C12" s="5" t="s">
        <v>158</v>
      </c>
      <c r="D12" s="5" t="s">
        <v>159</v>
      </c>
      <c r="E12" s="15" t="s">
        <v>160</v>
      </c>
      <c r="F12" s="15" t="s">
        <v>161</v>
      </c>
      <c r="G12" s="15" t="s">
        <v>148</v>
      </c>
      <c r="H12" s="15" t="s">
        <v>162</v>
      </c>
    </row>
    <row r="13" customFormat="false" ht="15" hidden="false" customHeight="false" outlineLevel="0" collapsed="false">
      <c r="A13" s="10" t="s">
        <v>163</v>
      </c>
      <c r="B13" s="16" t="n">
        <v>25</v>
      </c>
      <c r="C13" s="16" t="n">
        <v>25</v>
      </c>
      <c r="D13" s="16" t="n">
        <v>1.6</v>
      </c>
      <c r="E13" s="16" t="n">
        <v>6</v>
      </c>
      <c r="F13" s="13" t="n">
        <f aca="false">(2*(B13+C13)-4*D13)*D13*0.00785*E13</f>
        <v>7.053696</v>
      </c>
      <c r="G13" s="17" t="n">
        <v>7.053696</v>
      </c>
      <c r="H13" s="6" t="str">
        <f aca="false">IF(ROUND(F13,2)=ROUND(G13,2),"Yes","Check")</f>
        <v>Yes</v>
      </c>
    </row>
    <row r="14" customFormat="false" ht="15" hidden="false" customHeight="false" outlineLevel="0" collapsed="false">
      <c r="A14" s="10" t="s">
        <v>164</v>
      </c>
      <c r="B14" s="16" t="n">
        <v>50</v>
      </c>
      <c r="C14" s="16" t="n">
        <v>50</v>
      </c>
      <c r="D14" s="16" t="n">
        <v>2</v>
      </c>
      <c r="E14" s="16" t="n">
        <v>6</v>
      </c>
      <c r="F14" s="13" t="n">
        <f aca="false">(2*(B14+C14)-4*D14)*D14*0.00785*E14</f>
        <v>18.0864</v>
      </c>
      <c r="G14" s="17" t="n">
        <v>18.0864</v>
      </c>
      <c r="H14" s="6" t="str">
        <f aca="false">IF(ROUND(F14,2)=ROUND(G14,2),"Yes","Check")</f>
        <v>Yes</v>
      </c>
    </row>
    <row r="15" customFormat="false" ht="15" hidden="false" customHeight="false" outlineLevel="0" collapsed="false">
      <c r="A15" s="10" t="s">
        <v>165</v>
      </c>
      <c r="B15" s="16" t="n">
        <v>60</v>
      </c>
      <c r="C15" s="16" t="n">
        <v>40</v>
      </c>
      <c r="D15" s="16" t="n">
        <v>2</v>
      </c>
      <c r="E15" s="16" t="n">
        <v>6</v>
      </c>
      <c r="F15" s="13" t="n">
        <f aca="false">(2*(B15+C15)-4*D15)*D15*0.00785*E15</f>
        <v>18.0864</v>
      </c>
      <c r="G15" s="17" t="n">
        <v>18.0864</v>
      </c>
      <c r="H15" s="6" t="str">
        <f aca="false">IF(ROUND(F15,2)=ROUND(G15,2),"Yes","Check")</f>
        <v>Yes</v>
      </c>
    </row>
    <row r="16" customFormat="false" ht="15" hidden="false" customHeight="false" outlineLevel="0" collapsed="false">
      <c r="A16" s="10" t="s">
        <v>166</v>
      </c>
      <c r="B16" s="16" t="n">
        <v>75</v>
      </c>
      <c r="C16" s="16" t="n">
        <v>25</v>
      </c>
      <c r="D16" s="16" t="n">
        <v>2.8</v>
      </c>
      <c r="E16" s="16" t="n">
        <v>6</v>
      </c>
      <c r="F16" s="13" t="n">
        <f aca="false">(2*(B16+C16)-4*D16)*D16*0.00785*E16</f>
        <v>24.898944</v>
      </c>
      <c r="G16" s="17" t="n">
        <v>24.898944</v>
      </c>
      <c r="H16" s="6" t="str">
        <f aca="false">IF(ROUND(F16,2)=ROUND(G16,2),"Yes","Check")</f>
        <v>Yes</v>
      </c>
    </row>
    <row r="17" customFormat="false" ht="15" hidden="false" customHeight="false" outlineLevel="0" collapsed="false">
      <c r="A17" s="10" t="s">
        <v>167</v>
      </c>
      <c r="B17" s="16" t="n">
        <v>100</v>
      </c>
      <c r="C17" s="16" t="n">
        <v>50</v>
      </c>
      <c r="D17" s="16" t="n">
        <v>2.5</v>
      </c>
      <c r="E17" s="16" t="n">
        <v>6</v>
      </c>
      <c r="F17" s="13" t="n">
        <f aca="false">(2*(B17+C17)-4*D17)*D17*0.00785*E17</f>
        <v>34.1475</v>
      </c>
      <c r="G17" s="17" t="n">
        <v>34.1475</v>
      </c>
      <c r="H17" s="6" t="str">
        <f aca="false">IF(ROUND(F17,2)=ROUND(G17,2),"Yes","Check")</f>
        <v>Yes</v>
      </c>
    </row>
    <row r="18" customFormat="false" ht="15" hidden="false" customHeight="false" outlineLevel="0" collapsed="false">
      <c r="A18" s="10" t="s">
        <v>168</v>
      </c>
      <c r="B18" s="16" t="n">
        <v>150</v>
      </c>
      <c r="C18" s="16" t="n">
        <v>150</v>
      </c>
      <c r="D18" s="16" t="n">
        <v>5</v>
      </c>
      <c r="E18" s="16" t="n">
        <v>6</v>
      </c>
      <c r="F18" s="13" t="n">
        <f aca="false">(2*(B18+C18)-4*D18)*D18*0.00785*E18</f>
        <v>136.59</v>
      </c>
      <c r="G18" s="17" t="n">
        <v>136.59</v>
      </c>
      <c r="H18" s="6" t="str">
        <f aca="false">IF(ROUND(F18,2)=ROUND(G18,2),"Yes","Check")</f>
        <v>Yes</v>
      </c>
    </row>
    <row r="19" customFormat="false" ht="15" hidden="false" customHeight="false" outlineLevel="0" collapsed="false">
      <c r="A19" s="3" t="s">
        <v>169</v>
      </c>
    </row>
    <row r="20" customFormat="false" ht="15" hidden="false" customHeight="false" outlineLevel="0" collapsed="false">
      <c r="A20" s="3" t="s">
        <v>170</v>
      </c>
    </row>
    <row r="22" customFormat="false" ht="15" hidden="false" customHeight="false" outlineLevel="0" collapsed="false">
      <c r="A22" s="4" t="s">
        <v>171</v>
      </c>
    </row>
    <row r="23" customFormat="false" ht="26.85" hidden="false" customHeight="false" outlineLevel="0" collapsed="false">
      <c r="A23" s="15" t="s">
        <v>156</v>
      </c>
      <c r="B23" s="15" t="s">
        <v>172</v>
      </c>
      <c r="C23" s="15"/>
      <c r="D23" s="15" t="s">
        <v>159</v>
      </c>
      <c r="E23" s="15" t="s">
        <v>160</v>
      </c>
      <c r="F23" s="15" t="s">
        <v>161</v>
      </c>
      <c r="G23" s="15" t="s">
        <v>148</v>
      </c>
      <c r="H23" s="15" t="s">
        <v>162</v>
      </c>
    </row>
    <row r="24" customFormat="false" ht="15" hidden="false" customHeight="false" outlineLevel="0" collapsed="false">
      <c r="A24" s="10" t="s">
        <v>71</v>
      </c>
      <c r="B24" s="16" t="n">
        <v>42.4</v>
      </c>
      <c r="C24" s="6"/>
      <c r="D24" s="16" t="n">
        <v>2.5</v>
      </c>
      <c r="E24" s="16" t="n">
        <v>6</v>
      </c>
      <c r="F24" s="13" t="n">
        <f aca="false">(B24-D24)*D24*0.02466*E24</f>
        <v>14.75901</v>
      </c>
      <c r="G24" s="17" t="n">
        <v>14.759909</v>
      </c>
      <c r="H24" s="6" t="str">
        <f aca="false">IF(ROUND(F24,2)=ROUND(G24,2),"Yes","Check")</f>
        <v>Yes</v>
      </c>
    </row>
    <row r="25" customFormat="false" ht="15" hidden="false" customHeight="false" outlineLevel="0" collapsed="false">
      <c r="A25" s="10" t="s">
        <v>173</v>
      </c>
      <c r="B25" s="16" t="n">
        <v>60.3</v>
      </c>
      <c r="C25" s="6"/>
      <c r="D25" s="16" t="n">
        <v>2</v>
      </c>
      <c r="E25" s="16" t="n">
        <v>6</v>
      </c>
      <c r="F25" s="13" t="n">
        <f aca="false">(B25-D25)*D25*0.02466*E25</f>
        <v>17.252136</v>
      </c>
      <c r="G25" s="17" t="n">
        <v>17.253187</v>
      </c>
      <c r="H25" s="6" t="str">
        <f aca="false">IF(ROUND(F25,2)=ROUND(G25,2),"Yes","Check")</f>
        <v>Yes</v>
      </c>
    </row>
    <row r="26" customFormat="false" ht="15" hidden="false" customHeight="false" outlineLevel="0" collapsed="false">
      <c r="A26" s="3" t="s">
        <v>174</v>
      </c>
    </row>
    <row r="27" customFormat="false" ht="15" hidden="false" customHeight="false" outlineLevel="0" collapsed="false">
      <c r="A27" s="3" t="s">
        <v>175</v>
      </c>
    </row>
  </sheetData>
  <mergeCells count="1">
    <mergeCell ref="A2:D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E2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16"/>
    <col collapsed="false" customWidth="true" hidden="false" outlineLevel="0" max="3" min="3" style="0" width="34"/>
    <col collapsed="false" customWidth="true" hidden="false" outlineLevel="0" max="4" min="4" style="0" width="46"/>
    <col collapsed="false" customWidth="true" hidden="false" outlineLevel="0" max="5" min="5" style="0" width="16"/>
  </cols>
  <sheetData>
    <row r="1" customFormat="false" ht="18.55" hidden="false" customHeight="false" outlineLevel="0" collapsed="false">
      <c r="A1" s="1" t="s">
        <v>176</v>
      </c>
    </row>
    <row r="2" customFormat="false" ht="15" hidden="false" customHeight="false" outlineLevel="0" collapsed="false">
      <c r="A2" s="2" t="s">
        <v>177</v>
      </c>
      <c r="B2" s="2"/>
      <c r="C2" s="2"/>
      <c r="D2" s="2"/>
      <c r="E2" s="2"/>
    </row>
    <row r="4" customFormat="false" ht="15" hidden="false" customHeight="false" outlineLevel="0" collapsed="false">
      <c r="A4" s="4" t="s">
        <v>178</v>
      </c>
    </row>
    <row r="5" customFormat="false" ht="30" hidden="false" customHeight="true" outlineLevel="0" collapsed="false">
      <c r="A5" s="5" t="s">
        <v>143</v>
      </c>
      <c r="B5" s="5" t="s">
        <v>144</v>
      </c>
      <c r="C5" s="5" t="s">
        <v>5</v>
      </c>
      <c r="D5" s="5" t="s">
        <v>145</v>
      </c>
    </row>
    <row r="6" customFormat="false" ht="15" hidden="false" customHeight="false" outlineLevel="0" collapsed="false">
      <c r="A6" s="10" t="s">
        <v>179</v>
      </c>
      <c r="B6" s="17" t="n">
        <v>15.365</v>
      </c>
      <c r="C6" s="8" t="s">
        <v>147</v>
      </c>
      <c r="D6" s="8"/>
    </row>
    <row r="7" customFormat="false" ht="15" hidden="false" customHeight="false" outlineLevel="0" collapsed="false">
      <c r="A7" s="10" t="s">
        <v>180</v>
      </c>
      <c r="B7" s="11" t="n">
        <v>886560.5</v>
      </c>
      <c r="C7" s="8" t="s">
        <v>147</v>
      </c>
      <c r="D7" s="8"/>
    </row>
    <row r="8" customFormat="false" ht="15" hidden="false" customHeight="false" outlineLevel="0" collapsed="false">
      <c r="A8" s="10" t="s">
        <v>181</v>
      </c>
      <c r="B8" s="14" t="n">
        <f aca="false">B7/B6</f>
        <v>57700</v>
      </c>
      <c r="C8" s="8" t="s">
        <v>182</v>
      </c>
      <c r="D8" s="8" t="s">
        <v>183</v>
      </c>
    </row>
    <row r="10" customFormat="false" ht="15" hidden="false" customHeight="false" outlineLevel="0" collapsed="false">
      <c r="A10" s="4" t="s">
        <v>184</v>
      </c>
    </row>
    <row r="11" customFormat="false" ht="30" hidden="false" customHeight="true" outlineLevel="0" collapsed="false">
      <c r="A11" s="5" t="s">
        <v>86</v>
      </c>
      <c r="B11" s="5" t="s">
        <v>185</v>
      </c>
      <c r="C11" s="5" t="s">
        <v>186</v>
      </c>
      <c r="D11" s="5" t="s">
        <v>187</v>
      </c>
      <c r="E11" s="5" t="s">
        <v>188</v>
      </c>
    </row>
    <row r="12" customFormat="false" ht="15" hidden="false" customHeight="false" outlineLevel="0" collapsed="false">
      <c r="A12" s="10" t="s">
        <v>189</v>
      </c>
      <c r="B12" s="16" t="n">
        <v>395</v>
      </c>
      <c r="C12" s="18" t="n">
        <f aca="false">B12/SUM($B$12:$B$15)</f>
        <v>0.394605394605395</v>
      </c>
      <c r="D12" s="13" t="n">
        <f aca="false">C12*$B$6</f>
        <v>6.06311188811189</v>
      </c>
      <c r="E12" s="14" t="n">
        <f aca="false">D12*$B$8</f>
        <v>349841.555944056</v>
      </c>
    </row>
    <row r="13" customFormat="false" ht="15" hidden="false" customHeight="false" outlineLevel="0" collapsed="false">
      <c r="A13" s="10" t="s">
        <v>190</v>
      </c>
      <c r="B13" s="16" t="n">
        <v>395</v>
      </c>
      <c r="C13" s="18" t="n">
        <f aca="false">B13/SUM($B$12:$B$15)</f>
        <v>0.394605394605395</v>
      </c>
      <c r="D13" s="13" t="n">
        <f aca="false">C13*$B$6</f>
        <v>6.06311188811189</v>
      </c>
      <c r="E13" s="14" t="n">
        <f aca="false">D13*$B$8</f>
        <v>349841.555944056</v>
      </c>
    </row>
    <row r="14" customFormat="false" ht="15" hidden="false" customHeight="false" outlineLevel="0" collapsed="false">
      <c r="A14" s="10" t="s">
        <v>191</v>
      </c>
      <c r="B14" s="16" t="n">
        <v>114</v>
      </c>
      <c r="C14" s="18" t="n">
        <f aca="false">B14/SUM($B$12:$B$15)</f>
        <v>0.113886113886114</v>
      </c>
      <c r="D14" s="13" t="n">
        <f aca="false">C14*$B$6</f>
        <v>1.74986013986014</v>
      </c>
      <c r="E14" s="14" t="n">
        <f aca="false">D14*$B$8</f>
        <v>100966.93006993</v>
      </c>
    </row>
    <row r="15" customFormat="false" ht="15" hidden="false" customHeight="false" outlineLevel="0" collapsed="false">
      <c r="A15" s="10" t="s">
        <v>192</v>
      </c>
      <c r="B15" s="16" t="n">
        <v>97</v>
      </c>
      <c r="C15" s="18" t="n">
        <f aca="false">B15/SUM($B$12:$B$15)</f>
        <v>0.0969030969030969</v>
      </c>
      <c r="D15" s="13" t="n">
        <f aca="false">C15*$B$6</f>
        <v>1.48891608391608</v>
      </c>
      <c r="E15" s="14" t="n">
        <f aca="false">D15*$B$8</f>
        <v>85910.458041958</v>
      </c>
    </row>
    <row r="16" customFormat="false" ht="15" hidden="false" customHeight="false" outlineLevel="0" collapsed="false">
      <c r="A16" s="10" t="s">
        <v>193</v>
      </c>
      <c r="B16" s="19" t="n">
        <f aca="false">SUM(B12:B15)</f>
        <v>1001</v>
      </c>
      <c r="C16" s="20" t="n">
        <f aca="false">SUM(C12:C15)</f>
        <v>1</v>
      </c>
      <c r="D16" s="21" t="n">
        <f aca="false">SUM(D12:D15)</f>
        <v>15.365</v>
      </c>
      <c r="E16" s="19" t="n">
        <f aca="false">SUM(E12:E15)</f>
        <v>886560.5</v>
      </c>
    </row>
    <row r="17" customFormat="false" ht="15" hidden="false" customHeight="false" outlineLevel="0" collapsed="false">
      <c r="A17" s="3" t="s">
        <v>194</v>
      </c>
    </row>
    <row r="18" customFormat="false" ht="15" hidden="false" customHeight="false" outlineLevel="0" collapsed="false">
      <c r="A18" s="3" t="s">
        <v>195</v>
      </c>
    </row>
    <row r="20" customFormat="false" ht="15" hidden="false" customHeight="false" outlineLevel="0" collapsed="false">
      <c r="A20" s="4" t="s">
        <v>196</v>
      </c>
    </row>
    <row r="21" customFormat="false" ht="30" hidden="false" customHeight="true" outlineLevel="0" collapsed="false">
      <c r="A21" s="5" t="s">
        <v>95</v>
      </c>
      <c r="B21" s="5" t="s">
        <v>197</v>
      </c>
      <c r="C21" s="5" t="s">
        <v>198</v>
      </c>
      <c r="D21" s="5" t="s">
        <v>199</v>
      </c>
      <c r="E21" s="5" t="s">
        <v>200</v>
      </c>
    </row>
    <row r="22" customFormat="false" ht="15" hidden="false" customHeight="false" outlineLevel="0" collapsed="false">
      <c r="A22" s="10" t="s">
        <v>201</v>
      </c>
      <c r="B22" s="22" t="n">
        <v>1011.8</v>
      </c>
      <c r="C22" s="22" t="n">
        <v>1011.8</v>
      </c>
      <c r="D22" s="18" t="n">
        <f aca="false">IFERROR(C22/B22,0)</f>
        <v>1</v>
      </c>
      <c r="E22" s="23" t="n">
        <f aca="false">B22-C22</f>
        <v>0</v>
      </c>
    </row>
    <row r="23" customFormat="false" ht="15" hidden="false" customHeight="false" outlineLevel="0" collapsed="false">
      <c r="A23" s="10" t="s">
        <v>202</v>
      </c>
      <c r="B23" s="22" t="n">
        <v>629.6</v>
      </c>
      <c r="C23" s="22" t="n">
        <v>629.6</v>
      </c>
      <c r="D23" s="18" t="n">
        <f aca="false">IFERROR(C23/B23,0)</f>
        <v>1</v>
      </c>
      <c r="E23" s="23" t="n">
        <f aca="false">B23-C23</f>
        <v>0</v>
      </c>
    </row>
    <row r="24" customFormat="false" ht="15" hidden="false" customHeight="false" outlineLevel="0" collapsed="false">
      <c r="A24" s="10" t="s">
        <v>203</v>
      </c>
      <c r="B24" s="22" t="n">
        <v>742.7</v>
      </c>
      <c r="C24" s="22" t="n">
        <v>742.7</v>
      </c>
      <c r="D24" s="18" t="n">
        <f aca="false">IFERROR(C24/B24,0)</f>
        <v>1</v>
      </c>
      <c r="E24" s="23" t="n">
        <f aca="false">B24-C24</f>
        <v>0</v>
      </c>
    </row>
    <row r="25" customFormat="false" ht="15" hidden="false" customHeight="false" outlineLevel="0" collapsed="false">
      <c r="A25" s="10" t="s">
        <v>204</v>
      </c>
      <c r="B25" s="22" t="n">
        <v>1278.9</v>
      </c>
      <c r="C25" s="22" t="n">
        <v>1280</v>
      </c>
      <c r="D25" s="18" t="n">
        <f aca="false">IFERROR(C25/B25,0)</f>
        <v>1.00086011416061</v>
      </c>
      <c r="E25" s="23" t="n">
        <f aca="false">B25-C25</f>
        <v>-1.09999999999991</v>
      </c>
    </row>
    <row r="26" customFormat="false" ht="15" hidden="false" customHeight="false" outlineLevel="0" collapsed="false">
      <c r="A26" s="3" t="s">
        <v>205</v>
      </c>
    </row>
    <row r="27" customFormat="false" ht="15" hidden="false" customHeight="false" outlineLevel="0" collapsed="false">
      <c r="A27" s="3" t="s">
        <v>206</v>
      </c>
    </row>
    <row r="28" customFormat="false" ht="15" hidden="false" customHeight="false" outlineLevel="0" collapsed="false">
      <c r="A28" s="3" t="s">
        <v>207</v>
      </c>
    </row>
  </sheetData>
  <mergeCells count="1">
    <mergeCell ref="A2:E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F2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6"/>
    <col collapsed="false" customWidth="true" hidden="false" outlineLevel="0" max="3" min="3" style="0" width="18"/>
    <col collapsed="false" customWidth="true" hidden="false" outlineLevel="0" max="5" min="4" style="0" width="16"/>
    <col collapsed="false" customWidth="true" hidden="false" outlineLevel="0" max="6" min="6" style="0" width="14"/>
  </cols>
  <sheetData>
    <row r="1" customFormat="false" ht="18.55" hidden="false" customHeight="false" outlineLevel="0" collapsed="false">
      <c r="A1" s="1" t="s">
        <v>208</v>
      </c>
    </row>
    <row r="2" customFormat="false" ht="15" hidden="false" customHeight="false" outlineLevel="0" collapsed="false">
      <c r="A2" s="2" t="s">
        <v>209</v>
      </c>
      <c r="B2" s="2"/>
      <c r="C2" s="2"/>
      <c r="D2" s="2"/>
      <c r="E2" s="2"/>
      <c r="F2" s="2"/>
    </row>
    <row r="4" customFormat="false" ht="15" hidden="false" customHeight="false" outlineLevel="0" collapsed="false">
      <c r="A4" s="4" t="s">
        <v>210</v>
      </c>
    </row>
    <row r="5" customFormat="false" ht="30" hidden="false" customHeight="true" outlineLevel="0" collapsed="false">
      <c r="A5" s="5" t="s">
        <v>143</v>
      </c>
      <c r="B5" s="5" t="s">
        <v>144</v>
      </c>
      <c r="C5" s="5" t="s">
        <v>5</v>
      </c>
      <c r="D5" s="5" t="s">
        <v>145</v>
      </c>
    </row>
    <row r="6" customFormat="false" ht="15" hidden="false" customHeight="false" outlineLevel="0" collapsed="false">
      <c r="A6" s="10" t="s">
        <v>211</v>
      </c>
      <c r="B6" s="11" t="n">
        <v>0</v>
      </c>
      <c r="C6" s="8" t="s">
        <v>147</v>
      </c>
      <c r="D6" s="8"/>
    </row>
    <row r="7" customFormat="false" ht="15" hidden="false" customHeight="false" outlineLevel="0" collapsed="false">
      <c r="A7" s="10" t="s">
        <v>212</v>
      </c>
      <c r="B7" s="11" t="n">
        <v>20017</v>
      </c>
      <c r="C7" s="8" t="s">
        <v>147</v>
      </c>
      <c r="D7" s="8"/>
    </row>
    <row r="8" customFormat="false" ht="15" hidden="false" customHeight="false" outlineLevel="0" collapsed="false">
      <c r="A8" s="10" t="s">
        <v>213</v>
      </c>
      <c r="B8" s="11" t="n">
        <v>18399</v>
      </c>
      <c r="C8" s="8" t="s">
        <v>147</v>
      </c>
      <c r="D8" s="8"/>
    </row>
    <row r="9" customFormat="false" ht="39.55" hidden="false" customHeight="false" outlineLevel="0" collapsed="false">
      <c r="A9" s="10" t="s">
        <v>214</v>
      </c>
      <c r="B9" s="14" t="n">
        <f aca="false">B6+B7-B8</f>
        <v>1618</v>
      </c>
      <c r="C9" s="8" t="s">
        <v>215</v>
      </c>
      <c r="D9" s="8" t="s">
        <v>216</v>
      </c>
    </row>
    <row r="10" customFormat="false" ht="15" hidden="false" customHeight="false" outlineLevel="0" collapsed="false">
      <c r="A10" s="3" t="s">
        <v>217</v>
      </c>
    </row>
    <row r="12" customFormat="false" ht="15" hidden="false" customHeight="false" outlineLevel="0" collapsed="false">
      <c r="A12" s="4" t="s">
        <v>218</v>
      </c>
    </row>
    <row r="13" customFormat="false" ht="15" hidden="false" customHeight="false" outlineLevel="0" collapsed="false">
      <c r="A13" s="10" t="s">
        <v>219</v>
      </c>
      <c r="B13" s="16" t="n">
        <v>30</v>
      </c>
    </row>
    <row r="14" customFormat="false" ht="15" hidden="false" customHeight="false" outlineLevel="0" collapsed="false">
      <c r="A14" s="10" t="s">
        <v>220</v>
      </c>
      <c r="B14" s="16" t="n">
        <v>45</v>
      </c>
    </row>
    <row r="15" customFormat="false" ht="15" hidden="false" customHeight="false" outlineLevel="0" collapsed="false">
      <c r="A15" s="10" t="s">
        <v>221</v>
      </c>
      <c r="B15" s="16" t="n">
        <v>15</v>
      </c>
    </row>
    <row r="17" customFormat="false" ht="30" hidden="false" customHeight="true" outlineLevel="0" collapsed="false">
      <c r="A17" s="5" t="s">
        <v>95</v>
      </c>
      <c r="B17" s="5" t="s">
        <v>222</v>
      </c>
      <c r="C17" s="5" t="s">
        <v>223</v>
      </c>
      <c r="D17" s="5" t="s">
        <v>224</v>
      </c>
      <c r="E17" s="5" t="s">
        <v>225</v>
      </c>
      <c r="F17" s="5" t="s">
        <v>226</v>
      </c>
    </row>
    <row r="18" customFormat="false" ht="15" hidden="false" customHeight="false" outlineLevel="0" collapsed="false">
      <c r="A18" s="10" t="s">
        <v>201</v>
      </c>
      <c r="B18" s="22" t="n">
        <v>996.3</v>
      </c>
      <c r="C18" s="22" t="n">
        <v>1097.9</v>
      </c>
      <c r="D18" s="23" t="n">
        <f aca="false">C18/$B$13</f>
        <v>36.5966666666667</v>
      </c>
      <c r="E18" s="24" t="n">
        <f aca="false">IFERROR(B18/D18,0)</f>
        <v>27.2237908734857</v>
      </c>
      <c r="F18" s="6" t="str">
        <f aca="false">IF(E18&gt;$B$14,"High",IF(E18&lt;$B$15,"Low","OK"))</f>
        <v>OK</v>
      </c>
    </row>
    <row r="19" customFormat="false" ht="15" hidden="false" customHeight="false" outlineLevel="0" collapsed="false">
      <c r="A19" s="10" t="s">
        <v>202</v>
      </c>
      <c r="B19" s="22" t="n">
        <v>376</v>
      </c>
      <c r="C19" s="22" t="n">
        <v>265.5</v>
      </c>
      <c r="D19" s="23" t="n">
        <f aca="false">C19/$B$13</f>
        <v>8.85</v>
      </c>
      <c r="E19" s="24" t="n">
        <f aca="false">IFERROR(B19/D19,0)</f>
        <v>42.4858757062147</v>
      </c>
      <c r="F19" s="6" t="str">
        <f aca="false">IF(E19&gt;$B$14,"High",IF(E19&lt;$B$15,"Low","OK"))</f>
        <v>OK</v>
      </c>
    </row>
    <row r="20" customFormat="false" ht="15" hidden="false" customHeight="false" outlineLevel="0" collapsed="false">
      <c r="A20" s="10" t="s">
        <v>203</v>
      </c>
      <c r="B20" s="22" t="n">
        <v>682.9</v>
      </c>
      <c r="C20" s="22" t="n">
        <v>403.5</v>
      </c>
      <c r="D20" s="23" t="n">
        <f aca="false">C20/$B$13</f>
        <v>13.45</v>
      </c>
      <c r="E20" s="24" t="n">
        <f aca="false">IFERROR(B20/D20,0)</f>
        <v>50.7732342007435</v>
      </c>
      <c r="F20" s="6" t="str">
        <f aca="false">IF(E20&gt;$B$14,"High",IF(E20&lt;$B$15,"Low","OK"))</f>
        <v>High</v>
      </c>
    </row>
    <row r="21" customFormat="false" ht="15" hidden="false" customHeight="false" outlineLevel="0" collapsed="false">
      <c r="A21" s="10" t="s">
        <v>204</v>
      </c>
      <c r="B21" s="22" t="n">
        <v>673.6</v>
      </c>
      <c r="C21" s="22" t="n">
        <v>944</v>
      </c>
      <c r="D21" s="23" t="n">
        <f aca="false">C21/$B$13</f>
        <v>31.4666666666667</v>
      </c>
      <c r="E21" s="24" t="n">
        <f aca="false">IFERROR(B21/D21,0)</f>
        <v>21.406779661017</v>
      </c>
      <c r="F21" s="6" t="str">
        <f aca="false">IF(E21&gt;$B$14,"High",IF(E21&lt;$B$15,"Low","OK"))</f>
        <v>OK</v>
      </c>
    </row>
    <row r="22" customFormat="false" ht="15" hidden="false" customHeight="false" outlineLevel="0" collapsed="false">
      <c r="A22" s="10" t="s">
        <v>227</v>
      </c>
      <c r="B22" s="25" t="n">
        <f aca="false">SUM(B18:B21)</f>
        <v>2728.8</v>
      </c>
      <c r="C22" s="25" t="n">
        <f aca="false">SUM(C18:C21)</f>
        <v>2710.9</v>
      </c>
      <c r="D22" s="25" t="n">
        <f aca="false">SUM(D18:D21)</f>
        <v>90.3633333333333</v>
      </c>
      <c r="E22" s="26" t="n">
        <f aca="false">IFERROR(B22/D22,0)</f>
        <v>30.1980891954701</v>
      </c>
      <c r="F22" s="6"/>
    </row>
    <row r="23" customFormat="false" ht="15" hidden="false" customHeight="false" outlineLevel="0" collapsed="false">
      <c r="A23" s="3" t="s">
        <v>228</v>
      </c>
    </row>
  </sheetData>
  <mergeCells count="1">
    <mergeCell ref="A2:F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2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14"/>
    <col collapsed="false" customWidth="true" hidden="false" outlineLevel="0" max="3" min="3" style="0" width="22"/>
    <col collapsed="false" customWidth="true" hidden="false" outlineLevel="0" max="4" min="4" style="0" width="30"/>
    <col collapsed="false" customWidth="true" hidden="false" outlineLevel="0" max="5" min="5" style="0" width="14"/>
    <col collapsed="false" customWidth="true" hidden="false" outlineLevel="0" max="7" min="6" style="0" width="12"/>
    <col collapsed="false" customWidth="true" hidden="false" outlineLevel="0" max="8" min="8" style="0" width="11"/>
  </cols>
  <sheetData>
    <row r="1" customFormat="false" ht="18.55" hidden="false" customHeight="false" outlineLevel="0" collapsed="false">
      <c r="A1" s="1" t="s">
        <v>229</v>
      </c>
    </row>
    <row r="2" customFormat="false" ht="15" hidden="false" customHeight="false" outlineLevel="0" collapsed="false">
      <c r="A2" s="2" t="s">
        <v>230</v>
      </c>
      <c r="B2" s="2"/>
      <c r="C2" s="2"/>
      <c r="D2" s="2"/>
      <c r="E2" s="2"/>
      <c r="F2" s="2"/>
      <c r="G2" s="2"/>
    </row>
    <row r="4" customFormat="false" ht="15" hidden="false" customHeight="false" outlineLevel="0" collapsed="false">
      <c r="A4" s="4" t="s">
        <v>231</v>
      </c>
    </row>
    <row r="5" customFormat="false" ht="30" hidden="false" customHeight="true" outlineLevel="0" collapsed="false">
      <c r="A5" s="5" t="s">
        <v>143</v>
      </c>
      <c r="B5" s="5" t="s">
        <v>144</v>
      </c>
      <c r="C5" s="5" t="s">
        <v>5</v>
      </c>
      <c r="D5" s="5" t="s">
        <v>145</v>
      </c>
    </row>
    <row r="6" customFormat="false" ht="15" hidden="false" customHeight="false" outlineLevel="0" collapsed="false">
      <c r="A6" s="10" t="s">
        <v>232</v>
      </c>
      <c r="B6" s="27" t="n">
        <v>46307</v>
      </c>
      <c r="C6" s="8" t="s">
        <v>147</v>
      </c>
      <c r="D6" s="8"/>
    </row>
    <row r="7" customFormat="false" ht="15" hidden="false" customHeight="false" outlineLevel="0" collapsed="false">
      <c r="A7" s="10" t="s">
        <v>233</v>
      </c>
      <c r="B7" s="27" t="n">
        <v>46135</v>
      </c>
      <c r="C7" s="8" t="s">
        <v>147</v>
      </c>
      <c r="D7" s="8"/>
    </row>
    <row r="8" customFormat="false" ht="26.85" hidden="false" customHeight="false" outlineLevel="0" collapsed="false">
      <c r="A8" s="10" t="s">
        <v>234</v>
      </c>
      <c r="B8" s="28" t="n">
        <f aca="false">B6-B7</f>
        <v>172</v>
      </c>
      <c r="C8" s="8" t="s">
        <v>235</v>
      </c>
      <c r="D8" s="8" t="s">
        <v>236</v>
      </c>
    </row>
    <row r="9" customFormat="false" ht="39.55" hidden="false" customHeight="false" outlineLevel="0" collapsed="false">
      <c r="A9" s="10" t="s">
        <v>237</v>
      </c>
      <c r="B9" s="6" t="str">
        <f aca="false">IF(B8&lt;=30,"0-30",IF(B8&lt;=60,"31-60",IF(B8&lt;=90,"61-90","90+")))</f>
        <v>90+</v>
      </c>
      <c r="C9" s="8" t="s">
        <v>238</v>
      </c>
      <c r="D9" s="8" t="s">
        <v>239</v>
      </c>
    </row>
    <row r="10" customFormat="false" ht="15" hidden="false" customHeight="false" outlineLevel="0" collapsed="false">
      <c r="A10" s="3" t="s">
        <v>240</v>
      </c>
    </row>
    <row r="12" customFormat="false" ht="15" hidden="false" customHeight="false" outlineLevel="0" collapsed="false">
      <c r="A12" s="4" t="s">
        <v>241</v>
      </c>
    </row>
    <row r="13" customFormat="false" ht="15" hidden="false" customHeight="false" outlineLevel="0" collapsed="false">
      <c r="A13" s="10" t="s">
        <v>242</v>
      </c>
      <c r="B13" s="11" t="n">
        <v>291</v>
      </c>
    </row>
    <row r="15" customFormat="false" ht="30" hidden="false" customHeight="true" outlineLevel="0" collapsed="false">
      <c r="A15" s="5" t="s">
        <v>233</v>
      </c>
      <c r="B15" s="5" t="s">
        <v>243</v>
      </c>
      <c r="C15" s="5" t="s">
        <v>244</v>
      </c>
      <c r="D15" s="5" t="s">
        <v>245</v>
      </c>
      <c r="E15" s="5" t="s">
        <v>234</v>
      </c>
      <c r="F15" s="5" t="s">
        <v>237</v>
      </c>
      <c r="G15" s="5" t="s">
        <v>246</v>
      </c>
      <c r="H15" s="29" t="s">
        <v>247</v>
      </c>
    </row>
    <row r="16" customFormat="false" ht="15" hidden="false" customHeight="false" outlineLevel="0" collapsed="false">
      <c r="A16" s="27" t="n">
        <v>46135</v>
      </c>
      <c r="B16" s="11" t="n">
        <v>825</v>
      </c>
      <c r="C16" s="14" t="n">
        <f aca="false">SUM($B$16:B16)</f>
        <v>825</v>
      </c>
      <c r="D16" s="14" t="n">
        <f aca="false">MAX(0,MIN(B16,C16-$B$13))</f>
        <v>534</v>
      </c>
      <c r="E16" s="28" t="n">
        <f aca="false">$B$6-A16</f>
        <v>172</v>
      </c>
      <c r="F16" s="6" t="str">
        <f aca="false">IF(D16=0,"Sold",IF(E16&lt;=30,"0-30",IF(E16&lt;=60,"31-60",IF(E16&lt;=90,"61-90","90+"))))</f>
        <v>90+</v>
      </c>
      <c r="G16" s="13" t="n">
        <f aca="false">D16*H16/B16</f>
        <v>13.2962763636364</v>
      </c>
      <c r="H16" s="17" t="n">
        <v>20.542</v>
      </c>
    </row>
    <row r="17" customFormat="false" ht="15" hidden="false" customHeight="false" outlineLevel="0" collapsed="false">
      <c r="A17" s="27" t="n">
        <v>46137</v>
      </c>
      <c r="B17" s="11" t="n">
        <v>160</v>
      </c>
      <c r="C17" s="14" t="n">
        <f aca="false">SUM($B$16:B17)</f>
        <v>985</v>
      </c>
      <c r="D17" s="14" t="n">
        <f aca="false">MAX(0,MIN(B17,C17-$B$13))</f>
        <v>160</v>
      </c>
      <c r="E17" s="28" t="n">
        <f aca="false">$B$6-A17</f>
        <v>170</v>
      </c>
      <c r="F17" s="6" t="str">
        <f aca="false">IF(D17=0,"Sold",IF(E17&lt;=30,"0-30",IF(E17&lt;=60,"31-60",IF(E17&lt;=90,"61-90","90+"))))</f>
        <v>90+</v>
      </c>
      <c r="G17" s="13" t="n">
        <f aca="false">D17*H17/B17</f>
        <v>3.984</v>
      </c>
      <c r="H17" s="17" t="n">
        <v>3.984</v>
      </c>
    </row>
    <row r="18" customFormat="false" ht="15" hidden="false" customHeight="false" outlineLevel="0" collapsed="false">
      <c r="A18" s="27" t="n">
        <v>46139</v>
      </c>
      <c r="B18" s="11" t="n">
        <v>110</v>
      </c>
      <c r="C18" s="14" t="n">
        <f aca="false">SUM($B$16:B18)</f>
        <v>1095</v>
      </c>
      <c r="D18" s="14" t="n">
        <f aca="false">MAX(0,MIN(B18,C18-$B$13))</f>
        <v>110</v>
      </c>
      <c r="E18" s="28" t="n">
        <f aca="false">$B$6-A18</f>
        <v>168</v>
      </c>
      <c r="F18" s="6" t="str">
        <f aca="false">IF(D18=0,"Sold",IF(E18&lt;=30,"0-30",IF(E18&lt;=60,"31-60",IF(E18&lt;=90,"61-90","90+"))))</f>
        <v>90+</v>
      </c>
      <c r="G18" s="13" t="n">
        <f aca="false">D18*H18/B18</f>
        <v>2.739</v>
      </c>
      <c r="H18" s="17" t="n">
        <v>2.739</v>
      </c>
    </row>
    <row r="19" customFormat="false" ht="15" hidden="false" customHeight="false" outlineLevel="0" collapsed="false">
      <c r="A19" s="10" t="s">
        <v>193</v>
      </c>
      <c r="B19" s="19" t="n">
        <f aca="false">SUM(B16:B18)</f>
        <v>1095</v>
      </c>
      <c r="C19" s="6"/>
      <c r="D19" s="19" t="n">
        <f aca="false">SUM(D16:D18)</f>
        <v>804</v>
      </c>
      <c r="G19" s="21" t="n">
        <f aca="false">SUM(G16:G18)</f>
        <v>20.0192763636364</v>
      </c>
    </row>
    <row r="21" customFormat="false" ht="15" hidden="false" customHeight="false" outlineLevel="0" collapsed="false">
      <c r="A21" s="3" t="s">
        <v>248</v>
      </c>
    </row>
    <row r="22" customFormat="false" ht="15" hidden="false" customHeight="false" outlineLevel="0" collapsed="false">
      <c r="A22" s="3" t="s">
        <v>249</v>
      </c>
    </row>
    <row r="23" customFormat="false" ht="15" hidden="false" customHeight="false" outlineLevel="0" collapsed="false">
      <c r="A23" s="3" t="s">
        <v>250</v>
      </c>
    </row>
    <row r="24" customFormat="false" ht="15" hidden="false" customHeight="false" outlineLevel="0" collapsed="false">
      <c r="A24" s="3" t="s">
        <v>251</v>
      </c>
    </row>
    <row r="25" customFormat="false" ht="15" hidden="false" customHeight="false" outlineLevel="0" collapsed="false">
      <c r="A25" s="3" t="s">
        <v>252</v>
      </c>
    </row>
    <row r="26" customFormat="false" ht="15" hidden="false" customHeight="false" outlineLevel="0" collapsed="false">
      <c r="A26" s="3" t="s">
        <v>253</v>
      </c>
    </row>
    <row r="27" customFormat="false" ht="15" hidden="false" customHeight="false" outlineLevel="0" collapsed="false">
      <c r="A27" s="3" t="s">
        <v>254</v>
      </c>
    </row>
  </sheetData>
  <mergeCells count="1">
    <mergeCell ref="A2:G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G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4" min="2" style="0" width="13"/>
    <col collapsed="false" customWidth="true" hidden="false" outlineLevel="0" max="6" min="5" style="0" width="15"/>
    <col collapsed="false" customWidth="true" hidden="false" outlineLevel="0" max="7" min="7" style="0" width="12"/>
  </cols>
  <sheetData>
    <row r="1" customFormat="false" ht="18.55" hidden="false" customHeight="false" outlineLevel="0" collapsed="false">
      <c r="A1" s="1" t="s">
        <v>255</v>
      </c>
    </row>
    <row r="2" customFormat="false" ht="15" hidden="false" customHeight="false" outlineLevel="0" collapsed="false">
      <c r="A2" s="2" t="s">
        <v>256</v>
      </c>
      <c r="B2" s="2"/>
      <c r="C2" s="2"/>
      <c r="D2" s="2"/>
      <c r="E2" s="2"/>
      <c r="F2" s="2"/>
      <c r="G2" s="2"/>
    </row>
    <row r="4" customFormat="false" ht="30" hidden="false" customHeight="true" outlineLevel="0" collapsed="false">
      <c r="A4" s="5" t="s">
        <v>95</v>
      </c>
      <c r="B4" s="5" t="s">
        <v>257</v>
      </c>
      <c r="C4" s="5" t="s">
        <v>258</v>
      </c>
      <c r="D4" s="5" t="s">
        <v>259</v>
      </c>
      <c r="E4" s="5" t="s">
        <v>260</v>
      </c>
      <c r="F4" s="5" t="s">
        <v>261</v>
      </c>
      <c r="G4" s="5" t="s">
        <v>262</v>
      </c>
    </row>
    <row r="5" customFormat="false" ht="15" hidden="false" customHeight="false" outlineLevel="0" collapsed="false">
      <c r="A5" s="10" t="s">
        <v>201</v>
      </c>
      <c r="B5" s="22" t="n">
        <v>6370</v>
      </c>
      <c r="C5" s="22" t="n">
        <v>5825.4</v>
      </c>
      <c r="D5" s="22" t="n">
        <v>46</v>
      </c>
      <c r="E5" s="22" t="n">
        <v>608.2</v>
      </c>
      <c r="F5" s="23" t="n">
        <f aca="false">D5+E5</f>
        <v>654.2</v>
      </c>
      <c r="G5" s="18" t="n">
        <f aca="false">IFERROR(C5/B5,0)</f>
        <v>0.914505494505495</v>
      </c>
    </row>
    <row r="6" customFormat="false" ht="15" hidden="false" customHeight="false" outlineLevel="0" collapsed="false">
      <c r="A6" s="10" t="s">
        <v>202</v>
      </c>
      <c r="B6" s="22" t="n">
        <v>1045</v>
      </c>
      <c r="C6" s="22" t="n">
        <v>526.3</v>
      </c>
      <c r="D6" s="22" t="n">
        <v>55.8</v>
      </c>
      <c r="E6" s="22" t="n">
        <v>465.9</v>
      </c>
      <c r="F6" s="23" t="n">
        <f aca="false">D6+E6</f>
        <v>521.7</v>
      </c>
      <c r="G6" s="18" t="n">
        <f aca="false">IFERROR(C6/B6,0)</f>
        <v>0.503636363636364</v>
      </c>
    </row>
    <row r="7" customFormat="false" ht="15" hidden="false" customHeight="false" outlineLevel="0" collapsed="false">
      <c r="A7" s="10" t="s">
        <v>203</v>
      </c>
      <c r="B7" s="22" t="n">
        <v>1189</v>
      </c>
      <c r="C7" s="22" t="n">
        <v>547</v>
      </c>
      <c r="D7" s="22" t="n">
        <v>71.1</v>
      </c>
      <c r="E7" s="22" t="n">
        <v>577</v>
      </c>
      <c r="F7" s="23" t="n">
        <f aca="false">D7+E7</f>
        <v>648.1</v>
      </c>
      <c r="G7" s="18" t="n">
        <f aca="false">IFERROR(C7/B7,0)</f>
        <v>0.460050462573591</v>
      </c>
    </row>
    <row r="8" customFormat="false" ht="15" hidden="false" customHeight="false" outlineLevel="0" collapsed="false">
      <c r="A8" s="10" t="s">
        <v>204</v>
      </c>
      <c r="B8" s="22" t="n">
        <v>1729</v>
      </c>
      <c r="C8" s="22" t="n">
        <v>1434</v>
      </c>
      <c r="D8" s="22" t="n">
        <v>157.9</v>
      </c>
      <c r="E8" s="22" t="n">
        <v>174.4</v>
      </c>
      <c r="F8" s="23" t="n">
        <f aca="false">D8+E8</f>
        <v>332.3</v>
      </c>
      <c r="G8" s="18" t="n">
        <f aca="false">IFERROR(C8/B8,0)</f>
        <v>0.829381145170619</v>
      </c>
    </row>
    <row r="9" customFormat="false" ht="15" hidden="false" customHeight="false" outlineLevel="0" collapsed="false">
      <c r="A9" s="10" t="s">
        <v>227</v>
      </c>
      <c r="B9" s="25" t="n">
        <f aca="false">SUM(B5:B8)</f>
        <v>10333</v>
      </c>
      <c r="C9" s="25" t="n">
        <f aca="false">SUM(C5:C8)</f>
        <v>8332.7</v>
      </c>
      <c r="D9" s="25" t="n">
        <f aca="false">SUM(D5:D8)</f>
        <v>330.8</v>
      </c>
      <c r="E9" s="25" t="n">
        <f aca="false">SUM(E5:E8)</f>
        <v>1825.5</v>
      </c>
      <c r="F9" s="25" t="n">
        <f aca="false">SUM(F5:F8)</f>
        <v>2156.3</v>
      </c>
      <c r="G9" s="20" t="n">
        <f aca="false">IFERROR(C9/B9,0)</f>
        <v>0.806416336010839</v>
      </c>
    </row>
    <row r="11" customFormat="false" ht="15" hidden="false" customHeight="false" outlineLevel="0" collapsed="false">
      <c r="A11" s="3" t="s">
        <v>263</v>
      </c>
    </row>
    <row r="12" customFormat="false" ht="15" hidden="false" customHeight="false" outlineLevel="0" collapsed="false">
      <c r="A12" s="3" t="s">
        <v>264</v>
      </c>
    </row>
    <row r="13" customFormat="false" ht="15" hidden="false" customHeight="false" outlineLevel="0" collapsed="false">
      <c r="A13" s="3" t="s">
        <v>265</v>
      </c>
    </row>
    <row r="14" customFormat="false" ht="15" hidden="false" customHeight="false" outlineLevel="0" collapsed="false">
      <c r="A14" s="3" t="s">
        <v>266</v>
      </c>
    </row>
  </sheetData>
  <mergeCells count="1">
    <mergeCell ref="A2:G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F1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4" min="1" style="0" width="14"/>
    <col collapsed="false" customWidth="true" hidden="false" outlineLevel="0" max="5" min="5" style="0" width="16"/>
    <col collapsed="false" customWidth="true" hidden="false" outlineLevel="0" max="6" min="6" style="0" width="14"/>
  </cols>
  <sheetData>
    <row r="1" customFormat="false" ht="18.55" hidden="false" customHeight="false" outlineLevel="0" collapsed="false">
      <c r="A1" s="1" t="s">
        <v>267</v>
      </c>
    </row>
    <row r="2" customFormat="false" ht="15" hidden="false" customHeight="false" outlineLevel="0" collapsed="false">
      <c r="A2" s="2" t="s">
        <v>268</v>
      </c>
      <c r="B2" s="2"/>
      <c r="C2" s="2"/>
      <c r="D2" s="2"/>
      <c r="E2" s="2"/>
      <c r="F2" s="2"/>
    </row>
    <row r="4" customFormat="false" ht="15" hidden="false" customHeight="false" outlineLevel="0" collapsed="false">
      <c r="A4" s="10" t="s">
        <v>269</v>
      </c>
      <c r="B4" s="27" t="n">
        <v>46307</v>
      </c>
    </row>
    <row r="5" customFormat="false" ht="15" hidden="false" customHeight="false" outlineLevel="0" collapsed="false">
      <c r="A5" s="10" t="s">
        <v>270</v>
      </c>
      <c r="B5" s="30" t="n">
        <v>11</v>
      </c>
      <c r="C5" s="3" t="s">
        <v>271</v>
      </c>
    </row>
    <row r="6" customFormat="false" ht="15" hidden="false" customHeight="false" outlineLevel="0" collapsed="false">
      <c r="A6" s="10" t="s">
        <v>272</v>
      </c>
      <c r="B6" s="28" t="n">
        <f aca="false">DAY(EOMONTH(B4,0))</f>
        <v>31</v>
      </c>
      <c r="C6" s="3" t="s">
        <v>273</v>
      </c>
    </row>
    <row r="8" customFormat="false" ht="30" hidden="false" customHeight="true" outlineLevel="0" collapsed="false">
      <c r="A8" s="5" t="s">
        <v>95</v>
      </c>
      <c r="B8" s="5" t="s">
        <v>274</v>
      </c>
      <c r="C8" s="5" t="s">
        <v>275</v>
      </c>
      <c r="D8" s="5" t="s">
        <v>276</v>
      </c>
      <c r="E8" s="5" t="s">
        <v>277</v>
      </c>
      <c r="F8" s="5" t="s">
        <v>278</v>
      </c>
    </row>
    <row r="9" customFormat="false" ht="15" hidden="false" customHeight="false" outlineLevel="0" collapsed="false">
      <c r="A9" s="10" t="s">
        <v>201</v>
      </c>
      <c r="B9" s="22" t="n">
        <v>1097.9</v>
      </c>
      <c r="C9" s="22" t="n">
        <v>305.6</v>
      </c>
      <c r="D9" s="23" t="n">
        <f aca="false">C9/$B$5</f>
        <v>27.7818181818182</v>
      </c>
      <c r="E9" s="14" t="n">
        <f aca="false">D9*$B$6</f>
        <v>861.236363636364</v>
      </c>
      <c r="F9" s="31" t="n">
        <f aca="false">IFERROR(E9/B9-1,0)</f>
        <v>-0.215560284510098</v>
      </c>
    </row>
    <row r="10" customFormat="false" ht="15" hidden="false" customHeight="false" outlineLevel="0" collapsed="false">
      <c r="A10" s="10" t="s">
        <v>202</v>
      </c>
      <c r="B10" s="22" t="n">
        <v>265.5</v>
      </c>
      <c r="C10" s="22" t="n">
        <v>236</v>
      </c>
      <c r="D10" s="23" t="n">
        <f aca="false">C10/$B$5</f>
        <v>21.4545454545455</v>
      </c>
      <c r="E10" s="14" t="n">
        <f aca="false">D10*$B$6</f>
        <v>665.090909090909</v>
      </c>
      <c r="F10" s="31" t="n">
        <f aca="false">IFERROR(E10/B10-1,0)</f>
        <v>1.5050505050505</v>
      </c>
    </row>
    <row r="11" customFormat="false" ht="15" hidden="false" customHeight="false" outlineLevel="0" collapsed="false">
      <c r="A11" s="10" t="s">
        <v>203</v>
      </c>
      <c r="B11" s="22" t="n">
        <v>403.5</v>
      </c>
      <c r="C11" s="22" t="n">
        <v>45.8</v>
      </c>
      <c r="D11" s="23" t="n">
        <f aca="false">C11/$B$5</f>
        <v>4.16363636363636</v>
      </c>
      <c r="E11" s="14" t="n">
        <f aca="false">D11*$B$6</f>
        <v>129.072727272727</v>
      </c>
      <c r="F11" s="31" t="n">
        <f aca="false">IFERROR(E11/B11-1,0)</f>
        <v>-0.680117156697082</v>
      </c>
    </row>
    <row r="12" customFormat="false" ht="15" hidden="false" customHeight="false" outlineLevel="0" collapsed="false">
      <c r="A12" s="10" t="s">
        <v>204</v>
      </c>
      <c r="B12" s="22" t="n">
        <v>944</v>
      </c>
      <c r="C12" s="22" t="n">
        <v>293.7</v>
      </c>
      <c r="D12" s="23" t="n">
        <f aca="false">C12/$B$5</f>
        <v>26.7</v>
      </c>
      <c r="E12" s="14" t="n">
        <f aca="false">D12*$B$6</f>
        <v>827.7</v>
      </c>
      <c r="F12" s="31" t="n">
        <f aca="false">IFERROR(E12/B12-1,0)</f>
        <v>-0.123199152542373</v>
      </c>
    </row>
    <row r="13" customFormat="false" ht="15" hidden="false" customHeight="false" outlineLevel="0" collapsed="false">
      <c r="A13" s="10" t="s">
        <v>227</v>
      </c>
      <c r="B13" s="25" t="n">
        <f aca="false">SUM(B9:B12)</f>
        <v>2710.9</v>
      </c>
      <c r="C13" s="25" t="n">
        <f aca="false">SUM(C9:C12)</f>
        <v>881.1</v>
      </c>
      <c r="D13" s="25" t="n">
        <f aca="false">C13/$B$5</f>
        <v>80.1</v>
      </c>
      <c r="E13" s="19" t="n">
        <f aca="false">D13*$B$6</f>
        <v>2483.1</v>
      </c>
      <c r="F13" s="32" t="n">
        <f aca="false">IFERROR(E13/B13-1,0)</f>
        <v>-0.0840311335718764</v>
      </c>
    </row>
    <row r="15" customFormat="false" ht="15" hidden="false" customHeight="false" outlineLevel="0" collapsed="false">
      <c r="A15" s="3" t="s">
        <v>279</v>
      </c>
    </row>
    <row r="16" customFormat="false" ht="15" hidden="false" customHeight="false" outlineLevel="0" collapsed="false">
      <c r="A16" s="3" t="s">
        <v>280</v>
      </c>
    </row>
  </sheetData>
  <mergeCells count="1">
    <mergeCell ref="A2:F2"/>
  </mergeCells>
  <conditionalFormatting sqref="F9:F13">
    <cfRule type="cellIs" priority="2" operator="lessThan" aboveAverage="0" equalAverage="0" bottom="0" percent="0" rank="0" text="" dxfId="0">
      <formula>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F3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13"/>
    <col collapsed="false" customWidth="true" hidden="false" outlineLevel="0" max="3" min="3" style="0" width="18"/>
    <col collapsed="false" customWidth="true" hidden="false" outlineLevel="0" max="4" min="4" style="0" width="36"/>
    <col collapsed="false" customWidth="true" hidden="false" outlineLevel="0" max="5" min="5" style="0" width="14"/>
    <col collapsed="false" customWidth="true" hidden="false" outlineLevel="0" max="6" min="6" style="0" width="16"/>
  </cols>
  <sheetData>
    <row r="1" customFormat="false" ht="18.55" hidden="false" customHeight="false" outlineLevel="0" collapsed="false">
      <c r="A1" s="1" t="s">
        <v>281</v>
      </c>
    </row>
    <row r="2" customFormat="false" ht="15" hidden="false" customHeight="false" outlineLevel="0" collapsed="false">
      <c r="A2" s="2" t="s">
        <v>282</v>
      </c>
      <c r="B2" s="2"/>
      <c r="C2" s="2"/>
      <c r="D2" s="2"/>
      <c r="E2" s="2"/>
      <c r="F2" s="2"/>
    </row>
    <row r="4" customFormat="false" ht="15" hidden="false" customHeight="false" outlineLevel="0" collapsed="false">
      <c r="A4" s="4" t="s">
        <v>283</v>
      </c>
    </row>
    <row r="5" customFormat="false" ht="30" hidden="false" customHeight="true" outlineLevel="0" collapsed="false">
      <c r="A5" s="5" t="s">
        <v>156</v>
      </c>
      <c r="B5" s="5" t="s">
        <v>284</v>
      </c>
      <c r="C5" s="5" t="s">
        <v>285</v>
      </c>
      <c r="D5" s="5" t="s">
        <v>286</v>
      </c>
      <c r="E5" s="5" t="s">
        <v>287</v>
      </c>
      <c r="F5" s="5" t="s">
        <v>288</v>
      </c>
    </row>
    <row r="6" customFormat="false" ht="15" hidden="false" customHeight="false" outlineLevel="0" collapsed="false">
      <c r="A6" s="10" t="s">
        <v>163</v>
      </c>
      <c r="B6" s="17" t="n">
        <v>7.053696</v>
      </c>
      <c r="C6" s="11" t="n">
        <v>2900</v>
      </c>
      <c r="D6" s="11" t="n">
        <v>750</v>
      </c>
      <c r="E6" s="14" t="n">
        <f aca="false">C6+D6</f>
        <v>3650</v>
      </c>
      <c r="F6" s="33" t="n">
        <f aca="false">B6*E6/1000</f>
        <v>25.7459904</v>
      </c>
    </row>
    <row r="7" customFormat="false" ht="15" hidden="false" customHeight="false" outlineLevel="0" collapsed="false">
      <c r="A7" s="10" t="s">
        <v>164</v>
      </c>
      <c r="B7" s="17" t="n">
        <v>18.0864</v>
      </c>
      <c r="C7" s="11" t="n">
        <v>2900</v>
      </c>
      <c r="D7" s="11" t="n">
        <v>500</v>
      </c>
      <c r="E7" s="14" t="n">
        <f aca="false">C7+D7</f>
        <v>3400</v>
      </c>
      <c r="F7" s="33" t="n">
        <f aca="false">B7*E7/1000</f>
        <v>61.49376</v>
      </c>
    </row>
    <row r="8" customFormat="false" ht="15" hidden="false" customHeight="false" outlineLevel="0" collapsed="false">
      <c r="A8" s="10" t="s">
        <v>167</v>
      </c>
      <c r="B8" s="17" t="n">
        <v>34.1475</v>
      </c>
      <c r="C8" s="11" t="n">
        <v>2900</v>
      </c>
      <c r="D8" s="11" t="n">
        <v>0</v>
      </c>
      <c r="E8" s="14" t="n">
        <f aca="false">C8+D8</f>
        <v>2900</v>
      </c>
      <c r="F8" s="33" t="n">
        <f aca="false">B8*E8/1000</f>
        <v>99.02775</v>
      </c>
    </row>
    <row r="9" customFormat="false" ht="15" hidden="false" customHeight="false" outlineLevel="0" collapsed="false">
      <c r="A9" s="10" t="s">
        <v>168</v>
      </c>
      <c r="B9" s="17" t="n">
        <v>136.59</v>
      </c>
      <c r="C9" s="11" t="n">
        <v>2900</v>
      </c>
      <c r="D9" s="11" t="n">
        <v>0</v>
      </c>
      <c r="E9" s="14" t="n">
        <f aca="false">C9+D9</f>
        <v>2900</v>
      </c>
      <c r="F9" s="33" t="n">
        <f aca="false">B9*E9/1000</f>
        <v>396.111</v>
      </c>
    </row>
    <row r="10" customFormat="false" ht="15" hidden="false" customHeight="false" outlineLevel="0" collapsed="false">
      <c r="A10" s="3" t="s">
        <v>289</v>
      </c>
    </row>
    <row r="12" customFormat="false" ht="15" hidden="false" customHeight="false" outlineLevel="0" collapsed="false">
      <c r="A12" s="4" t="s">
        <v>290</v>
      </c>
    </row>
    <row r="13" customFormat="false" ht="30" hidden="false" customHeight="true" outlineLevel="0" collapsed="false">
      <c r="A13" s="5" t="s">
        <v>143</v>
      </c>
      <c r="B13" s="5" t="s">
        <v>144</v>
      </c>
      <c r="C13" s="5" t="s">
        <v>5</v>
      </c>
      <c r="D13" s="5" t="s">
        <v>145</v>
      </c>
    </row>
    <row r="14" customFormat="false" ht="15" hidden="false" customHeight="false" outlineLevel="0" collapsed="false">
      <c r="A14" s="10" t="s">
        <v>284</v>
      </c>
      <c r="B14" s="17" t="n">
        <v>34.1475</v>
      </c>
      <c r="C14" s="8" t="s">
        <v>147</v>
      </c>
      <c r="D14" s="8"/>
    </row>
    <row r="15" customFormat="false" ht="15" hidden="false" customHeight="false" outlineLevel="0" collapsed="false">
      <c r="A15" s="10" t="s">
        <v>291</v>
      </c>
      <c r="B15" s="11" t="n">
        <v>57700</v>
      </c>
      <c r="C15" s="8" t="s">
        <v>147</v>
      </c>
      <c r="D15" s="8"/>
    </row>
    <row r="16" customFormat="false" ht="15" hidden="false" customHeight="false" outlineLevel="0" collapsed="false">
      <c r="A16" s="10" t="s">
        <v>292</v>
      </c>
      <c r="B16" s="11" t="n">
        <v>2900</v>
      </c>
      <c r="C16" s="8" t="s">
        <v>147</v>
      </c>
      <c r="D16" s="8"/>
    </row>
    <row r="17" customFormat="false" ht="15" hidden="false" customHeight="false" outlineLevel="0" collapsed="false">
      <c r="A17" s="10" t="s">
        <v>293</v>
      </c>
      <c r="B17" s="33" t="n">
        <f aca="false">B14*B15/1000</f>
        <v>1970.31075</v>
      </c>
      <c r="C17" s="8" t="s">
        <v>294</v>
      </c>
      <c r="D17" s="8" t="s">
        <v>295</v>
      </c>
    </row>
    <row r="18" customFormat="false" ht="15" hidden="false" customHeight="false" outlineLevel="0" collapsed="false">
      <c r="A18" s="10" t="s">
        <v>288</v>
      </c>
      <c r="B18" s="33" t="n">
        <f aca="false">B14*B16/1000</f>
        <v>99.02775</v>
      </c>
      <c r="C18" s="8" t="s">
        <v>296</v>
      </c>
      <c r="D18" s="8" t="s">
        <v>297</v>
      </c>
    </row>
    <row r="19" customFormat="false" ht="15" hidden="false" customHeight="false" outlineLevel="0" collapsed="false">
      <c r="A19" s="10" t="s">
        <v>298</v>
      </c>
      <c r="B19" s="33" t="n">
        <f aca="false">B17+B18</f>
        <v>2069.3385</v>
      </c>
      <c r="C19" s="8" t="s">
        <v>299</v>
      </c>
      <c r="D19" s="8" t="s">
        <v>300</v>
      </c>
    </row>
    <row r="20" customFormat="false" ht="15" hidden="false" customHeight="false" outlineLevel="0" collapsed="false">
      <c r="A20" s="10" t="s">
        <v>301</v>
      </c>
      <c r="B20" s="14" t="n">
        <f aca="false">B19/B14*1000</f>
        <v>60600</v>
      </c>
      <c r="C20" s="8" t="s">
        <v>302</v>
      </c>
      <c r="D20" s="8" t="s">
        <v>303</v>
      </c>
    </row>
    <row r="21" customFormat="false" ht="15" hidden="false" customHeight="false" outlineLevel="0" collapsed="false">
      <c r="A21" s="3" t="s">
        <v>304</v>
      </c>
    </row>
    <row r="23" customFormat="false" ht="15" hidden="false" customHeight="false" outlineLevel="0" collapsed="false">
      <c r="A23" s="4" t="s">
        <v>305</v>
      </c>
    </row>
    <row r="24" customFormat="false" ht="30" hidden="false" customHeight="true" outlineLevel="0" collapsed="false">
      <c r="A24" s="5" t="s">
        <v>143</v>
      </c>
      <c r="B24" s="5" t="s">
        <v>144</v>
      </c>
      <c r="C24" s="5" t="s">
        <v>5</v>
      </c>
      <c r="D24" s="5" t="s">
        <v>145</v>
      </c>
    </row>
    <row r="25" customFormat="false" ht="15" hidden="false" customHeight="false" outlineLevel="0" collapsed="false">
      <c r="A25" s="10" t="s">
        <v>306</v>
      </c>
      <c r="B25" s="11" t="n">
        <v>1000</v>
      </c>
      <c r="C25" s="8" t="s">
        <v>147</v>
      </c>
      <c r="D25" s="8"/>
    </row>
    <row r="26" customFormat="false" ht="15" hidden="false" customHeight="false" outlineLevel="0" collapsed="false">
      <c r="A26" s="10" t="s">
        <v>284</v>
      </c>
      <c r="B26" s="12" t="n">
        <v>18.0864</v>
      </c>
      <c r="C26" s="8" t="s">
        <v>147</v>
      </c>
      <c r="D26" s="8"/>
    </row>
    <row r="27" customFormat="false" ht="15" hidden="false" customHeight="false" outlineLevel="0" collapsed="false">
      <c r="A27" s="10" t="s">
        <v>307</v>
      </c>
      <c r="B27" s="13" t="n">
        <f aca="false">B25*B26/1000</f>
        <v>18.0864</v>
      </c>
      <c r="C27" s="8" t="s">
        <v>308</v>
      </c>
      <c r="D27" s="8" t="s">
        <v>309</v>
      </c>
    </row>
    <row r="28" customFormat="false" ht="15" hidden="false" customHeight="false" outlineLevel="0" collapsed="false">
      <c r="A28" s="10" t="s">
        <v>310</v>
      </c>
      <c r="B28" s="17" t="n">
        <v>18.4</v>
      </c>
      <c r="C28" s="8" t="s">
        <v>147</v>
      </c>
      <c r="D28" s="8"/>
    </row>
    <row r="29" customFormat="false" ht="15" hidden="false" customHeight="false" outlineLevel="0" collapsed="false">
      <c r="A29" s="10" t="s">
        <v>311</v>
      </c>
      <c r="B29" s="13" t="n">
        <f aca="false">B28-B27</f>
        <v>0.313599999999997</v>
      </c>
      <c r="C29" s="8" t="s">
        <v>312</v>
      </c>
      <c r="D29" s="8" t="s">
        <v>313</v>
      </c>
    </row>
    <row r="30" customFormat="false" ht="15" hidden="false" customHeight="false" outlineLevel="0" collapsed="false">
      <c r="A30" s="10" t="s">
        <v>314</v>
      </c>
      <c r="B30" s="18" t="n">
        <f aca="false">IFERROR(B29/B27,0)</f>
        <v>0.0173389950460013</v>
      </c>
      <c r="C30" s="8" t="s">
        <v>315</v>
      </c>
      <c r="D30" s="8" t="s">
        <v>316</v>
      </c>
    </row>
    <row r="31" customFormat="false" ht="26.85" hidden="false" customHeight="false" outlineLevel="0" collapsed="false">
      <c r="A31" s="10" t="s">
        <v>317</v>
      </c>
      <c r="B31" s="6" t="str">
        <f aca="false">IF(ABS(B30)&lt;=5%,"OK","Check")</f>
        <v>OK</v>
      </c>
      <c r="C31" s="8" t="s">
        <v>318</v>
      </c>
      <c r="D31" s="8" t="s">
        <v>319</v>
      </c>
    </row>
    <row r="32" customFormat="false" ht="15" hidden="false" customHeight="false" outlineLevel="0" collapsed="false">
      <c r="A32" s="3" t="s">
        <v>320</v>
      </c>
    </row>
  </sheetData>
  <mergeCells count="1">
    <mergeCell ref="A2:F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E3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3" min="2" style="0" width="40"/>
    <col collapsed="false" customWidth="true" hidden="false" outlineLevel="0" max="5" min="4" style="0" width="14"/>
  </cols>
  <sheetData>
    <row r="1" customFormat="false" ht="18.55" hidden="false" customHeight="false" outlineLevel="0" collapsed="false">
      <c r="A1" s="1" t="s">
        <v>321</v>
      </c>
    </row>
    <row r="2" customFormat="false" ht="15" hidden="false" customHeight="false" outlineLevel="0" collapsed="false">
      <c r="A2" s="2" t="s">
        <v>322</v>
      </c>
      <c r="B2" s="2"/>
      <c r="C2" s="2"/>
      <c r="D2" s="2"/>
      <c r="E2" s="2"/>
    </row>
    <row r="4" customFormat="false" ht="15" hidden="false" customHeight="false" outlineLevel="0" collapsed="false">
      <c r="A4" s="4" t="s">
        <v>323</v>
      </c>
    </row>
    <row r="5" customFormat="false" ht="30" hidden="false" customHeight="true" outlineLevel="0" collapsed="false">
      <c r="A5" s="5" t="s">
        <v>95</v>
      </c>
      <c r="B5" s="5" t="s">
        <v>324</v>
      </c>
      <c r="C5" s="5" t="s">
        <v>222</v>
      </c>
      <c r="D5" s="5" t="s">
        <v>223</v>
      </c>
      <c r="E5" s="5" t="s">
        <v>275</v>
      </c>
    </row>
    <row r="6" customFormat="false" ht="15" hidden="false" customHeight="false" outlineLevel="0" collapsed="false">
      <c r="A6" s="6" t="s">
        <v>201</v>
      </c>
      <c r="B6" s="6" t="s">
        <v>325</v>
      </c>
      <c r="C6" s="22" t="n">
        <v>996.3</v>
      </c>
      <c r="D6" s="22" t="n">
        <v>1097.9</v>
      </c>
      <c r="E6" s="22" t="n">
        <v>305.6</v>
      </c>
    </row>
    <row r="7" customFormat="false" ht="15" hidden="false" customHeight="false" outlineLevel="0" collapsed="false">
      <c r="A7" s="6" t="s">
        <v>202</v>
      </c>
      <c r="B7" s="6" t="s">
        <v>325</v>
      </c>
      <c r="C7" s="22" t="n">
        <v>376</v>
      </c>
      <c r="D7" s="22" t="n">
        <v>265.5</v>
      </c>
      <c r="E7" s="22" t="n">
        <v>236</v>
      </c>
    </row>
    <row r="8" customFormat="false" ht="15" hidden="false" customHeight="false" outlineLevel="0" collapsed="false">
      <c r="A8" s="6" t="s">
        <v>203</v>
      </c>
      <c r="B8" s="6" t="s">
        <v>326</v>
      </c>
      <c r="C8" s="22" t="n">
        <v>682.9</v>
      </c>
      <c r="D8" s="22" t="n">
        <v>403.5</v>
      </c>
      <c r="E8" s="22" t="n">
        <v>45.8</v>
      </c>
    </row>
    <row r="9" customFormat="false" ht="15" hidden="false" customHeight="false" outlineLevel="0" collapsed="false">
      <c r="A9" s="6" t="s">
        <v>204</v>
      </c>
      <c r="B9" s="6" t="s">
        <v>326</v>
      </c>
      <c r="C9" s="22" t="n">
        <v>673.6</v>
      </c>
      <c r="D9" s="22" t="n">
        <v>944</v>
      </c>
      <c r="E9" s="22" t="n">
        <v>293.7</v>
      </c>
    </row>
    <row r="11" customFormat="false" ht="15" hidden="false" customHeight="false" outlineLevel="0" collapsed="false">
      <c r="A11" s="4" t="s">
        <v>327</v>
      </c>
    </row>
    <row r="12" customFormat="false" ht="30" hidden="false" customHeight="true" outlineLevel="0" collapsed="false">
      <c r="A12" s="5" t="s">
        <v>328</v>
      </c>
      <c r="B12" s="5" t="s">
        <v>329</v>
      </c>
      <c r="C12" s="5" t="s">
        <v>330</v>
      </c>
      <c r="D12" s="5" t="s">
        <v>331</v>
      </c>
    </row>
    <row r="13" customFormat="false" ht="15" hidden="false" customHeight="false" outlineLevel="0" collapsed="false">
      <c r="A13" s="10" t="s">
        <v>332</v>
      </c>
      <c r="B13" s="8" t="s">
        <v>333</v>
      </c>
      <c r="C13" s="6" t="s">
        <v>334</v>
      </c>
      <c r="D13" s="23" t="n">
        <f aca="false">SUM(C6:C9)</f>
        <v>2728.8</v>
      </c>
    </row>
    <row r="14" customFormat="false" ht="15" hidden="false" customHeight="false" outlineLevel="0" collapsed="false">
      <c r="A14" s="10" t="s">
        <v>335</v>
      </c>
      <c r="B14" s="8" t="s">
        <v>336</v>
      </c>
      <c r="C14" s="6" t="s">
        <v>337</v>
      </c>
      <c r="D14" s="23" t="n">
        <f aca="false">SUMIF(B6:B9,"South",C6:C9)</f>
        <v>1372.3</v>
      </c>
    </row>
    <row r="15" customFormat="false" ht="15" hidden="false" customHeight="false" outlineLevel="0" collapsed="false">
      <c r="A15" s="10" t="s">
        <v>338</v>
      </c>
      <c r="B15" s="8" t="s">
        <v>339</v>
      </c>
      <c r="C15" s="6" t="s">
        <v>340</v>
      </c>
      <c r="D15" s="23" t="n">
        <f aca="false">SUMIFS(D6:D9,B6:B9,"West",C6:C9,"&gt;500")</f>
        <v>1347.5</v>
      </c>
    </row>
    <row r="16" customFormat="false" ht="15" hidden="false" customHeight="false" outlineLevel="0" collapsed="false">
      <c r="A16" s="10" t="s">
        <v>341</v>
      </c>
      <c r="B16" s="8" t="s">
        <v>342</v>
      </c>
      <c r="C16" s="6" t="s">
        <v>343</v>
      </c>
      <c r="D16" s="28" t="n">
        <f aca="false">COUNTIF(B6:B9,"South")</f>
        <v>2</v>
      </c>
    </row>
    <row r="17" customFormat="false" ht="15" hidden="false" customHeight="false" outlineLevel="0" collapsed="false">
      <c r="A17" s="10" t="s">
        <v>344</v>
      </c>
      <c r="B17" s="8" t="s">
        <v>345</v>
      </c>
      <c r="C17" s="6" t="s">
        <v>346</v>
      </c>
      <c r="D17" s="23" t="n">
        <f aca="false">AVERAGE(D6:D9)</f>
        <v>677.725</v>
      </c>
    </row>
    <row r="18" customFormat="false" ht="15" hidden="false" customHeight="false" outlineLevel="0" collapsed="false">
      <c r="A18" s="10" t="s">
        <v>347</v>
      </c>
      <c r="B18" s="8" t="s">
        <v>348</v>
      </c>
      <c r="C18" s="6" t="s">
        <v>349</v>
      </c>
      <c r="D18" s="23" t="n">
        <f aca="false">MAX(C6:C9)</f>
        <v>996.3</v>
      </c>
    </row>
    <row r="19" customFormat="false" ht="15" hidden="false" customHeight="false" outlineLevel="0" collapsed="false">
      <c r="A19" s="10" t="s">
        <v>350</v>
      </c>
      <c r="B19" s="8" t="s">
        <v>351</v>
      </c>
      <c r="C19" s="6" t="s">
        <v>352</v>
      </c>
      <c r="D19" s="23" t="n">
        <f aca="false">_xlfn.MAXIFS(C6:C9,B6:B9,"West")</f>
        <v>682.9</v>
      </c>
    </row>
    <row r="20" customFormat="false" ht="15" hidden="false" customHeight="false" outlineLevel="0" collapsed="false">
      <c r="A20" s="10" t="s">
        <v>353</v>
      </c>
      <c r="B20" s="8" t="s">
        <v>354</v>
      </c>
      <c r="C20" s="6" t="s">
        <v>355</v>
      </c>
      <c r="D20" s="6" t="str">
        <f aca="false">IF(C6&gt;D6,"Stock &gt; 1 month","OK")</f>
        <v>OK</v>
      </c>
    </row>
    <row r="21" customFormat="false" ht="15" hidden="false" customHeight="false" outlineLevel="0" collapsed="false">
      <c r="A21" s="10" t="s">
        <v>356</v>
      </c>
      <c r="B21" s="8" t="s">
        <v>357</v>
      </c>
      <c r="C21" s="6" t="s">
        <v>358</v>
      </c>
      <c r="D21" s="28" t="n">
        <f aca="false">IFERROR(C6/0,0)</f>
        <v>0</v>
      </c>
    </row>
    <row r="22" customFormat="false" ht="15" hidden="false" customHeight="false" outlineLevel="0" collapsed="false">
      <c r="A22" s="10" t="s">
        <v>359</v>
      </c>
      <c r="B22" s="8" t="s">
        <v>360</v>
      </c>
      <c r="C22" s="6" t="s">
        <v>361</v>
      </c>
      <c r="D22" s="23" t="n">
        <f aca="false">VLOOKUP("Tapi",A6:E9,3,FALSE())</f>
        <v>673.6</v>
      </c>
    </row>
    <row r="23" customFormat="false" ht="15" hidden="false" customHeight="false" outlineLevel="0" collapsed="false">
      <c r="A23" s="10" t="s">
        <v>362</v>
      </c>
      <c r="B23" s="8" t="s">
        <v>363</v>
      </c>
      <c r="C23" s="6" t="s">
        <v>364</v>
      </c>
      <c r="D23" s="23" t="n">
        <f aca="false">INDEX(C6:C9,MATCH("NPMD",A6:A9,0))</f>
        <v>682.9</v>
      </c>
    </row>
    <row r="24" customFormat="false" ht="15" hidden="false" customHeight="false" outlineLevel="0" collapsed="false">
      <c r="A24" s="10" t="s">
        <v>365</v>
      </c>
      <c r="B24" s="8" t="s">
        <v>366</v>
      </c>
      <c r="C24" s="6" t="s">
        <v>367</v>
      </c>
      <c r="D24" s="14" t="n">
        <f aca="false">ROUND(C6,0)</f>
        <v>996</v>
      </c>
    </row>
    <row r="25" customFormat="false" ht="15" hidden="false" customHeight="false" outlineLevel="0" collapsed="false">
      <c r="A25" s="10" t="s">
        <v>368</v>
      </c>
      <c r="B25" s="8" t="s">
        <v>369</v>
      </c>
      <c r="C25" s="6" t="s">
        <v>370</v>
      </c>
      <c r="D25" s="34" t="n">
        <f aca="true">TODAY()</f>
        <v>46307</v>
      </c>
    </row>
    <row r="26" customFormat="false" ht="15" hidden="false" customHeight="false" outlineLevel="0" collapsed="false">
      <c r="A26" s="10" t="s">
        <v>371</v>
      </c>
      <c r="B26" s="8" t="s">
        <v>372</v>
      </c>
      <c r="C26" s="6" t="s">
        <v>373</v>
      </c>
      <c r="D26" s="28" t="n">
        <f aca="false">DATE(2026,10,12)-DATE(2026,4,23)</f>
        <v>172</v>
      </c>
    </row>
    <row r="27" customFormat="false" ht="15" hidden="false" customHeight="false" outlineLevel="0" collapsed="false">
      <c r="A27" s="10" t="s">
        <v>374</v>
      </c>
      <c r="B27" s="8" t="s">
        <v>375</v>
      </c>
      <c r="C27" s="6" t="s">
        <v>376</v>
      </c>
      <c r="D27" s="34" t="n">
        <f aca="false">EOMONTH(DATE(2026,10,12),0)</f>
        <v>46326</v>
      </c>
    </row>
    <row r="29" customFormat="false" ht="15" hidden="false" customHeight="false" outlineLevel="0" collapsed="false">
      <c r="A29" s="4" t="s">
        <v>377</v>
      </c>
    </row>
    <row r="30" customFormat="false" ht="15" hidden="false" customHeight="false" outlineLevel="0" collapsed="false">
      <c r="A30" s="9" t="s">
        <v>378</v>
      </c>
    </row>
    <row r="31" customFormat="false" ht="15" hidden="false" customHeight="false" outlineLevel="0" collapsed="false">
      <c r="A31" s="9" t="s">
        <v>379</v>
      </c>
    </row>
    <row r="32" customFormat="false" ht="15" hidden="false" customHeight="false" outlineLevel="0" collapsed="false">
      <c r="A32" s="9" t="s">
        <v>380</v>
      </c>
    </row>
    <row r="33" customFormat="false" ht="15" hidden="false" customHeight="false" outlineLevel="0" collapsed="false">
      <c r="A33" s="9" t="s">
        <v>381</v>
      </c>
    </row>
    <row r="34" customFormat="false" ht="15" hidden="false" customHeight="false" outlineLevel="0" collapsed="false">
      <c r="A34" s="9" t="s">
        <v>382</v>
      </c>
    </row>
    <row r="35" customFormat="false" ht="15" hidden="false" customHeight="false" outlineLevel="0" collapsed="false">
      <c r="A35" s="9" t="s">
        <v>383</v>
      </c>
    </row>
  </sheetData>
  <mergeCells count="1">
    <mergeCell ref="A2:E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B1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95"/>
  </cols>
  <sheetData>
    <row r="1" customFormat="false" ht="18.55" hidden="false" customHeight="false" outlineLevel="0" collapsed="false">
      <c r="A1" s="1" t="s">
        <v>384</v>
      </c>
    </row>
    <row r="2" customFormat="false" ht="15" hidden="false" customHeight="false" outlineLevel="0" collapsed="false">
      <c r="A2" s="2" t="s">
        <v>385</v>
      </c>
      <c r="B2" s="2"/>
    </row>
    <row r="4" customFormat="false" ht="30" hidden="false" customHeight="true" outlineLevel="0" collapsed="false">
      <c r="A4" s="10" t="n">
        <v>1</v>
      </c>
      <c r="B4" s="8" t="s">
        <v>386</v>
      </c>
    </row>
    <row r="5" customFormat="false" ht="30" hidden="false" customHeight="true" outlineLevel="0" collapsed="false">
      <c r="A5" s="10" t="n">
        <v>2</v>
      </c>
      <c r="B5" s="8" t="s">
        <v>387</v>
      </c>
    </row>
    <row r="6" customFormat="false" ht="30" hidden="false" customHeight="true" outlineLevel="0" collapsed="false">
      <c r="A6" s="10" t="n">
        <v>3</v>
      </c>
      <c r="B6" s="8" t="s">
        <v>388</v>
      </c>
    </row>
    <row r="7" customFormat="false" ht="30" hidden="false" customHeight="true" outlineLevel="0" collapsed="false">
      <c r="A7" s="10" t="n">
        <v>4</v>
      </c>
      <c r="B7" s="8" t="s">
        <v>389</v>
      </c>
    </row>
    <row r="8" customFormat="false" ht="30" hidden="false" customHeight="true" outlineLevel="0" collapsed="false">
      <c r="A8" s="10" t="n">
        <v>5</v>
      </c>
      <c r="B8" s="8" t="s">
        <v>390</v>
      </c>
    </row>
    <row r="9" customFormat="false" ht="30" hidden="false" customHeight="true" outlineLevel="0" collapsed="false">
      <c r="A9" s="10" t="n">
        <v>6</v>
      </c>
      <c r="B9" s="8" t="s">
        <v>391</v>
      </c>
    </row>
    <row r="10" customFormat="false" ht="30" hidden="false" customHeight="true" outlineLevel="0" collapsed="false">
      <c r="A10" s="10" t="n">
        <v>7</v>
      </c>
      <c r="B10" s="8" t="s">
        <v>392</v>
      </c>
    </row>
    <row r="11" customFormat="false" ht="30" hidden="false" customHeight="true" outlineLevel="0" collapsed="false">
      <c r="A11" s="10" t="n">
        <v>8</v>
      </c>
      <c r="B11" s="8" t="s">
        <v>393</v>
      </c>
    </row>
    <row r="12" customFormat="false" ht="30" hidden="false" customHeight="true" outlineLevel="0" collapsed="false">
      <c r="A12" s="10" t="n">
        <v>9</v>
      </c>
      <c r="B12" s="8" t="s">
        <v>394</v>
      </c>
    </row>
    <row r="13" customFormat="false" ht="30" hidden="false" customHeight="true" outlineLevel="0" collapsed="false">
      <c r="A13" s="10" t="n">
        <v>10</v>
      </c>
      <c r="B13" s="8" t="s">
        <v>395</v>
      </c>
    </row>
    <row r="14" customFormat="false" ht="30" hidden="false" customHeight="true" outlineLevel="0" collapsed="false">
      <c r="A14" s="10" t="n">
        <v>11</v>
      </c>
      <c r="B14" s="8" t="s">
        <v>396</v>
      </c>
    </row>
    <row r="15" customFormat="false" ht="30" hidden="false" customHeight="true" outlineLevel="0" collapsed="false">
      <c r="A15" s="10" t="n">
        <v>12</v>
      </c>
      <c r="B15" s="8" t="s">
        <v>397</v>
      </c>
    </row>
  </sheetData>
  <mergeCells count="1">
    <mergeCell ref="A2:B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2026-10-12T07:37:33Z</dcterms:created>
  <dc:creator>openpyxl</dc:creator>
  <dc:description/>
  <dc:language>en-US</dc:language>
  <cp:lastModifiedBy/>
  <dcterms:modified xsi:type="dcterms:W3CDTF">2026-10-12T07:37:33Z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