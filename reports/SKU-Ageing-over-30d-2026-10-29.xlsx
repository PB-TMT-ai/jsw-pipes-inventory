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by plant" sheetId="1" state="visible" r:id="rId3"/>
    <sheet name="Over 30 days" sheetId="2" state="visible" r:id="rId4"/>
  </sheets>
  <definedNames>
    <definedName function="false" hidden="false" localSheetId="1" name="_xlnm.Print_Titles" vbProcedure="false">'Over 30 days'!$4:$4</definedName>
    <definedName function="false" hidden="true" localSheetId="1" name="_xlnm._FilterDatabase" vbProcedure="false">'Over 30 days'!$A$4:$K$100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<sst xmlns="http://schemas.openxmlformats.org/spreadsheetml/2006/main" count="444" uniqueCount="140">
  <si>
    <t xml:space="preserve">Finished stock by plant (MT) - as of 29-Oct-2026</t>
  </si>
  <si>
    <t xml:space="preserve">Data up to 28-Oct. Current inventory and Over 60 days match the Inventory Snapshot for the same date.</t>
  </si>
  <si>
    <t xml:space="preserve">Plant</t>
  </si>
  <si>
    <t xml:space="preserve">Sells to</t>
  </si>
  <si>
    <t xml:space="preserve">Current inventory</t>
  </si>
  <si>
    <t xml:space="preserve">Over 30 days</t>
  </si>
  <si>
    <t xml:space="preserve">31-60 days</t>
  </si>
  <si>
    <t xml:space="preserve">61-90 days</t>
  </si>
  <si>
    <t xml:space="preserve">90+ days</t>
  </si>
  <si>
    <t xml:space="preserve">Over 60 days</t>
  </si>
  <si>
    <t xml:space="preserve">% over 60 days</t>
  </si>
  <si>
    <t xml:space="preserve">Sizes over 30 days</t>
  </si>
  <si>
    <t xml:space="preserve">Over 30 days on 26-Oct</t>
  </si>
  <si>
    <t xml:space="preserve">Sold from it since 26-Oct</t>
  </si>
  <si>
    <t xml:space="preserve">% sold</t>
  </si>
  <si>
    <t xml:space="preserve">Hyderabad</t>
  </si>
  <si>
    <t xml:space="preserve">South</t>
  </si>
  <si>
    <t xml:space="preserve">NPMD</t>
  </si>
  <si>
    <t xml:space="preserve">West</t>
  </si>
  <si>
    <t xml:space="preserve">Tapi</t>
  </si>
  <si>
    <t xml:space="preserve">Lepakshi</t>
  </si>
  <si>
    <t xml:space="preserve">Total</t>
  </si>
  <si>
    <t xml:space="preserve">Current inventory, "Over 30 days on 26-Oct" and "Sold from it since 26-Oct" are computed from the database for the whole plant, including sizes not listed on the detail sheet; the other columns add up the detail sheet.</t>
  </si>
  <si>
    <t xml:space="preserve">"Sold from it since 26-Oct" = how much of the stock that was over 30 days on 26-Oct has been invoiced since (oldest stock is always invoiced first).</t>
  </si>
  <si>
    <t xml:space="preserve">Over 60 days = 61 days or more, as in the Inventory Snapshot.</t>
  </si>
  <si>
    <t xml:space="preserve">JSW Pipes &amp; Tubes - finished stock older than 30 days, by plant and size</t>
  </si>
  <si>
    <t xml:space="preserve">As of 29-Oct-2026 · data up to 28-Oct · stock = produced minus invoiced at each plant, aged first-in-first-out from the production date · MT</t>
  </si>
  <si>
    <t xml:space="preserve">Priority</t>
  </si>
  <si>
    <t xml:space="preserve">Size</t>
  </si>
  <si>
    <t xml:space="preserve">Over 30 days (MT)</t>
  </si>
  <si>
    <t xml:space="preserve">31-60 days (MT)</t>
  </si>
  <si>
    <t xml:space="preserve">61-90 days (MT)</t>
  </si>
  <si>
    <t xml:space="preserve">90+ days (MT)</t>
  </si>
  <si>
    <t xml:space="preserve">Oldest batch (days)</t>
  </si>
  <si>
    <t xml:space="preserve">Total on hand (MT)</t>
  </si>
  <si>
    <t xml:space="preserve">Sold since 26-Oct (MT)</t>
  </si>
  <si>
    <t xml:space="preserve">P1: oldest batch over 90 days</t>
  </si>
  <si>
    <t xml:space="preserve">CHS 50 NB x 2.0</t>
  </si>
  <si>
    <t xml:space="preserve">CHS 80 NB x 2.5</t>
  </si>
  <si>
    <t xml:space="preserve">CHS 32 NB x 2.5</t>
  </si>
  <si>
    <t xml:space="preserve">CHS 40 NB x 2.0</t>
  </si>
  <si>
    <t xml:space="preserve">RHS 75x25 x 2.8</t>
  </si>
  <si>
    <t xml:space="preserve">CHS 80 NB x 2.0</t>
  </si>
  <si>
    <t xml:space="preserve">CHS 40 NB x 4.0</t>
  </si>
  <si>
    <t xml:space="preserve">CHS 80 NB x 1.6</t>
  </si>
  <si>
    <t xml:space="preserve">CHS 50 NB x 2.5</t>
  </si>
  <si>
    <t xml:space="preserve">CHS 20 NB x 1.6</t>
  </si>
  <si>
    <t xml:space="preserve">RHS 75x25 x 2.0</t>
  </si>
  <si>
    <t xml:space="preserve">CHS 20 NB x 2.8</t>
  </si>
  <si>
    <t xml:space="preserve">SHS 38x38 x 2.2</t>
  </si>
  <si>
    <t xml:space="preserve">CHS 80 NB x 3.2</t>
  </si>
  <si>
    <t xml:space="preserve">CHS 40 NB x 2.5</t>
  </si>
  <si>
    <t xml:space="preserve">CHS 65 NB x 2.5</t>
  </si>
  <si>
    <t xml:space="preserve">RHS 40x20 x 3.0</t>
  </si>
  <si>
    <t xml:space="preserve">CHS 80 NB x 2.8</t>
  </si>
  <si>
    <t xml:space="preserve">CHS 50 NB x 2.8</t>
  </si>
  <si>
    <t xml:space="preserve">CHS 20 NB x 2.5</t>
  </si>
  <si>
    <t xml:space="preserve">SHS 60x60 x 2.5</t>
  </si>
  <si>
    <t xml:space="preserve">SHS 30x30 x 2.5</t>
  </si>
  <si>
    <t xml:space="preserve">CHS 80 NB x 4.0</t>
  </si>
  <si>
    <t xml:space="preserve">RHS 100x50 x 2.8</t>
  </si>
  <si>
    <t xml:space="preserve">SHS 50x50 x 2.2</t>
  </si>
  <si>
    <t xml:space="preserve">CHS 50 NB x 1.6</t>
  </si>
  <si>
    <t xml:space="preserve">RHS 100x50 x 3.2</t>
  </si>
  <si>
    <t xml:space="preserve">RHS 50x25 x 2.8</t>
  </si>
  <si>
    <t xml:space="preserve">RHS 75x25 x 2.5</t>
  </si>
  <si>
    <t xml:space="preserve">RHS 40x20 x 2.8</t>
  </si>
  <si>
    <t xml:space="preserve">SHS 75x75 x 2.0</t>
  </si>
  <si>
    <t xml:space="preserve">SHS 75x75 x 2.5</t>
  </si>
  <si>
    <t xml:space="preserve">CHS 25 NB x 2.5</t>
  </si>
  <si>
    <t xml:space="preserve">RHS 40x20 x 2.2</t>
  </si>
  <si>
    <t xml:space="preserve">SHS 38x38 x 4.0</t>
  </si>
  <si>
    <t xml:space="preserve">CHS 65 NB x 4.0</t>
  </si>
  <si>
    <t xml:space="preserve">P2: oldest batch 61-90 days</t>
  </si>
  <si>
    <t xml:space="preserve">SHS 38x38 x 2.8</t>
  </si>
  <si>
    <t xml:space="preserve">CHS 25 NB x 1.6</t>
  </si>
  <si>
    <t xml:space="preserve">CHS 32 NB x 2.0</t>
  </si>
  <si>
    <t xml:space="preserve">RHS 50x25 x 2.5</t>
  </si>
  <si>
    <t xml:space="preserve">RHS 100x50 x 2.5</t>
  </si>
  <si>
    <t xml:space="preserve">CHS 25 NB x 2.0</t>
  </si>
  <si>
    <t xml:space="preserve">SHS 30x30 x 1.6</t>
  </si>
  <si>
    <t xml:space="preserve">SHS 72x72 x 5.0</t>
  </si>
  <si>
    <t xml:space="preserve">P3: 31-60 days</t>
  </si>
  <si>
    <t xml:space="preserve">SHS 50x50 x 2.8</t>
  </si>
  <si>
    <t xml:space="preserve">CHS 65 NB x 2.0</t>
  </si>
  <si>
    <t xml:space="preserve">CHS 40 NB x 2.8</t>
  </si>
  <si>
    <t xml:space="preserve">RHS 60x40 x 2.5</t>
  </si>
  <si>
    <t xml:space="preserve">SHS 60x60 x 4.0</t>
  </si>
  <si>
    <t xml:space="preserve">CHS 65 NB x 2.8</t>
  </si>
  <si>
    <t xml:space="preserve">RHS 80x40 x 2.0</t>
  </si>
  <si>
    <t xml:space="preserve">RHS 40x20 x 2.0</t>
  </si>
  <si>
    <t xml:space="preserve">RHS 80x40 x 2.8</t>
  </si>
  <si>
    <t xml:space="preserve">CHS 20 NB x 2.0</t>
  </si>
  <si>
    <t xml:space="preserve">SHS 50x50 x 4.0</t>
  </si>
  <si>
    <t xml:space="preserve">CHS 15 NB x 2.0</t>
  </si>
  <si>
    <t xml:space="preserve">new</t>
  </si>
  <si>
    <t xml:space="preserve">CHS 15 NB x 2.5</t>
  </si>
  <si>
    <t xml:space="preserve">RHS 50x25 x 2.0</t>
  </si>
  <si>
    <t xml:space="preserve">CHS 32 NB x 4.0</t>
  </si>
  <si>
    <t xml:space="preserve">RHS 100x50 x 4.0</t>
  </si>
  <si>
    <t xml:space="preserve">RHS 60x40 x 2.0</t>
  </si>
  <si>
    <t xml:space="preserve">SHS 38x38 x 2.5</t>
  </si>
  <si>
    <t xml:space="preserve">SHS 50x50 x 2.5</t>
  </si>
  <si>
    <t xml:space="preserve">RHS 80x40 x 2.5</t>
  </si>
  <si>
    <t xml:space="preserve">CHS 32 NB x 1.6</t>
  </si>
  <si>
    <t xml:space="preserve">RHS 40x20 x 1.2</t>
  </si>
  <si>
    <t xml:space="preserve">RHS 80x40 x 3.0</t>
  </si>
  <si>
    <t xml:space="preserve">SHS 50x50 x 2.0</t>
  </si>
  <si>
    <t xml:space="preserve">RHS 60x40 x 3.0</t>
  </si>
  <si>
    <t xml:space="preserve">RHS 50x25 x 3.0</t>
  </si>
  <si>
    <t xml:space="preserve">RHS 50x25 x 1.6</t>
  </si>
  <si>
    <t xml:space="preserve">SHS 50x50 x 3.0</t>
  </si>
  <si>
    <t xml:space="preserve">SHS 132x132 x 3.0</t>
  </si>
  <si>
    <t xml:space="preserve">RHS 200x100 x 5.0</t>
  </si>
  <si>
    <t xml:space="preserve">SHS 132x132 x 4.0</t>
  </si>
  <si>
    <t xml:space="preserve">RHS 200x100 x 3.0</t>
  </si>
  <si>
    <t xml:space="preserve">SHS 150x150 x 2.5</t>
  </si>
  <si>
    <t xml:space="preserve">RHS 145x82 x 3.0</t>
  </si>
  <si>
    <t xml:space="preserve">RHS 145x82 x 4.0</t>
  </si>
  <si>
    <t xml:space="preserve">SHS 40x40 x 2.0</t>
  </si>
  <si>
    <t xml:space="preserve">SHS 40x40 x 3.0</t>
  </si>
  <si>
    <t xml:space="preserve">SHS 100x100 x 5.0</t>
  </si>
  <si>
    <t xml:space="preserve">RHS 200x100 x 4.0</t>
  </si>
  <si>
    <t xml:space="preserve">SHS 72x72 x 2.0</t>
  </si>
  <si>
    <t xml:space="preserve">RHS 96x48 x 2.0</t>
  </si>
  <si>
    <t xml:space="preserve">SHS 72x72 x 2.5</t>
  </si>
  <si>
    <t xml:space="preserve">RHS 96x48 x 2.5</t>
  </si>
  <si>
    <t xml:space="preserve">SHS 100x100 x 3.0</t>
  </si>
  <si>
    <t xml:space="preserve">SHS 100x100 x 2.0</t>
  </si>
  <si>
    <t xml:space="preserve">SHS 100x100 x 2.5</t>
  </si>
  <si>
    <t xml:space="preserve">Total (follows the filter)</t>
  </si>
  <si>
    <t xml:space="preserve">How to read this sheet</t>
  </si>
  <si>
    <t xml:space="preserve">Priority is set by the age of the oldest batch still in stock: P1 over 90 days, P2 61-90 days, P3 31-60 days.</t>
  </si>
  <si>
    <t xml:space="preserve">The three age columns split each size's over-30-day tonnage by bracket; "Over 30 days" is their sum.</t>
  </si>
  <si>
    <t xml:space="preserve">"Sold since 26-Oct" = tonnes of that size's aged stock invoiced since the 26-Oct mail. 0.00 (red) = nothing moved; "new" = crossed 30 days since 26-Oct.</t>
  </si>
  <si>
    <t xml:space="preserve">Sells to: Hyderabad (shown as Nippon in the Inventory Snapshot) and Lepakshi serve South distributors; NPMD and Tapi serve West.</t>
  </si>
  <si>
    <t xml:space="preserve">Use the filter arrows on the header row to pick a plant, region or priority; the Total row follows the filter.</t>
  </si>
  <si>
    <t xml:space="preserve">Sizes whose aged stock sold out completely since 26-Oct are not listed, so "Sold since 26-Oct" is not totalled here; the plant totals are on the Summary sheet.</t>
  </si>
  <si>
    <t xml:space="preserve">A size = section + size + thickness (IS standard and length not split); production tonnage = tubes x SKU master weight per tube. Same rules as the Inventory Snapshot.</t>
  </si>
  <si>
    <t xml:space="preserve">Figures come from the system. Please check availability with the plant before committing quantities.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</si>
</sst>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\-#,##0.00;\-"/>
    <numFmt numFmtId="166" formatCode="0.0%"/>
    <numFmt numFmtId="167" formatCode="0"/>
    <numFmt numFmtId="168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A5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9B1C1C"/>
      <name val="Arial"/>
      <family val="0"/>
      <charset val="1"/>
    </font>
    <font>
      <sz val="10"/>
      <color rgb="FF1E6B34"/>
      <name val="Arial"/>
      <family val="0"/>
      <charset val="1"/>
    </font>
    <font>
      <i val="true"/>
      <sz val="10"/>
      <color rgb="FF8A5300"/>
      <name val="Arial"/>
      <family val="0"/>
      <charset val="1"/>
    </font>
    <font>
      <b val="true"/>
      <sz val="9"/>
      <color rgb="FF333333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EF2F6"/>
        <bgColor rgb="FFFFFFFF"/>
      </patternFill>
    </fill>
    <fill>
      <patternFill patternType="solid">
        <fgColor rgb="FFFBE3E1"/>
        <bgColor rgb="FFFFF1D6"/>
      </patternFill>
    </fill>
    <fill>
      <patternFill patternType="solid">
        <fgColor rgb="FFFFF1D6"/>
        <bgColor rgb="FFFFF9DB"/>
      </patternFill>
    </fill>
    <fill>
      <patternFill patternType="solid">
        <fgColor rgb="FFFFF9DB"/>
        <bgColor rgb="FFFFF1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BE3E1"/>
          <bgColor rgb="FF000000"/>
        </patternFill>
      </fill>
    </dxf>
    <dxf>
      <fill>
        <patternFill patternType="solid">
          <fgColor rgb="FFFFF1D6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E6B34"/>
          <bgColor rgb="FF000000"/>
        </patternFill>
      </fill>
    </dxf>
    <dxf>
      <fill>
        <patternFill patternType="solid">
          <fgColor rgb="FF8A5300"/>
          <bgColor rgb="FF000000"/>
        </patternFill>
      </fill>
    </dxf>
    <dxf>
      <fill>
        <patternFill patternType="solid">
          <fgColor rgb="FF9B1C1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4"/>
      <rgbColor rgb="FF000080"/>
      <rgbColor rgb="FF8A5300"/>
      <rgbColor rgb="FF800080"/>
      <rgbColor rgb="FF008080"/>
      <rgbColor rgb="FFC0C0C0"/>
      <rgbColor rgb="FF808080"/>
      <rgbColor rgb="FF9999FF"/>
      <rgbColor rgb="FF993366"/>
      <rgbColor rgb="FFFFF9DB"/>
      <rgbColor rgb="FFEEF2F6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1D6"/>
      <rgbColor rgb="FF99CCFF"/>
      <rgbColor rgb="FFFF99CC"/>
      <rgbColor rgb="FFCC99FF"/>
      <rgbColor rgb="FFFBE3E1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B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4" min="3" style="0" width="12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2" min="11" style="0" width="13"/>
    <col collapsed="false" customWidth="true" hidden="false" outlineLevel="0" max="13" min="13" style="0" width="9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5" hidden="false" customHeight="false" outlineLevel="0" collapsed="false">
      <c r="A5" s="4" t="s">
        <v>15</v>
      </c>
      <c r="B5" s="5" t="s">
        <v>16</v>
      </c>
      <c r="C5" s="5" t="n">
        <v>895.247198917837</v>
      </c>
      <c r="D5" s="4" t="n">
        <f aca="false">SUMIF('Over 30 days'!$B$5:$B$100,A5,'Over 30 days'!$E$5:$E$100)</f>
        <v>489.164569595259</v>
      </c>
      <c r="E5" s="5" t="n">
        <f aca="false">SUMIF('Over 30 days'!$B$5:$B$100,A5,'Over 30 days'!$F$5:$F$100)</f>
        <v>198.918742271222</v>
      </c>
      <c r="F5" s="5" t="n">
        <f aca="false">SUMIF('Over 30 days'!$B$5:$B$100,A5,'Over 30 days'!$G$5:$G$100)</f>
        <v>28.6116667098091</v>
      </c>
      <c r="G5" s="5" t="n">
        <f aca="false">SUMIF('Over 30 days'!$B$5:$B$100,A5,'Over 30 days'!$H$5:$H$100)</f>
        <v>261.634160614229</v>
      </c>
      <c r="H5" s="5" t="n">
        <f aca="false">F5+G5</f>
        <v>290.245827324038</v>
      </c>
      <c r="I5" s="6" t="n">
        <f aca="false">IF(C5&gt;0,H5/C5,0)</f>
        <v>0.32420746769706</v>
      </c>
      <c r="J5" s="7" t="n">
        <f aca="false">COUNTIF('Over 30 days'!$B$5:$B$100,A5)</f>
        <v>65</v>
      </c>
      <c r="K5" s="5" t="n">
        <v>486.554145568641</v>
      </c>
      <c r="L5" s="5" t="n">
        <v>12.474462373381</v>
      </c>
      <c r="M5" s="6" t="n">
        <f aca="false">IF(K5&gt;0,L5/K5,0)</f>
        <v>0.0256383847244832</v>
      </c>
    </row>
    <row r="6" customFormat="false" ht="15" hidden="false" customHeight="false" outlineLevel="0" collapsed="false">
      <c r="A6" s="4" t="s">
        <v>17</v>
      </c>
      <c r="B6" s="5" t="s">
        <v>18</v>
      </c>
      <c r="C6" s="5" t="n">
        <v>826.192144496</v>
      </c>
      <c r="D6" s="4" t="n">
        <f aca="false">SUMIF('Over 30 days'!$B$5:$B$100,A6,'Over 30 days'!$E$5:$E$100)</f>
        <v>147.785712688</v>
      </c>
      <c r="E6" s="5" t="n">
        <f aca="false">SUMIF('Over 30 days'!$B$5:$B$100,A6,'Over 30 days'!$F$5:$F$100)</f>
        <v>147.785712688</v>
      </c>
      <c r="F6" s="5" t="n">
        <f aca="false">SUMIF('Over 30 days'!$B$5:$B$100,A6,'Over 30 days'!$G$5:$G$100)</f>
        <v>0</v>
      </c>
      <c r="G6" s="5" t="n">
        <f aca="false">SUMIF('Over 30 days'!$B$5:$B$100,A6,'Over 30 days'!$H$5:$H$100)</f>
        <v>0</v>
      </c>
      <c r="H6" s="5" t="n">
        <f aca="false">F6+G6</f>
        <v>0</v>
      </c>
      <c r="I6" s="6" t="n">
        <f aca="false">IF(C6&gt;0,H6/C6,0)</f>
        <v>0</v>
      </c>
      <c r="J6" s="7" t="n">
        <f aca="false">COUNTIF('Over 30 days'!$B$5:$B$100,A6)</f>
        <v>6</v>
      </c>
      <c r="K6" s="5" t="n">
        <v>156.858534368</v>
      </c>
      <c r="L6" s="5" t="n">
        <v>28.13654368</v>
      </c>
      <c r="M6" s="6" t="n">
        <f aca="false">IF(K6&gt;0,L6/K6,0)</f>
        <v>0.179375281003136</v>
      </c>
    </row>
    <row r="7" customFormat="false" ht="15" hidden="false" customHeight="false" outlineLevel="0" collapsed="false">
      <c r="A7" s="4" t="s">
        <v>19</v>
      </c>
      <c r="B7" s="5" t="s">
        <v>18</v>
      </c>
      <c r="C7" s="5" t="n">
        <v>742.1965613</v>
      </c>
      <c r="D7" s="4" t="n">
        <f aca="false">SUMIF('Over 30 days'!$B$5:$B$100,A7,'Over 30 days'!$E$5:$E$100)</f>
        <v>66.5277587</v>
      </c>
      <c r="E7" s="5" t="n">
        <f aca="false">SUMIF('Over 30 days'!$B$5:$B$100,A7,'Over 30 days'!$F$5:$F$100)</f>
        <v>62.0335107</v>
      </c>
      <c r="F7" s="5" t="n">
        <f aca="false">SUMIF('Over 30 days'!$B$5:$B$100,A7,'Over 30 days'!$G$5:$G$100)</f>
        <v>4.494248</v>
      </c>
      <c r="G7" s="5" t="n">
        <f aca="false">SUMIF('Over 30 days'!$B$5:$B$100,A7,'Over 30 days'!$H$5:$H$100)</f>
        <v>0</v>
      </c>
      <c r="H7" s="5" t="n">
        <f aca="false">F7+G7</f>
        <v>4.494248</v>
      </c>
      <c r="I7" s="6" t="n">
        <f aca="false">IF(C7&gt;0,H7/C7,0)</f>
        <v>0.0060553339025555</v>
      </c>
      <c r="J7" s="7" t="n">
        <f aca="false">COUNTIF('Over 30 days'!$B$5:$B$100,A7)</f>
        <v>16</v>
      </c>
      <c r="K7" s="5" t="n">
        <v>36.6708372</v>
      </c>
      <c r="L7" s="5" t="n">
        <v>6.56200000000001</v>
      </c>
      <c r="M7" s="6" t="n">
        <f aca="false">IF(K7&gt;0,L7/K7,0)</f>
        <v>0.178943283029273</v>
      </c>
    </row>
    <row r="8" customFormat="false" ht="15" hidden="false" customHeight="false" outlineLevel="0" collapsed="false">
      <c r="A8" s="4" t="s">
        <v>20</v>
      </c>
      <c r="B8" s="5" t="s">
        <v>16</v>
      </c>
      <c r="C8" s="5" t="n">
        <v>350.187164</v>
      </c>
      <c r="D8" s="4" t="n">
        <f aca="false">SUMIF('Over 30 days'!$B$5:$B$100,A8,'Over 30 days'!$E$5:$E$100)</f>
        <v>88.6908981</v>
      </c>
      <c r="E8" s="5" t="n">
        <f aca="false">SUMIF('Over 30 days'!$B$5:$B$100,A8,'Over 30 days'!$F$5:$F$100)</f>
        <v>88.6908981</v>
      </c>
      <c r="F8" s="5" t="n">
        <f aca="false">SUMIF('Over 30 days'!$B$5:$B$100,A8,'Over 30 days'!$G$5:$G$100)</f>
        <v>0</v>
      </c>
      <c r="G8" s="5" t="n">
        <f aca="false">SUMIF('Over 30 days'!$B$5:$B$100,A8,'Over 30 days'!$H$5:$H$100)</f>
        <v>0</v>
      </c>
      <c r="H8" s="5" t="n">
        <f aca="false">F8+G8</f>
        <v>0</v>
      </c>
      <c r="I8" s="6" t="n">
        <f aca="false">IF(C8&gt;0,H8/C8,0)</f>
        <v>0</v>
      </c>
      <c r="J8" s="7" t="n">
        <f aca="false">COUNTIF('Over 30 days'!$B$5:$B$100,A8)</f>
        <v>9</v>
      </c>
      <c r="K8" s="5" t="n">
        <v>75.6026841</v>
      </c>
      <c r="L8" s="5" t="n">
        <v>0</v>
      </c>
      <c r="M8" s="6" t="n">
        <f aca="false">IF(K8&gt;0,L8/K8,0)</f>
        <v>0</v>
      </c>
    </row>
    <row r="9" customFormat="false" ht="15" hidden="false" customHeight="false" outlineLevel="0" collapsed="false">
      <c r="A9" s="8" t="s">
        <v>21</v>
      </c>
      <c r="B9" s="8"/>
      <c r="C9" s="9" t="n">
        <f aca="false">SUM(C5:C8)</f>
        <v>2813.82306871384</v>
      </c>
      <c r="D9" s="9" t="n">
        <f aca="false">SUM(D5:D8)</f>
        <v>792.168939083259</v>
      </c>
      <c r="E9" s="9" t="n">
        <f aca="false">SUM(E5:E8)</f>
        <v>497.428863759222</v>
      </c>
      <c r="F9" s="9" t="n">
        <f aca="false">SUM(F5:F8)</f>
        <v>33.1059147098091</v>
      </c>
      <c r="G9" s="9" t="n">
        <f aca="false">SUM(G5:G8)</f>
        <v>261.634160614229</v>
      </c>
      <c r="H9" s="9" t="n">
        <f aca="false">SUM(H5:H8)</f>
        <v>294.740075324038</v>
      </c>
      <c r="I9" s="10" t="n">
        <f aca="false">IF(C9&gt;0,H9/C9,0)</f>
        <v>0.104747195586381</v>
      </c>
      <c r="J9" s="11" t="n">
        <f aca="false">SUM(J5:J8)</f>
        <v>96</v>
      </c>
      <c r="K9" s="9" t="n">
        <f aca="false">SUM(K5:K8)</f>
        <v>755.686201236641</v>
      </c>
      <c r="L9" s="9" t="n">
        <f aca="false">SUM(L5:L8)</f>
        <v>47.1730060533811</v>
      </c>
      <c r="M9" s="10" t="n">
        <f aca="false">IF(K9&gt;0,L9/K9,0)</f>
        <v>0.0624240669952487</v>
      </c>
    </row>
    <row r="11" customFormat="false" ht="15" hidden="false" customHeight="false" outlineLevel="0" collapsed="false">
      <c r="A11" s="12" t="s">
        <v>22</v>
      </c>
    </row>
    <row r="12" customFormat="false" ht="15" hidden="false" customHeight="false" outlineLevel="0" collapsed="false">
      <c r="A12" s="12" t="s">
        <v>23</v>
      </c>
    </row>
    <row r="13" customFormat="false" ht="15" hidden="false" customHeight="false" outlineLevel="0" collapsed="false">
      <c r="A13" s="1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8" min="6" style="0" width="13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5"/>
  </cols>
  <sheetData>
    <row r="1" customFormat="false" ht="16.15" hidden="false" customHeight="false" outlineLevel="0" collapsed="false">
      <c r="A1" s="1" t="s">
        <v>25</v>
      </c>
    </row>
    <row r="2" customFormat="false" ht="15" hidden="false" customHeight="false" outlineLevel="0" collapsed="false">
      <c r="A2" s="2" t="s">
        <v>26</v>
      </c>
    </row>
    <row r="4" customFormat="false" ht="30" hidden="false" customHeight="true" outlineLevel="0" collapsed="false">
      <c r="A4" s="3" t="s">
        <v>27</v>
      </c>
      <c r="B4" s="3" t="s">
        <v>2</v>
      </c>
      <c r="C4" s="3" t="s">
        <v>3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35</v>
      </c>
    </row>
    <row r="5" customFormat="false" ht="15" hidden="false" customHeight="false" outlineLevel="0" collapsed="false">
      <c r="A5" s="13" t="s">
        <v>36</v>
      </c>
      <c r="B5" s="14" t="s">
        <v>15</v>
      </c>
      <c r="C5" s="14" t="s">
        <v>16</v>
      </c>
      <c r="D5" s="14" t="s">
        <v>37</v>
      </c>
      <c r="E5" s="4" t="n">
        <f aca="false">SUM(F5:H5)</f>
        <v>32.8148270267837</v>
      </c>
      <c r="F5" s="5" t="n">
        <v>0</v>
      </c>
      <c r="G5" s="5" t="n">
        <v>0</v>
      </c>
      <c r="H5" s="15" t="n">
        <v>32.8148270267837</v>
      </c>
      <c r="I5" s="14" t="n">
        <v>128</v>
      </c>
      <c r="J5" s="5" t="n">
        <v>32.8148270267837</v>
      </c>
      <c r="K5" s="16" t="n">
        <v>0</v>
      </c>
    </row>
    <row r="6" customFormat="false" ht="15" hidden="false" customHeight="false" outlineLevel="0" collapsed="false">
      <c r="A6" s="13" t="s">
        <v>36</v>
      </c>
      <c r="B6" s="14" t="s">
        <v>15</v>
      </c>
      <c r="C6" s="14" t="s">
        <v>16</v>
      </c>
      <c r="D6" s="14" t="s">
        <v>38</v>
      </c>
      <c r="E6" s="4" t="n">
        <f aca="false">SUM(F6:H6)</f>
        <v>29.9039484959109</v>
      </c>
      <c r="F6" s="5" t="n">
        <v>0</v>
      </c>
      <c r="G6" s="5" t="n">
        <v>0</v>
      </c>
      <c r="H6" s="15" t="n">
        <v>29.9039484959109</v>
      </c>
      <c r="I6" s="14" t="n">
        <v>114</v>
      </c>
      <c r="J6" s="5" t="n">
        <v>34.3465701717689</v>
      </c>
      <c r="K6" s="16" t="n">
        <v>0</v>
      </c>
    </row>
    <row r="7" customFormat="false" ht="15" hidden="false" customHeight="false" outlineLevel="0" collapsed="false">
      <c r="A7" s="13" t="s">
        <v>36</v>
      </c>
      <c r="B7" s="14" t="s">
        <v>15</v>
      </c>
      <c r="C7" s="14" t="s">
        <v>16</v>
      </c>
      <c r="D7" s="14" t="s">
        <v>39</v>
      </c>
      <c r="E7" s="4" t="n">
        <f aca="false">SUM(F7:H7)</f>
        <v>25.5404328308278</v>
      </c>
      <c r="F7" s="5" t="n">
        <v>0</v>
      </c>
      <c r="G7" s="5" t="n">
        <v>0</v>
      </c>
      <c r="H7" s="15" t="n">
        <v>25.5404328308278</v>
      </c>
      <c r="I7" s="14" t="n">
        <v>111</v>
      </c>
      <c r="J7" s="5" t="n">
        <v>29.8355663919971</v>
      </c>
      <c r="K7" s="16" t="n">
        <v>0</v>
      </c>
    </row>
    <row r="8" customFormat="false" ht="15" hidden="false" customHeight="false" outlineLevel="0" collapsed="false">
      <c r="A8" s="13" t="s">
        <v>36</v>
      </c>
      <c r="B8" s="14" t="s">
        <v>15</v>
      </c>
      <c r="C8" s="14" t="s">
        <v>16</v>
      </c>
      <c r="D8" s="14" t="s">
        <v>40</v>
      </c>
      <c r="E8" s="4" t="n">
        <f aca="false">SUM(F8:H8)</f>
        <v>24.6311525361491</v>
      </c>
      <c r="F8" s="5" t="n">
        <v>20.5254921809988</v>
      </c>
      <c r="G8" s="5" t="n">
        <v>0</v>
      </c>
      <c r="H8" s="15" t="n">
        <v>4.10566035515037</v>
      </c>
      <c r="I8" s="14" t="n">
        <v>104</v>
      </c>
      <c r="J8" s="5" t="n">
        <v>24.6311525361491</v>
      </c>
      <c r="K8" s="16" t="n">
        <v>0</v>
      </c>
    </row>
    <row r="9" customFormat="false" ht="15" hidden="false" customHeight="false" outlineLevel="0" collapsed="false">
      <c r="A9" s="13" t="s">
        <v>36</v>
      </c>
      <c r="B9" s="14" t="s">
        <v>15</v>
      </c>
      <c r="C9" s="14" t="s">
        <v>16</v>
      </c>
      <c r="D9" s="14" t="s">
        <v>41</v>
      </c>
      <c r="E9" s="4" t="n">
        <f aca="false">SUM(F9:H9)</f>
        <v>20.02434368</v>
      </c>
      <c r="F9" s="5" t="n">
        <v>0</v>
      </c>
      <c r="G9" s="5" t="n">
        <v>0</v>
      </c>
      <c r="H9" s="15" t="n">
        <v>20.02434368</v>
      </c>
      <c r="I9" s="14" t="n">
        <v>189</v>
      </c>
      <c r="J9" s="5" t="n">
        <v>20.02434368</v>
      </c>
      <c r="K9" s="16" t="n">
        <v>0</v>
      </c>
    </row>
    <row r="10" customFormat="false" ht="15" hidden="false" customHeight="false" outlineLevel="0" collapsed="false">
      <c r="A10" s="13" t="s">
        <v>36</v>
      </c>
      <c r="B10" s="14" t="s">
        <v>15</v>
      </c>
      <c r="C10" s="14" t="s">
        <v>16</v>
      </c>
      <c r="D10" s="14" t="s">
        <v>42</v>
      </c>
      <c r="E10" s="4" t="n">
        <f aca="false">SUM(F10:H10)</f>
        <v>16.9689453224326</v>
      </c>
      <c r="F10" s="5" t="n">
        <v>0</v>
      </c>
      <c r="G10" s="5" t="n">
        <v>0</v>
      </c>
      <c r="H10" s="15" t="n">
        <v>16.9689453224326</v>
      </c>
      <c r="I10" s="14" t="n">
        <v>114</v>
      </c>
      <c r="J10" s="5" t="n">
        <v>16.9689453224326</v>
      </c>
      <c r="K10" s="16" t="n">
        <v>0</v>
      </c>
    </row>
    <row r="11" customFormat="false" ht="15" hidden="false" customHeight="false" outlineLevel="0" collapsed="false">
      <c r="A11" s="13" t="s">
        <v>36</v>
      </c>
      <c r="B11" s="14" t="s">
        <v>15</v>
      </c>
      <c r="C11" s="14" t="s">
        <v>16</v>
      </c>
      <c r="D11" s="14" t="s">
        <v>43</v>
      </c>
      <c r="E11" s="4" t="n">
        <f aca="false">SUM(F11:H11)</f>
        <v>15.987</v>
      </c>
      <c r="F11" s="5" t="n">
        <v>0</v>
      </c>
      <c r="G11" s="5" t="n">
        <v>0</v>
      </c>
      <c r="H11" s="15" t="n">
        <v>15.987</v>
      </c>
      <c r="I11" s="14" t="n">
        <v>128</v>
      </c>
      <c r="J11" s="5" t="n">
        <v>15.987</v>
      </c>
      <c r="K11" s="16" t="n">
        <v>0</v>
      </c>
    </row>
    <row r="12" customFormat="false" ht="15" hidden="false" customHeight="false" outlineLevel="0" collapsed="false">
      <c r="A12" s="13" t="s">
        <v>36</v>
      </c>
      <c r="B12" s="14" t="s">
        <v>15</v>
      </c>
      <c r="C12" s="14" t="s">
        <v>16</v>
      </c>
      <c r="D12" s="14" t="s">
        <v>44</v>
      </c>
      <c r="E12" s="4" t="n">
        <f aca="false">SUM(F12:H12)</f>
        <v>15.21</v>
      </c>
      <c r="F12" s="5" t="n">
        <v>0</v>
      </c>
      <c r="G12" s="5" t="n">
        <v>0</v>
      </c>
      <c r="H12" s="15" t="n">
        <v>15.21</v>
      </c>
      <c r="I12" s="14" t="n">
        <v>113</v>
      </c>
      <c r="J12" s="5" t="n">
        <v>15.21</v>
      </c>
      <c r="K12" s="16" t="n">
        <v>0</v>
      </c>
    </row>
    <row r="13" customFormat="false" ht="15" hidden="false" customHeight="false" outlineLevel="0" collapsed="false">
      <c r="A13" s="13" t="s">
        <v>36</v>
      </c>
      <c r="B13" s="14" t="s">
        <v>15</v>
      </c>
      <c r="C13" s="14" t="s">
        <v>16</v>
      </c>
      <c r="D13" s="14" t="s">
        <v>45</v>
      </c>
      <c r="E13" s="4" t="n">
        <f aca="false">SUM(F13:H13)</f>
        <v>14.0415575471577</v>
      </c>
      <c r="F13" s="5" t="n">
        <v>0</v>
      </c>
      <c r="G13" s="5" t="n">
        <v>0</v>
      </c>
      <c r="H13" s="15" t="n">
        <v>14.0415575471577</v>
      </c>
      <c r="I13" s="14" t="n">
        <v>127</v>
      </c>
      <c r="J13" s="5" t="n">
        <v>14.0415575471577</v>
      </c>
      <c r="K13" s="16" t="n">
        <v>0</v>
      </c>
    </row>
    <row r="14" customFormat="false" ht="15" hidden="false" customHeight="false" outlineLevel="0" collapsed="false">
      <c r="A14" s="13" t="s">
        <v>36</v>
      </c>
      <c r="B14" s="14" t="s">
        <v>15</v>
      </c>
      <c r="C14" s="14" t="s">
        <v>16</v>
      </c>
      <c r="D14" s="14" t="s">
        <v>46</v>
      </c>
      <c r="E14" s="4" t="n">
        <f aca="false">SUM(F14:H14)</f>
        <v>10.7731332766599</v>
      </c>
      <c r="F14" s="5" t="n">
        <v>0</v>
      </c>
      <c r="G14" s="5" t="n">
        <v>0</v>
      </c>
      <c r="H14" s="15" t="n">
        <v>10.7731332766599</v>
      </c>
      <c r="I14" s="14" t="n">
        <v>99</v>
      </c>
      <c r="J14" s="5" t="n">
        <v>20.3448108030086</v>
      </c>
      <c r="K14" s="16" t="n">
        <v>0</v>
      </c>
    </row>
    <row r="15" customFormat="false" ht="15" hidden="false" customHeight="false" outlineLevel="0" collapsed="false">
      <c r="A15" s="13" t="s">
        <v>36</v>
      </c>
      <c r="B15" s="14" t="s">
        <v>15</v>
      </c>
      <c r="C15" s="14" t="s">
        <v>16</v>
      </c>
      <c r="D15" s="14" t="s">
        <v>47</v>
      </c>
      <c r="E15" s="4" t="n">
        <f aca="false">SUM(F15:H15)</f>
        <v>9.59333920000001</v>
      </c>
      <c r="F15" s="5" t="n">
        <v>0</v>
      </c>
      <c r="G15" s="5" t="n">
        <v>0</v>
      </c>
      <c r="H15" s="15" t="n">
        <v>9.59333920000001</v>
      </c>
      <c r="I15" s="14" t="n">
        <v>187</v>
      </c>
      <c r="J15" s="5" t="n">
        <v>9.59333920000001</v>
      </c>
      <c r="K15" s="16" t="n">
        <v>0</v>
      </c>
    </row>
    <row r="16" customFormat="false" ht="15" hidden="false" customHeight="false" outlineLevel="0" collapsed="false">
      <c r="A16" s="13" t="s">
        <v>36</v>
      </c>
      <c r="B16" s="14" t="s">
        <v>15</v>
      </c>
      <c r="C16" s="14" t="s">
        <v>16</v>
      </c>
      <c r="D16" s="14" t="s">
        <v>48</v>
      </c>
      <c r="E16" s="4" t="n">
        <f aca="false">SUM(F16:H16)</f>
        <v>8.39289944188657</v>
      </c>
      <c r="F16" s="5" t="n">
        <v>0</v>
      </c>
      <c r="G16" s="5" t="n">
        <v>0</v>
      </c>
      <c r="H16" s="15" t="n">
        <v>8.39289944188657</v>
      </c>
      <c r="I16" s="14" t="n">
        <v>136</v>
      </c>
      <c r="J16" s="5" t="n">
        <v>9.69094282016051</v>
      </c>
      <c r="K16" s="16" t="n">
        <v>0</v>
      </c>
    </row>
    <row r="17" customFormat="false" ht="15" hidden="false" customHeight="false" outlineLevel="0" collapsed="false">
      <c r="A17" s="13" t="s">
        <v>36</v>
      </c>
      <c r="B17" s="14" t="s">
        <v>15</v>
      </c>
      <c r="C17" s="14" t="s">
        <v>16</v>
      </c>
      <c r="D17" s="14" t="s">
        <v>49</v>
      </c>
      <c r="E17" s="4" t="n">
        <f aca="false">SUM(F17:H17)</f>
        <v>6.791192096</v>
      </c>
      <c r="F17" s="5" t="n">
        <v>0</v>
      </c>
      <c r="G17" s="5" t="n">
        <v>0</v>
      </c>
      <c r="H17" s="15" t="n">
        <v>6.791192096</v>
      </c>
      <c r="I17" s="14" t="n">
        <v>211</v>
      </c>
      <c r="J17" s="5" t="n">
        <v>6.791192096</v>
      </c>
      <c r="K17" s="16" t="n">
        <v>0</v>
      </c>
    </row>
    <row r="18" customFormat="false" ht="15" hidden="false" customHeight="false" outlineLevel="0" collapsed="false">
      <c r="A18" s="13" t="s">
        <v>36</v>
      </c>
      <c r="B18" s="14" t="s">
        <v>15</v>
      </c>
      <c r="C18" s="14" t="s">
        <v>16</v>
      </c>
      <c r="D18" s="14" t="s">
        <v>50</v>
      </c>
      <c r="E18" s="4" t="n">
        <f aca="false">SUM(F18:H18)</f>
        <v>6.77</v>
      </c>
      <c r="F18" s="5" t="n">
        <v>0</v>
      </c>
      <c r="G18" s="5" t="n">
        <v>0</v>
      </c>
      <c r="H18" s="15" t="n">
        <v>6.77</v>
      </c>
      <c r="I18" s="14" t="n">
        <v>91</v>
      </c>
      <c r="J18" s="5" t="n">
        <v>9.9489</v>
      </c>
      <c r="K18" s="16" t="n">
        <v>0</v>
      </c>
    </row>
    <row r="19" customFormat="false" ht="15" hidden="false" customHeight="false" outlineLevel="0" collapsed="false">
      <c r="A19" s="13" t="s">
        <v>36</v>
      </c>
      <c r="B19" s="14" t="s">
        <v>15</v>
      </c>
      <c r="C19" s="14" t="s">
        <v>16</v>
      </c>
      <c r="D19" s="14" t="s">
        <v>51</v>
      </c>
      <c r="E19" s="4" t="n">
        <f aca="false">SUM(F19:H19)</f>
        <v>6.11666481737043</v>
      </c>
      <c r="F19" s="5" t="n">
        <v>0</v>
      </c>
      <c r="G19" s="5" t="n">
        <v>0</v>
      </c>
      <c r="H19" s="15" t="n">
        <v>6.11666481737043</v>
      </c>
      <c r="I19" s="14" t="n">
        <v>131</v>
      </c>
      <c r="J19" s="5" t="n">
        <v>6.11666481737043</v>
      </c>
      <c r="K19" s="16" t="n">
        <v>0</v>
      </c>
    </row>
    <row r="20" customFormat="false" ht="15" hidden="false" customHeight="false" outlineLevel="0" collapsed="false">
      <c r="A20" s="13" t="s">
        <v>36</v>
      </c>
      <c r="B20" s="14" t="s">
        <v>15</v>
      </c>
      <c r="C20" s="14" t="s">
        <v>16</v>
      </c>
      <c r="D20" s="14" t="s">
        <v>52</v>
      </c>
      <c r="E20" s="4" t="n">
        <f aca="false">SUM(F20:H20)</f>
        <v>5.43362912409522</v>
      </c>
      <c r="F20" s="5" t="n">
        <v>0</v>
      </c>
      <c r="G20" s="5" t="n">
        <v>0</v>
      </c>
      <c r="H20" s="15" t="n">
        <v>5.43362912409522</v>
      </c>
      <c r="I20" s="14" t="n">
        <v>123</v>
      </c>
      <c r="J20" s="5" t="n">
        <v>5.43362912409522</v>
      </c>
      <c r="K20" s="16" t="n">
        <v>0</v>
      </c>
    </row>
    <row r="21" customFormat="false" ht="15" hidden="false" customHeight="false" outlineLevel="0" collapsed="false">
      <c r="A21" s="13" t="s">
        <v>36</v>
      </c>
      <c r="B21" s="14" t="s">
        <v>15</v>
      </c>
      <c r="C21" s="14" t="s">
        <v>16</v>
      </c>
      <c r="D21" s="14" t="s">
        <v>53</v>
      </c>
      <c r="E21" s="4" t="n">
        <f aca="false">SUM(F21:H21)</f>
        <v>3.7845792</v>
      </c>
      <c r="F21" s="5" t="n">
        <v>0</v>
      </c>
      <c r="G21" s="5" t="n">
        <v>0</v>
      </c>
      <c r="H21" s="15" t="n">
        <v>3.7845792</v>
      </c>
      <c r="I21" s="14" t="n">
        <v>141</v>
      </c>
      <c r="J21" s="5" t="n">
        <v>3.7845792</v>
      </c>
      <c r="K21" s="16" t="n">
        <v>0</v>
      </c>
    </row>
    <row r="22" customFormat="false" ht="15" hidden="false" customHeight="false" outlineLevel="0" collapsed="false">
      <c r="A22" s="13" t="s">
        <v>36</v>
      </c>
      <c r="B22" s="14" t="s">
        <v>15</v>
      </c>
      <c r="C22" s="14" t="s">
        <v>16</v>
      </c>
      <c r="D22" s="14" t="s">
        <v>54</v>
      </c>
      <c r="E22" s="4" t="n">
        <f aca="false">SUM(F22:H22)</f>
        <v>3.41136734497612</v>
      </c>
      <c r="F22" s="5" t="n">
        <v>0</v>
      </c>
      <c r="G22" s="5" t="n">
        <v>0</v>
      </c>
      <c r="H22" s="15" t="n">
        <v>3.41136734497612</v>
      </c>
      <c r="I22" s="14" t="n">
        <v>113</v>
      </c>
      <c r="J22" s="5" t="n">
        <v>3.41136734497612</v>
      </c>
      <c r="K22" s="16" t="n">
        <v>0</v>
      </c>
    </row>
    <row r="23" customFormat="false" ht="15" hidden="false" customHeight="false" outlineLevel="0" collapsed="false">
      <c r="A23" s="13" t="s">
        <v>36</v>
      </c>
      <c r="B23" s="14" t="s">
        <v>15</v>
      </c>
      <c r="C23" s="14" t="s">
        <v>16</v>
      </c>
      <c r="D23" s="14" t="s">
        <v>55</v>
      </c>
      <c r="E23" s="4" t="n">
        <f aca="false">SUM(F23:H23)</f>
        <v>3.32262312468675</v>
      </c>
      <c r="F23" s="5" t="n">
        <v>0</v>
      </c>
      <c r="G23" s="5" t="n">
        <v>0</v>
      </c>
      <c r="H23" s="15" t="n">
        <v>3.32262312468675</v>
      </c>
      <c r="I23" s="14" t="n">
        <v>103</v>
      </c>
      <c r="J23" s="5" t="n">
        <v>3.32262312468675</v>
      </c>
      <c r="K23" s="16" t="n">
        <v>0</v>
      </c>
    </row>
    <row r="24" customFormat="false" ht="15" hidden="false" customHeight="false" outlineLevel="0" collapsed="false">
      <c r="A24" s="13" t="s">
        <v>36</v>
      </c>
      <c r="B24" s="14" t="s">
        <v>15</v>
      </c>
      <c r="C24" s="14" t="s">
        <v>16</v>
      </c>
      <c r="D24" s="14" t="s">
        <v>56</v>
      </c>
      <c r="E24" s="4" t="n">
        <f aca="false">SUM(F24:H24)</f>
        <v>2.87376537987296</v>
      </c>
      <c r="F24" s="5" t="n">
        <v>0</v>
      </c>
      <c r="G24" s="5" t="n">
        <v>0</v>
      </c>
      <c r="H24" s="15" t="n">
        <v>2.87376537987296</v>
      </c>
      <c r="I24" s="14" t="n">
        <v>99</v>
      </c>
      <c r="J24" s="5" t="n">
        <v>10.6181676337717</v>
      </c>
      <c r="K24" s="16" t="n">
        <v>0</v>
      </c>
    </row>
    <row r="25" customFormat="false" ht="15" hidden="false" customHeight="false" outlineLevel="0" collapsed="false">
      <c r="A25" s="13" t="s">
        <v>36</v>
      </c>
      <c r="B25" s="14" t="s">
        <v>15</v>
      </c>
      <c r="C25" s="14" t="s">
        <v>16</v>
      </c>
      <c r="D25" s="14" t="s">
        <v>57</v>
      </c>
      <c r="E25" s="4" t="n">
        <f aca="false">SUM(F25:H25)</f>
        <v>2.4611925</v>
      </c>
      <c r="F25" s="5" t="n">
        <v>0</v>
      </c>
      <c r="G25" s="5" t="n">
        <v>0</v>
      </c>
      <c r="H25" s="15" t="n">
        <v>2.4611925</v>
      </c>
      <c r="I25" s="14" t="n">
        <v>122</v>
      </c>
      <c r="J25" s="5" t="n">
        <v>2.4611925</v>
      </c>
      <c r="K25" s="16" t="n">
        <v>0</v>
      </c>
    </row>
    <row r="26" customFormat="false" ht="15" hidden="false" customHeight="false" outlineLevel="0" collapsed="false">
      <c r="A26" s="13" t="s">
        <v>36</v>
      </c>
      <c r="B26" s="14" t="s">
        <v>15</v>
      </c>
      <c r="C26" s="14" t="s">
        <v>16</v>
      </c>
      <c r="D26" s="14" t="s">
        <v>58</v>
      </c>
      <c r="E26" s="4" t="n">
        <f aca="false">SUM(F26:H26)</f>
        <v>2.431315</v>
      </c>
      <c r="F26" s="5" t="n">
        <v>0</v>
      </c>
      <c r="G26" s="5" t="n">
        <v>0</v>
      </c>
      <c r="H26" s="15" t="n">
        <v>2.431315</v>
      </c>
      <c r="I26" s="14" t="n">
        <v>115</v>
      </c>
      <c r="J26" s="5" t="n">
        <v>3.4545625</v>
      </c>
      <c r="K26" s="16" t="n">
        <v>0</v>
      </c>
    </row>
    <row r="27" customFormat="false" ht="15" hidden="false" customHeight="false" outlineLevel="0" collapsed="false">
      <c r="A27" s="13" t="s">
        <v>36</v>
      </c>
      <c r="B27" s="14" t="s">
        <v>15</v>
      </c>
      <c r="C27" s="14" t="s">
        <v>16</v>
      </c>
      <c r="D27" s="14" t="s">
        <v>59</v>
      </c>
      <c r="E27" s="4" t="n">
        <f aca="false">SUM(F27:H27)</f>
        <v>2.1282</v>
      </c>
      <c r="F27" s="5" t="n">
        <v>0</v>
      </c>
      <c r="G27" s="5" t="n">
        <v>0</v>
      </c>
      <c r="H27" s="15" t="n">
        <v>2.1282</v>
      </c>
      <c r="I27" s="14" t="n">
        <v>91</v>
      </c>
      <c r="J27" s="5" t="n">
        <v>21.8961</v>
      </c>
      <c r="K27" s="16" t="n">
        <v>0</v>
      </c>
    </row>
    <row r="28" customFormat="false" ht="15" hidden="false" customHeight="false" outlineLevel="0" collapsed="false">
      <c r="A28" s="13" t="s">
        <v>36</v>
      </c>
      <c r="B28" s="14" t="s">
        <v>15</v>
      </c>
      <c r="C28" s="14" t="s">
        <v>16</v>
      </c>
      <c r="D28" s="14" t="s">
        <v>60</v>
      </c>
      <c r="E28" s="4" t="n">
        <f aca="false">SUM(F28:H28)</f>
        <v>2.06041052800003</v>
      </c>
      <c r="F28" s="5" t="n">
        <v>0</v>
      </c>
      <c r="G28" s="5" t="n">
        <v>0</v>
      </c>
      <c r="H28" s="15" t="n">
        <v>2.06041052800003</v>
      </c>
      <c r="I28" s="14" t="n">
        <v>114</v>
      </c>
      <c r="J28" s="5" t="n">
        <v>2.06041052800003</v>
      </c>
      <c r="K28" s="16" t="n">
        <v>0</v>
      </c>
    </row>
    <row r="29" customFormat="false" ht="15" hidden="false" customHeight="false" outlineLevel="0" collapsed="false">
      <c r="A29" s="13" t="s">
        <v>36</v>
      </c>
      <c r="B29" s="14" t="s">
        <v>15</v>
      </c>
      <c r="C29" s="14" t="s">
        <v>16</v>
      </c>
      <c r="D29" s="14" t="s">
        <v>61</v>
      </c>
      <c r="E29" s="4" t="n">
        <f aca="false">SUM(F29:H29)</f>
        <v>1.978658352</v>
      </c>
      <c r="F29" s="5" t="n">
        <v>0</v>
      </c>
      <c r="G29" s="5" t="n">
        <v>0</v>
      </c>
      <c r="H29" s="15" t="n">
        <v>1.978658352</v>
      </c>
      <c r="I29" s="14" t="n">
        <v>211</v>
      </c>
      <c r="J29" s="5" t="n">
        <v>1.978658352</v>
      </c>
      <c r="K29" s="16" t="n">
        <v>0</v>
      </c>
    </row>
    <row r="30" customFormat="false" ht="15" hidden="false" customHeight="false" outlineLevel="0" collapsed="false">
      <c r="A30" s="13" t="s">
        <v>36</v>
      </c>
      <c r="B30" s="14" t="s">
        <v>15</v>
      </c>
      <c r="C30" s="14" t="s">
        <v>16</v>
      </c>
      <c r="D30" s="14" t="s">
        <v>62</v>
      </c>
      <c r="E30" s="4" t="n">
        <f aca="false">SUM(F30:H30)</f>
        <v>1.6796943760219</v>
      </c>
      <c r="F30" s="5" t="n">
        <v>0</v>
      </c>
      <c r="G30" s="5" t="n">
        <v>0</v>
      </c>
      <c r="H30" s="15" t="n">
        <v>1.6796943760219</v>
      </c>
      <c r="I30" s="14" t="n">
        <v>97</v>
      </c>
      <c r="J30" s="5" t="n">
        <v>1.6796943760219</v>
      </c>
      <c r="K30" s="16" t="n">
        <v>0</v>
      </c>
    </row>
    <row r="31" customFormat="false" ht="15" hidden="false" customHeight="false" outlineLevel="0" collapsed="false">
      <c r="A31" s="13" t="s">
        <v>36</v>
      </c>
      <c r="B31" s="14" t="s">
        <v>15</v>
      </c>
      <c r="C31" s="14" t="s">
        <v>16</v>
      </c>
      <c r="D31" s="14" t="s">
        <v>63</v>
      </c>
      <c r="E31" s="4" t="n">
        <f aca="false">SUM(F31:H31)</f>
        <v>1.66718272</v>
      </c>
      <c r="F31" s="5" t="n">
        <v>0</v>
      </c>
      <c r="G31" s="5" t="n">
        <v>0</v>
      </c>
      <c r="H31" s="15" t="n">
        <v>1.66718272</v>
      </c>
      <c r="I31" s="14" t="n">
        <v>166</v>
      </c>
      <c r="J31" s="5" t="n">
        <v>1.66718272</v>
      </c>
      <c r="K31" s="16" t="n">
        <v>0</v>
      </c>
    </row>
    <row r="32" customFormat="false" ht="15" hidden="false" customHeight="false" outlineLevel="0" collapsed="false">
      <c r="A32" s="13" t="s">
        <v>36</v>
      </c>
      <c r="B32" s="14" t="s">
        <v>15</v>
      </c>
      <c r="C32" s="14" t="s">
        <v>16</v>
      </c>
      <c r="D32" s="14" t="s">
        <v>64</v>
      </c>
      <c r="E32" s="4" t="n">
        <f aca="false">SUM(F32:H32)</f>
        <v>1.49284396800001</v>
      </c>
      <c r="F32" s="5" t="n">
        <v>0</v>
      </c>
      <c r="G32" s="5" t="n">
        <v>0</v>
      </c>
      <c r="H32" s="15" t="n">
        <v>1.49284396800001</v>
      </c>
      <c r="I32" s="14" t="n">
        <v>162</v>
      </c>
      <c r="J32" s="5" t="n">
        <v>1.49284396800001</v>
      </c>
      <c r="K32" s="16" t="n">
        <v>0</v>
      </c>
    </row>
    <row r="33" customFormat="false" ht="15" hidden="false" customHeight="false" outlineLevel="0" collapsed="false">
      <c r="A33" s="13" t="s">
        <v>36</v>
      </c>
      <c r="B33" s="14" t="s">
        <v>15</v>
      </c>
      <c r="C33" s="14" t="s">
        <v>16</v>
      </c>
      <c r="D33" s="14" t="s">
        <v>65</v>
      </c>
      <c r="E33" s="4" t="n">
        <f aca="false">SUM(F33:H33)</f>
        <v>1.095805</v>
      </c>
      <c r="F33" s="5" t="n">
        <v>0</v>
      </c>
      <c r="G33" s="5" t="n">
        <v>0</v>
      </c>
      <c r="H33" s="15" t="n">
        <v>1.095805</v>
      </c>
      <c r="I33" s="14" t="n">
        <v>185</v>
      </c>
      <c r="J33" s="5" t="n">
        <v>1.095805</v>
      </c>
      <c r="K33" s="17" t="n">
        <v>4.04</v>
      </c>
    </row>
    <row r="34" customFormat="false" ht="15" hidden="false" customHeight="false" outlineLevel="0" collapsed="false">
      <c r="A34" s="13" t="s">
        <v>36</v>
      </c>
      <c r="B34" s="14" t="s">
        <v>15</v>
      </c>
      <c r="C34" s="14" t="s">
        <v>16</v>
      </c>
      <c r="D34" s="14" t="s">
        <v>66</v>
      </c>
      <c r="E34" s="4" t="n">
        <f aca="false">SUM(F34:H34)</f>
        <v>1.050544896</v>
      </c>
      <c r="F34" s="5" t="n">
        <v>0</v>
      </c>
      <c r="G34" s="5" t="n">
        <v>0</v>
      </c>
      <c r="H34" s="15" t="n">
        <v>1.050544896</v>
      </c>
      <c r="I34" s="14" t="n">
        <v>142</v>
      </c>
      <c r="J34" s="5" t="n">
        <v>12.385894656</v>
      </c>
      <c r="K34" s="16" t="n">
        <v>0</v>
      </c>
    </row>
    <row r="35" customFormat="false" ht="15" hidden="false" customHeight="false" outlineLevel="0" collapsed="false">
      <c r="A35" s="13" t="s">
        <v>36</v>
      </c>
      <c r="B35" s="14" t="s">
        <v>15</v>
      </c>
      <c r="C35" s="14" t="s">
        <v>16</v>
      </c>
      <c r="D35" s="14" t="s">
        <v>67</v>
      </c>
      <c r="E35" s="4" t="n">
        <f aca="false">SUM(F35:H35)</f>
        <v>0.810000000000002</v>
      </c>
      <c r="F35" s="5" t="n">
        <v>0</v>
      </c>
      <c r="G35" s="5" t="n">
        <v>0</v>
      </c>
      <c r="H35" s="15" t="n">
        <v>0.810000000000002</v>
      </c>
      <c r="I35" s="14" t="n">
        <v>121</v>
      </c>
      <c r="J35" s="5" t="n">
        <v>0.810000000000002</v>
      </c>
      <c r="K35" s="16" t="n">
        <v>0</v>
      </c>
    </row>
    <row r="36" customFormat="false" ht="15" hidden="false" customHeight="false" outlineLevel="0" collapsed="false">
      <c r="A36" s="13" t="s">
        <v>36</v>
      </c>
      <c r="B36" s="14" t="s">
        <v>15</v>
      </c>
      <c r="C36" s="14" t="s">
        <v>16</v>
      </c>
      <c r="D36" s="14" t="s">
        <v>68</v>
      </c>
      <c r="E36" s="4" t="n">
        <f aca="false">SUM(F36:H36)</f>
        <v>0.365000000000002</v>
      </c>
      <c r="F36" s="5" t="n">
        <v>0</v>
      </c>
      <c r="G36" s="5" t="n">
        <v>0</v>
      </c>
      <c r="H36" s="15" t="n">
        <v>0.365000000000002</v>
      </c>
      <c r="I36" s="14" t="n">
        <v>121</v>
      </c>
      <c r="J36" s="5" t="n">
        <v>0.365000000000002</v>
      </c>
      <c r="K36" s="16" t="n">
        <v>0</v>
      </c>
    </row>
    <row r="37" customFormat="false" ht="15" hidden="false" customHeight="false" outlineLevel="0" collapsed="false">
      <c r="A37" s="13" t="s">
        <v>36</v>
      </c>
      <c r="B37" s="14" t="s">
        <v>15</v>
      </c>
      <c r="C37" s="14" t="s">
        <v>16</v>
      </c>
      <c r="D37" s="14" t="s">
        <v>69</v>
      </c>
      <c r="E37" s="4" t="n">
        <f aca="false">SUM(F37:H37)</f>
        <v>0.296858050395738</v>
      </c>
      <c r="F37" s="5" t="n">
        <v>0</v>
      </c>
      <c r="G37" s="5" t="n">
        <v>0</v>
      </c>
      <c r="H37" s="15" t="n">
        <v>0.296858050395738</v>
      </c>
      <c r="I37" s="14" t="n">
        <v>119</v>
      </c>
      <c r="J37" s="5" t="n">
        <v>3.40154390180969</v>
      </c>
      <c r="K37" s="17" t="n">
        <v>2</v>
      </c>
    </row>
    <row r="38" customFormat="false" ht="15" hidden="false" customHeight="false" outlineLevel="0" collapsed="false">
      <c r="A38" s="13" t="s">
        <v>36</v>
      </c>
      <c r="B38" s="14" t="s">
        <v>15</v>
      </c>
      <c r="C38" s="14" t="s">
        <v>16</v>
      </c>
      <c r="D38" s="14" t="s">
        <v>70</v>
      </c>
      <c r="E38" s="4" t="n">
        <f aca="false">SUM(F38:H38)</f>
        <v>0.17734696</v>
      </c>
      <c r="F38" s="5" t="n">
        <v>0</v>
      </c>
      <c r="G38" s="5" t="n">
        <v>0</v>
      </c>
      <c r="H38" s="15" t="n">
        <v>0.17734696</v>
      </c>
      <c r="I38" s="14" t="n">
        <v>141</v>
      </c>
      <c r="J38" s="5" t="n">
        <v>0.17734696</v>
      </c>
      <c r="K38" s="16" t="n">
        <v>0</v>
      </c>
    </row>
    <row r="39" customFormat="false" ht="15" hidden="false" customHeight="false" outlineLevel="0" collapsed="false">
      <c r="A39" s="13" t="s">
        <v>36</v>
      </c>
      <c r="B39" s="14" t="s">
        <v>15</v>
      </c>
      <c r="C39" s="14" t="s">
        <v>16</v>
      </c>
      <c r="D39" s="14" t="s">
        <v>71</v>
      </c>
      <c r="E39" s="4" t="n">
        <f aca="false">SUM(F39:H39)</f>
        <v>0.0619999999999976</v>
      </c>
      <c r="F39" s="5" t="n">
        <v>0</v>
      </c>
      <c r="G39" s="5" t="n">
        <v>0</v>
      </c>
      <c r="H39" s="15" t="n">
        <v>0.0619999999999976</v>
      </c>
      <c r="I39" s="14" t="n">
        <v>127</v>
      </c>
      <c r="J39" s="5" t="n">
        <v>0.0619999999999976</v>
      </c>
      <c r="K39" s="16" t="n">
        <v>0</v>
      </c>
    </row>
    <row r="40" customFormat="false" ht="15" hidden="false" customHeight="false" outlineLevel="0" collapsed="false">
      <c r="A40" s="13" t="s">
        <v>36</v>
      </c>
      <c r="B40" s="14" t="s">
        <v>15</v>
      </c>
      <c r="C40" s="14" t="s">
        <v>16</v>
      </c>
      <c r="D40" s="14" t="s">
        <v>72</v>
      </c>
      <c r="E40" s="4" t="n">
        <f aca="false">SUM(F40:H40)</f>
        <v>0.0172000000000008</v>
      </c>
      <c r="F40" s="5" t="n">
        <v>0</v>
      </c>
      <c r="G40" s="5" t="n">
        <v>0</v>
      </c>
      <c r="H40" s="15" t="n">
        <v>0.0172000000000008</v>
      </c>
      <c r="I40" s="14" t="n">
        <v>123</v>
      </c>
      <c r="J40" s="5" t="n">
        <v>0.0172000000000008</v>
      </c>
      <c r="K40" s="16" t="n">
        <v>0</v>
      </c>
    </row>
    <row r="41" customFormat="false" ht="15" hidden="false" customHeight="false" outlineLevel="0" collapsed="false">
      <c r="A41" s="18" t="s">
        <v>73</v>
      </c>
      <c r="B41" s="14" t="s">
        <v>15</v>
      </c>
      <c r="C41" s="14" t="s">
        <v>16</v>
      </c>
      <c r="D41" s="14" t="s">
        <v>74</v>
      </c>
      <c r="E41" s="4" t="n">
        <f aca="false">SUM(F41:H41)</f>
        <v>21.377012416</v>
      </c>
      <c r="F41" s="5" t="n">
        <v>15.579142656</v>
      </c>
      <c r="G41" s="5" t="n">
        <v>5.79786976000001</v>
      </c>
      <c r="H41" s="5" t="n">
        <v>0</v>
      </c>
      <c r="I41" s="14" t="n">
        <v>70</v>
      </c>
      <c r="J41" s="5" t="n">
        <v>21.377012416</v>
      </c>
      <c r="K41" s="16" t="n">
        <v>0</v>
      </c>
    </row>
    <row r="42" customFormat="false" ht="15" hidden="false" customHeight="false" outlineLevel="0" collapsed="false">
      <c r="A42" s="18" t="s">
        <v>73</v>
      </c>
      <c r="B42" s="14" t="s">
        <v>15</v>
      </c>
      <c r="C42" s="14" t="s">
        <v>16</v>
      </c>
      <c r="D42" s="14" t="s">
        <v>75</v>
      </c>
      <c r="E42" s="4" t="n">
        <f aca="false">SUM(F42:H42)</f>
        <v>9.04905037447167</v>
      </c>
      <c r="F42" s="5" t="n">
        <v>0</v>
      </c>
      <c r="G42" s="5" t="n">
        <v>9.04905037447167</v>
      </c>
      <c r="H42" s="5" t="n">
        <v>0</v>
      </c>
      <c r="I42" s="14" t="n">
        <v>68</v>
      </c>
      <c r="J42" s="5" t="n">
        <v>9.04905037447167</v>
      </c>
      <c r="K42" s="16" t="n">
        <v>0</v>
      </c>
    </row>
    <row r="43" customFormat="false" ht="15" hidden="false" customHeight="false" outlineLevel="0" collapsed="false">
      <c r="A43" s="18" t="s">
        <v>73</v>
      </c>
      <c r="B43" s="14" t="s">
        <v>15</v>
      </c>
      <c r="C43" s="14" t="s">
        <v>16</v>
      </c>
      <c r="D43" s="14" t="s">
        <v>76</v>
      </c>
      <c r="E43" s="4" t="n">
        <f aca="false">SUM(F43:H43)</f>
        <v>7.39196666203889</v>
      </c>
      <c r="F43" s="5" t="n">
        <v>0</v>
      </c>
      <c r="G43" s="5" t="n">
        <v>7.39196666203889</v>
      </c>
      <c r="H43" s="5" t="n">
        <v>0</v>
      </c>
      <c r="I43" s="14" t="n">
        <v>71</v>
      </c>
      <c r="J43" s="5" t="n">
        <v>7.39196666203889</v>
      </c>
      <c r="K43" s="16" t="n">
        <v>0</v>
      </c>
    </row>
    <row r="44" customFormat="false" ht="15" hidden="false" customHeight="false" outlineLevel="0" collapsed="false">
      <c r="A44" s="18" t="s">
        <v>73</v>
      </c>
      <c r="B44" s="14" t="s">
        <v>15</v>
      </c>
      <c r="C44" s="14" t="s">
        <v>16</v>
      </c>
      <c r="D44" s="14" t="s">
        <v>77</v>
      </c>
      <c r="E44" s="4" t="n">
        <f aca="false">SUM(F44:H44)</f>
        <v>4.38852</v>
      </c>
      <c r="F44" s="5" t="n">
        <v>2.390325</v>
      </c>
      <c r="G44" s="5" t="n">
        <v>1.998195</v>
      </c>
      <c r="H44" s="5" t="n">
        <v>0</v>
      </c>
      <c r="I44" s="14" t="n">
        <v>73</v>
      </c>
      <c r="J44" s="5" t="n">
        <v>4.38852</v>
      </c>
      <c r="K44" s="16" t="n">
        <v>0</v>
      </c>
    </row>
    <row r="45" customFormat="false" ht="15" hidden="false" customHeight="false" outlineLevel="0" collapsed="false">
      <c r="A45" s="18" t="s">
        <v>73</v>
      </c>
      <c r="B45" s="14" t="s">
        <v>15</v>
      </c>
      <c r="C45" s="14" t="s">
        <v>16</v>
      </c>
      <c r="D45" s="14" t="s">
        <v>78</v>
      </c>
      <c r="E45" s="4" t="n">
        <f aca="false">SUM(F45:H45)</f>
        <v>3.09150749999996</v>
      </c>
      <c r="F45" s="5" t="n">
        <v>0</v>
      </c>
      <c r="G45" s="5" t="n">
        <v>3.09150749999996</v>
      </c>
      <c r="H45" s="5" t="n">
        <v>0</v>
      </c>
      <c r="I45" s="14" t="n">
        <v>69</v>
      </c>
      <c r="J45" s="5" t="n">
        <v>3.09150749999996</v>
      </c>
      <c r="K45" s="16" t="n">
        <v>0</v>
      </c>
    </row>
    <row r="46" customFormat="false" ht="15" hidden="false" customHeight="false" outlineLevel="0" collapsed="false">
      <c r="A46" s="18" t="s">
        <v>73</v>
      </c>
      <c r="B46" s="14" t="s">
        <v>15</v>
      </c>
      <c r="C46" s="14" t="s">
        <v>16</v>
      </c>
      <c r="D46" s="14" t="s">
        <v>79</v>
      </c>
      <c r="E46" s="4" t="n">
        <f aca="false">SUM(F46:H46)</f>
        <v>0.884169445298547</v>
      </c>
      <c r="F46" s="5" t="n">
        <v>0</v>
      </c>
      <c r="G46" s="5" t="n">
        <v>0.884169445298547</v>
      </c>
      <c r="H46" s="5" t="n">
        <v>0</v>
      </c>
      <c r="I46" s="14" t="n">
        <v>68</v>
      </c>
      <c r="J46" s="5" t="n">
        <v>0.884169445298547</v>
      </c>
      <c r="K46" s="17" t="n">
        <v>4.03</v>
      </c>
    </row>
    <row r="47" customFormat="false" ht="15" hidden="false" customHeight="false" outlineLevel="0" collapsed="false">
      <c r="A47" s="18" t="s">
        <v>73</v>
      </c>
      <c r="B47" s="14" t="s">
        <v>15</v>
      </c>
      <c r="C47" s="14" t="s">
        <v>16</v>
      </c>
      <c r="D47" s="14" t="s">
        <v>80</v>
      </c>
      <c r="E47" s="4" t="n">
        <f aca="false">SUM(F47:H47)</f>
        <v>0.398907968</v>
      </c>
      <c r="F47" s="5" t="n">
        <v>0</v>
      </c>
      <c r="G47" s="5" t="n">
        <v>0.398907968</v>
      </c>
      <c r="H47" s="5" t="n">
        <v>0</v>
      </c>
      <c r="I47" s="14" t="n">
        <v>71</v>
      </c>
      <c r="J47" s="5" t="n">
        <v>0.398907968</v>
      </c>
      <c r="K47" s="16" t="n">
        <v>0</v>
      </c>
    </row>
    <row r="48" customFormat="false" ht="15" hidden="false" customHeight="false" outlineLevel="0" collapsed="false">
      <c r="A48" s="18" t="s">
        <v>73</v>
      </c>
      <c r="B48" s="14" t="s">
        <v>19</v>
      </c>
      <c r="C48" s="14" t="s">
        <v>18</v>
      </c>
      <c r="D48" s="14" t="s">
        <v>81</v>
      </c>
      <c r="E48" s="4" t="n">
        <f aca="false">SUM(F48:H48)</f>
        <v>4.494248</v>
      </c>
      <c r="F48" s="5" t="n">
        <v>0</v>
      </c>
      <c r="G48" s="5" t="n">
        <v>4.494248</v>
      </c>
      <c r="H48" s="5" t="n">
        <v>0</v>
      </c>
      <c r="I48" s="14" t="n">
        <v>63</v>
      </c>
      <c r="J48" s="5" t="n">
        <v>4.494248</v>
      </c>
      <c r="K48" s="16" t="n">
        <v>0</v>
      </c>
    </row>
    <row r="49" customFormat="false" ht="15" hidden="false" customHeight="false" outlineLevel="0" collapsed="false">
      <c r="A49" s="19" t="s">
        <v>82</v>
      </c>
      <c r="B49" s="14" t="s">
        <v>15</v>
      </c>
      <c r="C49" s="14" t="s">
        <v>16</v>
      </c>
      <c r="D49" s="14" t="s">
        <v>83</v>
      </c>
      <c r="E49" s="4" t="n">
        <f aca="false">SUM(F49:H49)</f>
        <v>23.918199616</v>
      </c>
      <c r="F49" s="5" t="n">
        <v>23.918199616</v>
      </c>
      <c r="G49" s="5" t="n">
        <v>0</v>
      </c>
      <c r="H49" s="5" t="n">
        <v>0</v>
      </c>
      <c r="I49" s="14" t="n">
        <v>50</v>
      </c>
      <c r="J49" s="5" t="n">
        <v>23.918199616</v>
      </c>
      <c r="K49" s="16" t="n">
        <v>0</v>
      </c>
    </row>
    <row r="50" customFormat="false" ht="15" hidden="false" customHeight="false" outlineLevel="0" collapsed="false">
      <c r="A50" s="19" t="s">
        <v>82</v>
      </c>
      <c r="B50" s="14" t="s">
        <v>15</v>
      </c>
      <c r="C50" s="14" t="s">
        <v>16</v>
      </c>
      <c r="D50" s="14" t="s">
        <v>84</v>
      </c>
      <c r="E50" s="4" t="n">
        <f aca="false">SUM(F50:H50)</f>
        <v>15.1022607216639</v>
      </c>
      <c r="F50" s="5" t="n">
        <v>15.1022607216639</v>
      </c>
      <c r="G50" s="5" t="n">
        <v>0</v>
      </c>
      <c r="H50" s="5" t="n">
        <v>0</v>
      </c>
      <c r="I50" s="14" t="n">
        <v>45</v>
      </c>
      <c r="J50" s="5" t="n">
        <v>15.1022607216639</v>
      </c>
      <c r="K50" s="16" t="n">
        <v>0</v>
      </c>
    </row>
    <row r="51" customFormat="false" ht="15" hidden="false" customHeight="false" outlineLevel="0" collapsed="false">
      <c r="A51" s="19" t="s">
        <v>82</v>
      </c>
      <c r="B51" s="14" t="s">
        <v>15</v>
      </c>
      <c r="C51" s="14" t="s">
        <v>16</v>
      </c>
      <c r="D51" s="14" t="s">
        <v>85</v>
      </c>
      <c r="E51" s="4" t="n">
        <f aca="false">SUM(F51:H51)</f>
        <v>13.193</v>
      </c>
      <c r="F51" s="5" t="n">
        <v>13.193</v>
      </c>
      <c r="G51" s="5" t="n">
        <v>0</v>
      </c>
      <c r="H51" s="5" t="n">
        <v>0</v>
      </c>
      <c r="I51" s="14" t="n">
        <v>38</v>
      </c>
      <c r="J51" s="5" t="n">
        <v>13.193</v>
      </c>
      <c r="K51" s="16" t="n">
        <v>0</v>
      </c>
    </row>
    <row r="52" customFormat="false" ht="15" hidden="false" customHeight="false" outlineLevel="0" collapsed="false">
      <c r="A52" s="19" t="s">
        <v>82</v>
      </c>
      <c r="B52" s="14" t="s">
        <v>15</v>
      </c>
      <c r="C52" s="14" t="s">
        <v>16</v>
      </c>
      <c r="D52" s="14" t="s">
        <v>86</v>
      </c>
      <c r="E52" s="4" t="n">
        <f aca="false">SUM(F52:H52)</f>
        <v>13.0084675</v>
      </c>
      <c r="F52" s="5" t="n">
        <v>13.0084675</v>
      </c>
      <c r="G52" s="5" t="n">
        <v>0</v>
      </c>
      <c r="H52" s="5" t="n">
        <v>0</v>
      </c>
      <c r="I52" s="14" t="n">
        <v>48</v>
      </c>
      <c r="J52" s="5" t="n">
        <v>13.0084675</v>
      </c>
      <c r="K52" s="16" t="n">
        <v>0</v>
      </c>
    </row>
    <row r="53" customFormat="false" ht="15" hidden="false" customHeight="false" outlineLevel="0" collapsed="false">
      <c r="A53" s="19" t="s">
        <v>82</v>
      </c>
      <c r="B53" s="14" t="s">
        <v>15</v>
      </c>
      <c r="C53" s="14" t="s">
        <v>16</v>
      </c>
      <c r="D53" s="14" t="s">
        <v>87</v>
      </c>
      <c r="E53" s="4" t="n">
        <f aca="false">SUM(F53:H53)</f>
        <v>9.8822976</v>
      </c>
      <c r="F53" s="5" t="n">
        <v>9.8822976</v>
      </c>
      <c r="G53" s="5" t="n">
        <v>0</v>
      </c>
      <c r="H53" s="5" t="n">
        <v>0</v>
      </c>
      <c r="I53" s="14" t="n">
        <v>35</v>
      </c>
      <c r="J53" s="5" t="n">
        <v>9.8822976</v>
      </c>
      <c r="K53" s="16" t="n">
        <v>0</v>
      </c>
    </row>
    <row r="54" customFormat="false" ht="15" hidden="false" customHeight="false" outlineLevel="0" collapsed="false">
      <c r="A54" s="19" t="s">
        <v>82</v>
      </c>
      <c r="B54" s="14" t="s">
        <v>15</v>
      </c>
      <c r="C54" s="14" t="s">
        <v>16</v>
      </c>
      <c r="D54" s="14" t="s">
        <v>88</v>
      </c>
      <c r="E54" s="4" t="n">
        <f aca="false">SUM(F54:H54)</f>
        <v>9.48384355438487</v>
      </c>
      <c r="F54" s="5" t="n">
        <v>9.48384355438487</v>
      </c>
      <c r="G54" s="5" t="n">
        <v>0</v>
      </c>
      <c r="H54" s="5" t="n">
        <v>0</v>
      </c>
      <c r="I54" s="14" t="n">
        <v>45</v>
      </c>
      <c r="J54" s="5" t="n">
        <v>9.48384355438487</v>
      </c>
      <c r="K54" s="16" t="n">
        <v>0</v>
      </c>
    </row>
    <row r="55" customFormat="false" ht="15" hidden="false" customHeight="false" outlineLevel="0" collapsed="false">
      <c r="A55" s="19" t="s">
        <v>82</v>
      </c>
      <c r="B55" s="14" t="s">
        <v>15</v>
      </c>
      <c r="C55" s="14" t="s">
        <v>16</v>
      </c>
      <c r="D55" s="14" t="s">
        <v>89</v>
      </c>
      <c r="E55" s="4" t="n">
        <f aca="false">SUM(F55:H55)</f>
        <v>9.17650559999998</v>
      </c>
      <c r="F55" s="5" t="n">
        <v>9.17650559999998</v>
      </c>
      <c r="G55" s="5" t="n">
        <v>0</v>
      </c>
      <c r="H55" s="5" t="n">
        <v>0</v>
      </c>
      <c r="I55" s="14" t="n">
        <v>35</v>
      </c>
      <c r="J55" s="5" t="n">
        <v>47.8587936</v>
      </c>
      <c r="K55" s="16" t="n">
        <v>0</v>
      </c>
    </row>
    <row r="56" customFormat="false" ht="15" hidden="false" customHeight="false" outlineLevel="0" collapsed="false">
      <c r="A56" s="19" t="s">
        <v>82</v>
      </c>
      <c r="B56" s="14" t="s">
        <v>15</v>
      </c>
      <c r="C56" s="14" t="s">
        <v>16</v>
      </c>
      <c r="D56" s="14" t="s">
        <v>90</v>
      </c>
      <c r="E56" s="4" t="n">
        <f aca="false">SUM(F56:H56)</f>
        <v>8.83271839999999</v>
      </c>
      <c r="F56" s="5" t="n">
        <v>8.83271839999999</v>
      </c>
      <c r="G56" s="5" t="n">
        <v>0</v>
      </c>
      <c r="H56" s="5" t="n">
        <v>0</v>
      </c>
      <c r="I56" s="14" t="n">
        <v>37</v>
      </c>
      <c r="J56" s="5" t="n">
        <v>8.83271839999999</v>
      </c>
      <c r="K56" s="16" t="n">
        <v>0</v>
      </c>
    </row>
    <row r="57" customFormat="false" ht="15" hidden="false" customHeight="false" outlineLevel="0" collapsed="false">
      <c r="A57" s="19" t="s">
        <v>82</v>
      </c>
      <c r="B57" s="14" t="s">
        <v>15</v>
      </c>
      <c r="C57" s="14" t="s">
        <v>16</v>
      </c>
      <c r="D57" s="14" t="s">
        <v>91</v>
      </c>
      <c r="E57" s="4" t="n">
        <f aca="false">SUM(F57:H57)</f>
        <v>7.15569465599997</v>
      </c>
      <c r="F57" s="5" t="n">
        <v>7.15569465599997</v>
      </c>
      <c r="G57" s="5" t="n">
        <v>0</v>
      </c>
      <c r="H57" s="5" t="n">
        <v>0</v>
      </c>
      <c r="I57" s="14" t="n">
        <v>47</v>
      </c>
      <c r="J57" s="5" t="n">
        <v>7.15569465599997</v>
      </c>
      <c r="K57" s="16" t="n">
        <v>0</v>
      </c>
    </row>
    <row r="58" customFormat="false" ht="15" hidden="false" customHeight="false" outlineLevel="0" collapsed="false">
      <c r="A58" s="19" t="s">
        <v>82</v>
      </c>
      <c r="B58" s="14" t="s">
        <v>15</v>
      </c>
      <c r="C58" s="14" t="s">
        <v>16</v>
      </c>
      <c r="D58" s="14" t="s">
        <v>92</v>
      </c>
      <c r="E58" s="4" t="n">
        <f aca="false">SUM(F58:H58)</f>
        <v>6.78931658298102</v>
      </c>
      <c r="F58" s="5" t="n">
        <v>6.78931658298102</v>
      </c>
      <c r="G58" s="5" t="n">
        <v>0</v>
      </c>
      <c r="H58" s="5" t="n">
        <v>0</v>
      </c>
      <c r="I58" s="14" t="n">
        <v>41</v>
      </c>
      <c r="J58" s="5" t="n">
        <v>14.6224114638618</v>
      </c>
      <c r="K58" s="16" t="n">
        <v>0</v>
      </c>
    </row>
    <row r="59" customFormat="false" ht="15" hidden="false" customHeight="false" outlineLevel="0" collapsed="false">
      <c r="A59" s="19" t="s">
        <v>82</v>
      </c>
      <c r="B59" s="14" t="s">
        <v>15</v>
      </c>
      <c r="C59" s="14" t="s">
        <v>16</v>
      </c>
      <c r="D59" s="14" t="s">
        <v>93</v>
      </c>
      <c r="E59" s="4" t="n">
        <f aca="false">SUM(F59:H59)</f>
        <v>5.8923136</v>
      </c>
      <c r="F59" s="5" t="n">
        <v>5.8923136</v>
      </c>
      <c r="G59" s="5" t="n">
        <v>0</v>
      </c>
      <c r="H59" s="5" t="n">
        <v>0</v>
      </c>
      <c r="I59" s="14" t="n">
        <v>36</v>
      </c>
      <c r="J59" s="5" t="n">
        <v>5.8923136</v>
      </c>
      <c r="K59" s="16" t="n">
        <v>0</v>
      </c>
    </row>
    <row r="60" customFormat="false" ht="15" hidden="false" customHeight="false" outlineLevel="0" collapsed="false">
      <c r="A60" s="19" t="s">
        <v>82</v>
      </c>
      <c r="B60" s="14" t="s">
        <v>15</v>
      </c>
      <c r="C60" s="14" t="s">
        <v>16</v>
      </c>
      <c r="D60" s="14" t="s">
        <v>94</v>
      </c>
      <c r="E60" s="4" t="n">
        <f aca="false">SUM(F60:H60)</f>
        <v>5.4802</v>
      </c>
      <c r="F60" s="5" t="n">
        <v>5.4802</v>
      </c>
      <c r="G60" s="5" t="n">
        <v>0</v>
      </c>
      <c r="H60" s="5" t="n">
        <v>0</v>
      </c>
      <c r="I60" s="14" t="n">
        <v>33</v>
      </c>
      <c r="J60" s="5" t="n">
        <v>5.4802</v>
      </c>
      <c r="K60" s="20" t="s">
        <v>95</v>
      </c>
    </row>
    <row r="61" customFormat="false" ht="15" hidden="false" customHeight="false" outlineLevel="0" collapsed="false">
      <c r="A61" s="19" t="s">
        <v>82</v>
      </c>
      <c r="B61" s="14" t="s">
        <v>15</v>
      </c>
      <c r="C61" s="14" t="s">
        <v>16</v>
      </c>
      <c r="D61" s="14" t="s">
        <v>96</v>
      </c>
      <c r="E61" s="4" t="n">
        <f aca="false">SUM(F61:H61)</f>
        <v>5.2602</v>
      </c>
      <c r="F61" s="5" t="n">
        <v>5.2602</v>
      </c>
      <c r="G61" s="5" t="n">
        <v>0</v>
      </c>
      <c r="H61" s="5" t="n">
        <v>0</v>
      </c>
      <c r="I61" s="14" t="n">
        <v>31</v>
      </c>
      <c r="J61" s="5" t="n">
        <v>5.2602</v>
      </c>
      <c r="K61" s="20" t="s">
        <v>95</v>
      </c>
    </row>
    <row r="62" customFormat="false" ht="15" hidden="false" customHeight="false" outlineLevel="0" collapsed="false">
      <c r="A62" s="19" t="s">
        <v>82</v>
      </c>
      <c r="B62" s="14" t="s">
        <v>15</v>
      </c>
      <c r="C62" s="14" t="s">
        <v>16</v>
      </c>
      <c r="D62" s="14" t="s">
        <v>97</v>
      </c>
      <c r="E62" s="4" t="n">
        <f aca="false">SUM(F62:H62)</f>
        <v>4.8935464</v>
      </c>
      <c r="F62" s="5" t="n">
        <v>4.8935464</v>
      </c>
      <c r="G62" s="5" t="n">
        <v>0</v>
      </c>
      <c r="H62" s="5" t="n">
        <v>0</v>
      </c>
      <c r="I62" s="14" t="n">
        <v>37</v>
      </c>
      <c r="J62" s="5" t="n">
        <v>21.6809284</v>
      </c>
      <c r="K62" s="16" t="n">
        <v>0</v>
      </c>
    </row>
    <row r="63" customFormat="false" ht="15" hidden="false" customHeight="false" outlineLevel="0" collapsed="false">
      <c r="A63" s="19" t="s">
        <v>82</v>
      </c>
      <c r="B63" s="14" t="s">
        <v>15</v>
      </c>
      <c r="C63" s="14" t="s">
        <v>16</v>
      </c>
      <c r="D63" s="14" t="s">
        <v>98</v>
      </c>
      <c r="E63" s="4" t="n">
        <f aca="false">SUM(F63:H63)</f>
        <v>4.63078547616842</v>
      </c>
      <c r="F63" s="5" t="n">
        <v>4.63078547616842</v>
      </c>
      <c r="G63" s="5" t="n">
        <v>0</v>
      </c>
      <c r="H63" s="5" t="n">
        <v>0</v>
      </c>
      <c r="I63" s="14" t="n">
        <v>52</v>
      </c>
      <c r="J63" s="5" t="n">
        <v>4.63078547616842</v>
      </c>
      <c r="K63" s="16" t="n">
        <v>0</v>
      </c>
    </row>
    <row r="64" customFormat="false" ht="15" hidden="false" customHeight="false" outlineLevel="0" collapsed="false">
      <c r="A64" s="19" t="s">
        <v>82</v>
      </c>
      <c r="B64" s="14" t="s">
        <v>15</v>
      </c>
      <c r="C64" s="14" t="s">
        <v>16</v>
      </c>
      <c r="D64" s="14" t="s">
        <v>99</v>
      </c>
      <c r="E64" s="4" t="n">
        <f aca="false">SUM(F64:H64)</f>
        <v>4.34448640000001</v>
      </c>
      <c r="F64" s="5" t="n">
        <v>4.34448640000001</v>
      </c>
      <c r="G64" s="5" t="n">
        <v>0</v>
      </c>
      <c r="H64" s="5" t="n">
        <v>0</v>
      </c>
      <c r="I64" s="14" t="n">
        <v>31</v>
      </c>
      <c r="J64" s="5" t="n">
        <v>14.6710672</v>
      </c>
      <c r="K64" s="20" t="s">
        <v>95</v>
      </c>
    </row>
    <row r="65" customFormat="false" ht="15" hidden="false" customHeight="false" outlineLevel="0" collapsed="false">
      <c r="A65" s="19" t="s">
        <v>82</v>
      </c>
      <c r="B65" s="14" t="s">
        <v>15</v>
      </c>
      <c r="C65" s="14" t="s">
        <v>16</v>
      </c>
      <c r="D65" s="14" t="s">
        <v>100</v>
      </c>
      <c r="E65" s="4" t="n">
        <f aca="false">SUM(F65:H65)</f>
        <v>3.47849600000006</v>
      </c>
      <c r="F65" s="5" t="n">
        <v>3.47849600000006</v>
      </c>
      <c r="G65" s="5" t="n">
        <v>0</v>
      </c>
      <c r="H65" s="5" t="n">
        <v>0</v>
      </c>
      <c r="I65" s="14" t="n">
        <v>36</v>
      </c>
      <c r="J65" s="5" t="n">
        <v>49.0019648000001</v>
      </c>
      <c r="K65" s="16" t="n">
        <v>0</v>
      </c>
    </row>
    <row r="66" customFormat="false" ht="15" hidden="false" customHeight="false" outlineLevel="0" collapsed="false">
      <c r="A66" s="19" t="s">
        <v>82</v>
      </c>
      <c r="B66" s="14" t="s">
        <v>15</v>
      </c>
      <c r="C66" s="14" t="s">
        <v>16</v>
      </c>
      <c r="D66" s="14" t="s">
        <v>101</v>
      </c>
      <c r="E66" s="4" t="n">
        <f aca="false">SUM(F66:H66)</f>
        <v>3.03031600000001</v>
      </c>
      <c r="F66" s="5" t="n">
        <v>3.03031600000001</v>
      </c>
      <c r="G66" s="5" t="n">
        <v>0</v>
      </c>
      <c r="H66" s="5" t="n">
        <v>0</v>
      </c>
      <c r="I66" s="14" t="n">
        <v>40</v>
      </c>
      <c r="J66" s="5" t="n">
        <v>23.161798</v>
      </c>
      <c r="K66" s="16" t="n">
        <v>0</v>
      </c>
    </row>
    <row r="67" customFormat="false" ht="15" hidden="false" customHeight="false" outlineLevel="0" collapsed="false">
      <c r="A67" s="19" t="s">
        <v>82</v>
      </c>
      <c r="B67" s="14" t="s">
        <v>15</v>
      </c>
      <c r="C67" s="14" t="s">
        <v>16</v>
      </c>
      <c r="D67" s="14" t="s">
        <v>102</v>
      </c>
      <c r="E67" s="4" t="n">
        <f aca="false">SUM(F67:H67)</f>
        <v>2.91910249999999</v>
      </c>
      <c r="F67" s="5" t="n">
        <v>2.91910249999999</v>
      </c>
      <c r="G67" s="5" t="n">
        <v>0</v>
      </c>
      <c r="H67" s="5" t="n">
        <v>0</v>
      </c>
      <c r="I67" s="14" t="n">
        <v>50</v>
      </c>
      <c r="J67" s="5" t="n">
        <v>2.91910249999999</v>
      </c>
      <c r="K67" s="16" t="n">
        <v>0</v>
      </c>
    </row>
    <row r="68" customFormat="false" ht="15" hidden="false" customHeight="false" outlineLevel="0" collapsed="false">
      <c r="A68" s="19" t="s">
        <v>82</v>
      </c>
      <c r="B68" s="14" t="s">
        <v>15</v>
      </c>
      <c r="C68" s="14" t="s">
        <v>16</v>
      </c>
      <c r="D68" s="14" t="s">
        <v>103</v>
      </c>
      <c r="E68" s="4" t="n">
        <f aca="false">SUM(F68:H68)</f>
        <v>2.58205749999999</v>
      </c>
      <c r="F68" s="5" t="n">
        <v>2.58205749999999</v>
      </c>
      <c r="G68" s="5" t="n">
        <v>0</v>
      </c>
      <c r="H68" s="5" t="n">
        <v>0</v>
      </c>
      <c r="I68" s="14" t="n">
        <v>47</v>
      </c>
      <c r="J68" s="5" t="n">
        <v>21.946045</v>
      </c>
      <c r="K68" s="16" t="n">
        <v>0</v>
      </c>
    </row>
    <row r="69" customFormat="false" ht="15" hidden="false" customHeight="false" outlineLevel="0" collapsed="false">
      <c r="A69" s="19" t="s">
        <v>82</v>
      </c>
      <c r="B69" s="14" t="s">
        <v>15</v>
      </c>
      <c r="C69" s="14" t="s">
        <v>16</v>
      </c>
      <c r="D69" s="14" t="s">
        <v>104</v>
      </c>
      <c r="E69" s="4" t="n">
        <f aca="false">SUM(F69:H69)</f>
        <v>1.35044088702466</v>
      </c>
      <c r="F69" s="5" t="n">
        <v>1.35044088702466</v>
      </c>
      <c r="G69" s="5" t="n">
        <v>0</v>
      </c>
      <c r="H69" s="5" t="n">
        <v>0</v>
      </c>
      <c r="I69" s="14" t="n">
        <v>52</v>
      </c>
      <c r="J69" s="5" t="n">
        <v>1.35044088702466</v>
      </c>
      <c r="K69" s="16" t="n">
        <v>0</v>
      </c>
    </row>
    <row r="70" customFormat="false" ht="15" hidden="false" customHeight="false" outlineLevel="0" collapsed="false">
      <c r="A70" s="19" t="s">
        <v>82</v>
      </c>
      <c r="B70" s="14" t="s">
        <v>15</v>
      </c>
      <c r="C70" s="14" t="s">
        <v>16</v>
      </c>
      <c r="D70" s="14" t="s">
        <v>105</v>
      </c>
      <c r="E70" s="4" t="n">
        <f aca="false">SUM(F70:H70)</f>
        <v>0.0195334399999876</v>
      </c>
      <c r="F70" s="5" t="n">
        <v>0.0195334399999876</v>
      </c>
      <c r="G70" s="5" t="n">
        <v>0</v>
      </c>
      <c r="H70" s="5" t="n">
        <v>0</v>
      </c>
      <c r="I70" s="14" t="n">
        <v>56</v>
      </c>
      <c r="J70" s="5" t="n">
        <v>0.0195334399999876</v>
      </c>
      <c r="K70" s="16" t="n">
        <v>0</v>
      </c>
    </row>
    <row r="71" customFormat="false" ht="15" hidden="false" customHeight="false" outlineLevel="0" collapsed="false">
      <c r="A71" s="19" t="s">
        <v>82</v>
      </c>
      <c r="B71" s="14" t="s">
        <v>17</v>
      </c>
      <c r="C71" s="14" t="s">
        <v>18</v>
      </c>
      <c r="D71" s="14" t="s">
        <v>89</v>
      </c>
      <c r="E71" s="4" t="n">
        <f aca="false">SUM(F71:H71)</f>
        <v>51.849144</v>
      </c>
      <c r="F71" s="5" t="n">
        <v>51.849144</v>
      </c>
      <c r="G71" s="5" t="n">
        <v>0</v>
      </c>
      <c r="H71" s="5" t="n">
        <v>0</v>
      </c>
      <c r="I71" s="14" t="n">
        <v>44</v>
      </c>
      <c r="J71" s="5" t="n">
        <v>101.4804864</v>
      </c>
      <c r="K71" s="17" t="n">
        <v>4.384</v>
      </c>
    </row>
    <row r="72" customFormat="false" ht="15" hidden="false" customHeight="false" outlineLevel="0" collapsed="false">
      <c r="A72" s="19" t="s">
        <v>82</v>
      </c>
      <c r="B72" s="14" t="s">
        <v>17</v>
      </c>
      <c r="C72" s="14" t="s">
        <v>18</v>
      </c>
      <c r="D72" s="14" t="s">
        <v>106</v>
      </c>
      <c r="E72" s="4" t="n">
        <f aca="false">SUM(F72:H72)</f>
        <v>41.3312888</v>
      </c>
      <c r="F72" s="5" t="n">
        <v>41.3312888</v>
      </c>
      <c r="G72" s="5" t="n">
        <v>0</v>
      </c>
      <c r="H72" s="5" t="n">
        <v>0</v>
      </c>
      <c r="I72" s="14" t="n">
        <v>48</v>
      </c>
      <c r="J72" s="5" t="n">
        <v>41.3312888</v>
      </c>
      <c r="K72" s="17" t="n">
        <v>3.312</v>
      </c>
    </row>
    <row r="73" customFormat="false" ht="15" hidden="false" customHeight="false" outlineLevel="0" collapsed="false">
      <c r="A73" s="19" t="s">
        <v>82</v>
      </c>
      <c r="B73" s="14" t="s">
        <v>17</v>
      </c>
      <c r="C73" s="14" t="s">
        <v>18</v>
      </c>
      <c r="D73" s="14" t="s">
        <v>107</v>
      </c>
      <c r="E73" s="4" t="n">
        <f aca="false">SUM(F73:H73)</f>
        <v>26.35856</v>
      </c>
      <c r="F73" s="5" t="n">
        <v>26.35856</v>
      </c>
      <c r="G73" s="5" t="n">
        <v>0</v>
      </c>
      <c r="H73" s="5" t="n">
        <v>0</v>
      </c>
      <c r="I73" s="14" t="n">
        <v>54</v>
      </c>
      <c r="J73" s="5" t="n">
        <v>74.1790016</v>
      </c>
      <c r="K73" s="17" t="n">
        <v>5.95600000000002</v>
      </c>
    </row>
    <row r="74" customFormat="false" ht="15" hidden="false" customHeight="false" outlineLevel="0" collapsed="false">
      <c r="A74" s="19" t="s">
        <v>82</v>
      </c>
      <c r="B74" s="14" t="s">
        <v>17</v>
      </c>
      <c r="C74" s="14" t="s">
        <v>18</v>
      </c>
      <c r="D74" s="14" t="s">
        <v>108</v>
      </c>
      <c r="E74" s="4" t="n">
        <f aca="false">SUM(F74:H74)</f>
        <v>22.5479504</v>
      </c>
      <c r="F74" s="5" t="n">
        <v>22.5479504</v>
      </c>
      <c r="G74" s="5" t="n">
        <v>0</v>
      </c>
      <c r="H74" s="5" t="n">
        <v>0</v>
      </c>
      <c r="I74" s="14" t="n">
        <v>53</v>
      </c>
      <c r="J74" s="5" t="n">
        <v>22.5479504</v>
      </c>
      <c r="K74" s="17" t="n">
        <v>4.88</v>
      </c>
    </row>
    <row r="75" customFormat="false" ht="15" hidden="false" customHeight="false" outlineLevel="0" collapsed="false">
      <c r="A75" s="19" t="s">
        <v>82</v>
      </c>
      <c r="B75" s="14" t="s">
        <v>17</v>
      </c>
      <c r="C75" s="14" t="s">
        <v>18</v>
      </c>
      <c r="D75" s="14" t="s">
        <v>109</v>
      </c>
      <c r="E75" s="4" t="n">
        <f aca="false">SUM(F75:H75)</f>
        <v>3.5455908</v>
      </c>
      <c r="F75" s="5" t="n">
        <v>3.5455908</v>
      </c>
      <c r="G75" s="5" t="n">
        <v>0</v>
      </c>
      <c r="H75" s="5" t="n">
        <v>0</v>
      </c>
      <c r="I75" s="14" t="n">
        <v>33</v>
      </c>
      <c r="J75" s="5" t="n">
        <v>3.5455908</v>
      </c>
      <c r="K75" s="20" t="s">
        <v>95</v>
      </c>
    </row>
    <row r="76" customFormat="false" ht="15" hidden="false" customHeight="false" outlineLevel="0" collapsed="false">
      <c r="A76" s="19" t="s">
        <v>82</v>
      </c>
      <c r="B76" s="14" t="s">
        <v>17</v>
      </c>
      <c r="C76" s="14" t="s">
        <v>18</v>
      </c>
      <c r="D76" s="14" t="s">
        <v>110</v>
      </c>
      <c r="E76" s="4" t="n">
        <f aca="false">SUM(F76:H76)</f>
        <v>2.153178688</v>
      </c>
      <c r="F76" s="5" t="n">
        <v>2.153178688</v>
      </c>
      <c r="G76" s="5" t="n">
        <v>0</v>
      </c>
      <c r="H76" s="5" t="n">
        <v>0</v>
      </c>
      <c r="I76" s="14" t="n">
        <v>36</v>
      </c>
      <c r="J76" s="5" t="n">
        <v>2.153178688</v>
      </c>
      <c r="K76" s="17" t="n">
        <v>8.97</v>
      </c>
    </row>
    <row r="77" customFormat="false" ht="15" hidden="false" customHeight="false" outlineLevel="0" collapsed="false">
      <c r="A77" s="19" t="s">
        <v>82</v>
      </c>
      <c r="B77" s="14" t="s">
        <v>19</v>
      </c>
      <c r="C77" s="14" t="s">
        <v>18</v>
      </c>
      <c r="D77" s="14" t="s">
        <v>102</v>
      </c>
      <c r="E77" s="4" t="n">
        <f aca="false">SUM(F77:H77)</f>
        <v>12.4839375</v>
      </c>
      <c r="F77" s="5" t="n">
        <v>12.4839375</v>
      </c>
      <c r="G77" s="5" t="n">
        <v>0</v>
      </c>
      <c r="H77" s="5" t="n">
        <v>0</v>
      </c>
      <c r="I77" s="14" t="n">
        <v>33</v>
      </c>
      <c r="J77" s="5" t="n">
        <v>12.4839375</v>
      </c>
      <c r="K77" s="20" t="s">
        <v>95</v>
      </c>
    </row>
    <row r="78" customFormat="false" ht="15" hidden="false" customHeight="false" outlineLevel="0" collapsed="false">
      <c r="A78" s="19" t="s">
        <v>82</v>
      </c>
      <c r="B78" s="14" t="s">
        <v>19</v>
      </c>
      <c r="C78" s="14" t="s">
        <v>18</v>
      </c>
      <c r="D78" s="14" t="s">
        <v>107</v>
      </c>
      <c r="E78" s="4" t="n">
        <f aca="false">SUM(F78:H78)</f>
        <v>11.666008</v>
      </c>
      <c r="F78" s="5" t="n">
        <v>11.666008</v>
      </c>
      <c r="G78" s="5" t="n">
        <v>0</v>
      </c>
      <c r="H78" s="5" t="n">
        <v>0</v>
      </c>
      <c r="I78" s="14" t="n">
        <v>31</v>
      </c>
      <c r="J78" s="5" t="n">
        <v>26.858584</v>
      </c>
      <c r="K78" s="20" t="s">
        <v>95</v>
      </c>
    </row>
    <row r="79" customFormat="false" ht="15" hidden="false" customHeight="false" outlineLevel="0" collapsed="false">
      <c r="A79" s="19" t="s">
        <v>82</v>
      </c>
      <c r="B79" s="14" t="s">
        <v>19</v>
      </c>
      <c r="C79" s="14" t="s">
        <v>18</v>
      </c>
      <c r="D79" s="14" t="s">
        <v>111</v>
      </c>
      <c r="E79" s="4" t="n">
        <f aca="false">SUM(F79:H79)</f>
        <v>9.36337599999999</v>
      </c>
      <c r="F79" s="5" t="n">
        <v>9.36337599999999</v>
      </c>
      <c r="G79" s="5" t="n">
        <v>0</v>
      </c>
      <c r="H79" s="5" t="n">
        <v>0</v>
      </c>
      <c r="I79" s="14" t="n">
        <v>32</v>
      </c>
      <c r="J79" s="5" t="n">
        <v>9.36337599999999</v>
      </c>
      <c r="K79" s="20" t="s">
        <v>95</v>
      </c>
    </row>
    <row r="80" customFormat="false" ht="15" hidden="false" customHeight="false" outlineLevel="0" collapsed="false">
      <c r="A80" s="19" t="s">
        <v>82</v>
      </c>
      <c r="B80" s="14" t="s">
        <v>19</v>
      </c>
      <c r="C80" s="14" t="s">
        <v>18</v>
      </c>
      <c r="D80" s="14" t="s">
        <v>112</v>
      </c>
      <c r="E80" s="4" t="n">
        <f aca="false">SUM(F80:H80)</f>
        <v>8.564212</v>
      </c>
      <c r="F80" s="5" t="n">
        <v>8.564212</v>
      </c>
      <c r="G80" s="5" t="n">
        <v>0</v>
      </c>
      <c r="H80" s="5" t="n">
        <v>0</v>
      </c>
      <c r="I80" s="14" t="n">
        <v>34</v>
      </c>
      <c r="J80" s="5" t="n">
        <v>8.564212</v>
      </c>
      <c r="K80" s="17" t="n">
        <v>0.805</v>
      </c>
    </row>
    <row r="81" customFormat="false" ht="15" hidden="false" customHeight="false" outlineLevel="0" collapsed="false">
      <c r="A81" s="19" t="s">
        <v>82</v>
      </c>
      <c r="B81" s="14" t="s">
        <v>19</v>
      </c>
      <c r="C81" s="14" t="s">
        <v>18</v>
      </c>
      <c r="D81" s="14" t="s">
        <v>93</v>
      </c>
      <c r="E81" s="4" t="n">
        <f aca="false">SUM(F81:H81)</f>
        <v>4.5791184</v>
      </c>
      <c r="F81" s="5" t="n">
        <v>4.5791184</v>
      </c>
      <c r="G81" s="5" t="n">
        <v>0</v>
      </c>
      <c r="H81" s="5" t="n">
        <v>0</v>
      </c>
      <c r="I81" s="14" t="n">
        <v>35</v>
      </c>
      <c r="J81" s="5" t="n">
        <v>4.5791184</v>
      </c>
      <c r="K81" s="16" t="n">
        <v>0</v>
      </c>
    </row>
    <row r="82" customFormat="false" ht="15" hidden="false" customHeight="false" outlineLevel="0" collapsed="false">
      <c r="A82" s="19" t="s">
        <v>82</v>
      </c>
      <c r="B82" s="14" t="s">
        <v>19</v>
      </c>
      <c r="C82" s="14" t="s">
        <v>18</v>
      </c>
      <c r="D82" s="14" t="s">
        <v>113</v>
      </c>
      <c r="E82" s="4" t="n">
        <f aca="false">SUM(F82:H82)</f>
        <v>3.9753</v>
      </c>
      <c r="F82" s="5" t="n">
        <v>3.9753</v>
      </c>
      <c r="G82" s="5" t="n">
        <v>0</v>
      </c>
      <c r="H82" s="5" t="n">
        <v>0</v>
      </c>
      <c r="I82" s="14" t="n">
        <v>37</v>
      </c>
      <c r="J82" s="5" t="n">
        <v>3.9753</v>
      </c>
      <c r="K82" s="16" t="n">
        <v>0</v>
      </c>
    </row>
    <row r="83" customFormat="false" ht="15" hidden="false" customHeight="false" outlineLevel="0" collapsed="false">
      <c r="A83" s="19" t="s">
        <v>82</v>
      </c>
      <c r="B83" s="14" t="s">
        <v>19</v>
      </c>
      <c r="C83" s="14" t="s">
        <v>18</v>
      </c>
      <c r="D83" s="14" t="s">
        <v>114</v>
      </c>
      <c r="E83" s="4" t="n">
        <f aca="false">SUM(F83:H83)</f>
        <v>3.413064</v>
      </c>
      <c r="F83" s="5" t="n">
        <v>3.413064</v>
      </c>
      <c r="G83" s="5" t="n">
        <v>0</v>
      </c>
      <c r="H83" s="5" t="n">
        <v>0</v>
      </c>
      <c r="I83" s="14" t="n">
        <v>34</v>
      </c>
      <c r="J83" s="5" t="n">
        <v>3.413064</v>
      </c>
      <c r="K83" s="17" t="n">
        <v>3.382</v>
      </c>
    </row>
    <row r="84" customFormat="false" ht="15" hidden="false" customHeight="false" outlineLevel="0" collapsed="false">
      <c r="A84" s="19" t="s">
        <v>82</v>
      </c>
      <c r="B84" s="14" t="s">
        <v>19</v>
      </c>
      <c r="C84" s="14" t="s">
        <v>18</v>
      </c>
      <c r="D84" s="14" t="s">
        <v>115</v>
      </c>
      <c r="E84" s="4" t="n">
        <f aca="false">SUM(F84:H84)</f>
        <v>3.092136</v>
      </c>
      <c r="F84" s="5" t="n">
        <v>3.092136</v>
      </c>
      <c r="G84" s="5" t="n">
        <v>0</v>
      </c>
      <c r="H84" s="5" t="n">
        <v>0</v>
      </c>
      <c r="I84" s="14" t="n">
        <v>38</v>
      </c>
      <c r="J84" s="5" t="n">
        <v>3.092136</v>
      </c>
      <c r="K84" s="17" t="n">
        <v>2.375</v>
      </c>
    </row>
    <row r="85" customFormat="false" ht="15" hidden="false" customHeight="false" outlineLevel="0" collapsed="false">
      <c r="A85" s="19" t="s">
        <v>82</v>
      </c>
      <c r="B85" s="14" t="s">
        <v>19</v>
      </c>
      <c r="C85" s="14" t="s">
        <v>18</v>
      </c>
      <c r="D85" s="14" t="s">
        <v>116</v>
      </c>
      <c r="E85" s="4" t="n">
        <f aca="false">SUM(F85:H85)</f>
        <v>2.9056</v>
      </c>
      <c r="F85" s="5" t="n">
        <v>2.9056</v>
      </c>
      <c r="G85" s="5" t="n">
        <v>0</v>
      </c>
      <c r="H85" s="5" t="n">
        <v>0</v>
      </c>
      <c r="I85" s="14" t="n">
        <v>31</v>
      </c>
      <c r="J85" s="5" t="n">
        <v>63.6940375</v>
      </c>
      <c r="K85" s="20" t="s">
        <v>95</v>
      </c>
    </row>
    <row r="86" customFormat="false" ht="15" hidden="false" customHeight="false" outlineLevel="0" collapsed="false">
      <c r="A86" s="19" t="s">
        <v>82</v>
      </c>
      <c r="B86" s="14" t="s">
        <v>19</v>
      </c>
      <c r="C86" s="14" t="s">
        <v>18</v>
      </c>
      <c r="D86" s="14" t="s">
        <v>117</v>
      </c>
      <c r="E86" s="4" t="n">
        <f aca="false">SUM(F86:H86)</f>
        <v>1.0383108</v>
      </c>
      <c r="F86" s="5" t="n">
        <v>1.0383108</v>
      </c>
      <c r="G86" s="5" t="n">
        <v>0</v>
      </c>
      <c r="H86" s="5" t="n">
        <v>0</v>
      </c>
      <c r="I86" s="14" t="n">
        <v>36</v>
      </c>
      <c r="J86" s="5" t="n">
        <v>1.0383108</v>
      </c>
      <c r="K86" s="16" t="n">
        <v>0</v>
      </c>
    </row>
    <row r="87" customFormat="false" ht="15" hidden="false" customHeight="false" outlineLevel="0" collapsed="false">
      <c r="A87" s="19" t="s">
        <v>82</v>
      </c>
      <c r="B87" s="14" t="s">
        <v>19</v>
      </c>
      <c r="C87" s="14" t="s">
        <v>18</v>
      </c>
      <c r="D87" s="14" t="s">
        <v>118</v>
      </c>
      <c r="E87" s="4" t="n">
        <f aca="false">SUM(F87:H87)</f>
        <v>0.722176000000005</v>
      </c>
      <c r="F87" s="5" t="n">
        <v>0.722176000000005</v>
      </c>
      <c r="G87" s="5" t="n">
        <v>0</v>
      </c>
      <c r="H87" s="5" t="n">
        <v>0</v>
      </c>
      <c r="I87" s="14" t="n">
        <v>35</v>
      </c>
      <c r="J87" s="5" t="n">
        <v>0.722176000000005</v>
      </c>
      <c r="K87" s="16" t="n">
        <v>0</v>
      </c>
    </row>
    <row r="88" customFormat="false" ht="15" hidden="false" customHeight="false" outlineLevel="0" collapsed="false">
      <c r="A88" s="19" t="s">
        <v>82</v>
      </c>
      <c r="B88" s="14" t="s">
        <v>19</v>
      </c>
      <c r="C88" s="14" t="s">
        <v>18</v>
      </c>
      <c r="D88" s="14" t="s">
        <v>119</v>
      </c>
      <c r="E88" s="4" t="n">
        <f aca="false">SUM(F88:H88)</f>
        <v>0.111864</v>
      </c>
      <c r="F88" s="5" t="n">
        <v>0.111864</v>
      </c>
      <c r="G88" s="5" t="n">
        <v>0</v>
      </c>
      <c r="H88" s="5" t="n">
        <v>0</v>
      </c>
      <c r="I88" s="14" t="n">
        <v>40</v>
      </c>
      <c r="J88" s="5" t="n">
        <v>0.111864</v>
      </c>
      <c r="K88" s="16" t="n">
        <v>0</v>
      </c>
    </row>
    <row r="89" customFormat="false" ht="15" hidden="false" customHeight="false" outlineLevel="0" collapsed="false">
      <c r="A89" s="19" t="s">
        <v>82</v>
      </c>
      <c r="B89" s="14" t="s">
        <v>19</v>
      </c>
      <c r="C89" s="14" t="s">
        <v>18</v>
      </c>
      <c r="D89" s="14" t="s">
        <v>120</v>
      </c>
      <c r="E89" s="4" t="n">
        <f aca="false">SUM(F89:H89)</f>
        <v>0.0868599999999997</v>
      </c>
      <c r="F89" s="5" t="n">
        <v>0.0868599999999997</v>
      </c>
      <c r="G89" s="5" t="n">
        <v>0</v>
      </c>
      <c r="H89" s="5" t="n">
        <v>0</v>
      </c>
      <c r="I89" s="14" t="n">
        <v>40</v>
      </c>
      <c r="J89" s="5" t="n">
        <v>0.0868599999999997</v>
      </c>
      <c r="K89" s="16" t="n">
        <v>0</v>
      </c>
    </row>
    <row r="90" customFormat="false" ht="15" hidden="false" customHeight="false" outlineLevel="0" collapsed="false">
      <c r="A90" s="19" t="s">
        <v>82</v>
      </c>
      <c r="B90" s="14" t="s">
        <v>19</v>
      </c>
      <c r="C90" s="14" t="s">
        <v>18</v>
      </c>
      <c r="D90" s="14" t="s">
        <v>121</v>
      </c>
      <c r="E90" s="4" t="n">
        <f aca="false">SUM(F90:H90)</f>
        <v>0.026099999999996</v>
      </c>
      <c r="F90" s="5" t="n">
        <v>0.026099999999996</v>
      </c>
      <c r="G90" s="5" t="n">
        <v>0</v>
      </c>
      <c r="H90" s="5" t="n">
        <v>0</v>
      </c>
      <c r="I90" s="14" t="n">
        <v>60</v>
      </c>
      <c r="J90" s="5" t="n">
        <v>20.16135</v>
      </c>
      <c r="K90" s="16" t="n">
        <v>0</v>
      </c>
    </row>
    <row r="91" customFormat="false" ht="15" hidden="false" customHeight="false" outlineLevel="0" collapsed="false">
      <c r="A91" s="19" t="s">
        <v>82</v>
      </c>
      <c r="B91" s="14" t="s">
        <v>19</v>
      </c>
      <c r="C91" s="14" t="s">
        <v>18</v>
      </c>
      <c r="D91" s="14" t="s">
        <v>122</v>
      </c>
      <c r="E91" s="4" t="n">
        <f aca="false">SUM(F91:H91)</f>
        <v>0.00544800000000123</v>
      </c>
      <c r="F91" s="5" t="n">
        <v>0.00544800000000123</v>
      </c>
      <c r="G91" s="5" t="n">
        <v>0</v>
      </c>
      <c r="H91" s="5" t="n">
        <v>0</v>
      </c>
      <c r="I91" s="14" t="n">
        <v>38</v>
      </c>
      <c r="J91" s="5" t="n">
        <v>0.00544800000000123</v>
      </c>
      <c r="K91" s="16" t="n">
        <v>0</v>
      </c>
    </row>
    <row r="92" customFormat="false" ht="15" hidden="false" customHeight="false" outlineLevel="0" collapsed="false">
      <c r="A92" s="19" t="s">
        <v>82</v>
      </c>
      <c r="B92" s="14" t="s">
        <v>20</v>
      </c>
      <c r="C92" s="14" t="s">
        <v>16</v>
      </c>
      <c r="D92" s="14" t="s">
        <v>81</v>
      </c>
      <c r="E92" s="4" t="n">
        <f aca="false">SUM(F92:H92)</f>
        <v>51.75348</v>
      </c>
      <c r="F92" s="5" t="n">
        <v>51.75348</v>
      </c>
      <c r="G92" s="5" t="n">
        <v>0</v>
      </c>
      <c r="H92" s="5" t="n">
        <v>0</v>
      </c>
      <c r="I92" s="14" t="n">
        <v>37</v>
      </c>
      <c r="J92" s="5" t="n">
        <v>51.75348</v>
      </c>
      <c r="K92" s="16" t="n">
        <v>0</v>
      </c>
    </row>
    <row r="93" customFormat="false" ht="15" hidden="false" customHeight="false" outlineLevel="0" collapsed="false">
      <c r="A93" s="19" t="s">
        <v>82</v>
      </c>
      <c r="B93" s="14" t="s">
        <v>20</v>
      </c>
      <c r="C93" s="14" t="s">
        <v>16</v>
      </c>
      <c r="D93" s="14" t="s">
        <v>123</v>
      </c>
      <c r="E93" s="4" t="n">
        <f aca="false">SUM(F93:H93)</f>
        <v>15.31896</v>
      </c>
      <c r="F93" s="5" t="n">
        <v>15.31896</v>
      </c>
      <c r="G93" s="5" t="n">
        <v>0</v>
      </c>
      <c r="H93" s="5" t="n">
        <v>0</v>
      </c>
      <c r="I93" s="14" t="n">
        <v>37</v>
      </c>
      <c r="J93" s="5" t="n">
        <v>15.31896</v>
      </c>
      <c r="K93" s="16" t="n">
        <v>0</v>
      </c>
    </row>
    <row r="94" customFormat="false" ht="15" hidden="false" customHeight="false" outlineLevel="0" collapsed="false">
      <c r="A94" s="19" t="s">
        <v>82</v>
      </c>
      <c r="B94" s="14" t="s">
        <v>20</v>
      </c>
      <c r="C94" s="14" t="s">
        <v>16</v>
      </c>
      <c r="D94" s="14" t="s">
        <v>124</v>
      </c>
      <c r="E94" s="4" t="n">
        <f aca="false">SUM(F94:H94)</f>
        <v>9.31656</v>
      </c>
      <c r="F94" s="5" t="n">
        <v>9.31656</v>
      </c>
      <c r="G94" s="5" t="n">
        <v>0</v>
      </c>
      <c r="H94" s="5" t="n">
        <v>0</v>
      </c>
      <c r="I94" s="14" t="n">
        <v>31</v>
      </c>
      <c r="J94" s="5" t="n">
        <v>9.31656</v>
      </c>
      <c r="K94" s="20" t="s">
        <v>95</v>
      </c>
    </row>
    <row r="95" customFormat="false" ht="15" hidden="false" customHeight="false" outlineLevel="0" collapsed="false">
      <c r="A95" s="19" t="s">
        <v>82</v>
      </c>
      <c r="B95" s="14" t="s">
        <v>20</v>
      </c>
      <c r="C95" s="14" t="s">
        <v>16</v>
      </c>
      <c r="D95" s="14" t="s">
        <v>125</v>
      </c>
      <c r="E95" s="4" t="n">
        <f aca="false">SUM(F95:H95)</f>
        <v>5.3884585</v>
      </c>
      <c r="F95" s="5" t="n">
        <v>5.3884585</v>
      </c>
      <c r="G95" s="5" t="n">
        <v>0</v>
      </c>
      <c r="H95" s="5" t="n">
        <v>0</v>
      </c>
      <c r="I95" s="14" t="n">
        <v>35</v>
      </c>
      <c r="J95" s="5" t="n">
        <v>5.3884585</v>
      </c>
      <c r="K95" s="16" t="n">
        <v>0</v>
      </c>
    </row>
    <row r="96" customFormat="false" ht="15" hidden="false" customHeight="false" outlineLevel="0" collapsed="false">
      <c r="A96" s="19" t="s">
        <v>82</v>
      </c>
      <c r="B96" s="14" t="s">
        <v>20</v>
      </c>
      <c r="C96" s="14" t="s">
        <v>16</v>
      </c>
      <c r="D96" s="14" t="s">
        <v>126</v>
      </c>
      <c r="E96" s="4" t="n">
        <f aca="false">SUM(F96:H96)</f>
        <v>3.771654</v>
      </c>
      <c r="F96" s="5" t="n">
        <v>3.771654</v>
      </c>
      <c r="G96" s="5" t="n">
        <v>0</v>
      </c>
      <c r="H96" s="5" t="n">
        <v>0</v>
      </c>
      <c r="I96" s="14" t="n">
        <v>33</v>
      </c>
      <c r="J96" s="5" t="n">
        <v>3.771654</v>
      </c>
      <c r="K96" s="20" t="s">
        <v>95</v>
      </c>
    </row>
    <row r="97" customFormat="false" ht="15" hidden="false" customHeight="false" outlineLevel="0" collapsed="false">
      <c r="A97" s="19" t="s">
        <v>82</v>
      </c>
      <c r="B97" s="14" t="s">
        <v>20</v>
      </c>
      <c r="C97" s="14" t="s">
        <v>16</v>
      </c>
      <c r="D97" s="14" t="s">
        <v>121</v>
      </c>
      <c r="E97" s="4" t="n">
        <f aca="false">SUM(F97:H97)</f>
        <v>2.00522</v>
      </c>
      <c r="F97" s="5" t="n">
        <v>2.00522</v>
      </c>
      <c r="G97" s="5" t="n">
        <v>0</v>
      </c>
      <c r="H97" s="5" t="n">
        <v>0</v>
      </c>
      <c r="I97" s="14" t="n">
        <v>40</v>
      </c>
      <c r="J97" s="5" t="n">
        <v>2.00522</v>
      </c>
      <c r="K97" s="16" t="n">
        <v>0</v>
      </c>
    </row>
    <row r="98" customFormat="false" ht="15" hidden="false" customHeight="false" outlineLevel="0" collapsed="false">
      <c r="A98" s="19" t="s">
        <v>82</v>
      </c>
      <c r="B98" s="14" t="s">
        <v>20</v>
      </c>
      <c r="C98" s="14" t="s">
        <v>16</v>
      </c>
      <c r="D98" s="14" t="s">
        <v>127</v>
      </c>
      <c r="E98" s="4" t="n">
        <f aca="false">SUM(F98:H98)</f>
        <v>0.535804799999998</v>
      </c>
      <c r="F98" s="5" t="n">
        <v>0.535804799999998</v>
      </c>
      <c r="G98" s="5" t="n">
        <v>0</v>
      </c>
      <c r="H98" s="5" t="n">
        <v>0</v>
      </c>
      <c r="I98" s="14" t="n">
        <v>40</v>
      </c>
      <c r="J98" s="5" t="n">
        <v>0.535804799999998</v>
      </c>
      <c r="K98" s="16" t="n">
        <v>0</v>
      </c>
    </row>
    <row r="99" customFormat="false" ht="15" hidden="false" customHeight="false" outlineLevel="0" collapsed="false">
      <c r="A99" s="19" t="s">
        <v>82</v>
      </c>
      <c r="B99" s="14" t="s">
        <v>20</v>
      </c>
      <c r="C99" s="14" t="s">
        <v>16</v>
      </c>
      <c r="D99" s="14" t="s">
        <v>128</v>
      </c>
      <c r="E99" s="4" t="n">
        <f aca="false">SUM(F99:H99)</f>
        <v>0.333020799999996</v>
      </c>
      <c r="F99" s="5" t="n">
        <v>0.333020799999996</v>
      </c>
      <c r="G99" s="5" t="n">
        <v>0</v>
      </c>
      <c r="H99" s="5" t="n">
        <v>0</v>
      </c>
      <c r="I99" s="14" t="n">
        <v>57</v>
      </c>
      <c r="J99" s="5" t="n">
        <v>0.333020799999996</v>
      </c>
      <c r="K99" s="16" t="n">
        <v>0</v>
      </c>
    </row>
    <row r="100" customFormat="false" ht="15" hidden="false" customHeight="false" outlineLevel="0" collapsed="false">
      <c r="A100" s="19" t="s">
        <v>82</v>
      </c>
      <c r="B100" s="14" t="s">
        <v>20</v>
      </c>
      <c r="C100" s="14" t="s">
        <v>16</v>
      </c>
      <c r="D100" s="14" t="s">
        <v>129</v>
      </c>
      <c r="E100" s="4" t="n">
        <f aca="false">SUM(F100:H100)</f>
        <v>0.267739999999995</v>
      </c>
      <c r="F100" s="5" t="n">
        <v>0.267739999999995</v>
      </c>
      <c r="G100" s="5" t="n">
        <v>0</v>
      </c>
      <c r="H100" s="5" t="n">
        <v>0</v>
      </c>
      <c r="I100" s="14" t="n">
        <v>40</v>
      </c>
      <c r="J100" s="5" t="n">
        <v>0.267739999999995</v>
      </c>
      <c r="K100" s="16" t="n">
        <v>0</v>
      </c>
    </row>
    <row r="101" customFormat="false" ht="15" hidden="false" customHeight="false" outlineLevel="0" collapsed="false">
      <c r="A101" s="21"/>
      <c r="B101" s="21"/>
      <c r="C101" s="21"/>
      <c r="D101" s="8" t="s">
        <v>130</v>
      </c>
      <c r="E101" s="9" t="n">
        <f aca="false">SUBTOTAL(9,E5:E100)</f>
        <v>792.168939083259</v>
      </c>
      <c r="F101" s="9" t="n">
        <f aca="false">SUBTOTAL(9,F5:F100)</f>
        <v>497.428863759222</v>
      </c>
      <c r="G101" s="9" t="n">
        <f aca="false">SUBTOTAL(9,G5:G100)</f>
        <v>33.1059147098091</v>
      </c>
      <c r="H101" s="9" t="n">
        <f aca="false">SUBTOTAL(9,H5:H100)</f>
        <v>261.634160614229</v>
      </c>
      <c r="I101" s="21"/>
      <c r="J101" s="9" t="n">
        <f aca="false">SUBTOTAL(9,J5:J100)</f>
        <v>1210.1472320711</v>
      </c>
      <c r="K101" s="21"/>
    </row>
    <row r="103" customFormat="false" ht="15" hidden="false" customHeight="false" outlineLevel="0" collapsed="false">
      <c r="A103" s="22" t="s">
        <v>131</v>
      </c>
    </row>
    <row r="104" customFormat="false" ht="15" hidden="false" customHeight="false" outlineLevel="0" collapsed="false">
      <c r="A104" s="12" t="s">
        <v>132</v>
      </c>
    </row>
    <row r="105" customFormat="false" ht="15" hidden="false" customHeight="false" outlineLevel="0" collapsed="false">
      <c r="A105" s="12" t="s">
        <v>133</v>
      </c>
    </row>
    <row r="106" customFormat="false" ht="15" hidden="false" customHeight="false" outlineLevel="0" collapsed="false">
      <c r="A106" s="12" t="s">
        <v>134</v>
      </c>
    </row>
    <row r="107" customFormat="false" ht="15" hidden="false" customHeight="false" outlineLevel="0" collapsed="false">
      <c r="A107" s="12" t="s">
        <v>135</v>
      </c>
    </row>
    <row r="108" customFormat="false" ht="15" hidden="false" customHeight="false" outlineLevel="0" collapsed="false">
      <c r="A108" s="12" t="s">
        <v>136</v>
      </c>
    </row>
    <row r="109" customFormat="false" ht="15" hidden="false" customHeight="false" outlineLevel="0" collapsed="false">
      <c r="A109" s="12" t="s">
        <v>137</v>
      </c>
    </row>
    <row r="110" customFormat="false" ht="15" hidden="false" customHeight="false" outlineLevel="0" collapsed="false">
      <c r="A110" s="12" t="s">
        <v>138</v>
      </c>
    </row>
    <row r="111" customFormat="false" ht="15" hidden="false" customHeight="false" outlineLevel="0" collapsed="false">
      <c r="A111" s="12" t="s">
        <v>139</v>
      </c>
    </row>
  </sheetData>
  <autoFilter ref="A4:K10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2026-10-29T10:02:13Z</dcterms:created>
  <dc:creator>openpyxl</dc:creator>
  <dc:description/>
  <dc:language>en-US</dc:language>
  <cp:lastModifiedBy/>
  <dcterms:modified xsi:type="dcterms:W3CDTF">2026-10-29T10:02:13Z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