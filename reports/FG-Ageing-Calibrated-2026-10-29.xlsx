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by plant" sheetId="1" state="visible" r:id="rId3"/>
    <sheet name="Plant x size" sheetId="2" state="visible" r:id="rId4"/>
    <sheet name="SKU-wise all plants" sheetId="3" state="visible" r:id="rId5"/>
  </sheets>
  <definedNames>
    <definedName function="false" hidden="false" localSheetId="1" name="_xlnm.Print_Titles" vbProcedure="false">'Plant x size'!$4:$4</definedName>
    <definedName function="false" hidden="true" localSheetId="1" name="_xlnm._FilterDatabase" vbProcedure="false">'Plant x size'!$A$4:$T$171</definedName>
    <definedName function="false" hidden="true" localSheetId="2" name="_xlnm._FilterDatabase" vbProcedure="false">'SKU-wise all plants'!$A$3:$N$118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<sst xmlns="http://schemas.openxmlformats.org/spreadsheetml/2006/main" count="517" uniqueCount="159">
  <si>
    <t xml:space="preserve">FG ageing calibrated to plant FG sheets - by plant (29-Oct-2026)</t>
  </si>
  <si>
    <t xml:space="preserve">Plant</t>
  </si>
  <si>
    <t xml:space="preserve">System FG (MT)</t>
  </si>
  <si>
    <t xml:space="preserve">Plant FG, sheet rows (MT)</t>
  </si>
  <si>
    <t xml:space="preserve">Plant / system</t>
  </si>
  <si>
    <t xml:space="preserve">Calibrated 0-30 d</t>
  </si>
  <si>
    <t xml:space="preserve">Calibrated 31-60 d</t>
  </si>
  <si>
    <t xml:space="preserve">Calibrated 61-90 d</t>
  </si>
  <si>
    <t xml:space="preserve">Calibrated 90+ d</t>
  </si>
  <si>
    <t xml:space="preserve">Age unknown (not in system)</t>
  </si>
  <si>
    <t xml:space="preserve">Calibrated FG (MT)</t>
  </si>
  <si>
    <t xml:space="preserve">Calibrated over 60 d</t>
  </si>
  <si>
    <t xml:space="preserve">% over 60 d</t>
  </si>
  <si>
    <t xml:space="preserve">System over 60 d (before calibration)</t>
  </si>
  <si>
    <t xml:space="preserve">Plant sheet total as printed (MT)</t>
  </si>
  <si>
    <t xml:space="preserve">Hyderabad</t>
  </si>
  <si>
    <t xml:space="preserve">Lepakshi</t>
  </si>
  <si>
    <t xml:space="preserve">NPMD</t>
  </si>
  <si>
    <t xml:space="preserve">Tapi</t>
  </si>
  <si>
    <t xml:space="preserve">All plants</t>
  </si>
  <si>
    <t xml:space="preserve">Notes</t>
  </si>
  <si>
    <t xml:space="preserve">Plant FG = the plants' own FG sheets of 29-Oct (Hyderabad, Tapi Surat, Lepakshi Mill 2, NPMD), quantity / balance column. They are taken as the real stock.</t>
  </si>
  <si>
    <t xml:space="preserve">Hyderabad: the sheet prints 649.586 but its 55 visible rows add to 643.432; the other 6.154 MT cannot be placed against a size and is left out of the calibration.</t>
  </si>
  <si>
    <t xml:space="preserve">Tapi: the sheet shows whole tonnes; its rows add to 827 against a printed 826 (rounding). Lepakshi's sheet is not titled; it is identified as Lepakshi from its sizes.</t>
  </si>
  <si>
    <t xml:space="preserve">NPMD: HR and CRFH lines of the same size are added together (the system does not split them). Hyderabad's "25.4OD" rows are matched to CHS 20 NB.</t>
  </si>
  <si>
    <t xml:space="preserve">Thickness is clubbed to the nearest of 1.6 / 2 / 2.5 / 3 / 4 / 5 / 6 mm on both sides (1.2 -&gt; 1.6, 2.2 -&gt; 2, 2.8 / 2.9 / 3.2 -&gt; 3), as decided on 29-Oct.</t>
  </si>
  <si>
    <t xml:space="preserve">System FG: produced (tubes x SKU master weight per tube) minus invoiced, at the same plant, per size, never below 0; invoices use up the oldest production first and the rest is aged from its production date (Inventory Snapshot rules S1, S2, S10, with the clubbed size).</t>
  </si>
  <si>
    <t xml:space="preserve">Calibration: for each plant and size, every age bucket is multiplied by plant FG / system FG. Where the plant holds stock the system shows as nil, it cannot be aged and is shown as "Age unknown". Avg age and oldest batch are the system's and do not change with the ratio.</t>
  </si>
  <si>
    <t xml:space="preserve">A large ratio usually means production not yet entered, or entered or billed under another size code; it is not a weighing difference. Invoices are billed at the same master weight per piece as production (within 0.05% at every plant), and NPMD's system FG is only 2.7 MT above its sheet (0.7 MT before over-invoiced sizes are counted as 0).</t>
  </si>
  <si>
    <t xml:space="preserve">FG ageing calibrated to plant FG sheets - by plant and size (29-Oct-2026)</t>
  </si>
  <si>
    <t xml:space="preserve">System FG and FIFO ageing from the database (production to 28-Oct, invoices to 24-28 Oct by plant). Thickness clubbed to 1.6 / 2 / 2.5 / 3 / 4 / 5 / 6. Each size is calibrated to the plant sheet: ratio = plant FG / system FG, and every age bucket is multiplied by it. Plant stock the system shows as nil is "Age unknown".</t>
  </si>
  <si>
    <t xml:space="preserve">Size</t>
  </si>
  <si>
    <t xml:space="preserve">Plant FG (MT)</t>
  </si>
  <si>
    <t xml:space="preserve">Ratio plant / system</t>
  </si>
  <si>
    <t xml:space="preserve">Status</t>
  </si>
  <si>
    <t xml:space="preserve">System 0-30 d</t>
  </si>
  <si>
    <t xml:space="preserve">System 31-60 d</t>
  </si>
  <si>
    <t xml:space="preserve">System 61-90 d</t>
  </si>
  <si>
    <t xml:space="preserve">System 90+ d</t>
  </si>
  <si>
    <t xml:space="preserve">Avg age (days)</t>
  </si>
  <si>
    <t xml:space="preserve">Oldest batch (days)</t>
  </si>
  <si>
    <t xml:space="preserve">Last produced</t>
  </si>
  <si>
    <t xml:space="preserve">SHS 25x25 x 2</t>
  </si>
  <si>
    <t xml:space="preserve">SHS 25x25 x 3</t>
  </si>
  <si>
    <t xml:space="preserve">SHS 30x30 x 1.6</t>
  </si>
  <si>
    <t xml:space="preserve">SHS 30x30 x 2.5</t>
  </si>
  <si>
    <t xml:space="preserve">SHS 38x38 x 1.6</t>
  </si>
  <si>
    <t xml:space="preserve">SHS 38x38 x 2</t>
  </si>
  <si>
    <t xml:space="preserve">SHS 38x38 x 2.5</t>
  </si>
  <si>
    <t xml:space="preserve">SHS 38x38 x 3</t>
  </si>
  <si>
    <t xml:space="preserve">SHS 38x38 x 4</t>
  </si>
  <si>
    <t xml:space="preserve">SHS 50x50 x 1.6</t>
  </si>
  <si>
    <t xml:space="preserve">SHS 50x50 x 2</t>
  </si>
  <si>
    <t xml:space="preserve">SHS 50x50 x 2.5</t>
  </si>
  <si>
    <t xml:space="preserve">SHS 50x50 x 3</t>
  </si>
  <si>
    <t xml:space="preserve">SHS 50x50 x 4</t>
  </si>
  <si>
    <t xml:space="preserve">SHS 60x60 x 2.5</t>
  </si>
  <si>
    <t xml:space="preserve">SHS 60x60 x 4</t>
  </si>
  <si>
    <t xml:space="preserve">SHS 75x75 x 2</t>
  </si>
  <si>
    <t xml:space="preserve">SHS 75x75 x 2.5</t>
  </si>
  <si>
    <t xml:space="preserve">RHS 40x20 x 2</t>
  </si>
  <si>
    <t xml:space="preserve">RHS 40x20 x 2.5</t>
  </si>
  <si>
    <t xml:space="preserve">RHS 40x20 x 3</t>
  </si>
  <si>
    <t xml:space="preserve">RHS 50x25 x 2</t>
  </si>
  <si>
    <t xml:space="preserve">RHS 50x25 x 2.5</t>
  </si>
  <si>
    <t xml:space="preserve">RHS 50x25 x 3</t>
  </si>
  <si>
    <t xml:space="preserve">RHS 60x40 x 1.6</t>
  </si>
  <si>
    <t xml:space="preserve">RHS 60x40 x 2</t>
  </si>
  <si>
    <t xml:space="preserve">RHS 60x40 x 2.5</t>
  </si>
  <si>
    <t xml:space="preserve">RHS 60x40 x 3</t>
  </si>
  <si>
    <t xml:space="preserve">RHS 75x25 x 2</t>
  </si>
  <si>
    <t xml:space="preserve">RHS 75x25 x 2.5</t>
  </si>
  <si>
    <t xml:space="preserve">RHS 75x25 x 3</t>
  </si>
  <si>
    <t xml:space="preserve">RHS 80x40 x 2</t>
  </si>
  <si>
    <t xml:space="preserve">RHS 80x40 x 2.5</t>
  </si>
  <si>
    <t xml:space="preserve">RHS 80x40 x 3</t>
  </si>
  <si>
    <t xml:space="preserve">RHS 80x40 x 4</t>
  </si>
  <si>
    <t xml:space="preserve">RHS 100x50 x 2.5</t>
  </si>
  <si>
    <t xml:space="preserve">RHS 100x50 x 3</t>
  </si>
  <si>
    <t xml:space="preserve">RHS 100x50 x 4</t>
  </si>
  <si>
    <t xml:space="preserve">CHS 15 NB x 2</t>
  </si>
  <si>
    <t xml:space="preserve">CHS 15 NB x 2.5</t>
  </si>
  <si>
    <t xml:space="preserve">CHS 20 NB x 1.6</t>
  </si>
  <si>
    <t xml:space="preserve">CHS 20 NB x 2</t>
  </si>
  <si>
    <t xml:space="preserve">CHS 20 NB x 2.5</t>
  </si>
  <si>
    <t xml:space="preserve">CHS 20 NB x 3</t>
  </si>
  <si>
    <t xml:space="preserve">CHS 25 NB x 1.6</t>
  </si>
  <si>
    <t xml:space="preserve">CHS 25 NB x 2</t>
  </si>
  <si>
    <t xml:space="preserve">CHS 25 NB x 2.5</t>
  </si>
  <si>
    <t xml:space="preserve">CHS 25 NB x 3</t>
  </si>
  <si>
    <t xml:space="preserve">CHS 32 NB x 1.6</t>
  </si>
  <si>
    <t xml:space="preserve">CHS 32 NB x 2</t>
  </si>
  <si>
    <t xml:space="preserve">CHS 32 NB x 2.5</t>
  </si>
  <si>
    <t xml:space="preserve">CHS 32 NB x 3</t>
  </si>
  <si>
    <t xml:space="preserve">CHS 40 NB x 2</t>
  </si>
  <si>
    <t xml:space="preserve">CHS 40 NB x 2.5</t>
  </si>
  <si>
    <t xml:space="preserve">CHS 40 NB x 3</t>
  </si>
  <si>
    <t xml:space="preserve">CHS 40 NB x 4</t>
  </si>
  <si>
    <t xml:space="preserve">CHS 50 NB x 1.6</t>
  </si>
  <si>
    <t xml:space="preserve">CHS 50 NB x 2</t>
  </si>
  <si>
    <t xml:space="preserve">CHS 50 NB x 2.5</t>
  </si>
  <si>
    <t xml:space="preserve">CHS 50 NB x 3</t>
  </si>
  <si>
    <t xml:space="preserve">CHS 65 NB x 2</t>
  </si>
  <si>
    <t xml:space="preserve">CHS 65 NB x 2.5</t>
  </si>
  <si>
    <t xml:space="preserve">CHS 65 NB x 3</t>
  </si>
  <si>
    <t xml:space="preserve">CHS 65 NB x 4</t>
  </si>
  <si>
    <t xml:space="preserve">CHS 80 NB x 1.6</t>
  </si>
  <si>
    <t xml:space="preserve">CHS 80 NB x 2</t>
  </si>
  <si>
    <t xml:space="preserve">CHS 80 NB x 2.5</t>
  </si>
  <si>
    <t xml:space="preserve">CHS 80 NB x 3</t>
  </si>
  <si>
    <t xml:space="preserve">CHS 80 NB x 4</t>
  </si>
  <si>
    <t xml:space="preserve">SHS 25x25 x 2.5</t>
  </si>
  <si>
    <t xml:space="preserve">SHS 40x40 x 2</t>
  </si>
  <si>
    <t xml:space="preserve">SHS 40x40 x 2.5</t>
  </si>
  <si>
    <t xml:space="preserve">SHS 40x40 x 3</t>
  </si>
  <si>
    <t xml:space="preserve">SHS 72x72 x 2</t>
  </si>
  <si>
    <t xml:space="preserve">SHS 72x72 x 2.5</t>
  </si>
  <si>
    <t xml:space="preserve">SHS 72x72 x 4</t>
  </si>
  <si>
    <t xml:space="preserve">SHS 72x72 x 5</t>
  </si>
  <si>
    <t xml:space="preserve">SHS 100x100 x 2</t>
  </si>
  <si>
    <t xml:space="preserve">SHS 100x100 x 2.5</t>
  </si>
  <si>
    <t xml:space="preserve">SHS 100x100 x 3</t>
  </si>
  <si>
    <t xml:space="preserve">SHS 100x100 x 4</t>
  </si>
  <si>
    <t xml:space="preserve">SHS 100x100 x 5</t>
  </si>
  <si>
    <t xml:space="preserve">SHS 150x150 x 3</t>
  </si>
  <si>
    <t xml:space="preserve">SHS 150x150 x 4</t>
  </si>
  <si>
    <t xml:space="preserve">SHS 150x150 x 5</t>
  </si>
  <si>
    <t xml:space="preserve">RHS 96x48 x 2.5</t>
  </si>
  <si>
    <t xml:space="preserve">RHS 96x48 x 3</t>
  </si>
  <si>
    <t xml:space="preserve">RHS 96x48 x 4</t>
  </si>
  <si>
    <t xml:space="preserve">RHS 96x48 x 5</t>
  </si>
  <si>
    <t xml:space="preserve">RHS 122x61 x 2</t>
  </si>
  <si>
    <t xml:space="preserve">RHS 122x61 x 2.5</t>
  </si>
  <si>
    <t xml:space="preserve">RHS 122x61 x 3</t>
  </si>
  <si>
    <t xml:space="preserve">RHS 122x61 x 4</t>
  </si>
  <si>
    <t xml:space="preserve">RHS 122x61 x 5</t>
  </si>
  <si>
    <t xml:space="preserve">RHS 50x25 x 1.6</t>
  </si>
  <si>
    <t xml:space="preserve">RHS 80x40 x 1.6</t>
  </si>
  <si>
    <t xml:space="preserve">RHS 96x48 x 1.6</t>
  </si>
  <si>
    <t xml:space="preserve">RHS 96x48 x 2</t>
  </si>
  <si>
    <t xml:space="preserve">SHS 50x50 x 5</t>
  </si>
  <si>
    <t xml:space="preserve">SHS 60x60 x 5</t>
  </si>
  <si>
    <t xml:space="preserve">SHS 72x72 x 3</t>
  </si>
  <si>
    <t xml:space="preserve">SHS 80x80 x 4</t>
  </si>
  <si>
    <t xml:space="preserve">SHS 80x80 x 5</t>
  </si>
  <si>
    <t xml:space="preserve">SHS 100x100 x 6</t>
  </si>
  <si>
    <t xml:space="preserve">SHS 132x132 x 3</t>
  </si>
  <si>
    <t xml:space="preserve">SHS 132x132 x 4</t>
  </si>
  <si>
    <t xml:space="preserve">SHS 150x150 x 2.5</t>
  </si>
  <si>
    <t xml:space="preserve">RHS 60x40 x 4</t>
  </si>
  <si>
    <t xml:space="preserve">RHS 80x40 x 5</t>
  </si>
  <si>
    <t xml:space="preserve">RHS 122x61 x 6</t>
  </si>
  <si>
    <t xml:space="preserve">RHS 145x82 x 3</t>
  </si>
  <si>
    <t xml:space="preserve">RHS 145x82 x 4</t>
  </si>
  <si>
    <t xml:space="preserve">RHS 200x100 x 3</t>
  </si>
  <si>
    <t xml:space="preserve">RHS 200x100 x 4</t>
  </si>
  <si>
    <t xml:space="preserve">RHS 200x100 x 5</t>
  </si>
  <si>
    <t xml:space="preserve">Total (follows the filter)</t>
  </si>
  <si>
    <t xml:space="preserve">FG ageing calibrated - SKU-wise, all plants (29-Oct-2026)</t>
  </si>
</sst>
</file>

<file path=xl/styles.xml><?xml version="1.0" encoding="utf-8"?>
<styleSheet xmlns="http://schemas.openxmlformats.org/spreadsheetml/2006/main">
  <numFmts count="8">
    <numFmt numFmtId="164" formatCode="General"/>
    <numFmt numFmtId="165" formatCode="#,##0.00;[RED]\-#,##0.00;\-"/>
    <numFmt numFmtId="166" formatCode="0.000"/>
    <numFmt numFmtId="167" formatCode="0.0%"/>
    <numFmt numFmtId="168" formatCode="0.00"/>
    <numFmt numFmtId="169" formatCode="0.0"/>
    <numFmt numFmtId="170" formatCode="0"/>
    <numFmt numFmtId="171" formatCode="dd\-mmm\-yy"/>
  </numFmts>
  <fonts count="11">
    <font>
      <sz val="11"/>
      <color theme="1"/>
      <name val="Calibri"/>
      <family val="2"/>
      <charset val="1"/>
    </font>
    <font>
      <sz val="10"/>
      <name val="Arial"/>
      <family val="0"/>
    </font>
    <font>
      <sz val="10"/>
      <name val="Arial"/>
      <family val="0"/>
    </font>
    <font>
      <sz val="10"/>
      <name val="Arial"/>
      <family val="0"/>
    </font>
    <font>
      <b val="true"/>
      <sz val="13"/>
      <color rgb="FF1F3A5F"/>
      <name val="Arial"/>
      <family val="0"/>
      <charset val="1"/>
    </font>
    <font>
      <b val="true"/>
      <sz val="10"/>
      <color rgb="FFFFFFFF"/>
      <name val="Arial"/>
      <family val="0"/>
      <charset val="1"/>
    </font>
    <font>
      <b val="true"/>
      <sz val="10"/>
      <name val="Arial"/>
      <family val="0"/>
      <charset val="1"/>
    </font>
    <font>
      <sz val="10"/>
      <name val="Arial"/>
      <family val="0"/>
      <charset val="1"/>
    </font>
    <font>
      <b val="true"/>
      <sz val="9"/>
      <color rgb="FF333333"/>
      <name val="Arial"/>
      <family val="0"/>
      <charset val="1"/>
    </font>
    <font>
      <sz val="9"/>
      <color rgb="FF555555"/>
      <name val="Arial"/>
      <family val="0"/>
      <charset val="1"/>
    </font>
    <font>
      <i val="true"/>
      <sz val="9"/>
      <color rgb="FF555555"/>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2E7D32"/>
        <bgColor rgb="FF008000"/>
      </patternFill>
    </fill>
    <fill>
      <patternFill patternType="solid">
        <fgColor rgb="FF8A6D00"/>
        <bgColor rgb="FFB45309"/>
      </patternFill>
    </fill>
    <fill>
      <patternFill patternType="solid">
        <fgColor rgb="FFB45309"/>
        <bgColor rgb="FF8A6D00"/>
      </patternFill>
    </fill>
    <fill>
      <patternFill patternType="solid">
        <fgColor rgb="FF9B1C1C"/>
        <bgColor rgb="FF800000"/>
      </patternFill>
    </fill>
    <fill>
      <patternFill patternType="solid">
        <fgColor rgb="FFEEF2F6"/>
        <bgColor rgb="FFE8F0FE"/>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5" fontId="6" fillId="7" borderId="1" xfId="0" applyFont="true" applyBorder="true" applyAlignment="false" applyProtection="false">
      <alignment horizontal="general" vertical="bottom" textRotation="0" wrapText="false" indent="0" shrinkToFit="false"/>
      <protection locked="true" hidden="false"/>
    </xf>
    <xf numFmtId="166" fontId="6" fillId="7" borderId="1" xfId="0" applyFont="true" applyBorder="true" applyAlignment="false" applyProtection="false">
      <alignment horizontal="general" vertical="bottom" textRotation="0" wrapText="false" indent="0" shrinkToFit="false"/>
      <protection locked="true" hidden="false"/>
    </xf>
    <xf numFmtId="167" fontId="6" fillId="7"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8F0FE"/>
          <bgColor rgb="FF000000"/>
        </patternFill>
      </fill>
    </dxf>
    <dxf>
      <fill>
        <patternFill patternType="solid">
          <fgColor rgb="FFE8F5E9"/>
          <bgColor rgb="FF000000"/>
        </patternFill>
      </fill>
    </dxf>
    <dxf>
      <fill>
        <patternFill patternType="solid">
          <fgColor rgb="FFF3E8FF"/>
          <bgColor rgb="FF000000"/>
        </patternFill>
      </fill>
    </dxf>
    <dxf>
      <fill>
        <patternFill patternType="solid">
          <fgColor rgb="FFFBE3E1"/>
          <bgColor rgb="FF000000"/>
        </patternFill>
      </fill>
    </dxf>
    <dxf>
      <fill>
        <patternFill patternType="solid">
          <fgColor rgb="FFFFF1D6"/>
          <bgColor rgb="FF000000"/>
        </patternFill>
      </fill>
    </dxf>
    <dxf>
      <fill>
        <patternFill patternType="solid">
          <fgColor rgb="FF2E7D32"/>
          <bgColor rgb="FF000000"/>
        </patternFill>
      </fill>
    </dxf>
    <dxf>
      <fill>
        <patternFill patternType="solid">
          <fgColor rgb="FF8A6D00"/>
          <bgColor rgb="FF000000"/>
        </patternFill>
      </fill>
    </dxf>
    <dxf>
      <fill>
        <patternFill patternType="solid">
          <fgColor rgb="FFB45309"/>
          <bgColor rgb="FF000000"/>
        </patternFill>
      </fill>
    </dxf>
    <dxf>
      <fill>
        <patternFill patternType="solid">
          <fgColor rgb="FF9B1C1C"/>
          <bgColor rgb="FF000000"/>
        </patternFill>
      </fill>
    </dxf>
    <dxf>
      <fill>
        <patternFill>
          <bgColor rgb="FFFFF1D6"/>
        </patternFill>
      </fill>
    </dxf>
    <dxf>
      <fill>
        <patternFill>
          <bgColor rgb="FFE8F0FE"/>
        </patternFill>
      </fill>
    </dxf>
    <dxf>
      <fill>
        <patternFill>
          <bgColor rgb="FFFBE3E1"/>
        </patternFill>
      </fill>
    </dxf>
    <dxf>
      <fill>
        <patternFill>
          <bgColor rgb="FFF3E8FF"/>
        </patternFill>
      </fill>
    </dxf>
    <dxf>
      <fill>
        <patternFill>
          <bgColor rgb="FFE8F5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008080"/>
      <rgbColor rgb="FFC0C0C0"/>
      <rgbColor rgb="FF808080"/>
      <rgbColor rgb="FF9999FF"/>
      <rgbColor rgb="FFB45309"/>
      <rgbColor rgb="FFFFF1D6"/>
      <rgbColor rgb="FFE8F5E9"/>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E8F0FE"/>
      <rgbColor rgb="FFEEF2F6"/>
      <rgbColor rgb="FFF3E8FF"/>
      <rgbColor rgb="FF99CCFF"/>
      <rgbColor rgb="FFFF99CC"/>
      <rgbColor rgb="FFCC99FF"/>
      <rgbColor rgb="FFFBE3E1"/>
      <rgbColor rgb="FF3366FF"/>
      <rgbColor rgb="FF33CCCC"/>
      <rgbColor rgb="FF99CC00"/>
      <rgbColor rgb="FFFFCC00"/>
      <rgbColor rgb="FFFF9900"/>
      <rgbColor rgb="FFFF6600"/>
      <rgbColor rgb="FF555555"/>
      <rgbColor rgb="FF969696"/>
      <rgbColor rgb="FF1F3A5F"/>
      <rgbColor rgb="FF2E7D32"/>
      <rgbColor rgb="FF003300"/>
      <rgbColor rgb="FF333300"/>
      <rgbColor rgb="FF9B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2"/>
    <col collapsed="false" customWidth="true" hidden="false" outlineLevel="0" max="4" min="4" style="0" width="9"/>
    <col collapsed="false" customWidth="true" hidden="false" outlineLevel="0" max="8" min="5" style="0" width="11"/>
    <col collapsed="false" customWidth="true" hidden="false" outlineLevel="0" max="10" min="9" style="0" width="12"/>
    <col collapsed="false" customWidth="true" hidden="false" outlineLevel="0" max="11" min="11" style="0" width="11"/>
    <col collapsed="false" customWidth="true" hidden="false" outlineLevel="0" max="12" min="12" style="0" width="9"/>
    <col collapsed="false" customWidth="true" hidden="false" outlineLevel="0" max="13" min="13" style="0" width="13"/>
    <col collapsed="false" customWidth="true" hidden="false" outlineLevel="0" max="14" min="14" style="0" width="12"/>
  </cols>
  <sheetData>
    <row r="1" customFormat="false" ht="16.15" hidden="false" customHeight="false" outlineLevel="0" collapsed="false">
      <c r="A1" s="1" t="s">
        <v>0</v>
      </c>
    </row>
    <row r="3" customFormat="false" ht="43.5" hidden="false" customHeight="true" outlineLevel="0" collapsed="false">
      <c r="A3" s="2" t="s">
        <v>1</v>
      </c>
      <c r="B3" s="2" t="s">
        <v>2</v>
      </c>
      <c r="C3" s="2" t="s">
        <v>3</v>
      </c>
      <c r="D3" s="2" t="s">
        <v>4</v>
      </c>
      <c r="E3" s="3" t="s">
        <v>5</v>
      </c>
      <c r="F3" s="4" t="s">
        <v>6</v>
      </c>
      <c r="G3" s="5" t="s">
        <v>7</v>
      </c>
      <c r="H3" s="6" t="s">
        <v>8</v>
      </c>
      <c r="I3" s="2" t="s">
        <v>9</v>
      </c>
      <c r="J3" s="2" t="s">
        <v>10</v>
      </c>
      <c r="K3" s="2" t="s">
        <v>11</v>
      </c>
      <c r="L3" s="2" t="s">
        <v>12</v>
      </c>
      <c r="M3" s="2" t="s">
        <v>13</v>
      </c>
      <c r="N3" s="2" t="s">
        <v>14</v>
      </c>
    </row>
    <row r="4" customFormat="false" ht="15" hidden="false" customHeight="false" outlineLevel="0" collapsed="false">
      <c r="A4" s="7" t="s">
        <v>15</v>
      </c>
      <c r="B4" s="8" t="n">
        <f aca="false">SUMIF('Plant x size'!$A$5:$A$171,A4,'Plant x size'!$C$5:$C$171)</f>
        <v>683.42496592272</v>
      </c>
      <c r="C4" s="8" t="n">
        <f aca="false">SUMIF('Plant x size'!$A$5:$A$171,A4,'Plant x size'!$D$5:$D$171)</f>
        <v>643.432</v>
      </c>
      <c r="D4" s="9" t="n">
        <f aca="false">IF(B4&gt;0,C4/B4,0)</f>
        <v>0.941481555522744</v>
      </c>
      <c r="E4" s="8" t="n">
        <f aca="false">SUMIF('Plant x size'!$A$5:$A$171,A4,'Plant x size'!$K$5:$K$171)</f>
        <v>325.276515398259</v>
      </c>
      <c r="F4" s="8" t="n">
        <f aca="false">SUMIF('Plant x size'!$A$5:$A$171,A4,'Plant x size'!$L$5:$L$171)</f>
        <v>89.235476583338</v>
      </c>
      <c r="G4" s="8" t="n">
        <f aca="false">SUMIF('Plant x size'!$A$5:$A$171,A4,'Plant x size'!$M$5:$M$171)</f>
        <v>14.464</v>
      </c>
      <c r="H4" s="8" t="n">
        <f aca="false">SUMIF('Plant x size'!$A$5:$A$171,A4,'Plant x size'!$N$5:$N$171)</f>
        <v>205.725008018403</v>
      </c>
      <c r="I4" s="8" t="n">
        <f aca="false">SUMIF('Plant x size'!$A$5:$A$171,A4,'Plant x size'!$O$5:$O$171)</f>
        <v>8.731</v>
      </c>
      <c r="J4" s="7" t="n">
        <f aca="false">SUMIF('Plant x size'!$A$5:$A$171,A4,'Plant x size'!$P$5:$P$171)</f>
        <v>643.432</v>
      </c>
      <c r="K4" s="8" t="n">
        <f aca="false">SUMIF('Plant x size'!$A$5:$A$171,A4,'Plant x size'!$Q$5:$Q$171)</f>
        <v>220.189008018403</v>
      </c>
      <c r="L4" s="10" t="n">
        <f aca="false">IF(J4&gt;0,K4/J4,0)</f>
        <v>0.342210222709475</v>
      </c>
      <c r="M4" s="8" t="n">
        <f aca="false">SUMIF('Plant x size'!$A$5:$A$171,A4,'Plant x size'!$I$5:$I$171)+SUMIF('Plant x size'!$A$5:$A$171,A4,'Plant x size'!$J$5:$J$171)</f>
        <v>241.077166636955</v>
      </c>
      <c r="N4" s="8" t="n">
        <v>649.586</v>
      </c>
    </row>
    <row r="5" customFormat="false" ht="15" hidden="false" customHeight="false" outlineLevel="0" collapsed="false">
      <c r="A5" s="7" t="s">
        <v>16</v>
      </c>
      <c r="B5" s="8" t="n">
        <f aca="false">SUMIF('Plant x size'!$A$5:$A$171,A5,'Plant x size'!$C$5:$C$171)</f>
        <v>327.420604</v>
      </c>
      <c r="C5" s="8" t="n">
        <f aca="false">SUMIF('Plant x size'!$A$5:$A$171,A5,'Plant x size'!$D$5:$D$171)</f>
        <v>385.1</v>
      </c>
      <c r="D5" s="9" t="n">
        <f aca="false">IF(B5&gt;0,C5/B5,0)</f>
        <v>1.1761630004201</v>
      </c>
      <c r="E5" s="8" t="n">
        <f aca="false">SUMIF('Plant x size'!$A$5:$A$171,A5,'Plant x size'!$K$5:$K$171)</f>
        <v>287.3</v>
      </c>
      <c r="F5" s="8" t="n">
        <f aca="false">SUMIF('Plant x size'!$A$5:$A$171,A5,'Plant x size'!$L$5:$L$171)</f>
        <v>80.1</v>
      </c>
      <c r="G5" s="8" t="n">
        <f aca="false">SUMIF('Plant x size'!$A$5:$A$171,A5,'Plant x size'!$M$5:$M$171)</f>
        <v>0</v>
      </c>
      <c r="H5" s="8" t="n">
        <f aca="false">SUMIF('Plant x size'!$A$5:$A$171,A5,'Plant x size'!$N$5:$N$171)</f>
        <v>0</v>
      </c>
      <c r="I5" s="8" t="n">
        <f aca="false">SUMIF('Plant x size'!$A$5:$A$171,A5,'Plant x size'!$O$5:$O$171)</f>
        <v>17.7</v>
      </c>
      <c r="J5" s="7" t="n">
        <f aca="false">SUMIF('Plant x size'!$A$5:$A$171,A5,'Plant x size'!$P$5:$P$171)</f>
        <v>385.1</v>
      </c>
      <c r="K5" s="8" t="n">
        <f aca="false">SUMIF('Plant x size'!$A$5:$A$171,A5,'Plant x size'!$Q$5:$Q$171)</f>
        <v>0</v>
      </c>
      <c r="L5" s="10" t="n">
        <f aca="false">IF(J5&gt;0,K5/J5,0)</f>
        <v>0</v>
      </c>
      <c r="M5" s="8" t="n">
        <f aca="false">SUMIF('Plant x size'!$A$5:$A$171,A5,'Plant x size'!$I$5:$I$171)+SUMIF('Plant x size'!$A$5:$A$171,A5,'Plant x size'!$J$5:$J$171)</f>
        <v>0</v>
      </c>
      <c r="N5" s="8" t="n">
        <v>385.1</v>
      </c>
    </row>
    <row r="6" customFormat="false" ht="15" hidden="false" customHeight="false" outlineLevel="0" collapsed="false">
      <c r="A6" s="7" t="s">
        <v>17</v>
      </c>
      <c r="B6" s="8" t="n">
        <f aca="false">SUMIF('Plant x size'!$A$5:$A$171,A6,'Plant x size'!$C$5:$C$171)</f>
        <v>777.886553696</v>
      </c>
      <c r="C6" s="8" t="n">
        <f aca="false">SUMIF('Plant x size'!$A$5:$A$171,A6,'Plant x size'!$D$5:$D$171)</f>
        <v>775.2</v>
      </c>
      <c r="D6" s="9" t="n">
        <f aca="false">IF(B6&gt;0,C6/B6,0)</f>
        <v>0.996546342544121</v>
      </c>
      <c r="E6" s="8" t="n">
        <f aca="false">SUMIF('Plant x size'!$A$5:$A$171,A6,'Plant x size'!$K$5:$K$171)</f>
        <v>653.243932962822</v>
      </c>
      <c r="F6" s="8" t="n">
        <f aca="false">SUMIF('Plant x size'!$A$5:$A$171,A6,'Plant x size'!$L$5:$L$171)</f>
        <v>121.056067037178</v>
      </c>
      <c r="G6" s="8" t="n">
        <f aca="false">SUMIF('Plant x size'!$A$5:$A$171,A6,'Plant x size'!$M$5:$M$171)</f>
        <v>0</v>
      </c>
      <c r="H6" s="8" t="n">
        <f aca="false">SUMIF('Plant x size'!$A$5:$A$171,A6,'Plant x size'!$N$5:$N$171)</f>
        <v>0</v>
      </c>
      <c r="I6" s="8" t="n">
        <f aca="false">SUMIF('Plant x size'!$A$5:$A$171,A6,'Plant x size'!$O$5:$O$171)</f>
        <v>0.9</v>
      </c>
      <c r="J6" s="7" t="n">
        <f aca="false">SUMIF('Plant x size'!$A$5:$A$171,A6,'Plant x size'!$P$5:$P$171)</f>
        <v>775.2</v>
      </c>
      <c r="K6" s="8" t="n">
        <f aca="false">SUMIF('Plant x size'!$A$5:$A$171,A6,'Plant x size'!$Q$5:$Q$171)</f>
        <v>0</v>
      </c>
      <c r="L6" s="10" t="n">
        <f aca="false">IF(J6&gt;0,K6/J6,0)</f>
        <v>0</v>
      </c>
      <c r="M6" s="8" t="n">
        <f aca="false">SUMIF('Plant x size'!$A$5:$A$171,A6,'Plant x size'!$I$5:$I$171)+SUMIF('Plant x size'!$A$5:$A$171,A6,'Plant x size'!$J$5:$J$171)</f>
        <v>0</v>
      </c>
      <c r="N6" s="8" t="n">
        <v>775.2</v>
      </c>
    </row>
    <row r="7" customFormat="false" ht="15" hidden="false" customHeight="false" outlineLevel="0" collapsed="false">
      <c r="A7" s="7" t="s">
        <v>18</v>
      </c>
      <c r="B7" s="8" t="n">
        <f aca="false">SUMIF('Plant x size'!$A$5:$A$171,A7,'Plant x size'!$C$5:$C$171)</f>
        <v>784.7645037</v>
      </c>
      <c r="C7" s="8" t="n">
        <f aca="false">SUMIF('Plant x size'!$A$5:$A$171,A7,'Plant x size'!$D$5:$D$171)</f>
        <v>827</v>
      </c>
      <c r="D7" s="9" t="n">
        <f aca="false">IF(B7&gt;0,C7/B7,0)</f>
        <v>1.05381932554399</v>
      </c>
      <c r="E7" s="8" t="n">
        <f aca="false">SUMIF('Plant x size'!$A$5:$A$171,A7,'Plant x size'!$K$5:$K$171)</f>
        <v>731.339950729971</v>
      </c>
      <c r="F7" s="8" t="n">
        <f aca="false">SUMIF('Plant x size'!$A$5:$A$171,A7,'Plant x size'!$L$5:$L$171)</f>
        <v>24.6600492700294</v>
      </c>
      <c r="G7" s="8" t="n">
        <f aca="false">SUMIF('Plant x size'!$A$5:$A$171,A7,'Plant x size'!$M$5:$M$171)</f>
        <v>0</v>
      </c>
      <c r="H7" s="8" t="n">
        <f aca="false">SUMIF('Plant x size'!$A$5:$A$171,A7,'Plant x size'!$N$5:$N$171)</f>
        <v>0</v>
      </c>
      <c r="I7" s="8" t="n">
        <f aca="false">SUMIF('Plant x size'!$A$5:$A$171,A7,'Plant x size'!$O$5:$O$171)</f>
        <v>71</v>
      </c>
      <c r="J7" s="7" t="n">
        <f aca="false">SUMIF('Plant x size'!$A$5:$A$171,A7,'Plant x size'!$P$5:$P$171)</f>
        <v>827</v>
      </c>
      <c r="K7" s="8" t="n">
        <f aca="false">SUMIF('Plant x size'!$A$5:$A$171,A7,'Plant x size'!$Q$5:$Q$171)</f>
        <v>0</v>
      </c>
      <c r="L7" s="10" t="n">
        <f aca="false">IF(J7&gt;0,K7/J7,0)</f>
        <v>0</v>
      </c>
      <c r="M7" s="8" t="n">
        <f aca="false">SUMIF('Plant x size'!$A$5:$A$171,A7,'Plant x size'!$I$5:$I$171)+SUMIF('Plant x size'!$A$5:$A$171,A7,'Plant x size'!$J$5:$J$171)</f>
        <v>4.494248</v>
      </c>
      <c r="N7" s="8" t="n">
        <v>826</v>
      </c>
    </row>
    <row r="8" customFormat="false" ht="15" hidden="false" customHeight="false" outlineLevel="0" collapsed="false">
      <c r="A8" s="11" t="s">
        <v>19</v>
      </c>
      <c r="B8" s="12" t="n">
        <f aca="false">SUM(B4:B7)</f>
        <v>2573.49662731872</v>
      </c>
      <c r="C8" s="12" t="n">
        <f aca="false">SUM(C4:C7)</f>
        <v>2630.732</v>
      </c>
      <c r="D8" s="13" t="n">
        <f aca="false">IF(B8&gt;0,C8/B8,0)</f>
        <v>1.02224031384914</v>
      </c>
      <c r="E8" s="12" t="n">
        <f aca="false">SUM(E4:E7)</f>
        <v>1997.16039909105</v>
      </c>
      <c r="F8" s="12" t="n">
        <f aca="false">SUM(F4:F7)</f>
        <v>315.051592890545</v>
      </c>
      <c r="G8" s="12" t="n">
        <f aca="false">SUM(G4:G7)</f>
        <v>14.464</v>
      </c>
      <c r="H8" s="12" t="n">
        <f aca="false">SUM(H4:H7)</f>
        <v>205.725008018403</v>
      </c>
      <c r="I8" s="12" t="n">
        <f aca="false">SUM(I4:I7)</f>
        <v>98.331</v>
      </c>
      <c r="J8" s="12" t="n">
        <f aca="false">SUM(J4:J7)</f>
        <v>2630.732</v>
      </c>
      <c r="K8" s="12" t="n">
        <f aca="false">SUM(K4:K7)</f>
        <v>220.189008018403</v>
      </c>
      <c r="L8" s="14" t="n">
        <f aca="false">IF(J8&gt;0,K8/J8,0)</f>
        <v>0.0836987606561226</v>
      </c>
      <c r="M8" s="12" t="n">
        <f aca="false">SUM(M4:M7)</f>
        <v>245.571414636955</v>
      </c>
      <c r="N8" s="12" t="n">
        <f aca="false">SUM(N4:N7)</f>
        <v>2635.886</v>
      </c>
    </row>
    <row r="10" customFormat="false" ht="15" hidden="false" customHeight="false" outlineLevel="0" collapsed="false">
      <c r="A10" s="15" t="s">
        <v>20</v>
      </c>
    </row>
    <row r="11" customFormat="false" ht="15" hidden="false" customHeight="false" outlineLevel="0" collapsed="false">
      <c r="A11" s="16" t="s">
        <v>21</v>
      </c>
    </row>
    <row r="12" customFormat="false" ht="15" hidden="false" customHeight="false" outlineLevel="0" collapsed="false">
      <c r="A12" s="16" t="s">
        <v>22</v>
      </c>
    </row>
    <row r="13" customFormat="false" ht="15" hidden="false" customHeight="false" outlineLevel="0" collapsed="false">
      <c r="A13" s="16" t="s">
        <v>23</v>
      </c>
    </row>
    <row r="14" customFormat="false" ht="15" hidden="false" customHeight="false" outlineLevel="0" collapsed="false">
      <c r="A14" s="16" t="s">
        <v>24</v>
      </c>
    </row>
    <row r="15" customFormat="false" ht="15" hidden="false" customHeight="false" outlineLevel="0" collapsed="false">
      <c r="A15" s="16" t="s">
        <v>25</v>
      </c>
    </row>
    <row r="16" customFormat="false" ht="15" hidden="false" customHeight="false" outlineLevel="0" collapsed="false">
      <c r="A16" s="16" t="s">
        <v>26</v>
      </c>
    </row>
    <row r="17" customFormat="false" ht="15" hidden="false" customHeight="false" outlineLevel="0" collapsed="false">
      <c r="A17" s="16" t="s">
        <v>27</v>
      </c>
    </row>
    <row r="18" customFormat="false" ht="15" hidden="false" customHeight="false" outlineLevel="0" collapsed="false">
      <c r="A18" s="16" t="s">
        <v>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10"/>
    <col collapsed="false" customWidth="true" hidden="false" outlineLevel="0" max="5" min="5" style="0" width="9"/>
    <col collapsed="false" customWidth="true" hidden="false" outlineLevel="0" max="6" min="6" style="0" width="11"/>
    <col collapsed="false" customWidth="true" hidden="false" outlineLevel="0" max="10" min="7" style="0" width="9"/>
    <col collapsed="false" customWidth="true" hidden="false" outlineLevel="0" max="14" min="11" style="0" width="10"/>
    <col collapsed="false" customWidth="true" hidden="false" outlineLevel="0" max="16" min="15" style="0" width="11"/>
    <col collapsed="false" customWidth="true" hidden="false" outlineLevel="0" max="17" min="17" style="0" width="10"/>
    <col collapsed="false" customWidth="true" hidden="false" outlineLevel="0" max="19" min="18" style="0" width="8"/>
    <col collapsed="false" customWidth="true" hidden="false" outlineLevel="0" max="20" min="20" style="0" width="10"/>
  </cols>
  <sheetData>
    <row r="1" customFormat="false" ht="16.15" hidden="false" customHeight="false" outlineLevel="0" collapsed="false">
      <c r="A1" s="1" t="s">
        <v>29</v>
      </c>
    </row>
    <row r="2" customFormat="false" ht="36" hidden="false" customHeight="true" outlineLevel="0" collapsed="false">
      <c r="A2" s="17" t="s">
        <v>30</v>
      </c>
    </row>
    <row r="4" customFormat="false" ht="43.5" hidden="false" customHeight="true" outlineLevel="0" collapsed="false">
      <c r="A4" s="2" t="s">
        <v>1</v>
      </c>
      <c r="B4" s="2" t="s">
        <v>31</v>
      </c>
      <c r="C4" s="2" t="s">
        <v>2</v>
      </c>
      <c r="D4" s="2" t="s">
        <v>32</v>
      </c>
      <c r="E4" s="2" t="s">
        <v>33</v>
      </c>
      <c r="F4" s="2" t="s">
        <v>34</v>
      </c>
      <c r="G4" s="2" t="s">
        <v>35</v>
      </c>
      <c r="H4" s="2" t="s">
        <v>36</v>
      </c>
      <c r="I4" s="2" t="s">
        <v>37</v>
      </c>
      <c r="J4" s="2" t="s">
        <v>38</v>
      </c>
      <c r="K4" s="3" t="s">
        <v>5</v>
      </c>
      <c r="L4" s="4" t="s">
        <v>6</v>
      </c>
      <c r="M4" s="5" t="s">
        <v>7</v>
      </c>
      <c r="N4" s="6" t="s">
        <v>8</v>
      </c>
      <c r="O4" s="2" t="s">
        <v>9</v>
      </c>
      <c r="P4" s="2" t="s">
        <v>10</v>
      </c>
      <c r="Q4" s="2" t="s">
        <v>11</v>
      </c>
      <c r="R4" s="2" t="s">
        <v>39</v>
      </c>
      <c r="S4" s="2" t="s">
        <v>40</v>
      </c>
      <c r="T4" s="2" t="s">
        <v>41</v>
      </c>
    </row>
    <row r="5" customFormat="false" ht="15" hidden="false" customHeight="false" outlineLevel="0" collapsed="false">
      <c r="A5" s="18" t="s">
        <v>15</v>
      </c>
      <c r="B5" s="19" t="s">
        <v>42</v>
      </c>
      <c r="C5" s="8" t="n">
        <v>12.3127576</v>
      </c>
      <c r="D5" s="8" t="n">
        <v>11.749</v>
      </c>
      <c r="E5" s="20" t="n">
        <f aca="false">IF(C5&gt;0,D5/C5,"")</f>
        <v>0.954213538647101</v>
      </c>
      <c r="F5" s="18" t="str">
        <f aca="false">IF(AND(C5=0,D5&gt;0),"Plant only",IF(AND(D5=0,C5&gt;0),"System only",IF(ABS(D5-C5)&lt;=0.5,"Match",IF(D5&gt;C5,"Plant more","Plant less"))))</f>
        <v>Plant less</v>
      </c>
      <c r="G5" s="8" t="n">
        <v>12.3127576</v>
      </c>
      <c r="H5" s="8" t="n">
        <v>0</v>
      </c>
      <c r="I5" s="8" t="n">
        <v>0</v>
      </c>
      <c r="J5" s="8" t="n">
        <v>0</v>
      </c>
      <c r="K5" s="8" t="n">
        <f aca="false">IF(C5&gt;0,G5*E5,0)</f>
        <v>11.749</v>
      </c>
      <c r="L5" s="8" t="n">
        <f aca="false">IF(C5&gt;0,H5*E5,0)</f>
        <v>0</v>
      </c>
      <c r="M5" s="8" t="n">
        <f aca="false">IF(C5&gt;0,I5*E5,0)</f>
        <v>0</v>
      </c>
      <c r="N5" s="8" t="n">
        <f aca="false">IF(C5&gt;0,J5*E5,0)</f>
        <v>0</v>
      </c>
      <c r="O5" s="8" t="n">
        <f aca="false">IF(C5&gt;0,0,D5)</f>
        <v>0</v>
      </c>
      <c r="P5" s="7" t="n">
        <f aca="false">SUM(K5:O5)</f>
        <v>11.749</v>
      </c>
      <c r="Q5" s="8" t="n">
        <f aca="false">M5+N5</f>
        <v>0</v>
      </c>
      <c r="R5" s="21" t="n">
        <v>11.4840348030566</v>
      </c>
      <c r="S5" s="22" t="n">
        <v>28</v>
      </c>
      <c r="T5" s="23" t="n">
        <v>46315</v>
      </c>
    </row>
    <row r="6" customFormat="false" ht="15" hidden="false" customHeight="false" outlineLevel="0" collapsed="false">
      <c r="A6" s="18" t="s">
        <v>15</v>
      </c>
      <c r="B6" s="19" t="s">
        <v>43</v>
      </c>
      <c r="C6" s="8" t="n">
        <v>0</v>
      </c>
      <c r="D6" s="8" t="n">
        <v>3.589</v>
      </c>
      <c r="E6" s="20" t="str">
        <f aca="false">IF(C6&gt;0,D6/C6,"")</f>
        <v/>
      </c>
      <c r="F6" s="18" t="str">
        <f aca="false">IF(AND(C6=0,D6&gt;0),"Plant only",IF(AND(D6=0,C6&gt;0),"System only",IF(ABS(D6-C6)&lt;=0.5,"Match",IF(D6&gt;C6,"Plant more","Plant less"))))</f>
        <v>Plant only</v>
      </c>
      <c r="G6" s="8" t="n">
        <v>0</v>
      </c>
      <c r="H6" s="8" t="n">
        <v>0</v>
      </c>
      <c r="I6" s="8" t="n">
        <v>0</v>
      </c>
      <c r="J6" s="8" t="n">
        <v>0</v>
      </c>
      <c r="K6" s="8" t="n">
        <f aca="false">IF(C6&gt;0,G6*E6,0)</f>
        <v>0</v>
      </c>
      <c r="L6" s="8" t="n">
        <f aca="false">IF(C6&gt;0,H6*E6,0)</f>
        <v>0</v>
      </c>
      <c r="M6" s="8" t="n">
        <f aca="false">IF(C6&gt;0,I6*E6,0)</f>
        <v>0</v>
      </c>
      <c r="N6" s="8" t="n">
        <f aca="false">IF(C6&gt;0,J6*E6,0)</f>
        <v>0</v>
      </c>
      <c r="O6" s="8" t="n">
        <f aca="false">IF(C6&gt;0,0,D6)</f>
        <v>3.589</v>
      </c>
      <c r="P6" s="7" t="n">
        <f aca="false">SUM(K6:O6)</f>
        <v>3.589</v>
      </c>
      <c r="Q6" s="8" t="n">
        <f aca="false">M6+N6</f>
        <v>0</v>
      </c>
      <c r="R6" s="21"/>
      <c r="S6" s="22"/>
      <c r="T6" s="23" t="n">
        <v>46298</v>
      </c>
    </row>
    <row r="7" customFormat="false" ht="15" hidden="false" customHeight="false" outlineLevel="0" collapsed="false">
      <c r="A7" s="18" t="s">
        <v>15</v>
      </c>
      <c r="B7" s="19" t="s">
        <v>44</v>
      </c>
      <c r="C7" s="8" t="n">
        <v>0.398907968</v>
      </c>
      <c r="D7" s="8" t="n">
        <v>0</v>
      </c>
      <c r="E7" s="20" t="n">
        <f aca="false">IF(C7&gt;0,D7/C7,"")</f>
        <v>0</v>
      </c>
      <c r="F7" s="18" t="str">
        <f aca="false">IF(AND(C7=0,D7&gt;0),"Plant only",IF(AND(D7=0,C7&gt;0),"System only",IF(ABS(D7-C7)&lt;=0.5,"Match",IF(D7&gt;C7,"Plant more","Plant less"))))</f>
        <v>System only</v>
      </c>
      <c r="G7" s="8" t="n">
        <v>0</v>
      </c>
      <c r="H7" s="8" t="n">
        <v>0</v>
      </c>
      <c r="I7" s="8" t="n">
        <v>0.398907968</v>
      </c>
      <c r="J7" s="8" t="n">
        <v>0</v>
      </c>
      <c r="K7" s="8" t="n">
        <f aca="false">IF(C7&gt;0,G7*E7,0)</f>
        <v>0</v>
      </c>
      <c r="L7" s="8" t="n">
        <f aca="false">IF(C7&gt;0,H7*E7,0)</f>
        <v>0</v>
      </c>
      <c r="M7" s="8" t="n">
        <f aca="false">IF(C7&gt;0,I7*E7,0)</f>
        <v>0</v>
      </c>
      <c r="N7" s="8" t="n">
        <f aca="false">IF(C7&gt;0,J7*E7,0)</f>
        <v>0</v>
      </c>
      <c r="O7" s="8" t="n">
        <f aca="false">IF(C7&gt;0,0,D7)</f>
        <v>0</v>
      </c>
      <c r="P7" s="7" t="n">
        <f aca="false">SUM(K7:O7)</f>
        <v>0</v>
      </c>
      <c r="Q7" s="8" t="n">
        <f aca="false">M7+N7</f>
        <v>0</v>
      </c>
      <c r="R7" s="21" t="n">
        <v>71</v>
      </c>
      <c r="S7" s="22" t="n">
        <v>71</v>
      </c>
      <c r="T7" s="23" t="n">
        <v>46253</v>
      </c>
    </row>
    <row r="8" customFormat="false" ht="15" hidden="false" customHeight="false" outlineLevel="0" collapsed="false">
      <c r="A8" s="18" t="s">
        <v>15</v>
      </c>
      <c r="B8" s="19" t="s">
        <v>45</v>
      </c>
      <c r="C8" s="8" t="n">
        <v>3.4545625</v>
      </c>
      <c r="D8" s="8" t="n">
        <v>3.03</v>
      </c>
      <c r="E8" s="20" t="n">
        <f aca="false">IF(C8&gt;0,D8/C8,"")</f>
        <v>0.877100935357227</v>
      </c>
      <c r="F8" s="18" t="str">
        <f aca="false">IF(AND(C8=0,D8&gt;0),"Plant only",IF(AND(D8=0,C8&gt;0),"System only",IF(ABS(D8-C8)&lt;=0.5,"Match",IF(D8&gt;C8,"Plant more","Plant less"))))</f>
        <v>Match</v>
      </c>
      <c r="G8" s="8" t="n">
        <v>1.0232475</v>
      </c>
      <c r="H8" s="8" t="n">
        <v>0</v>
      </c>
      <c r="I8" s="8" t="n">
        <v>0</v>
      </c>
      <c r="J8" s="8" t="n">
        <v>2.431315</v>
      </c>
      <c r="K8" s="8" t="n">
        <f aca="false">IF(C8&gt;0,G8*E8,0)</f>
        <v>0.897491339351945</v>
      </c>
      <c r="L8" s="8" t="n">
        <f aca="false">IF(C8&gt;0,H8*E8,0)</f>
        <v>0</v>
      </c>
      <c r="M8" s="8" t="n">
        <f aca="false">IF(C8&gt;0,I8*E8,0)</f>
        <v>0</v>
      </c>
      <c r="N8" s="8" t="n">
        <f aca="false">IF(C8&gt;0,J8*E8,0)</f>
        <v>2.13250866064806</v>
      </c>
      <c r="O8" s="8" t="n">
        <f aca="false">IF(C8&gt;0,0,D8)</f>
        <v>0</v>
      </c>
      <c r="P8" s="7" t="n">
        <f aca="false">SUM(K8:O8)</f>
        <v>3.03</v>
      </c>
      <c r="Q8" s="8" t="n">
        <f aca="false">M8+N8</f>
        <v>2.13250866064806</v>
      </c>
      <c r="R8" s="21" t="n">
        <v>85.0836220216019</v>
      </c>
      <c r="S8" s="22" t="n">
        <v>115</v>
      </c>
      <c r="T8" s="23" t="n">
        <v>46310</v>
      </c>
    </row>
    <row r="9" customFormat="false" ht="15" hidden="false" customHeight="false" outlineLevel="0" collapsed="false">
      <c r="A9" s="18" t="s">
        <v>15</v>
      </c>
      <c r="B9" s="19" t="s">
        <v>46</v>
      </c>
      <c r="C9" s="8" t="n">
        <v>1.1760019200002</v>
      </c>
      <c r="D9" s="8" t="n">
        <v>0</v>
      </c>
      <c r="E9" s="20" t="n">
        <f aca="false">IF(C9&gt;0,D9/C9,"")</f>
        <v>0</v>
      </c>
      <c r="F9" s="18" t="str">
        <f aca="false">IF(AND(C9=0,D9&gt;0),"Plant only",IF(AND(D9=0,C9&gt;0),"System only",IF(ABS(D9-C9)&lt;=0.5,"Match",IF(D9&gt;C9,"Plant more","Plant less"))))</f>
        <v>System only</v>
      </c>
      <c r="G9" s="8" t="n">
        <v>1.1760019200002</v>
      </c>
      <c r="H9" s="8" t="n">
        <v>0</v>
      </c>
      <c r="I9" s="8" t="n">
        <v>0</v>
      </c>
      <c r="J9" s="8" t="n">
        <v>0</v>
      </c>
      <c r="K9" s="8" t="n">
        <f aca="false">IF(C9&gt;0,G9*E9,0)</f>
        <v>0</v>
      </c>
      <c r="L9" s="8" t="n">
        <f aca="false">IF(C9&gt;0,H9*E9,0)</f>
        <v>0</v>
      </c>
      <c r="M9" s="8" t="n">
        <f aca="false">IF(C9&gt;0,I9*E9,0)</f>
        <v>0</v>
      </c>
      <c r="N9" s="8" t="n">
        <f aca="false">IF(C9&gt;0,J9*E9,0)</f>
        <v>0</v>
      </c>
      <c r="O9" s="8" t="n">
        <f aca="false">IF(C9&gt;0,0,D9)</f>
        <v>0</v>
      </c>
      <c r="P9" s="7" t="n">
        <f aca="false">SUM(K9:O9)</f>
        <v>0</v>
      </c>
      <c r="Q9" s="8" t="n">
        <f aca="false">M9+N9</f>
        <v>0</v>
      </c>
      <c r="R9" s="21" t="n">
        <v>24</v>
      </c>
      <c r="S9" s="22" t="n">
        <v>24</v>
      </c>
      <c r="T9" s="23" t="n">
        <v>46300</v>
      </c>
    </row>
    <row r="10" customFormat="false" ht="15" hidden="false" customHeight="false" outlineLevel="0" collapsed="false">
      <c r="A10" s="18" t="s">
        <v>15</v>
      </c>
      <c r="B10" s="19" t="s">
        <v>47</v>
      </c>
      <c r="C10" s="8" t="n">
        <v>31.996960096</v>
      </c>
      <c r="D10" s="8" t="n">
        <v>34.503</v>
      </c>
      <c r="E10" s="20" t="n">
        <f aca="false">IF(C10&gt;0,D10/C10,"")</f>
        <v>1.07832118727783</v>
      </c>
      <c r="F10" s="18" t="str">
        <f aca="false">IF(AND(C10=0,D10&gt;0),"Plant only",IF(AND(D10=0,C10&gt;0),"System only",IF(ABS(D10-C10)&lt;=0.5,"Match",IF(D10&gt;C10,"Plant more","Plant less"))))</f>
        <v>Plant more</v>
      </c>
      <c r="G10" s="8" t="n">
        <v>31.996960096</v>
      </c>
      <c r="H10" s="8" t="n">
        <v>0</v>
      </c>
      <c r="I10" s="8" t="n">
        <v>0</v>
      </c>
      <c r="J10" s="8" t="n">
        <v>0</v>
      </c>
      <c r="K10" s="8" t="n">
        <f aca="false">IF(C10&gt;0,G10*E10,0)</f>
        <v>34.503</v>
      </c>
      <c r="L10" s="8" t="n">
        <f aca="false">IF(C10&gt;0,H10*E10,0)</f>
        <v>0</v>
      </c>
      <c r="M10" s="8" t="n">
        <f aca="false">IF(C10&gt;0,I10*E10,0)</f>
        <v>0</v>
      </c>
      <c r="N10" s="8" t="n">
        <f aca="false">IF(C10&gt;0,J10*E10,0)</f>
        <v>0</v>
      </c>
      <c r="O10" s="8" t="n">
        <f aca="false">IF(C10&gt;0,0,D10)</f>
        <v>0</v>
      </c>
      <c r="P10" s="7" t="n">
        <f aca="false">SUM(K10:O10)</f>
        <v>34.503</v>
      </c>
      <c r="Q10" s="8" t="n">
        <f aca="false">M10+N10</f>
        <v>0</v>
      </c>
      <c r="R10" s="21" t="n">
        <v>5.28819933207193</v>
      </c>
      <c r="S10" s="22" t="n">
        <v>23</v>
      </c>
      <c r="T10" s="23" t="n">
        <v>46323</v>
      </c>
    </row>
    <row r="11" customFormat="false" ht="15" hidden="false" customHeight="false" outlineLevel="0" collapsed="false">
      <c r="A11" s="18" t="s">
        <v>15</v>
      </c>
      <c r="B11" s="19" t="s">
        <v>48</v>
      </c>
      <c r="C11" s="8" t="n">
        <v>23.161798</v>
      </c>
      <c r="D11" s="8" t="n">
        <v>19.677</v>
      </c>
      <c r="E11" s="20" t="n">
        <f aca="false">IF(C11&gt;0,D11/C11,"")</f>
        <v>0.849545445478801</v>
      </c>
      <c r="F11" s="18" t="str">
        <f aca="false">IF(AND(C11=0,D11&gt;0),"Plant only",IF(AND(D11=0,C11&gt;0),"System only",IF(ABS(D11-C11)&lt;=0.5,"Match",IF(D11&gt;C11,"Plant more","Plant less"))))</f>
        <v>Plant less</v>
      </c>
      <c r="G11" s="8" t="n">
        <v>20.131482</v>
      </c>
      <c r="H11" s="8" t="n">
        <v>3.03031600000001</v>
      </c>
      <c r="I11" s="8" t="n">
        <v>0</v>
      </c>
      <c r="J11" s="8" t="n">
        <v>0</v>
      </c>
      <c r="K11" s="8" t="n">
        <f aca="false">IF(C11&gt;0,G11*E11,0)</f>
        <v>17.1026088438385</v>
      </c>
      <c r="L11" s="8" t="n">
        <f aca="false">IF(C11&gt;0,H11*E11,0)</f>
        <v>2.57439115616155</v>
      </c>
      <c r="M11" s="8" t="n">
        <f aca="false">IF(C11&gt;0,I11*E11,0)</f>
        <v>0</v>
      </c>
      <c r="N11" s="8" t="n">
        <f aca="false">IF(C11&gt;0,J11*E11,0)</f>
        <v>0</v>
      </c>
      <c r="O11" s="8" t="n">
        <f aca="false">IF(C11&gt;0,0,D11)</f>
        <v>0</v>
      </c>
      <c r="P11" s="7" t="n">
        <f aca="false">SUM(K11:O11)</f>
        <v>19.677</v>
      </c>
      <c r="Q11" s="8" t="n">
        <f aca="false">M11+N11</f>
        <v>0</v>
      </c>
      <c r="R11" s="21" t="n">
        <v>6.97163510363057</v>
      </c>
      <c r="S11" s="22" t="n">
        <v>40</v>
      </c>
      <c r="T11" s="23" t="n">
        <v>46322</v>
      </c>
    </row>
    <row r="12" customFormat="false" ht="15" hidden="false" customHeight="false" outlineLevel="0" collapsed="false">
      <c r="A12" s="18" t="s">
        <v>15</v>
      </c>
      <c r="B12" s="19" t="s">
        <v>49</v>
      </c>
      <c r="C12" s="8" t="n">
        <v>8.127012416</v>
      </c>
      <c r="D12" s="8" t="n">
        <v>13.237</v>
      </c>
      <c r="E12" s="20" t="n">
        <f aca="false">IF(C12&gt;0,D12/C12,"")</f>
        <v>1.62876581484479</v>
      </c>
      <c r="F12" s="18" t="str">
        <f aca="false">IF(AND(C12=0,D12&gt;0),"Plant only",IF(AND(D12=0,C12&gt;0),"System only",IF(ABS(D12-C12)&lt;=0.5,"Match",IF(D12&gt;C12,"Plant more","Plant less"))))</f>
        <v>Plant more</v>
      </c>
      <c r="G12" s="8" t="n">
        <v>0</v>
      </c>
      <c r="H12" s="8" t="n">
        <v>8.127012416</v>
      </c>
      <c r="I12" s="8" t="n">
        <v>0</v>
      </c>
      <c r="J12" s="8" t="n">
        <v>0</v>
      </c>
      <c r="K12" s="8" t="n">
        <f aca="false">IF(C12&gt;0,G12*E12,0)</f>
        <v>0</v>
      </c>
      <c r="L12" s="8" t="n">
        <f aca="false">IF(C12&gt;0,H12*E12,0)</f>
        <v>13.237</v>
      </c>
      <c r="M12" s="8" t="n">
        <f aca="false">IF(C12&gt;0,I12*E12,0)</f>
        <v>0</v>
      </c>
      <c r="N12" s="8" t="n">
        <f aca="false">IF(C12&gt;0,J12*E12,0)</f>
        <v>0</v>
      </c>
      <c r="O12" s="8" t="n">
        <f aca="false">IF(C12&gt;0,0,D12)</f>
        <v>0</v>
      </c>
      <c r="P12" s="7" t="n">
        <f aca="false">SUM(K12:O12)</f>
        <v>13.237</v>
      </c>
      <c r="Q12" s="8" t="n">
        <f aca="false">M12+N12</f>
        <v>0</v>
      </c>
      <c r="R12" s="21" t="n">
        <v>40</v>
      </c>
      <c r="S12" s="22" t="n">
        <v>40</v>
      </c>
      <c r="T12" s="23" t="n">
        <v>46284</v>
      </c>
    </row>
    <row r="13" customFormat="false" ht="15" hidden="false" customHeight="false" outlineLevel="0" collapsed="false">
      <c r="A13" s="18" t="s">
        <v>15</v>
      </c>
      <c r="B13" s="19" t="s">
        <v>50</v>
      </c>
      <c r="C13" s="8" t="n">
        <v>0.0619999999999976</v>
      </c>
      <c r="D13" s="8" t="n">
        <v>0</v>
      </c>
      <c r="E13" s="20" t="n">
        <f aca="false">IF(C13&gt;0,D13/C13,"")</f>
        <v>0</v>
      </c>
      <c r="F13" s="18" t="str">
        <f aca="false">IF(AND(C13=0,D13&gt;0),"Plant only",IF(AND(D13=0,C13&gt;0),"System only",IF(ABS(D13-C13)&lt;=0.5,"Match",IF(D13&gt;C13,"Plant more","Plant less"))))</f>
        <v>System only</v>
      </c>
      <c r="G13" s="8" t="n">
        <v>0</v>
      </c>
      <c r="H13" s="8" t="n">
        <v>0</v>
      </c>
      <c r="I13" s="8" t="n">
        <v>0</v>
      </c>
      <c r="J13" s="8" t="n">
        <v>0.0619999999999976</v>
      </c>
      <c r="K13" s="8" t="n">
        <f aca="false">IF(C13&gt;0,G13*E13,0)</f>
        <v>0</v>
      </c>
      <c r="L13" s="8" t="n">
        <f aca="false">IF(C13&gt;0,H13*E13,0)</f>
        <v>0</v>
      </c>
      <c r="M13" s="8" t="n">
        <f aca="false">IF(C13&gt;0,I13*E13,0)</f>
        <v>0</v>
      </c>
      <c r="N13" s="8" t="n">
        <f aca="false">IF(C13&gt;0,J13*E13,0)</f>
        <v>0</v>
      </c>
      <c r="O13" s="8" t="n">
        <f aca="false">IF(C13&gt;0,0,D13)</f>
        <v>0</v>
      </c>
      <c r="P13" s="7" t="n">
        <f aca="false">SUM(K13:O13)</f>
        <v>0</v>
      </c>
      <c r="Q13" s="8" t="n">
        <f aca="false">M13+N13</f>
        <v>0</v>
      </c>
      <c r="R13" s="21" t="n">
        <v>127</v>
      </c>
      <c r="S13" s="22" t="n">
        <v>127</v>
      </c>
      <c r="T13" s="23" t="n">
        <v>46197</v>
      </c>
    </row>
    <row r="14" customFormat="false" ht="15" hidden="false" customHeight="false" outlineLevel="0" collapsed="false">
      <c r="A14" s="18" t="s">
        <v>15</v>
      </c>
      <c r="B14" s="19" t="s">
        <v>51</v>
      </c>
      <c r="C14" s="8" t="n">
        <v>7.27215641600006</v>
      </c>
      <c r="D14" s="8" t="n">
        <v>8.671</v>
      </c>
      <c r="E14" s="20" t="n">
        <f aca="false">IF(C14&gt;0,D14/C14,"")</f>
        <v>1.1923560913682</v>
      </c>
      <c r="F14" s="18" t="str">
        <f aca="false">IF(AND(C14=0,D14&gt;0),"Plant only",IF(AND(D14=0,C14&gt;0),"System only",IF(ABS(D14-C14)&lt;=0.5,"Match",IF(D14&gt;C14,"Plant more","Plant less"))))</f>
        <v>Plant more</v>
      </c>
      <c r="G14" s="8" t="n">
        <v>7.27215641600006</v>
      </c>
      <c r="H14" s="8" t="n">
        <v>0</v>
      </c>
      <c r="I14" s="8" t="n">
        <v>0</v>
      </c>
      <c r="J14" s="8" t="n">
        <v>0</v>
      </c>
      <c r="K14" s="8" t="n">
        <f aca="false">IF(C14&gt;0,G14*E14,0)</f>
        <v>8.671</v>
      </c>
      <c r="L14" s="8" t="n">
        <f aca="false">IF(C14&gt;0,H14*E14,0)</f>
        <v>0</v>
      </c>
      <c r="M14" s="8" t="n">
        <f aca="false">IF(C14&gt;0,I14*E14,0)</f>
        <v>0</v>
      </c>
      <c r="N14" s="8" t="n">
        <f aca="false">IF(C14&gt;0,J14*E14,0)</f>
        <v>0</v>
      </c>
      <c r="O14" s="8" t="n">
        <f aca="false">IF(C14&gt;0,0,D14)</f>
        <v>0</v>
      </c>
      <c r="P14" s="7" t="n">
        <f aca="false">SUM(K14:O14)</f>
        <v>8.671</v>
      </c>
      <c r="Q14" s="8" t="n">
        <f aca="false">M14+N14</f>
        <v>0</v>
      </c>
      <c r="R14" s="21" t="n">
        <v>22</v>
      </c>
      <c r="S14" s="22" t="n">
        <v>22</v>
      </c>
      <c r="T14" s="23" t="n">
        <v>46302</v>
      </c>
    </row>
    <row r="15" customFormat="false" ht="15" hidden="false" customHeight="false" outlineLevel="0" collapsed="false">
      <c r="A15" s="18" t="s">
        <v>15</v>
      </c>
      <c r="B15" s="19" t="s">
        <v>52</v>
      </c>
      <c r="C15" s="8" t="n">
        <v>6.120127152</v>
      </c>
      <c r="D15" s="8" t="n">
        <v>8.472</v>
      </c>
      <c r="E15" s="20" t="n">
        <f aca="false">IF(C15&gt;0,D15/C15,"")</f>
        <v>1.38428496493434</v>
      </c>
      <c r="F15" s="18" t="str">
        <f aca="false">IF(AND(C15=0,D15&gt;0),"Plant only",IF(AND(D15=0,C15&gt;0),"System only",IF(ABS(D15-C15)&lt;=0.5,"Match",IF(D15&gt;C15,"Plant more","Plant less"))))</f>
        <v>Plant more</v>
      </c>
      <c r="G15" s="8" t="n">
        <v>6.120127152</v>
      </c>
      <c r="H15" s="8" t="n">
        <v>0</v>
      </c>
      <c r="I15" s="8" t="n">
        <v>0</v>
      </c>
      <c r="J15" s="8" t="n">
        <v>0</v>
      </c>
      <c r="K15" s="8" t="n">
        <f aca="false">IF(C15&gt;0,G15*E15,0)</f>
        <v>8.472</v>
      </c>
      <c r="L15" s="8" t="n">
        <f aca="false">IF(C15&gt;0,H15*E15,0)</f>
        <v>0</v>
      </c>
      <c r="M15" s="8" t="n">
        <f aca="false">IF(C15&gt;0,I15*E15,0)</f>
        <v>0</v>
      </c>
      <c r="N15" s="8" t="n">
        <f aca="false">IF(C15&gt;0,J15*E15,0)</f>
        <v>0</v>
      </c>
      <c r="O15" s="8" t="n">
        <f aca="false">IF(C15&gt;0,0,D15)</f>
        <v>0</v>
      </c>
      <c r="P15" s="7" t="n">
        <f aca="false">SUM(K15:O15)</f>
        <v>8.472</v>
      </c>
      <c r="Q15" s="8" t="n">
        <f aca="false">M15+N15</f>
        <v>0</v>
      </c>
      <c r="R15" s="21" t="n">
        <v>22</v>
      </c>
      <c r="S15" s="22" t="n">
        <v>22</v>
      </c>
      <c r="T15" s="23" t="n">
        <v>46302</v>
      </c>
    </row>
    <row r="16" customFormat="false" ht="15" hidden="false" customHeight="false" outlineLevel="0" collapsed="false">
      <c r="A16" s="18" t="s">
        <v>15</v>
      </c>
      <c r="B16" s="19" t="s">
        <v>53</v>
      </c>
      <c r="C16" s="8" t="n">
        <v>0.919102499999987</v>
      </c>
      <c r="D16" s="8" t="n">
        <v>1.371</v>
      </c>
      <c r="E16" s="20" t="n">
        <f aca="false">IF(C16&gt;0,D16/C16,"")</f>
        <v>1.49167258276419</v>
      </c>
      <c r="F16" s="18" t="str">
        <f aca="false">IF(AND(C16=0,D16&gt;0),"Plant only",IF(AND(D16=0,C16&gt;0),"System only",IF(ABS(D16-C16)&lt;=0.5,"Match",IF(D16&gt;C16,"Plant more","Plant less"))))</f>
        <v>Match</v>
      </c>
      <c r="G16" s="8" t="n">
        <v>0</v>
      </c>
      <c r="H16" s="8" t="n">
        <v>0.919102499999987</v>
      </c>
      <c r="I16" s="8" t="n">
        <v>0</v>
      </c>
      <c r="J16" s="8" t="n">
        <v>0</v>
      </c>
      <c r="K16" s="8" t="n">
        <f aca="false">IF(C16&gt;0,G16*E16,0)</f>
        <v>0</v>
      </c>
      <c r="L16" s="8" t="n">
        <f aca="false">IF(C16&gt;0,H16*E16,0)</f>
        <v>1.371</v>
      </c>
      <c r="M16" s="8" t="n">
        <f aca="false">IF(C16&gt;0,I16*E16,0)</f>
        <v>0</v>
      </c>
      <c r="N16" s="8" t="n">
        <f aca="false">IF(C16&gt;0,J16*E16,0)</f>
        <v>0</v>
      </c>
      <c r="O16" s="8" t="n">
        <f aca="false">IF(C16&gt;0,0,D16)</f>
        <v>0</v>
      </c>
      <c r="P16" s="7" t="n">
        <f aca="false">SUM(K16:O16)</f>
        <v>1.371</v>
      </c>
      <c r="Q16" s="8" t="n">
        <f aca="false">M16+N16</f>
        <v>0</v>
      </c>
      <c r="R16" s="21" t="n">
        <v>50</v>
      </c>
      <c r="S16" s="22" t="n">
        <v>50</v>
      </c>
      <c r="T16" s="23" t="n">
        <v>46274</v>
      </c>
    </row>
    <row r="17" customFormat="false" ht="15" hidden="false" customHeight="false" outlineLevel="0" collapsed="false">
      <c r="A17" s="18" t="s">
        <v>15</v>
      </c>
      <c r="B17" s="19" t="s">
        <v>54</v>
      </c>
      <c r="C17" s="8" t="n">
        <v>0.729902816000028</v>
      </c>
      <c r="D17" s="8" t="n">
        <v>0</v>
      </c>
      <c r="E17" s="20" t="n">
        <f aca="false">IF(C17&gt;0,D17/C17,"")</f>
        <v>0</v>
      </c>
      <c r="F17" s="18" t="str">
        <f aca="false">IF(AND(C17=0,D17&gt;0),"Plant only",IF(AND(D17=0,C17&gt;0),"System only",IF(ABS(D17-C17)&lt;=0.5,"Match",IF(D17&gt;C17,"Plant more","Plant less"))))</f>
        <v>System only</v>
      </c>
      <c r="G17" s="8" t="n">
        <v>0</v>
      </c>
      <c r="H17" s="8" t="n">
        <v>0.729902816000028</v>
      </c>
      <c r="I17" s="8" t="n">
        <v>0</v>
      </c>
      <c r="J17" s="8" t="n">
        <v>0</v>
      </c>
      <c r="K17" s="8" t="n">
        <f aca="false">IF(C17&gt;0,G17*E17,0)</f>
        <v>0</v>
      </c>
      <c r="L17" s="8" t="n">
        <f aca="false">IF(C17&gt;0,H17*E17,0)</f>
        <v>0</v>
      </c>
      <c r="M17" s="8" t="n">
        <f aca="false">IF(C17&gt;0,I17*E17,0)</f>
        <v>0</v>
      </c>
      <c r="N17" s="8" t="n">
        <f aca="false">IF(C17&gt;0,J17*E17,0)</f>
        <v>0</v>
      </c>
      <c r="O17" s="8" t="n">
        <f aca="false">IF(C17&gt;0,0,D17)</f>
        <v>0</v>
      </c>
      <c r="P17" s="7" t="n">
        <f aca="false">SUM(K17:O17)</f>
        <v>0</v>
      </c>
      <c r="Q17" s="8" t="n">
        <f aca="false">M17+N17</f>
        <v>0</v>
      </c>
      <c r="R17" s="21" t="n">
        <v>50</v>
      </c>
      <c r="S17" s="22" t="n">
        <v>50</v>
      </c>
      <c r="T17" s="23" t="n">
        <v>46274</v>
      </c>
    </row>
    <row r="18" customFormat="false" ht="15" hidden="false" customHeight="false" outlineLevel="0" collapsed="false">
      <c r="A18" s="18" t="s">
        <v>15</v>
      </c>
      <c r="B18" s="19" t="s">
        <v>55</v>
      </c>
      <c r="C18" s="8" t="n">
        <v>0.992313599999996</v>
      </c>
      <c r="D18" s="8" t="n">
        <v>1.397</v>
      </c>
      <c r="E18" s="20" t="n">
        <f aca="false">IF(C18&gt;0,D18/C18,"")</f>
        <v>1.40782107591794</v>
      </c>
      <c r="F18" s="18" t="str">
        <f aca="false">IF(AND(C18=0,D18&gt;0),"Plant only",IF(AND(D18=0,C18&gt;0),"System only",IF(ABS(D18-C18)&lt;=0.5,"Match",IF(D18&gt;C18,"Plant more","Plant less"))))</f>
        <v>Match</v>
      </c>
      <c r="G18" s="8" t="n">
        <v>0</v>
      </c>
      <c r="H18" s="8" t="n">
        <v>0.992313599999996</v>
      </c>
      <c r="I18" s="8" t="n">
        <v>0</v>
      </c>
      <c r="J18" s="8" t="n">
        <v>0</v>
      </c>
      <c r="K18" s="8" t="n">
        <f aca="false">IF(C18&gt;0,G18*E18,0)</f>
        <v>0</v>
      </c>
      <c r="L18" s="8" t="n">
        <f aca="false">IF(C18&gt;0,H18*E18,0)</f>
        <v>1.397</v>
      </c>
      <c r="M18" s="8" t="n">
        <f aca="false">IF(C18&gt;0,I18*E18,0)</f>
        <v>0</v>
      </c>
      <c r="N18" s="8" t="n">
        <f aca="false">IF(C18&gt;0,J18*E18,0)</f>
        <v>0</v>
      </c>
      <c r="O18" s="8" t="n">
        <f aca="false">IF(C18&gt;0,0,D18)</f>
        <v>0</v>
      </c>
      <c r="P18" s="7" t="n">
        <f aca="false">SUM(K18:O18)</f>
        <v>1.397</v>
      </c>
      <c r="Q18" s="8" t="n">
        <f aca="false">M18+N18</f>
        <v>0</v>
      </c>
      <c r="R18" s="21" t="n">
        <v>36</v>
      </c>
      <c r="S18" s="22" t="n">
        <v>36</v>
      </c>
      <c r="T18" s="23" t="n">
        <v>46288</v>
      </c>
    </row>
    <row r="19" customFormat="false" ht="15" hidden="false" customHeight="false" outlineLevel="0" collapsed="false">
      <c r="A19" s="18" t="s">
        <v>15</v>
      </c>
      <c r="B19" s="19" t="s">
        <v>56</v>
      </c>
      <c r="C19" s="8" t="n">
        <v>2.4611925</v>
      </c>
      <c r="D19" s="8" t="n">
        <v>2.182</v>
      </c>
      <c r="E19" s="20" t="n">
        <f aca="false">IF(C19&gt;0,D19/C19,"")</f>
        <v>0.886562103533146</v>
      </c>
      <c r="F19" s="18" t="str">
        <f aca="false">IF(AND(C19=0,D19&gt;0),"Plant only",IF(AND(D19=0,C19&gt;0),"System only",IF(ABS(D19-C19)&lt;=0.5,"Match",IF(D19&gt;C19,"Plant more","Plant less"))))</f>
        <v>Match</v>
      </c>
      <c r="G19" s="8" t="n">
        <v>0</v>
      </c>
      <c r="H19" s="8" t="n">
        <v>0</v>
      </c>
      <c r="I19" s="8" t="n">
        <v>0</v>
      </c>
      <c r="J19" s="8" t="n">
        <v>2.4611925</v>
      </c>
      <c r="K19" s="8" t="n">
        <f aca="false">IF(C19&gt;0,G19*E19,0)</f>
        <v>0</v>
      </c>
      <c r="L19" s="8" t="n">
        <f aca="false">IF(C19&gt;0,H19*E19,0)</f>
        <v>0</v>
      </c>
      <c r="M19" s="8" t="n">
        <f aca="false">IF(C19&gt;0,I19*E19,0)</f>
        <v>0</v>
      </c>
      <c r="N19" s="8" t="n">
        <f aca="false">IF(C19&gt;0,J19*E19,0)</f>
        <v>2.182</v>
      </c>
      <c r="O19" s="8" t="n">
        <f aca="false">IF(C19&gt;0,0,D19)</f>
        <v>0</v>
      </c>
      <c r="P19" s="7" t="n">
        <f aca="false">SUM(K19:O19)</f>
        <v>2.182</v>
      </c>
      <c r="Q19" s="8" t="n">
        <f aca="false">M19+N19</f>
        <v>2.182</v>
      </c>
      <c r="R19" s="21" t="n">
        <v>122</v>
      </c>
      <c r="S19" s="22" t="n">
        <v>122</v>
      </c>
      <c r="T19" s="23" t="n">
        <v>46202</v>
      </c>
    </row>
    <row r="20" customFormat="false" ht="15" hidden="false" customHeight="false" outlineLevel="0" collapsed="false">
      <c r="A20" s="18" t="s">
        <v>15</v>
      </c>
      <c r="B20" s="19" t="s">
        <v>57</v>
      </c>
      <c r="C20" s="8" t="n">
        <v>2.7322976</v>
      </c>
      <c r="D20" s="8" t="n">
        <v>2.548</v>
      </c>
      <c r="E20" s="20" t="n">
        <f aca="false">IF(C20&gt;0,D20/C20,"")</f>
        <v>0.93254848959352</v>
      </c>
      <c r="F20" s="18" t="str">
        <f aca="false">IF(AND(C20=0,D20&gt;0),"Plant only",IF(AND(D20=0,C20&gt;0),"System only",IF(ABS(D20-C20)&lt;=0.5,"Match",IF(D20&gt;C20,"Plant more","Plant less"))))</f>
        <v>Match</v>
      </c>
      <c r="G20" s="8" t="n">
        <v>0</v>
      </c>
      <c r="H20" s="8" t="n">
        <v>2.7322976</v>
      </c>
      <c r="I20" s="8" t="n">
        <v>0</v>
      </c>
      <c r="J20" s="8" t="n">
        <v>0</v>
      </c>
      <c r="K20" s="8" t="n">
        <f aca="false">IF(C20&gt;0,G20*E20,0)</f>
        <v>0</v>
      </c>
      <c r="L20" s="8" t="n">
        <f aca="false">IF(C20&gt;0,H20*E20,0)</f>
        <v>2.548</v>
      </c>
      <c r="M20" s="8" t="n">
        <f aca="false">IF(C20&gt;0,I20*E20,0)</f>
        <v>0</v>
      </c>
      <c r="N20" s="8" t="n">
        <f aca="false">IF(C20&gt;0,J20*E20,0)</f>
        <v>0</v>
      </c>
      <c r="O20" s="8" t="n">
        <f aca="false">IF(C20&gt;0,0,D20)</f>
        <v>0</v>
      </c>
      <c r="P20" s="7" t="n">
        <f aca="false">SUM(K20:O20)</f>
        <v>2.548</v>
      </c>
      <c r="Q20" s="8" t="n">
        <f aca="false">M20+N20</f>
        <v>0</v>
      </c>
      <c r="R20" s="21" t="n">
        <v>35</v>
      </c>
      <c r="S20" s="22" t="n">
        <v>35</v>
      </c>
      <c r="T20" s="23" t="n">
        <v>46289</v>
      </c>
    </row>
    <row r="21" customFormat="false" ht="15" hidden="false" customHeight="false" outlineLevel="0" collapsed="false">
      <c r="A21" s="18" t="s">
        <v>15</v>
      </c>
      <c r="B21" s="19" t="s">
        <v>58</v>
      </c>
      <c r="C21" s="8" t="n">
        <v>0.810000000000002</v>
      </c>
      <c r="D21" s="8" t="n">
        <v>0</v>
      </c>
      <c r="E21" s="20" t="n">
        <f aca="false">IF(C21&gt;0,D21/C21,"")</f>
        <v>0</v>
      </c>
      <c r="F21" s="18" t="str">
        <f aca="false">IF(AND(C21=0,D21&gt;0),"Plant only",IF(AND(D21=0,C21&gt;0),"System only",IF(ABS(D21-C21)&lt;=0.5,"Match",IF(D21&gt;C21,"Plant more","Plant less"))))</f>
        <v>System only</v>
      </c>
      <c r="G21" s="8" t="n">
        <v>0</v>
      </c>
      <c r="H21" s="8" t="n">
        <v>0</v>
      </c>
      <c r="I21" s="8" t="n">
        <v>0</v>
      </c>
      <c r="J21" s="8" t="n">
        <v>0.810000000000002</v>
      </c>
      <c r="K21" s="8" t="n">
        <f aca="false">IF(C21&gt;0,G21*E21,0)</f>
        <v>0</v>
      </c>
      <c r="L21" s="8" t="n">
        <f aca="false">IF(C21&gt;0,H21*E21,0)</f>
        <v>0</v>
      </c>
      <c r="M21" s="8" t="n">
        <f aca="false">IF(C21&gt;0,I21*E21,0)</f>
        <v>0</v>
      </c>
      <c r="N21" s="8" t="n">
        <f aca="false">IF(C21&gt;0,J21*E21,0)</f>
        <v>0</v>
      </c>
      <c r="O21" s="8" t="n">
        <f aca="false">IF(C21&gt;0,0,D21)</f>
        <v>0</v>
      </c>
      <c r="P21" s="7" t="n">
        <f aca="false">SUM(K21:O21)</f>
        <v>0</v>
      </c>
      <c r="Q21" s="8" t="n">
        <f aca="false">M21+N21</f>
        <v>0</v>
      </c>
      <c r="R21" s="21" t="n">
        <v>121</v>
      </c>
      <c r="S21" s="22" t="n">
        <v>121</v>
      </c>
      <c r="T21" s="23" t="n">
        <v>46203</v>
      </c>
    </row>
    <row r="22" customFormat="false" ht="15" hidden="false" customHeight="false" outlineLevel="0" collapsed="false">
      <c r="A22" s="18" t="s">
        <v>15</v>
      </c>
      <c r="B22" s="19" t="s">
        <v>59</v>
      </c>
      <c r="C22" s="8" t="n">
        <v>0.365000000000002</v>
      </c>
      <c r="D22" s="8" t="n">
        <v>0</v>
      </c>
      <c r="E22" s="20" t="n">
        <f aca="false">IF(C22&gt;0,D22/C22,"")</f>
        <v>0</v>
      </c>
      <c r="F22" s="18" t="str">
        <f aca="false">IF(AND(C22=0,D22&gt;0),"Plant only",IF(AND(D22=0,C22&gt;0),"System only",IF(ABS(D22-C22)&lt;=0.5,"Match",IF(D22&gt;C22,"Plant more","Plant less"))))</f>
        <v>System only</v>
      </c>
      <c r="G22" s="8" t="n">
        <v>0</v>
      </c>
      <c r="H22" s="8" t="n">
        <v>0</v>
      </c>
      <c r="I22" s="8" t="n">
        <v>0</v>
      </c>
      <c r="J22" s="8" t="n">
        <v>0.365000000000002</v>
      </c>
      <c r="K22" s="8" t="n">
        <f aca="false">IF(C22&gt;0,G22*E22,0)</f>
        <v>0</v>
      </c>
      <c r="L22" s="8" t="n">
        <f aca="false">IF(C22&gt;0,H22*E22,0)</f>
        <v>0</v>
      </c>
      <c r="M22" s="8" t="n">
        <f aca="false">IF(C22&gt;0,I22*E22,0)</f>
        <v>0</v>
      </c>
      <c r="N22" s="8" t="n">
        <f aca="false">IF(C22&gt;0,J22*E22,0)</f>
        <v>0</v>
      </c>
      <c r="O22" s="8" t="n">
        <f aca="false">IF(C22&gt;0,0,D22)</f>
        <v>0</v>
      </c>
      <c r="P22" s="7" t="n">
        <f aca="false">SUM(K22:O22)</f>
        <v>0</v>
      </c>
      <c r="Q22" s="8" t="n">
        <f aca="false">M22+N22</f>
        <v>0</v>
      </c>
      <c r="R22" s="21" t="n">
        <v>121</v>
      </c>
      <c r="S22" s="22" t="n">
        <v>121</v>
      </c>
      <c r="T22" s="23" t="n">
        <v>46203</v>
      </c>
    </row>
    <row r="23" customFormat="false" ht="15" hidden="false" customHeight="false" outlineLevel="0" collapsed="false">
      <c r="A23" s="18" t="s">
        <v>15</v>
      </c>
      <c r="B23" s="19" t="s">
        <v>60</v>
      </c>
      <c r="C23" s="8" t="n">
        <v>1.83006536000001</v>
      </c>
      <c r="D23" s="8" t="n">
        <v>0</v>
      </c>
      <c r="E23" s="20" t="n">
        <f aca="false">IF(C23&gt;0,D23/C23,"")</f>
        <v>0</v>
      </c>
      <c r="F23" s="18" t="str">
        <f aca="false">IF(AND(C23=0,D23&gt;0),"Plant only",IF(AND(D23=0,C23&gt;0),"System only",IF(ABS(D23-C23)&lt;=0.5,"Match",IF(D23&gt;C23,"Plant more","Plant less"))))</f>
        <v>System only</v>
      </c>
      <c r="G23" s="8" t="n">
        <v>0</v>
      </c>
      <c r="H23" s="8" t="n">
        <v>1.83006536000001</v>
      </c>
      <c r="I23" s="8" t="n">
        <v>0</v>
      </c>
      <c r="J23" s="8" t="n">
        <v>0</v>
      </c>
      <c r="K23" s="8" t="n">
        <f aca="false">IF(C23&gt;0,G23*E23,0)</f>
        <v>0</v>
      </c>
      <c r="L23" s="8" t="n">
        <f aca="false">IF(C23&gt;0,H23*E23,0)</f>
        <v>0</v>
      </c>
      <c r="M23" s="8" t="n">
        <f aca="false">IF(C23&gt;0,I23*E23,0)</f>
        <v>0</v>
      </c>
      <c r="N23" s="8" t="n">
        <f aca="false">IF(C23&gt;0,J23*E23,0)</f>
        <v>0</v>
      </c>
      <c r="O23" s="8" t="n">
        <f aca="false">IF(C23&gt;0,0,D23)</f>
        <v>0</v>
      </c>
      <c r="P23" s="7" t="n">
        <f aca="false">SUM(K23:O23)</f>
        <v>0</v>
      </c>
      <c r="Q23" s="8" t="n">
        <f aca="false">M23+N23</f>
        <v>0</v>
      </c>
      <c r="R23" s="21" t="n">
        <v>37</v>
      </c>
      <c r="S23" s="22" t="n">
        <v>37</v>
      </c>
      <c r="T23" s="23" t="n">
        <v>46287</v>
      </c>
    </row>
    <row r="24" customFormat="false" ht="15" hidden="false" customHeight="false" outlineLevel="0" collapsed="false">
      <c r="A24" s="18" t="s">
        <v>15</v>
      </c>
      <c r="B24" s="19" t="s">
        <v>61</v>
      </c>
      <c r="C24" s="8" t="n">
        <v>0</v>
      </c>
      <c r="D24" s="8" t="n">
        <v>1.693</v>
      </c>
      <c r="E24" s="20" t="str">
        <f aca="false">IF(C24&gt;0,D24/C24,"")</f>
        <v/>
      </c>
      <c r="F24" s="18" t="str">
        <f aca="false">IF(AND(C24=0,D24&gt;0),"Plant only",IF(AND(D24=0,C24&gt;0),"System only",IF(ABS(D24-C24)&lt;=0.5,"Match",IF(D24&gt;C24,"Plant more","Plant less"))))</f>
        <v>Plant only</v>
      </c>
      <c r="G24" s="8" t="n">
        <v>0</v>
      </c>
      <c r="H24" s="8" t="n">
        <v>0</v>
      </c>
      <c r="I24" s="8" t="n">
        <v>0</v>
      </c>
      <c r="J24" s="8" t="n">
        <v>0</v>
      </c>
      <c r="K24" s="8" t="n">
        <f aca="false">IF(C24&gt;0,G24*E24,0)</f>
        <v>0</v>
      </c>
      <c r="L24" s="8" t="n">
        <f aca="false">IF(C24&gt;0,H24*E24,0)</f>
        <v>0</v>
      </c>
      <c r="M24" s="8" t="n">
        <f aca="false">IF(C24&gt;0,I24*E24,0)</f>
        <v>0</v>
      </c>
      <c r="N24" s="8" t="n">
        <f aca="false">IF(C24&gt;0,J24*E24,0)</f>
        <v>0</v>
      </c>
      <c r="O24" s="8" t="n">
        <f aca="false">IF(C24&gt;0,0,D24)</f>
        <v>1.693</v>
      </c>
      <c r="P24" s="7" t="n">
        <f aca="false">SUM(K24:O24)</f>
        <v>1.693</v>
      </c>
      <c r="Q24" s="8" t="n">
        <f aca="false">M24+N24</f>
        <v>0</v>
      </c>
      <c r="R24" s="21"/>
      <c r="S24" s="22"/>
      <c r="T24" s="23" t="n">
        <v>46309</v>
      </c>
    </row>
    <row r="25" customFormat="false" ht="15" hidden="false" customHeight="false" outlineLevel="0" collapsed="false">
      <c r="A25" s="18" t="s">
        <v>15</v>
      </c>
      <c r="B25" s="19" t="s">
        <v>62</v>
      </c>
      <c r="C25" s="8" t="n">
        <v>10.190473856</v>
      </c>
      <c r="D25" s="8" t="n">
        <v>10.988</v>
      </c>
      <c r="E25" s="20" t="n">
        <f aca="false">IF(C25&gt;0,D25/C25,"")</f>
        <v>1.07826192925567</v>
      </c>
      <c r="F25" s="18" t="str">
        <f aca="false">IF(AND(C25=0,D25&gt;0),"Plant only",IF(AND(D25=0,C25&gt;0),"System only",IF(ABS(D25-C25)&lt;=0.5,"Match",IF(D25&gt;C25,"Plant more","Plant less"))))</f>
        <v>Plant more</v>
      </c>
      <c r="G25" s="8" t="n">
        <v>10.190473856</v>
      </c>
      <c r="H25" s="8" t="n">
        <v>0</v>
      </c>
      <c r="I25" s="8" t="n">
        <v>0</v>
      </c>
      <c r="J25" s="8" t="n">
        <v>0</v>
      </c>
      <c r="K25" s="8" t="n">
        <f aca="false">IF(C25&gt;0,G25*E25,0)</f>
        <v>10.988</v>
      </c>
      <c r="L25" s="8" t="n">
        <f aca="false">IF(C25&gt;0,H25*E25,0)</f>
        <v>0</v>
      </c>
      <c r="M25" s="8" t="n">
        <f aca="false">IF(C25&gt;0,I25*E25,0)</f>
        <v>0</v>
      </c>
      <c r="N25" s="8" t="n">
        <f aca="false">IF(C25&gt;0,J25*E25,0)</f>
        <v>0</v>
      </c>
      <c r="O25" s="8" t="n">
        <f aca="false">IF(C25&gt;0,0,D25)</f>
        <v>0</v>
      </c>
      <c r="P25" s="7" t="n">
        <f aca="false">SUM(K25:O25)</f>
        <v>10.988</v>
      </c>
      <c r="Q25" s="8" t="n">
        <f aca="false">M25+N25</f>
        <v>0</v>
      </c>
      <c r="R25" s="21" t="n">
        <v>15</v>
      </c>
      <c r="S25" s="22" t="n">
        <v>15</v>
      </c>
      <c r="T25" s="23" t="n">
        <v>46309</v>
      </c>
    </row>
    <row r="26" customFormat="false" ht="15" hidden="false" customHeight="false" outlineLevel="0" collapsed="false">
      <c r="A26" s="18" t="s">
        <v>15</v>
      </c>
      <c r="B26" s="19" t="s">
        <v>63</v>
      </c>
      <c r="C26" s="8" t="n">
        <v>11.3509284</v>
      </c>
      <c r="D26" s="8" t="n">
        <v>16.866</v>
      </c>
      <c r="E26" s="20" t="n">
        <f aca="false">IF(C26&gt;0,D26/C26,"")</f>
        <v>1.48586964921742</v>
      </c>
      <c r="F26" s="18" t="str">
        <f aca="false">IF(AND(C26=0,D26&gt;0),"Plant only",IF(AND(D26=0,C26&gt;0),"System only",IF(ABS(D26-C26)&lt;=0.5,"Match",IF(D26&gt;C26,"Plant more","Plant less"))))</f>
        <v>Plant more</v>
      </c>
      <c r="G26" s="8" t="n">
        <v>11.3509284</v>
      </c>
      <c r="H26" s="8" t="n">
        <v>0</v>
      </c>
      <c r="I26" s="8" t="n">
        <v>0</v>
      </c>
      <c r="J26" s="8" t="n">
        <v>0</v>
      </c>
      <c r="K26" s="8" t="n">
        <f aca="false">IF(C26&gt;0,G26*E26,0)</f>
        <v>16.866</v>
      </c>
      <c r="L26" s="8" t="n">
        <f aca="false">IF(C26&gt;0,H26*E26,0)</f>
        <v>0</v>
      </c>
      <c r="M26" s="8" t="n">
        <f aca="false">IF(C26&gt;0,I26*E26,0)</f>
        <v>0</v>
      </c>
      <c r="N26" s="8" t="n">
        <f aca="false">IF(C26&gt;0,J26*E26,0)</f>
        <v>0</v>
      </c>
      <c r="O26" s="8" t="n">
        <f aca="false">IF(C26&gt;0,0,D26)</f>
        <v>0</v>
      </c>
      <c r="P26" s="7" t="n">
        <f aca="false">SUM(K26:O26)</f>
        <v>16.866</v>
      </c>
      <c r="Q26" s="8" t="n">
        <f aca="false">M26+N26</f>
        <v>0</v>
      </c>
      <c r="R26" s="21" t="n">
        <v>7</v>
      </c>
      <c r="S26" s="22" t="n">
        <v>7</v>
      </c>
      <c r="T26" s="23" t="n">
        <v>46317</v>
      </c>
    </row>
    <row r="27" customFormat="false" ht="15" hidden="false" customHeight="false" outlineLevel="0" collapsed="false">
      <c r="A27" s="18" t="s">
        <v>15</v>
      </c>
      <c r="B27" s="19" t="s">
        <v>64</v>
      </c>
      <c r="C27" s="8" t="n">
        <v>1.93852</v>
      </c>
      <c r="D27" s="8" t="n">
        <v>0</v>
      </c>
      <c r="E27" s="20" t="n">
        <f aca="false">IF(C27&gt;0,D27/C27,"")</f>
        <v>0</v>
      </c>
      <c r="F27" s="18" t="str">
        <f aca="false">IF(AND(C27=0,D27&gt;0),"Plant only",IF(AND(D27=0,C27&gt;0),"System only",IF(ABS(D27-C27)&lt;=0.5,"Match",IF(D27&gt;C27,"Plant more","Plant less"))))</f>
        <v>System only</v>
      </c>
      <c r="G27" s="8" t="n">
        <v>0</v>
      </c>
      <c r="H27" s="8" t="n">
        <v>1.93852</v>
      </c>
      <c r="I27" s="8" t="n">
        <v>0</v>
      </c>
      <c r="J27" s="8" t="n">
        <v>0</v>
      </c>
      <c r="K27" s="8" t="n">
        <f aca="false">IF(C27&gt;0,G27*E27,0)</f>
        <v>0</v>
      </c>
      <c r="L27" s="8" t="n">
        <f aca="false">IF(C27&gt;0,H27*E27,0)</f>
        <v>0</v>
      </c>
      <c r="M27" s="8" t="n">
        <f aca="false">IF(C27&gt;0,I27*E27,0)</f>
        <v>0</v>
      </c>
      <c r="N27" s="8" t="n">
        <f aca="false">IF(C27&gt;0,J27*E27,0)</f>
        <v>0</v>
      </c>
      <c r="O27" s="8" t="n">
        <f aca="false">IF(C27&gt;0,0,D27)</f>
        <v>0</v>
      </c>
      <c r="P27" s="7" t="n">
        <f aca="false">SUM(K27:O27)</f>
        <v>0</v>
      </c>
      <c r="Q27" s="8" t="n">
        <f aca="false">M27+N27</f>
        <v>0</v>
      </c>
      <c r="R27" s="21" t="n">
        <v>37</v>
      </c>
      <c r="S27" s="22" t="n">
        <v>37</v>
      </c>
      <c r="T27" s="23" t="n">
        <v>46287</v>
      </c>
    </row>
    <row r="28" customFormat="false" ht="15" hidden="false" customHeight="false" outlineLevel="0" collapsed="false">
      <c r="A28" s="18" t="s">
        <v>15</v>
      </c>
      <c r="B28" s="19" t="s">
        <v>65</v>
      </c>
      <c r="C28" s="8" t="n">
        <v>1.49284396800001</v>
      </c>
      <c r="D28" s="8" t="n">
        <v>0</v>
      </c>
      <c r="E28" s="20" t="n">
        <f aca="false">IF(C28&gt;0,D28/C28,"")</f>
        <v>0</v>
      </c>
      <c r="F28" s="18" t="str">
        <f aca="false">IF(AND(C28=0,D28&gt;0),"Plant only",IF(AND(D28=0,C28&gt;0),"System only",IF(ABS(D28-C28)&lt;=0.5,"Match",IF(D28&gt;C28,"Plant more","Plant less"))))</f>
        <v>System only</v>
      </c>
      <c r="G28" s="8" t="n">
        <v>0</v>
      </c>
      <c r="H28" s="8" t="n">
        <v>0</v>
      </c>
      <c r="I28" s="8" t="n">
        <v>0</v>
      </c>
      <c r="J28" s="8" t="n">
        <v>1.49284396800001</v>
      </c>
      <c r="K28" s="8" t="n">
        <f aca="false">IF(C28&gt;0,G28*E28,0)</f>
        <v>0</v>
      </c>
      <c r="L28" s="8" t="n">
        <f aca="false">IF(C28&gt;0,H28*E28,0)</f>
        <v>0</v>
      </c>
      <c r="M28" s="8" t="n">
        <f aca="false">IF(C28&gt;0,I28*E28,0)</f>
        <v>0</v>
      </c>
      <c r="N28" s="8" t="n">
        <f aca="false">IF(C28&gt;0,J28*E28,0)</f>
        <v>0</v>
      </c>
      <c r="O28" s="8" t="n">
        <f aca="false">IF(C28&gt;0,0,D28)</f>
        <v>0</v>
      </c>
      <c r="P28" s="7" t="n">
        <f aca="false">SUM(K28:O28)</f>
        <v>0</v>
      </c>
      <c r="Q28" s="8" t="n">
        <f aca="false">M28+N28</f>
        <v>0</v>
      </c>
      <c r="R28" s="21" t="n">
        <v>162</v>
      </c>
      <c r="S28" s="22" t="n">
        <v>162</v>
      </c>
      <c r="T28" s="23" t="n">
        <v>46162</v>
      </c>
    </row>
    <row r="29" customFormat="false" ht="15" hidden="false" customHeight="false" outlineLevel="0" collapsed="false">
      <c r="A29" s="18" t="s">
        <v>15</v>
      </c>
      <c r="B29" s="19" t="s">
        <v>66</v>
      </c>
      <c r="C29" s="8" t="n">
        <v>0.480092352000177</v>
      </c>
      <c r="D29" s="8" t="n">
        <v>0</v>
      </c>
      <c r="E29" s="20" t="n">
        <f aca="false">IF(C29&gt;0,D29/C29,"")</f>
        <v>0</v>
      </c>
      <c r="F29" s="18" t="str">
        <f aca="false">IF(AND(C29=0,D29&gt;0),"Plant only",IF(AND(D29=0,C29&gt;0),"System only",IF(ABS(D29-C29)&lt;=0.5,"Match",IF(D29&gt;C29,"Plant more","Plant less"))))</f>
        <v>System only</v>
      </c>
      <c r="G29" s="8" t="n">
        <v>0.480092352000177</v>
      </c>
      <c r="H29" s="8" t="n">
        <v>0</v>
      </c>
      <c r="I29" s="8" t="n">
        <v>0</v>
      </c>
      <c r="J29" s="8" t="n">
        <v>0</v>
      </c>
      <c r="K29" s="8" t="n">
        <f aca="false">IF(C29&gt;0,G29*E29,0)</f>
        <v>0</v>
      </c>
      <c r="L29" s="8" t="n">
        <f aca="false">IF(C29&gt;0,H29*E29,0)</f>
        <v>0</v>
      </c>
      <c r="M29" s="8" t="n">
        <f aca="false">IF(C29&gt;0,I29*E29,0)</f>
        <v>0</v>
      </c>
      <c r="N29" s="8" t="n">
        <f aca="false">IF(C29&gt;0,J29*E29,0)</f>
        <v>0</v>
      </c>
      <c r="O29" s="8" t="n">
        <f aca="false">IF(C29&gt;0,0,D29)</f>
        <v>0</v>
      </c>
      <c r="P29" s="7" t="n">
        <f aca="false">SUM(K29:O29)</f>
        <v>0</v>
      </c>
      <c r="Q29" s="8" t="n">
        <f aca="false">M29+N29</f>
        <v>0</v>
      </c>
      <c r="R29" s="21" t="n">
        <v>21</v>
      </c>
      <c r="S29" s="22" t="n">
        <v>21</v>
      </c>
      <c r="T29" s="23" t="n">
        <v>46303</v>
      </c>
    </row>
    <row r="30" customFormat="false" ht="15" hidden="false" customHeight="false" outlineLevel="0" collapsed="false">
      <c r="A30" s="18" t="s">
        <v>15</v>
      </c>
      <c r="B30" s="19" t="s">
        <v>67</v>
      </c>
      <c r="C30" s="8" t="n">
        <v>20.6869648</v>
      </c>
      <c r="D30" s="8" t="n">
        <v>22.891</v>
      </c>
      <c r="E30" s="20" t="n">
        <f aca="false">IF(C30&gt;0,D30/C30,"")</f>
        <v>1.10654222218235</v>
      </c>
      <c r="F30" s="18" t="str">
        <f aca="false">IF(AND(C30=0,D30&gt;0),"Plant only",IF(AND(D30=0,C30&gt;0),"System only",IF(ABS(D30-C30)&lt;=0.5,"Match",IF(D30&gt;C30,"Plant more","Plant less"))))</f>
        <v>Plant more</v>
      </c>
      <c r="G30" s="8" t="n">
        <v>20.6869648</v>
      </c>
      <c r="H30" s="8" t="n">
        <v>0</v>
      </c>
      <c r="I30" s="8" t="n">
        <v>0</v>
      </c>
      <c r="J30" s="8" t="n">
        <v>0</v>
      </c>
      <c r="K30" s="8" t="n">
        <f aca="false">IF(C30&gt;0,G30*E30,0)</f>
        <v>22.891</v>
      </c>
      <c r="L30" s="8" t="n">
        <f aca="false">IF(C30&gt;0,H30*E30,0)</f>
        <v>0</v>
      </c>
      <c r="M30" s="8" t="n">
        <f aca="false">IF(C30&gt;0,I30*E30,0)</f>
        <v>0</v>
      </c>
      <c r="N30" s="8" t="n">
        <f aca="false">IF(C30&gt;0,J30*E30,0)</f>
        <v>0</v>
      </c>
      <c r="O30" s="8" t="n">
        <f aca="false">IF(C30&gt;0,0,D30)</f>
        <v>0</v>
      </c>
      <c r="P30" s="7" t="n">
        <f aca="false">SUM(K30:O30)</f>
        <v>22.891</v>
      </c>
      <c r="Q30" s="8" t="n">
        <f aca="false">M30+N30</f>
        <v>0</v>
      </c>
      <c r="R30" s="21" t="n">
        <v>10</v>
      </c>
      <c r="S30" s="22" t="n">
        <v>10</v>
      </c>
      <c r="T30" s="23" t="n">
        <v>46314</v>
      </c>
    </row>
    <row r="31" customFormat="false" ht="15" hidden="false" customHeight="false" outlineLevel="0" collapsed="false">
      <c r="A31" s="18" t="s">
        <v>15</v>
      </c>
      <c r="B31" s="19" t="s">
        <v>68</v>
      </c>
      <c r="C31" s="8" t="n">
        <v>13.0084675</v>
      </c>
      <c r="D31" s="8" t="n">
        <v>11.674</v>
      </c>
      <c r="E31" s="20" t="n">
        <f aca="false">IF(C31&gt;0,D31/C31,"")</f>
        <v>0.897415471883986</v>
      </c>
      <c r="F31" s="18" t="str">
        <f aca="false">IF(AND(C31=0,D31&gt;0),"Plant only",IF(AND(D31=0,C31&gt;0),"System only",IF(ABS(D31-C31)&lt;=0.5,"Match",IF(D31&gt;C31,"Plant more","Plant less"))))</f>
        <v>Plant less</v>
      </c>
      <c r="G31" s="8" t="n">
        <v>0</v>
      </c>
      <c r="H31" s="8" t="n">
        <v>13.0084675</v>
      </c>
      <c r="I31" s="8" t="n">
        <v>0</v>
      </c>
      <c r="J31" s="8" t="n">
        <v>0</v>
      </c>
      <c r="K31" s="8" t="n">
        <f aca="false">IF(C31&gt;0,G31*E31,0)</f>
        <v>0</v>
      </c>
      <c r="L31" s="8" t="n">
        <f aca="false">IF(C31&gt;0,H31*E31,0)</f>
        <v>11.674</v>
      </c>
      <c r="M31" s="8" t="n">
        <f aca="false">IF(C31&gt;0,I31*E31,0)</f>
        <v>0</v>
      </c>
      <c r="N31" s="8" t="n">
        <f aca="false">IF(C31&gt;0,J31*E31,0)</f>
        <v>0</v>
      </c>
      <c r="O31" s="8" t="n">
        <f aca="false">IF(C31&gt;0,0,D31)</f>
        <v>0</v>
      </c>
      <c r="P31" s="7" t="n">
        <f aca="false">SUM(K31:O31)</f>
        <v>11.674</v>
      </c>
      <c r="Q31" s="8" t="n">
        <f aca="false">M31+N31</f>
        <v>0</v>
      </c>
      <c r="R31" s="21" t="n">
        <v>48</v>
      </c>
      <c r="S31" s="22" t="n">
        <v>48</v>
      </c>
      <c r="T31" s="23" t="n">
        <v>46276</v>
      </c>
    </row>
    <row r="32" customFormat="false" ht="15" hidden="false" customHeight="false" outlineLevel="0" collapsed="false">
      <c r="A32" s="18" t="s">
        <v>15</v>
      </c>
      <c r="B32" s="19" t="s">
        <v>69</v>
      </c>
      <c r="C32" s="8" t="n">
        <v>22.624130496</v>
      </c>
      <c r="D32" s="8" t="n">
        <v>16.966</v>
      </c>
      <c r="E32" s="20" t="n">
        <f aca="false">IF(C32&gt;0,D32/C32,"")</f>
        <v>0.749907272812081</v>
      </c>
      <c r="F32" s="18" t="str">
        <f aca="false">IF(AND(C32=0,D32&gt;0),"Plant only",IF(AND(D32=0,C32&gt;0),"System only",IF(ABS(D32-C32)&lt;=0.5,"Match",IF(D32&gt;C32,"Plant more","Plant less"))))</f>
        <v>Plant less</v>
      </c>
      <c r="G32" s="8" t="n">
        <v>22.624130496</v>
      </c>
      <c r="H32" s="8" t="n">
        <v>0</v>
      </c>
      <c r="I32" s="8" t="n">
        <v>0</v>
      </c>
      <c r="J32" s="8" t="n">
        <v>0</v>
      </c>
      <c r="K32" s="8" t="n">
        <f aca="false">IF(C32&gt;0,G32*E32,0)</f>
        <v>16.966</v>
      </c>
      <c r="L32" s="8" t="n">
        <f aca="false">IF(C32&gt;0,H32*E32,0)</f>
        <v>0</v>
      </c>
      <c r="M32" s="8" t="n">
        <f aca="false">IF(C32&gt;0,I32*E32,0)</f>
        <v>0</v>
      </c>
      <c r="N32" s="8" t="n">
        <f aca="false">IF(C32&gt;0,J32*E32,0)</f>
        <v>0</v>
      </c>
      <c r="O32" s="8" t="n">
        <f aca="false">IF(C32&gt;0,0,D32)</f>
        <v>0</v>
      </c>
      <c r="P32" s="7" t="n">
        <f aca="false">SUM(K32:O32)</f>
        <v>16.966</v>
      </c>
      <c r="Q32" s="8" t="n">
        <f aca="false">M32+N32</f>
        <v>0</v>
      </c>
      <c r="R32" s="21" t="n">
        <v>18.1019527443235</v>
      </c>
      <c r="S32" s="22" t="n">
        <v>19</v>
      </c>
      <c r="T32" s="23" t="n">
        <v>46307</v>
      </c>
    </row>
    <row r="33" customFormat="false" ht="15" hidden="false" customHeight="false" outlineLevel="0" collapsed="false">
      <c r="A33" s="18" t="s">
        <v>15</v>
      </c>
      <c r="B33" s="19" t="s">
        <v>70</v>
      </c>
      <c r="C33" s="8" t="n">
        <v>9.59333920000001</v>
      </c>
      <c r="D33" s="8" t="n">
        <v>9.983</v>
      </c>
      <c r="E33" s="20" t="n">
        <f aca="false">IF(C33&gt;0,D33/C33,"")</f>
        <v>1.04061784868401</v>
      </c>
      <c r="F33" s="18" t="str">
        <f aca="false">IF(AND(C33=0,D33&gt;0),"Plant only",IF(AND(D33=0,C33&gt;0),"System only",IF(ABS(D33-C33)&lt;=0.5,"Match",IF(D33&gt;C33,"Plant more","Plant less"))))</f>
        <v>Match</v>
      </c>
      <c r="G33" s="8" t="n">
        <v>0</v>
      </c>
      <c r="H33" s="8" t="n">
        <v>0</v>
      </c>
      <c r="I33" s="8" t="n">
        <v>0</v>
      </c>
      <c r="J33" s="8" t="n">
        <v>9.59333920000001</v>
      </c>
      <c r="K33" s="8" t="n">
        <f aca="false">IF(C33&gt;0,G33*E33,0)</f>
        <v>0</v>
      </c>
      <c r="L33" s="8" t="n">
        <f aca="false">IF(C33&gt;0,H33*E33,0)</f>
        <v>0</v>
      </c>
      <c r="M33" s="8" t="n">
        <f aca="false">IF(C33&gt;0,I33*E33,0)</f>
        <v>0</v>
      </c>
      <c r="N33" s="8" t="n">
        <f aca="false">IF(C33&gt;0,J33*E33,0)</f>
        <v>9.983</v>
      </c>
      <c r="O33" s="8" t="n">
        <f aca="false">IF(C33&gt;0,0,D33)</f>
        <v>0</v>
      </c>
      <c r="P33" s="7" t="n">
        <f aca="false">SUM(K33:O33)</f>
        <v>9.983</v>
      </c>
      <c r="Q33" s="8" t="n">
        <f aca="false">M33+N33</f>
        <v>9.983</v>
      </c>
      <c r="R33" s="21" t="n">
        <v>187</v>
      </c>
      <c r="S33" s="22" t="n">
        <v>187</v>
      </c>
      <c r="T33" s="23" t="n">
        <v>46137</v>
      </c>
    </row>
    <row r="34" customFormat="false" ht="15" hidden="false" customHeight="false" outlineLevel="0" collapsed="false">
      <c r="A34" s="18" t="s">
        <v>15</v>
      </c>
      <c r="B34" s="19" t="s">
        <v>71</v>
      </c>
      <c r="C34" s="8" t="n">
        <v>1.095805</v>
      </c>
      <c r="D34" s="8" t="n">
        <v>0</v>
      </c>
      <c r="E34" s="20" t="n">
        <f aca="false">IF(C34&gt;0,D34/C34,"")</f>
        <v>0</v>
      </c>
      <c r="F34" s="18" t="str">
        <f aca="false">IF(AND(C34=0,D34&gt;0),"Plant only",IF(AND(D34=0,C34&gt;0),"System only",IF(ABS(D34-C34)&lt;=0.5,"Match",IF(D34&gt;C34,"Plant more","Plant less"))))</f>
        <v>System only</v>
      </c>
      <c r="G34" s="8" t="n">
        <v>0</v>
      </c>
      <c r="H34" s="8" t="n">
        <v>0</v>
      </c>
      <c r="I34" s="8" t="n">
        <v>0</v>
      </c>
      <c r="J34" s="8" t="n">
        <v>1.095805</v>
      </c>
      <c r="K34" s="8" t="n">
        <f aca="false">IF(C34&gt;0,G34*E34,0)</f>
        <v>0</v>
      </c>
      <c r="L34" s="8" t="n">
        <f aca="false">IF(C34&gt;0,H34*E34,0)</f>
        <v>0</v>
      </c>
      <c r="M34" s="8" t="n">
        <f aca="false">IF(C34&gt;0,I34*E34,0)</f>
        <v>0</v>
      </c>
      <c r="N34" s="8" t="n">
        <f aca="false">IF(C34&gt;0,J34*E34,0)</f>
        <v>0</v>
      </c>
      <c r="O34" s="8" t="n">
        <f aca="false">IF(C34&gt;0,0,D34)</f>
        <v>0</v>
      </c>
      <c r="P34" s="7" t="n">
        <f aca="false">SUM(K34:O34)</f>
        <v>0</v>
      </c>
      <c r="Q34" s="8" t="n">
        <f aca="false">M34+N34</f>
        <v>0</v>
      </c>
      <c r="R34" s="21" t="n">
        <v>185</v>
      </c>
      <c r="S34" s="22" t="n">
        <v>185</v>
      </c>
      <c r="T34" s="23" t="n">
        <v>46139</v>
      </c>
    </row>
    <row r="35" customFormat="false" ht="15" hidden="false" customHeight="false" outlineLevel="0" collapsed="false">
      <c r="A35" s="18" t="s">
        <v>15</v>
      </c>
      <c r="B35" s="19" t="s">
        <v>72</v>
      </c>
      <c r="C35" s="8" t="n">
        <v>20.02434368</v>
      </c>
      <c r="D35" s="8" t="n">
        <v>18.573</v>
      </c>
      <c r="E35" s="20" t="n">
        <f aca="false">IF(C35&gt;0,D35/C35,"")</f>
        <v>0.927521036235031</v>
      </c>
      <c r="F35" s="18" t="str">
        <f aca="false">IF(AND(C35=0,D35&gt;0),"Plant only",IF(AND(D35=0,C35&gt;0),"System only",IF(ABS(D35-C35)&lt;=0.5,"Match",IF(D35&gt;C35,"Plant more","Plant less"))))</f>
        <v>Plant less</v>
      </c>
      <c r="G35" s="8" t="n">
        <v>0</v>
      </c>
      <c r="H35" s="8" t="n">
        <v>0</v>
      </c>
      <c r="I35" s="8" t="n">
        <v>0</v>
      </c>
      <c r="J35" s="8" t="n">
        <v>20.02434368</v>
      </c>
      <c r="K35" s="8" t="n">
        <f aca="false">IF(C35&gt;0,G35*E35,0)</f>
        <v>0</v>
      </c>
      <c r="L35" s="8" t="n">
        <f aca="false">IF(C35&gt;0,H35*E35,0)</f>
        <v>0</v>
      </c>
      <c r="M35" s="8" t="n">
        <f aca="false">IF(C35&gt;0,I35*E35,0)</f>
        <v>0</v>
      </c>
      <c r="N35" s="8" t="n">
        <f aca="false">IF(C35&gt;0,J35*E35,0)</f>
        <v>18.573</v>
      </c>
      <c r="O35" s="8" t="n">
        <f aca="false">IF(C35&gt;0,0,D35)</f>
        <v>0</v>
      </c>
      <c r="P35" s="7" t="n">
        <f aca="false">SUM(K35:O35)</f>
        <v>18.573</v>
      </c>
      <c r="Q35" s="8" t="n">
        <f aca="false">M35+N35</f>
        <v>18.573</v>
      </c>
      <c r="R35" s="21" t="n">
        <v>188.054990378591</v>
      </c>
      <c r="S35" s="22" t="n">
        <v>189</v>
      </c>
      <c r="T35" s="23" t="n">
        <v>46139</v>
      </c>
    </row>
    <row r="36" customFormat="false" ht="15" hidden="false" customHeight="false" outlineLevel="0" collapsed="false">
      <c r="A36" s="18" t="s">
        <v>15</v>
      </c>
      <c r="B36" s="19" t="s">
        <v>73</v>
      </c>
      <c r="C36" s="8" t="n">
        <v>35.7587936</v>
      </c>
      <c r="D36" s="8" t="n">
        <v>28.752</v>
      </c>
      <c r="E36" s="20" t="n">
        <f aca="false">IF(C36&gt;0,D36/C36,"")</f>
        <v>0.804053971216748</v>
      </c>
      <c r="F36" s="18" t="str">
        <f aca="false">IF(AND(C36=0,D36&gt;0),"Plant only",IF(AND(D36=0,C36&gt;0),"System only",IF(ABS(D36-C36)&lt;=0.5,"Match",IF(D36&gt;C36,"Plant more","Plant less"))))</f>
        <v>Plant less</v>
      </c>
      <c r="G36" s="8" t="n">
        <v>35.7587936</v>
      </c>
      <c r="H36" s="8" t="n">
        <v>0</v>
      </c>
      <c r="I36" s="8" t="n">
        <v>0</v>
      </c>
      <c r="J36" s="8" t="n">
        <v>0</v>
      </c>
      <c r="K36" s="8" t="n">
        <f aca="false">IF(C36&gt;0,G36*E36,0)</f>
        <v>28.752</v>
      </c>
      <c r="L36" s="8" t="n">
        <f aca="false">IF(C36&gt;0,H36*E36,0)</f>
        <v>0</v>
      </c>
      <c r="M36" s="8" t="n">
        <f aca="false">IF(C36&gt;0,I36*E36,0)</f>
        <v>0</v>
      </c>
      <c r="N36" s="8" t="n">
        <f aca="false">IF(C36&gt;0,J36*E36,0)</f>
        <v>0</v>
      </c>
      <c r="O36" s="8" t="n">
        <f aca="false">IF(C36&gt;0,0,D36)</f>
        <v>0</v>
      </c>
      <c r="P36" s="7" t="n">
        <f aca="false">SUM(K36:O36)</f>
        <v>28.752</v>
      </c>
      <c r="Q36" s="8" t="n">
        <f aca="false">M36+N36</f>
        <v>0</v>
      </c>
      <c r="R36" s="21" t="n">
        <v>15</v>
      </c>
      <c r="S36" s="22" t="n">
        <v>15</v>
      </c>
      <c r="T36" s="23" t="n">
        <v>46309</v>
      </c>
    </row>
    <row r="37" customFormat="false" ht="15" hidden="false" customHeight="false" outlineLevel="0" collapsed="false">
      <c r="A37" s="18" t="s">
        <v>15</v>
      </c>
      <c r="B37" s="19" t="s">
        <v>74</v>
      </c>
      <c r="C37" s="8" t="n">
        <v>21.946045</v>
      </c>
      <c r="D37" s="8" t="n">
        <v>18.884</v>
      </c>
      <c r="E37" s="20" t="n">
        <f aca="false">IF(C37&gt;0,D37/C37,"")</f>
        <v>0.86047394872288</v>
      </c>
      <c r="F37" s="18" t="str">
        <f aca="false">IF(AND(C37=0,D37&gt;0),"Plant only",IF(AND(D37=0,C37&gt;0),"System only",IF(ABS(D37-C37)&lt;=0.5,"Match",IF(D37&gt;C37,"Plant more","Plant less"))))</f>
        <v>Plant less</v>
      </c>
      <c r="G37" s="8" t="n">
        <v>19.3639875</v>
      </c>
      <c r="H37" s="8" t="n">
        <v>2.58205749999999</v>
      </c>
      <c r="I37" s="8" t="n">
        <v>0</v>
      </c>
      <c r="J37" s="8" t="n">
        <v>0</v>
      </c>
      <c r="K37" s="8" t="n">
        <f aca="false">IF(C37&gt;0,G37*E37,0)</f>
        <v>16.6622067871455</v>
      </c>
      <c r="L37" s="8" t="n">
        <f aca="false">IF(C37&gt;0,H37*E37,0)</f>
        <v>2.22179321285452</v>
      </c>
      <c r="M37" s="8" t="n">
        <f aca="false">IF(C37&gt;0,I37*E37,0)</f>
        <v>0</v>
      </c>
      <c r="N37" s="8" t="n">
        <f aca="false">IF(C37&gt;0,J37*E37,0)</f>
        <v>0</v>
      </c>
      <c r="O37" s="8" t="n">
        <f aca="false">IF(C37&gt;0,0,D37)</f>
        <v>0</v>
      </c>
      <c r="P37" s="7" t="n">
        <f aca="false">SUM(K37:O37)</f>
        <v>18.884</v>
      </c>
      <c r="Q37" s="8" t="n">
        <f aca="false">M37+N37</f>
        <v>0</v>
      </c>
      <c r="R37" s="21" t="n">
        <v>8.77532500730769</v>
      </c>
      <c r="S37" s="22" t="n">
        <v>47</v>
      </c>
      <c r="T37" s="23" t="n">
        <v>46322</v>
      </c>
    </row>
    <row r="38" customFormat="false" ht="15" hidden="false" customHeight="false" outlineLevel="0" collapsed="false">
      <c r="A38" s="18" t="s">
        <v>15</v>
      </c>
      <c r="B38" s="19" t="s">
        <v>75</v>
      </c>
      <c r="C38" s="8" t="n">
        <v>24.529190656</v>
      </c>
      <c r="D38" s="8" t="n">
        <v>20.704</v>
      </c>
      <c r="E38" s="20" t="n">
        <f aca="false">IF(C38&gt;0,D38/C38,"")</f>
        <v>0.844055569967845</v>
      </c>
      <c r="F38" s="18" t="str">
        <f aca="false">IF(AND(C38=0,D38&gt;0),"Plant only",IF(AND(D38=0,C38&gt;0),"System only",IF(ABS(D38-C38)&lt;=0.5,"Match",IF(D38&gt;C38,"Plant more","Plant less"))))</f>
        <v>Plant less</v>
      </c>
      <c r="G38" s="8" t="n">
        <v>20.618496</v>
      </c>
      <c r="H38" s="8" t="n">
        <v>3.91069465599997</v>
      </c>
      <c r="I38" s="8" t="n">
        <v>0</v>
      </c>
      <c r="J38" s="8" t="n">
        <v>0</v>
      </c>
      <c r="K38" s="8" t="n">
        <f aca="false">IF(C38&gt;0,G38*E38,0)</f>
        <v>17.4031563931597</v>
      </c>
      <c r="L38" s="8" t="n">
        <f aca="false">IF(C38&gt;0,H38*E38,0)</f>
        <v>3.30084360684026</v>
      </c>
      <c r="M38" s="8" t="n">
        <f aca="false">IF(C38&gt;0,I38*E38,0)</f>
        <v>0</v>
      </c>
      <c r="N38" s="8" t="n">
        <f aca="false">IF(C38&gt;0,J38*E38,0)</f>
        <v>0</v>
      </c>
      <c r="O38" s="8" t="n">
        <f aca="false">IF(C38&gt;0,0,D38)</f>
        <v>0</v>
      </c>
      <c r="P38" s="7" t="n">
        <f aca="false">SUM(K38:O38)</f>
        <v>20.704</v>
      </c>
      <c r="Q38" s="8" t="n">
        <f aca="false">M38+N38</f>
        <v>0</v>
      </c>
      <c r="R38" s="21" t="n">
        <v>9.67344891886836</v>
      </c>
      <c r="S38" s="22" t="n">
        <v>47</v>
      </c>
      <c r="T38" s="23" t="n">
        <v>46322</v>
      </c>
    </row>
    <row r="39" customFormat="false" ht="15" hidden="false" customHeight="false" outlineLevel="0" collapsed="false">
      <c r="A39" s="18" t="s">
        <v>15</v>
      </c>
      <c r="B39" s="19" t="s">
        <v>76</v>
      </c>
      <c r="C39" s="8" t="n">
        <v>22.1014464</v>
      </c>
      <c r="D39" s="8" t="n">
        <v>21.77</v>
      </c>
      <c r="E39" s="20" t="n">
        <f aca="false">IF(C39&gt;0,D39/C39,"")</f>
        <v>0.985003406835854</v>
      </c>
      <c r="F39" s="18" t="str">
        <f aca="false">IF(AND(C39=0,D39&gt;0),"Plant only",IF(AND(D39=0,C39&gt;0),"System only",IF(ABS(D39-C39)&lt;=0.5,"Match",IF(D39&gt;C39,"Plant more","Plant less"))))</f>
        <v>Match</v>
      </c>
      <c r="G39" s="8" t="n">
        <v>22.1014464</v>
      </c>
      <c r="H39" s="8" t="n">
        <v>0</v>
      </c>
      <c r="I39" s="8" t="n">
        <v>0</v>
      </c>
      <c r="J39" s="8" t="n">
        <v>0</v>
      </c>
      <c r="K39" s="8" t="n">
        <f aca="false">IF(C39&gt;0,G39*E39,0)</f>
        <v>21.77</v>
      </c>
      <c r="L39" s="8" t="n">
        <f aca="false">IF(C39&gt;0,H39*E39,0)</f>
        <v>0</v>
      </c>
      <c r="M39" s="8" t="n">
        <f aca="false">IF(C39&gt;0,I39*E39,0)</f>
        <v>0</v>
      </c>
      <c r="N39" s="8" t="n">
        <f aca="false">IF(C39&gt;0,J39*E39,0)</f>
        <v>0</v>
      </c>
      <c r="O39" s="8" t="n">
        <f aca="false">IF(C39&gt;0,0,D39)</f>
        <v>0</v>
      </c>
      <c r="P39" s="7" t="n">
        <f aca="false">SUM(K39:O39)</f>
        <v>21.77</v>
      </c>
      <c r="Q39" s="8" t="n">
        <f aca="false">M39+N39</f>
        <v>0</v>
      </c>
      <c r="R39" s="21" t="n">
        <v>14</v>
      </c>
      <c r="S39" s="22" t="n">
        <v>14</v>
      </c>
      <c r="T39" s="23" t="n">
        <v>46310</v>
      </c>
    </row>
    <row r="40" customFormat="false" ht="15" hidden="false" customHeight="false" outlineLevel="0" collapsed="false">
      <c r="A40" s="18" t="s">
        <v>15</v>
      </c>
      <c r="B40" s="19" t="s">
        <v>77</v>
      </c>
      <c r="C40" s="8" t="n">
        <v>3.09150749999996</v>
      </c>
      <c r="D40" s="8" t="n">
        <v>0</v>
      </c>
      <c r="E40" s="20" t="n">
        <f aca="false">IF(C40&gt;0,D40/C40,"")</f>
        <v>0</v>
      </c>
      <c r="F40" s="18" t="str">
        <f aca="false">IF(AND(C40=0,D40&gt;0),"Plant only",IF(AND(D40=0,C40&gt;0),"System only",IF(ABS(D40-C40)&lt;=0.5,"Match",IF(D40&gt;C40,"Plant more","Plant less"))))</f>
        <v>System only</v>
      </c>
      <c r="G40" s="8" t="n">
        <v>0</v>
      </c>
      <c r="H40" s="8" t="n">
        <v>0</v>
      </c>
      <c r="I40" s="8" t="n">
        <v>3.09150749999996</v>
      </c>
      <c r="J40" s="8" t="n">
        <v>0</v>
      </c>
      <c r="K40" s="8" t="n">
        <f aca="false">IF(C40&gt;0,G40*E40,0)</f>
        <v>0</v>
      </c>
      <c r="L40" s="8" t="n">
        <f aca="false">IF(C40&gt;0,H40*E40,0)</f>
        <v>0</v>
      </c>
      <c r="M40" s="8" t="n">
        <f aca="false">IF(C40&gt;0,I40*E40,0)</f>
        <v>0</v>
      </c>
      <c r="N40" s="8" t="n">
        <f aca="false">IF(C40&gt;0,J40*E40,0)</f>
        <v>0</v>
      </c>
      <c r="O40" s="8" t="n">
        <f aca="false">IF(C40&gt;0,0,D40)</f>
        <v>0</v>
      </c>
      <c r="P40" s="7" t="n">
        <f aca="false">SUM(K40:O40)</f>
        <v>0</v>
      </c>
      <c r="Q40" s="8" t="n">
        <f aca="false">M40+N40</f>
        <v>0</v>
      </c>
      <c r="R40" s="21" t="n">
        <v>69</v>
      </c>
      <c r="S40" s="22" t="n">
        <v>69</v>
      </c>
      <c r="T40" s="23" t="n">
        <v>46255</v>
      </c>
    </row>
    <row r="41" customFormat="false" ht="15" hidden="false" customHeight="false" outlineLevel="0" collapsed="false">
      <c r="A41" s="18" t="s">
        <v>15</v>
      </c>
      <c r="B41" s="19" t="s">
        <v>78</v>
      </c>
      <c r="C41" s="8" t="n">
        <v>12.3371932480001</v>
      </c>
      <c r="D41" s="8" t="n">
        <v>8.726</v>
      </c>
      <c r="E41" s="20" t="n">
        <f aca="false">IF(C41&gt;0,D41/C41,"")</f>
        <v>0.707292155078672</v>
      </c>
      <c r="F41" s="18" t="str">
        <f aca="false">IF(AND(C41=0,D41&gt;0),"Plant only",IF(AND(D41=0,C41&gt;0),"System only",IF(ABS(D41-C41)&lt;=0.5,"Match",IF(D41&gt;C41,"Plant more","Plant less"))))</f>
        <v>Plant less</v>
      </c>
      <c r="G41" s="8" t="n">
        <v>12.3371932480001</v>
      </c>
      <c r="H41" s="8" t="n">
        <v>0</v>
      </c>
      <c r="I41" s="8" t="n">
        <v>0</v>
      </c>
      <c r="J41" s="8" t="n">
        <v>0</v>
      </c>
      <c r="K41" s="8" t="n">
        <f aca="false">IF(C41&gt;0,G41*E41,0)</f>
        <v>8.726</v>
      </c>
      <c r="L41" s="8" t="n">
        <f aca="false">IF(C41&gt;0,H41*E41,0)</f>
        <v>0</v>
      </c>
      <c r="M41" s="8" t="n">
        <f aca="false">IF(C41&gt;0,I41*E41,0)</f>
        <v>0</v>
      </c>
      <c r="N41" s="8" t="n">
        <f aca="false">IF(C41&gt;0,J41*E41,0)</f>
        <v>0</v>
      </c>
      <c r="O41" s="8" t="n">
        <f aca="false">IF(C41&gt;0,0,D41)</f>
        <v>0</v>
      </c>
      <c r="P41" s="7" t="n">
        <f aca="false">SUM(K41:O41)</f>
        <v>8.726</v>
      </c>
      <c r="Q41" s="8" t="n">
        <f aca="false">M41+N41</f>
        <v>0</v>
      </c>
      <c r="R41" s="21" t="n">
        <v>28</v>
      </c>
      <c r="S41" s="22" t="n">
        <v>28</v>
      </c>
      <c r="T41" s="23" t="n">
        <v>46296</v>
      </c>
    </row>
    <row r="42" customFormat="false" ht="15" hidden="false" customHeight="false" outlineLevel="0" collapsed="false">
      <c r="A42" s="18" t="s">
        <v>15</v>
      </c>
      <c r="B42" s="19" t="s">
        <v>79</v>
      </c>
      <c r="C42" s="8" t="n">
        <v>14.6710672</v>
      </c>
      <c r="D42" s="8" t="n">
        <v>14.408</v>
      </c>
      <c r="E42" s="20" t="n">
        <f aca="false">IF(C42&gt;0,D42/C42,"")</f>
        <v>0.982068979958049</v>
      </c>
      <c r="F42" s="18" t="str">
        <f aca="false">IF(AND(C42=0,D42&gt;0),"Plant only",IF(AND(D42=0,C42&gt;0),"System only",IF(ABS(D42-C42)&lt;=0.5,"Match",IF(D42&gt;C42,"Plant more","Plant less"))))</f>
        <v>Match</v>
      </c>
      <c r="G42" s="8" t="n">
        <v>10.3265808</v>
      </c>
      <c r="H42" s="8" t="n">
        <v>4.34448640000001</v>
      </c>
      <c r="I42" s="8" t="n">
        <v>0</v>
      </c>
      <c r="J42" s="8" t="n">
        <v>0</v>
      </c>
      <c r="K42" s="8" t="n">
        <f aca="false">IF(C42&gt;0,G42*E42,0)</f>
        <v>10.1414146727104</v>
      </c>
      <c r="L42" s="8" t="n">
        <f aca="false">IF(C42&gt;0,H42*E42,0)</f>
        <v>4.26658532728962</v>
      </c>
      <c r="M42" s="8" t="n">
        <f aca="false">IF(C42&gt;0,I42*E42,0)</f>
        <v>0</v>
      </c>
      <c r="N42" s="8" t="n">
        <f aca="false">IF(C42&gt;0,J42*E42,0)</f>
        <v>0</v>
      </c>
      <c r="O42" s="8" t="n">
        <f aca="false">IF(C42&gt;0,0,D42)</f>
        <v>0</v>
      </c>
      <c r="P42" s="7" t="n">
        <f aca="false">SUM(K42:O42)</f>
        <v>14.408</v>
      </c>
      <c r="Q42" s="8" t="n">
        <f aca="false">M42+N42</f>
        <v>0</v>
      </c>
      <c r="R42" s="21" t="n">
        <v>18.3302703977799</v>
      </c>
      <c r="S42" s="22" t="n">
        <v>31</v>
      </c>
      <c r="T42" s="23" t="n">
        <v>46311</v>
      </c>
    </row>
    <row r="43" customFormat="false" ht="15" hidden="false" customHeight="false" outlineLevel="0" collapsed="false">
      <c r="A43" s="18" t="s">
        <v>15</v>
      </c>
      <c r="B43" s="19" t="s">
        <v>80</v>
      </c>
      <c r="C43" s="8" t="n">
        <v>3.38020000000001</v>
      </c>
      <c r="D43" s="8" t="n">
        <v>4.761</v>
      </c>
      <c r="E43" s="20" t="n">
        <f aca="false">IF(C43&gt;0,D43/C43,"")</f>
        <v>1.40849653866635</v>
      </c>
      <c r="F43" s="18" t="str">
        <f aca="false">IF(AND(C43=0,D43&gt;0),"Plant only",IF(AND(D43=0,C43&gt;0),"System only",IF(ABS(D43-C43)&lt;=0.5,"Match",IF(D43&gt;C43,"Plant more","Plant less"))))</f>
        <v>Plant more</v>
      </c>
      <c r="G43" s="8" t="n">
        <v>0</v>
      </c>
      <c r="H43" s="8" t="n">
        <v>3.38020000000001</v>
      </c>
      <c r="I43" s="8" t="n">
        <v>0</v>
      </c>
      <c r="J43" s="8" t="n">
        <v>0</v>
      </c>
      <c r="K43" s="8" t="n">
        <f aca="false">IF(C43&gt;0,G43*E43,0)</f>
        <v>0</v>
      </c>
      <c r="L43" s="8" t="n">
        <f aca="false">IF(C43&gt;0,H43*E43,0)</f>
        <v>4.761</v>
      </c>
      <c r="M43" s="8" t="n">
        <f aca="false">IF(C43&gt;0,I43*E43,0)</f>
        <v>0</v>
      </c>
      <c r="N43" s="8" t="n">
        <f aca="false">IF(C43&gt;0,J43*E43,0)</f>
        <v>0</v>
      </c>
      <c r="O43" s="8" t="n">
        <f aca="false">IF(C43&gt;0,0,D43)</f>
        <v>0</v>
      </c>
      <c r="P43" s="7" t="n">
        <f aca="false">SUM(K43:O43)</f>
        <v>4.761</v>
      </c>
      <c r="Q43" s="8" t="n">
        <f aca="false">M43+N43</f>
        <v>0</v>
      </c>
      <c r="R43" s="21" t="n">
        <v>33</v>
      </c>
      <c r="S43" s="22" t="n">
        <v>33</v>
      </c>
      <c r="T43" s="23" t="n">
        <v>46291</v>
      </c>
    </row>
    <row r="44" customFormat="false" ht="15" hidden="false" customHeight="false" outlineLevel="0" collapsed="false">
      <c r="A44" s="18" t="s">
        <v>15</v>
      </c>
      <c r="B44" s="19" t="s">
        <v>81</v>
      </c>
      <c r="C44" s="8" t="n">
        <v>5.2602</v>
      </c>
      <c r="D44" s="8" t="n">
        <v>5.21</v>
      </c>
      <c r="E44" s="20" t="n">
        <f aca="false">IF(C44&gt;0,D44/C44,"")</f>
        <v>0.990456636629786</v>
      </c>
      <c r="F44" s="18" t="str">
        <f aca="false">IF(AND(C44=0,D44&gt;0),"Plant only",IF(AND(D44=0,C44&gt;0),"System only",IF(ABS(D44-C44)&lt;=0.5,"Match",IF(D44&gt;C44,"Plant more","Plant less"))))</f>
        <v>Match</v>
      </c>
      <c r="G44" s="8" t="n">
        <v>0</v>
      </c>
      <c r="H44" s="8" t="n">
        <v>5.2602</v>
      </c>
      <c r="I44" s="8" t="n">
        <v>0</v>
      </c>
      <c r="J44" s="8" t="n">
        <v>0</v>
      </c>
      <c r="K44" s="8" t="n">
        <f aca="false">IF(C44&gt;0,G44*E44,0)</f>
        <v>0</v>
      </c>
      <c r="L44" s="8" t="n">
        <f aca="false">IF(C44&gt;0,H44*E44,0)</f>
        <v>5.21</v>
      </c>
      <c r="M44" s="8" t="n">
        <f aca="false">IF(C44&gt;0,I44*E44,0)</f>
        <v>0</v>
      </c>
      <c r="N44" s="8" t="n">
        <f aca="false">IF(C44&gt;0,J44*E44,0)</f>
        <v>0</v>
      </c>
      <c r="O44" s="8" t="n">
        <f aca="false">IF(C44&gt;0,0,D44)</f>
        <v>0</v>
      </c>
      <c r="P44" s="7" t="n">
        <f aca="false">SUM(K44:O44)</f>
        <v>5.21</v>
      </c>
      <c r="Q44" s="8" t="n">
        <f aca="false">M44+N44</f>
        <v>0</v>
      </c>
      <c r="R44" s="21" t="n">
        <v>31</v>
      </c>
      <c r="S44" s="22" t="n">
        <v>31</v>
      </c>
      <c r="T44" s="23" t="n">
        <v>46293</v>
      </c>
    </row>
    <row r="45" customFormat="false" ht="15" hidden="false" customHeight="false" outlineLevel="0" collapsed="false">
      <c r="A45" s="18" t="s">
        <v>15</v>
      </c>
      <c r="B45" s="19" t="s">
        <v>82</v>
      </c>
      <c r="C45" s="8" t="n">
        <v>20.3448108030086</v>
      </c>
      <c r="D45" s="8" t="n">
        <v>18.327</v>
      </c>
      <c r="E45" s="20" t="n">
        <f aca="false">IF(C45&gt;0,D45/C45,"")</f>
        <v>0.900819387186917</v>
      </c>
      <c r="F45" s="18" t="str">
        <f aca="false">IF(AND(C45=0,D45&gt;0),"Plant only",IF(AND(D45=0,C45&gt;0),"System only",IF(ABS(D45-C45)&lt;=0.5,"Match",IF(D45&gt;C45,"Plant more","Plant less"))))</f>
        <v>Plant less</v>
      </c>
      <c r="G45" s="8" t="n">
        <v>9.57167752634869</v>
      </c>
      <c r="H45" s="8" t="n">
        <v>0</v>
      </c>
      <c r="I45" s="8" t="n">
        <v>0</v>
      </c>
      <c r="J45" s="8" t="n">
        <v>10.7731332766599</v>
      </c>
      <c r="K45" s="8" t="n">
        <f aca="false">IF(C45&gt;0,G45*E45,0)</f>
        <v>8.62235268363621</v>
      </c>
      <c r="L45" s="8" t="n">
        <f aca="false">IF(C45&gt;0,H45*E45,0)</f>
        <v>0</v>
      </c>
      <c r="M45" s="8" t="n">
        <f aca="false">IF(C45&gt;0,I45*E45,0)</f>
        <v>0</v>
      </c>
      <c r="N45" s="8" t="n">
        <f aca="false">IF(C45&gt;0,J45*E45,0)</f>
        <v>9.70464731636379</v>
      </c>
      <c r="O45" s="8" t="n">
        <f aca="false">IF(C45&gt;0,0,D45)</f>
        <v>0</v>
      </c>
      <c r="P45" s="7" t="n">
        <f aca="false">SUM(K45:O45)</f>
        <v>18.327</v>
      </c>
      <c r="Q45" s="8" t="n">
        <f aca="false">M45+N45</f>
        <v>9.70464731636379</v>
      </c>
      <c r="R45" s="21" t="n">
        <v>60.4212407890997</v>
      </c>
      <c r="S45" s="22" t="n">
        <v>99</v>
      </c>
      <c r="T45" s="23" t="n">
        <v>46307</v>
      </c>
    </row>
    <row r="46" customFormat="false" ht="15" hidden="false" customHeight="false" outlineLevel="0" collapsed="false">
      <c r="A46" s="18" t="s">
        <v>15</v>
      </c>
      <c r="B46" s="19" t="s">
        <v>83</v>
      </c>
      <c r="C46" s="8" t="n">
        <v>14.6224114638618</v>
      </c>
      <c r="D46" s="8" t="n">
        <v>11.431</v>
      </c>
      <c r="E46" s="20" t="n">
        <f aca="false">IF(C46&gt;0,D46/C46,"")</f>
        <v>0.781745201757648</v>
      </c>
      <c r="F46" s="18" t="str">
        <f aca="false">IF(AND(C46=0,D46&gt;0),"Plant only",IF(AND(D46=0,C46&gt;0),"System only",IF(ABS(D46-C46)&lt;=0.5,"Match",IF(D46&gt;C46,"Plant more","Plant less"))))</f>
        <v>Plant less</v>
      </c>
      <c r="G46" s="8" t="n">
        <v>7.8330948808808</v>
      </c>
      <c r="H46" s="8" t="n">
        <v>6.78931658298102</v>
      </c>
      <c r="I46" s="8" t="n">
        <v>0</v>
      </c>
      <c r="J46" s="8" t="n">
        <v>0</v>
      </c>
      <c r="K46" s="8" t="n">
        <f aca="false">IF(C46&gt;0,G46*E46,0)</f>
        <v>6.12348433804096</v>
      </c>
      <c r="L46" s="8" t="n">
        <f aca="false">IF(C46&gt;0,H46*E46,0)</f>
        <v>5.30751566195904</v>
      </c>
      <c r="M46" s="8" t="n">
        <f aca="false">IF(C46&gt;0,I46*E46,0)</f>
        <v>0</v>
      </c>
      <c r="N46" s="8" t="n">
        <f aca="false">IF(C46&gt;0,J46*E46,0)</f>
        <v>0</v>
      </c>
      <c r="O46" s="8" t="n">
        <f aca="false">IF(C46&gt;0,0,D46)</f>
        <v>0</v>
      </c>
      <c r="P46" s="7" t="n">
        <f aca="false">SUM(K46:O46)</f>
        <v>11.431</v>
      </c>
      <c r="Q46" s="8" t="n">
        <f aca="false">M46+N46</f>
        <v>0</v>
      </c>
      <c r="R46" s="21" t="n">
        <v>27.8753174205</v>
      </c>
      <c r="S46" s="22" t="n">
        <v>41</v>
      </c>
      <c r="T46" s="23" t="n">
        <v>46308</v>
      </c>
    </row>
    <row r="47" customFormat="false" ht="15" hidden="false" customHeight="false" outlineLevel="0" collapsed="false">
      <c r="A47" s="18" t="s">
        <v>15</v>
      </c>
      <c r="B47" s="19" t="s">
        <v>84</v>
      </c>
      <c r="C47" s="8" t="n">
        <v>10.6181676337717</v>
      </c>
      <c r="D47" s="8" t="n">
        <v>8.571</v>
      </c>
      <c r="E47" s="20" t="n">
        <f aca="false">IF(C47&gt;0,D47/C47,"")</f>
        <v>0.807201420774282</v>
      </c>
      <c r="F47" s="18" t="str">
        <f aca="false">IF(AND(C47=0,D47&gt;0),"Plant only",IF(AND(D47=0,C47&gt;0),"System only",IF(ABS(D47-C47)&lt;=0.5,"Match",IF(D47&gt;C47,"Plant more","Plant less"))))</f>
        <v>Plant less</v>
      </c>
      <c r="G47" s="8" t="n">
        <v>7.74440225389874</v>
      </c>
      <c r="H47" s="8" t="n">
        <v>0</v>
      </c>
      <c r="I47" s="8" t="n">
        <v>0</v>
      </c>
      <c r="J47" s="8" t="n">
        <v>2.87376537987296</v>
      </c>
      <c r="K47" s="8" t="n">
        <f aca="false">IF(C47&gt;0,G47*E47,0)</f>
        <v>6.25129250239461</v>
      </c>
      <c r="L47" s="8" t="n">
        <f aca="false">IF(C47&gt;0,H47*E47,0)</f>
        <v>0</v>
      </c>
      <c r="M47" s="8" t="n">
        <f aca="false">IF(C47&gt;0,I47*E47,0)</f>
        <v>0</v>
      </c>
      <c r="N47" s="8" t="n">
        <f aca="false">IF(C47&gt;0,J47*E47,0)</f>
        <v>2.31970749760539</v>
      </c>
      <c r="O47" s="8" t="n">
        <f aca="false">IF(C47&gt;0,0,D47)</f>
        <v>0</v>
      </c>
      <c r="P47" s="7" t="n">
        <f aca="false">SUM(K47:O47)</f>
        <v>8.571</v>
      </c>
      <c r="Q47" s="8" t="n">
        <f aca="false">M47+N47</f>
        <v>2.31970749760539</v>
      </c>
      <c r="R47" s="21" t="n">
        <v>38.4636241163514</v>
      </c>
      <c r="S47" s="22" t="n">
        <v>99</v>
      </c>
      <c r="T47" s="23" t="n">
        <v>46308</v>
      </c>
    </row>
    <row r="48" customFormat="false" ht="15" hidden="false" customHeight="false" outlineLevel="0" collapsed="false">
      <c r="A48" s="18" t="s">
        <v>15</v>
      </c>
      <c r="B48" s="19" t="s">
        <v>85</v>
      </c>
      <c r="C48" s="8" t="n">
        <v>9.69094282016051</v>
      </c>
      <c r="D48" s="8" t="n">
        <v>10.119</v>
      </c>
      <c r="E48" s="20" t="n">
        <f aca="false">IF(C48&gt;0,D48/C48,"")</f>
        <v>1.04417084981133</v>
      </c>
      <c r="F48" s="18" t="str">
        <f aca="false">IF(AND(C48=0,D48&gt;0),"Plant only",IF(AND(D48=0,C48&gt;0),"System only",IF(ABS(D48-C48)&lt;=0.5,"Match",IF(D48&gt;C48,"Plant more","Plant less"))))</f>
        <v>Match</v>
      </c>
      <c r="G48" s="8" t="n">
        <v>1.29804337827394</v>
      </c>
      <c r="H48" s="8" t="n">
        <v>0</v>
      </c>
      <c r="I48" s="8" t="n">
        <v>0</v>
      </c>
      <c r="J48" s="8" t="n">
        <v>8.39289944188657</v>
      </c>
      <c r="K48" s="8" t="n">
        <f aca="false">IF(C48&gt;0,G48*E48,0)</f>
        <v>1.35537905738427</v>
      </c>
      <c r="L48" s="8" t="n">
        <f aca="false">IF(C48&gt;0,H48*E48,0)</f>
        <v>0</v>
      </c>
      <c r="M48" s="8" t="n">
        <f aca="false">IF(C48&gt;0,I48*E48,0)</f>
        <v>0</v>
      </c>
      <c r="N48" s="8" t="n">
        <f aca="false">IF(C48&gt;0,J48*E48,0)</f>
        <v>8.76362094261573</v>
      </c>
      <c r="O48" s="8" t="n">
        <f aca="false">IF(C48&gt;0,0,D48)</f>
        <v>0</v>
      </c>
      <c r="P48" s="7" t="n">
        <f aca="false">SUM(K48:O48)</f>
        <v>10.119</v>
      </c>
      <c r="Q48" s="8" t="n">
        <f aca="false">M48+N48</f>
        <v>8.76362094261573</v>
      </c>
      <c r="R48" s="21" t="n">
        <v>119.92672330407</v>
      </c>
      <c r="S48" s="22" t="n">
        <v>136</v>
      </c>
      <c r="T48" s="23" t="n">
        <v>46308</v>
      </c>
    </row>
    <row r="49" customFormat="false" ht="15" hidden="false" customHeight="false" outlineLevel="0" collapsed="false">
      <c r="A49" s="18" t="s">
        <v>15</v>
      </c>
      <c r="B49" s="19" t="s">
        <v>86</v>
      </c>
      <c r="C49" s="8" t="n">
        <v>9.04905037447167</v>
      </c>
      <c r="D49" s="8" t="n">
        <v>6.762</v>
      </c>
      <c r="E49" s="20" t="n">
        <f aca="false">IF(C49&gt;0,D49/C49,"")</f>
        <v>0.747260731255991</v>
      </c>
      <c r="F49" s="18" t="str">
        <f aca="false">IF(AND(C49=0,D49&gt;0),"Plant only",IF(AND(D49=0,C49&gt;0),"System only",IF(ABS(D49-C49)&lt;=0.5,"Match",IF(D49&gt;C49,"Plant more","Plant less"))))</f>
        <v>Plant less</v>
      </c>
      <c r="G49" s="8" t="n">
        <v>0</v>
      </c>
      <c r="H49" s="8" t="n">
        <v>0</v>
      </c>
      <c r="I49" s="8" t="n">
        <v>9.04905037447167</v>
      </c>
      <c r="J49" s="8" t="n">
        <v>0</v>
      </c>
      <c r="K49" s="8" t="n">
        <f aca="false">IF(C49&gt;0,G49*E49,0)</f>
        <v>0</v>
      </c>
      <c r="L49" s="8" t="n">
        <f aca="false">IF(C49&gt;0,H49*E49,0)</f>
        <v>0</v>
      </c>
      <c r="M49" s="8" t="n">
        <f aca="false">IF(C49&gt;0,I49*E49,0)</f>
        <v>6.762</v>
      </c>
      <c r="N49" s="8" t="n">
        <f aca="false">IF(C49&gt;0,J49*E49,0)</f>
        <v>0</v>
      </c>
      <c r="O49" s="8" t="n">
        <f aca="false">IF(C49&gt;0,0,D49)</f>
        <v>0</v>
      </c>
      <c r="P49" s="7" t="n">
        <f aca="false">SUM(K49:O49)</f>
        <v>6.762</v>
      </c>
      <c r="Q49" s="8" t="n">
        <f aca="false">M49+N49</f>
        <v>6.762</v>
      </c>
      <c r="R49" s="21" t="n">
        <v>68</v>
      </c>
      <c r="S49" s="22" t="n">
        <v>68</v>
      </c>
      <c r="T49" s="23" t="n">
        <v>46256</v>
      </c>
    </row>
    <row r="50" customFormat="false" ht="15" hidden="false" customHeight="false" outlineLevel="0" collapsed="false">
      <c r="A50" s="18" t="s">
        <v>15</v>
      </c>
      <c r="B50" s="19" t="s">
        <v>87</v>
      </c>
      <c r="C50" s="8" t="n">
        <v>0.884169445298547</v>
      </c>
      <c r="D50" s="8" t="n">
        <v>0</v>
      </c>
      <c r="E50" s="20" t="n">
        <f aca="false">IF(C50&gt;0,D50/C50,"")</f>
        <v>0</v>
      </c>
      <c r="F50" s="18" t="str">
        <f aca="false">IF(AND(C50=0,D50&gt;0),"Plant only",IF(AND(D50=0,C50&gt;0),"System only",IF(ABS(D50-C50)&lt;=0.5,"Match",IF(D50&gt;C50,"Plant more","Plant less"))))</f>
        <v>System only</v>
      </c>
      <c r="G50" s="8" t="n">
        <v>0</v>
      </c>
      <c r="H50" s="8" t="n">
        <v>0</v>
      </c>
      <c r="I50" s="8" t="n">
        <v>0.884169445298547</v>
      </c>
      <c r="J50" s="8" t="n">
        <v>0</v>
      </c>
      <c r="K50" s="8" t="n">
        <f aca="false">IF(C50&gt;0,G50*E50,0)</f>
        <v>0</v>
      </c>
      <c r="L50" s="8" t="n">
        <f aca="false">IF(C50&gt;0,H50*E50,0)</f>
        <v>0</v>
      </c>
      <c r="M50" s="8" t="n">
        <f aca="false">IF(C50&gt;0,I50*E50,0)</f>
        <v>0</v>
      </c>
      <c r="N50" s="8" t="n">
        <f aca="false">IF(C50&gt;0,J50*E50,0)</f>
        <v>0</v>
      </c>
      <c r="O50" s="8" t="n">
        <f aca="false">IF(C50&gt;0,0,D50)</f>
        <v>0</v>
      </c>
      <c r="P50" s="7" t="n">
        <f aca="false">SUM(K50:O50)</f>
        <v>0</v>
      </c>
      <c r="Q50" s="8" t="n">
        <f aca="false">M50+N50</f>
        <v>0</v>
      </c>
      <c r="R50" s="21" t="n">
        <v>68</v>
      </c>
      <c r="S50" s="22" t="n">
        <v>68</v>
      </c>
      <c r="T50" s="23" t="n">
        <v>46256</v>
      </c>
    </row>
    <row r="51" customFormat="false" ht="15" hidden="false" customHeight="false" outlineLevel="0" collapsed="false">
      <c r="A51" s="18" t="s">
        <v>15</v>
      </c>
      <c r="B51" s="19" t="s">
        <v>88</v>
      </c>
      <c r="C51" s="8" t="n">
        <v>0.27654390180969</v>
      </c>
      <c r="D51" s="8" t="n">
        <v>1.04</v>
      </c>
      <c r="E51" s="20" t="n">
        <f aca="false">IF(C51&gt;0,D51/C51,"")</f>
        <v>3.76070487613103</v>
      </c>
      <c r="F51" s="18" t="str">
        <f aca="false">IF(AND(C51=0,D51&gt;0),"Plant only",IF(AND(D51=0,C51&gt;0),"System only",IF(ABS(D51-C51)&lt;=0.5,"Match",IF(D51&gt;C51,"Plant more","Plant less"))))</f>
        <v>Plant more</v>
      </c>
      <c r="G51" s="8" t="n">
        <v>0.27654390180969</v>
      </c>
      <c r="H51" s="8" t="n">
        <v>0</v>
      </c>
      <c r="I51" s="8" t="n">
        <v>0</v>
      </c>
      <c r="J51" s="8" t="n">
        <v>0</v>
      </c>
      <c r="K51" s="8" t="n">
        <f aca="false">IF(C51&gt;0,G51*E51,0)</f>
        <v>1.04</v>
      </c>
      <c r="L51" s="8" t="n">
        <f aca="false">IF(C51&gt;0,H51*E51,0)</f>
        <v>0</v>
      </c>
      <c r="M51" s="8" t="n">
        <f aca="false">IF(C51&gt;0,I51*E51,0)</f>
        <v>0</v>
      </c>
      <c r="N51" s="8" t="n">
        <f aca="false">IF(C51&gt;0,J51*E51,0)</f>
        <v>0</v>
      </c>
      <c r="O51" s="8" t="n">
        <f aca="false">IF(C51&gt;0,0,D51)</f>
        <v>0</v>
      </c>
      <c r="P51" s="7" t="n">
        <f aca="false">SUM(K51:O51)</f>
        <v>1.04</v>
      </c>
      <c r="Q51" s="8" t="n">
        <f aca="false">M51+N51</f>
        <v>0</v>
      </c>
      <c r="R51" s="21" t="n">
        <v>26</v>
      </c>
      <c r="S51" s="22" t="n">
        <v>26</v>
      </c>
      <c r="T51" s="23" t="n">
        <v>46298</v>
      </c>
    </row>
    <row r="52" customFormat="false" ht="15" hidden="false" customHeight="false" outlineLevel="0" collapsed="false">
      <c r="A52" s="18" t="s">
        <v>15</v>
      </c>
      <c r="B52" s="19" t="s">
        <v>89</v>
      </c>
      <c r="C52" s="8" t="n">
        <v>0</v>
      </c>
      <c r="D52" s="8" t="n">
        <v>3.449</v>
      </c>
      <c r="E52" s="20" t="str">
        <f aca="false">IF(C52&gt;0,D52/C52,"")</f>
        <v/>
      </c>
      <c r="F52" s="18" t="str">
        <f aca="false">IF(AND(C52=0,D52&gt;0),"Plant only",IF(AND(D52=0,C52&gt;0),"System only",IF(ABS(D52-C52)&lt;=0.5,"Match",IF(D52&gt;C52,"Plant more","Plant less"))))</f>
        <v>Plant only</v>
      </c>
      <c r="G52" s="8" t="n">
        <v>0</v>
      </c>
      <c r="H52" s="8" t="n">
        <v>0</v>
      </c>
      <c r="I52" s="8" t="n">
        <v>0</v>
      </c>
      <c r="J52" s="8" t="n">
        <v>0</v>
      </c>
      <c r="K52" s="8" t="n">
        <f aca="false">IF(C52&gt;0,G52*E52,0)</f>
        <v>0</v>
      </c>
      <c r="L52" s="8" t="n">
        <f aca="false">IF(C52&gt;0,H52*E52,0)</f>
        <v>0</v>
      </c>
      <c r="M52" s="8" t="n">
        <f aca="false">IF(C52&gt;0,I52*E52,0)</f>
        <v>0</v>
      </c>
      <c r="N52" s="8" t="n">
        <f aca="false">IF(C52&gt;0,J52*E52,0)</f>
        <v>0</v>
      </c>
      <c r="O52" s="8" t="n">
        <f aca="false">IF(C52&gt;0,0,D52)</f>
        <v>3.449</v>
      </c>
      <c r="P52" s="7" t="n">
        <f aca="false">SUM(K52:O52)</f>
        <v>3.449</v>
      </c>
      <c r="Q52" s="8" t="n">
        <f aca="false">M52+N52</f>
        <v>0</v>
      </c>
      <c r="R52" s="21"/>
      <c r="S52" s="22"/>
      <c r="T52" s="23" t="n">
        <v>46298</v>
      </c>
    </row>
    <row r="53" customFormat="false" ht="15" hidden="false" customHeight="false" outlineLevel="0" collapsed="false">
      <c r="A53" s="18" t="s">
        <v>15</v>
      </c>
      <c r="B53" s="19" t="s">
        <v>90</v>
      </c>
      <c r="C53" s="8" t="n">
        <v>1.35044088702466</v>
      </c>
      <c r="D53" s="8" t="n">
        <v>0</v>
      </c>
      <c r="E53" s="20" t="n">
        <f aca="false">IF(C53&gt;0,D53/C53,"")</f>
        <v>0</v>
      </c>
      <c r="F53" s="18" t="str">
        <f aca="false">IF(AND(C53=0,D53&gt;0),"Plant only",IF(AND(D53=0,C53&gt;0),"System only",IF(ABS(D53-C53)&lt;=0.5,"Match",IF(D53&gt;C53,"Plant more","Plant less"))))</f>
        <v>System only</v>
      </c>
      <c r="G53" s="8" t="n">
        <v>0</v>
      </c>
      <c r="H53" s="8" t="n">
        <v>1.35044088702466</v>
      </c>
      <c r="I53" s="8" t="n">
        <v>0</v>
      </c>
      <c r="J53" s="8" t="n">
        <v>0</v>
      </c>
      <c r="K53" s="8" t="n">
        <f aca="false">IF(C53&gt;0,G53*E53,0)</f>
        <v>0</v>
      </c>
      <c r="L53" s="8" t="n">
        <f aca="false">IF(C53&gt;0,H53*E53,0)</f>
        <v>0</v>
      </c>
      <c r="M53" s="8" t="n">
        <f aca="false">IF(C53&gt;0,I53*E53,0)</f>
        <v>0</v>
      </c>
      <c r="N53" s="8" t="n">
        <f aca="false">IF(C53&gt;0,J53*E53,0)</f>
        <v>0</v>
      </c>
      <c r="O53" s="8" t="n">
        <f aca="false">IF(C53&gt;0,0,D53)</f>
        <v>0</v>
      </c>
      <c r="P53" s="7" t="n">
        <f aca="false">SUM(K53:O53)</f>
        <v>0</v>
      </c>
      <c r="Q53" s="8" t="n">
        <f aca="false">M53+N53</f>
        <v>0</v>
      </c>
      <c r="R53" s="21" t="n">
        <v>52</v>
      </c>
      <c r="S53" s="22" t="n">
        <v>52</v>
      </c>
      <c r="T53" s="23" t="n">
        <v>46272</v>
      </c>
    </row>
    <row r="54" customFormat="false" ht="15" hidden="false" customHeight="false" outlineLevel="0" collapsed="false">
      <c r="A54" s="18" t="s">
        <v>15</v>
      </c>
      <c r="B54" s="19" t="s">
        <v>91</v>
      </c>
      <c r="C54" s="8" t="n">
        <v>7.39196666203889</v>
      </c>
      <c r="D54" s="8" t="n">
        <v>7.702</v>
      </c>
      <c r="E54" s="20" t="n">
        <f aca="false">IF(C54&gt;0,D54/C54,"")</f>
        <v>1.04194192860112</v>
      </c>
      <c r="F54" s="18" t="str">
        <f aca="false">IF(AND(C54=0,D54&gt;0),"Plant only",IF(AND(D54=0,C54&gt;0),"System only",IF(ABS(D54-C54)&lt;=0.5,"Match",IF(D54&gt;C54,"Plant more","Plant less"))))</f>
        <v>Match</v>
      </c>
      <c r="G54" s="8" t="n">
        <v>0</v>
      </c>
      <c r="H54" s="8" t="n">
        <v>0</v>
      </c>
      <c r="I54" s="8" t="n">
        <v>7.39196666203889</v>
      </c>
      <c r="J54" s="8" t="n">
        <v>0</v>
      </c>
      <c r="K54" s="8" t="n">
        <f aca="false">IF(C54&gt;0,G54*E54,0)</f>
        <v>0</v>
      </c>
      <c r="L54" s="8" t="n">
        <f aca="false">IF(C54&gt;0,H54*E54,0)</f>
        <v>0</v>
      </c>
      <c r="M54" s="8" t="n">
        <f aca="false">IF(C54&gt;0,I54*E54,0)</f>
        <v>7.702</v>
      </c>
      <c r="N54" s="8" t="n">
        <f aca="false">IF(C54&gt;0,J54*E54,0)</f>
        <v>0</v>
      </c>
      <c r="O54" s="8" t="n">
        <f aca="false">IF(C54&gt;0,0,D54)</f>
        <v>0</v>
      </c>
      <c r="P54" s="7" t="n">
        <f aca="false">SUM(K54:O54)</f>
        <v>7.702</v>
      </c>
      <c r="Q54" s="8" t="n">
        <f aca="false">M54+N54</f>
        <v>7.702</v>
      </c>
      <c r="R54" s="21" t="n">
        <v>71</v>
      </c>
      <c r="S54" s="22" t="n">
        <v>71</v>
      </c>
      <c r="T54" s="23" t="n">
        <v>46253</v>
      </c>
    </row>
    <row r="55" customFormat="false" ht="15" hidden="false" customHeight="false" outlineLevel="0" collapsed="false">
      <c r="A55" s="18" t="s">
        <v>15</v>
      </c>
      <c r="B55" s="19" t="s">
        <v>92</v>
      </c>
      <c r="C55" s="8" t="n">
        <v>25.7355663919971</v>
      </c>
      <c r="D55" s="8" t="n">
        <v>25.051</v>
      </c>
      <c r="E55" s="20" t="n">
        <f aca="false">IF(C55&gt;0,D55/C55,"")</f>
        <v>0.973399987333871</v>
      </c>
      <c r="F55" s="18" t="str">
        <f aca="false">IF(AND(C55=0,D55&gt;0),"Plant only",IF(AND(D55=0,C55&gt;0),"System only",IF(ABS(D55-C55)&lt;=0.5,"Match",IF(D55&gt;C55,"Plant more","Plant less"))))</f>
        <v>Plant less</v>
      </c>
      <c r="G55" s="8" t="n">
        <v>4.29513356116937</v>
      </c>
      <c r="H55" s="8" t="n">
        <v>0</v>
      </c>
      <c r="I55" s="8" t="n">
        <v>0</v>
      </c>
      <c r="J55" s="8" t="n">
        <v>21.4404328308278</v>
      </c>
      <c r="K55" s="8" t="n">
        <f aca="false">IF(C55&gt;0,G55*E55,0)</f>
        <v>4.18088295403954</v>
      </c>
      <c r="L55" s="8" t="n">
        <f aca="false">IF(C55&gt;0,H55*E55,0)</f>
        <v>0</v>
      </c>
      <c r="M55" s="8" t="n">
        <f aca="false">IF(C55&gt;0,I55*E55,0)</f>
        <v>0</v>
      </c>
      <c r="N55" s="8" t="n">
        <f aca="false">IF(C55&gt;0,J55*E55,0)</f>
        <v>20.8701170459605</v>
      </c>
      <c r="O55" s="8" t="n">
        <f aca="false">IF(C55&gt;0,0,D55)</f>
        <v>0</v>
      </c>
      <c r="P55" s="7" t="n">
        <f aca="false">SUM(K55:O55)</f>
        <v>25.051</v>
      </c>
      <c r="Q55" s="8" t="n">
        <f aca="false">M55+N55</f>
        <v>20.8701170459605</v>
      </c>
      <c r="R55" s="21" t="n">
        <v>95.6456735550821</v>
      </c>
      <c r="S55" s="22" t="n">
        <v>111</v>
      </c>
      <c r="T55" s="23" t="n">
        <v>46305</v>
      </c>
    </row>
    <row r="56" customFormat="false" ht="15" hidden="false" customHeight="false" outlineLevel="0" collapsed="false">
      <c r="A56" s="18" t="s">
        <v>15</v>
      </c>
      <c r="B56" s="19" t="s">
        <v>93</v>
      </c>
      <c r="C56" s="8" t="n">
        <v>2.36277335267008</v>
      </c>
      <c r="D56" s="8" t="n">
        <v>2.434</v>
      </c>
      <c r="E56" s="20" t="n">
        <f aca="false">IF(C56&gt;0,D56/C56,"")</f>
        <v>1.03014535746708</v>
      </c>
      <c r="F56" s="18" t="str">
        <f aca="false">IF(AND(C56=0,D56&gt;0),"Plant only",IF(AND(D56=0,C56&gt;0),"System only",IF(ABS(D56-C56)&lt;=0.5,"Match",IF(D56&gt;C56,"Plant more","Plant less"))))</f>
        <v>Match</v>
      </c>
      <c r="G56" s="8" t="n">
        <v>2.36277335267008</v>
      </c>
      <c r="H56" s="8" t="n">
        <v>0</v>
      </c>
      <c r="I56" s="8" t="n">
        <v>0</v>
      </c>
      <c r="J56" s="8" t="n">
        <v>0</v>
      </c>
      <c r="K56" s="8" t="n">
        <f aca="false">IF(C56&gt;0,G56*E56,0)</f>
        <v>2.434</v>
      </c>
      <c r="L56" s="8" t="n">
        <f aca="false">IF(C56&gt;0,H56*E56,0)</f>
        <v>0</v>
      </c>
      <c r="M56" s="8" t="n">
        <f aca="false">IF(C56&gt;0,I56*E56,0)</f>
        <v>0</v>
      </c>
      <c r="N56" s="8" t="n">
        <f aca="false">IF(C56&gt;0,J56*E56,0)</f>
        <v>0</v>
      </c>
      <c r="O56" s="8" t="n">
        <f aca="false">IF(C56&gt;0,0,D56)</f>
        <v>0</v>
      </c>
      <c r="P56" s="7" t="n">
        <f aca="false">SUM(K56:O56)</f>
        <v>2.434</v>
      </c>
      <c r="Q56" s="8" t="n">
        <f aca="false">M56+N56</f>
        <v>0</v>
      </c>
      <c r="R56" s="21" t="n">
        <v>19</v>
      </c>
      <c r="S56" s="22" t="n">
        <v>19</v>
      </c>
      <c r="T56" s="23" t="n">
        <v>46305</v>
      </c>
    </row>
    <row r="57" customFormat="false" ht="15" hidden="false" customHeight="false" outlineLevel="0" collapsed="false">
      <c r="A57" s="18" t="s">
        <v>15</v>
      </c>
      <c r="B57" s="19" t="s">
        <v>94</v>
      </c>
      <c r="C57" s="8" t="n">
        <v>24.6311525361491</v>
      </c>
      <c r="D57" s="8" t="n">
        <v>25.549</v>
      </c>
      <c r="E57" s="20" t="n">
        <f aca="false">IF(C57&gt;0,D57/C57,"")</f>
        <v>1.03726368315505</v>
      </c>
      <c r="F57" s="18" t="str">
        <f aca="false">IF(AND(C57=0,D57&gt;0),"Plant only",IF(AND(D57=0,C57&gt;0),"System only",IF(ABS(D57-C57)&lt;=0.5,"Match",IF(D57&gt;C57,"Plant more","Plant less"))))</f>
        <v>Plant more</v>
      </c>
      <c r="G57" s="8" t="n">
        <v>0</v>
      </c>
      <c r="H57" s="8" t="n">
        <v>20.5254921809988</v>
      </c>
      <c r="I57" s="8" t="n">
        <v>0</v>
      </c>
      <c r="J57" s="8" t="n">
        <v>4.10566035515037</v>
      </c>
      <c r="K57" s="8" t="n">
        <f aca="false">IF(C57&gt;0,G57*E57,0)</f>
        <v>0</v>
      </c>
      <c r="L57" s="8" t="n">
        <f aca="false">IF(C57&gt;0,H57*E57,0)</f>
        <v>21.290347618233</v>
      </c>
      <c r="M57" s="8" t="n">
        <f aca="false">IF(C57&gt;0,I57*E57,0)</f>
        <v>0</v>
      </c>
      <c r="N57" s="8" t="n">
        <f aca="false">IF(C57&gt;0,J57*E57,0)</f>
        <v>4.25865238176696</v>
      </c>
      <c r="O57" s="8" t="n">
        <f aca="false">IF(C57&gt;0,0,D57)</f>
        <v>0</v>
      </c>
      <c r="P57" s="7" t="n">
        <f aca="false">SUM(K57:O57)</f>
        <v>25.549</v>
      </c>
      <c r="Q57" s="8" t="n">
        <f aca="false">M57+N57</f>
        <v>4.25865238176696</v>
      </c>
      <c r="R57" s="21" t="n">
        <v>49.0012547339082</v>
      </c>
      <c r="S57" s="22" t="n">
        <v>104</v>
      </c>
      <c r="T57" s="23" t="n">
        <v>46286</v>
      </c>
    </row>
    <row r="58" customFormat="false" ht="15" hidden="false" customHeight="false" outlineLevel="0" collapsed="false">
      <c r="A58" s="18" t="s">
        <v>15</v>
      </c>
      <c r="B58" s="19" t="s">
        <v>95</v>
      </c>
      <c r="C58" s="8" t="n">
        <v>1.10166481737043</v>
      </c>
      <c r="D58" s="8" t="n">
        <v>0</v>
      </c>
      <c r="E58" s="20" t="n">
        <f aca="false">IF(C58&gt;0,D58/C58,"")</f>
        <v>0</v>
      </c>
      <c r="F58" s="18" t="str">
        <f aca="false">IF(AND(C58=0,D58&gt;0),"Plant only",IF(AND(D58=0,C58&gt;0),"System only",IF(ABS(D58-C58)&lt;=0.5,"Match",IF(D58&gt;C58,"Plant more","Plant less"))))</f>
        <v>System only</v>
      </c>
      <c r="G58" s="8" t="n">
        <v>0</v>
      </c>
      <c r="H58" s="8" t="n">
        <v>0</v>
      </c>
      <c r="I58" s="8" t="n">
        <v>0</v>
      </c>
      <c r="J58" s="8" t="n">
        <v>1.10166481737043</v>
      </c>
      <c r="K58" s="8" t="n">
        <f aca="false">IF(C58&gt;0,G58*E58,0)</f>
        <v>0</v>
      </c>
      <c r="L58" s="8" t="n">
        <f aca="false">IF(C58&gt;0,H58*E58,0)</f>
        <v>0</v>
      </c>
      <c r="M58" s="8" t="n">
        <f aca="false">IF(C58&gt;0,I58*E58,0)</f>
        <v>0</v>
      </c>
      <c r="N58" s="8" t="n">
        <f aca="false">IF(C58&gt;0,J58*E58,0)</f>
        <v>0</v>
      </c>
      <c r="O58" s="8" t="n">
        <f aca="false">IF(C58&gt;0,0,D58)</f>
        <v>0</v>
      </c>
      <c r="P58" s="7" t="n">
        <f aca="false">SUM(K58:O58)</f>
        <v>0</v>
      </c>
      <c r="Q58" s="8" t="n">
        <f aca="false">M58+N58</f>
        <v>0</v>
      </c>
      <c r="R58" s="21" t="n">
        <v>131</v>
      </c>
      <c r="S58" s="22" t="n">
        <v>131</v>
      </c>
      <c r="T58" s="23" t="n">
        <v>46193</v>
      </c>
    </row>
    <row r="59" customFormat="false" ht="15" hidden="false" customHeight="false" outlineLevel="0" collapsed="false">
      <c r="A59" s="18" t="s">
        <v>15</v>
      </c>
      <c r="B59" s="19" t="s">
        <v>96</v>
      </c>
      <c r="C59" s="8" t="n">
        <v>0.243142977051814</v>
      </c>
      <c r="D59" s="8" t="n">
        <v>0</v>
      </c>
      <c r="E59" s="20" t="n">
        <f aca="false">IF(C59&gt;0,D59/C59,"")</f>
        <v>0</v>
      </c>
      <c r="F59" s="18" t="str">
        <f aca="false">IF(AND(C59=0,D59&gt;0),"Plant only",IF(AND(D59=0,C59&gt;0),"System only",IF(ABS(D59-C59)&lt;=0.5,"Match",IF(D59&gt;C59,"Plant more","Plant less"))))</f>
        <v>System only</v>
      </c>
      <c r="G59" s="8" t="n">
        <v>0</v>
      </c>
      <c r="H59" s="8" t="n">
        <v>0.243142977051814</v>
      </c>
      <c r="I59" s="8" t="n">
        <v>0</v>
      </c>
      <c r="J59" s="8" t="n">
        <v>0</v>
      </c>
      <c r="K59" s="8" t="n">
        <f aca="false">IF(C59&gt;0,G59*E59,0)</f>
        <v>0</v>
      </c>
      <c r="L59" s="8" t="n">
        <f aca="false">IF(C59&gt;0,H59*E59,0)</f>
        <v>0</v>
      </c>
      <c r="M59" s="8" t="n">
        <f aca="false">IF(C59&gt;0,I59*E59,0)</f>
        <v>0</v>
      </c>
      <c r="N59" s="8" t="n">
        <f aca="false">IF(C59&gt;0,J59*E59,0)</f>
        <v>0</v>
      </c>
      <c r="O59" s="8" t="n">
        <f aca="false">IF(C59&gt;0,0,D59)</f>
        <v>0</v>
      </c>
      <c r="P59" s="7" t="n">
        <f aca="false">SUM(K59:O59)</f>
        <v>0</v>
      </c>
      <c r="Q59" s="8" t="n">
        <f aca="false">M59+N59</f>
        <v>0</v>
      </c>
      <c r="R59" s="21" t="n">
        <v>38</v>
      </c>
      <c r="S59" s="22" t="n">
        <v>38</v>
      </c>
      <c r="T59" s="23" t="n">
        <v>46286</v>
      </c>
    </row>
    <row r="60" customFormat="false" ht="15" hidden="false" customHeight="false" outlineLevel="0" collapsed="false">
      <c r="A60" s="18" t="s">
        <v>15</v>
      </c>
      <c r="B60" s="19" t="s">
        <v>97</v>
      </c>
      <c r="C60" s="8" t="n">
        <v>6.987</v>
      </c>
      <c r="D60" s="8" t="n">
        <v>5.509</v>
      </c>
      <c r="E60" s="20" t="n">
        <f aca="false">IF(C60&gt;0,D60/C60,"")</f>
        <v>0.788464290825819</v>
      </c>
      <c r="F60" s="18" t="str">
        <f aca="false">IF(AND(C60=0,D60&gt;0),"Plant only",IF(AND(D60=0,C60&gt;0),"System only",IF(ABS(D60-C60)&lt;=0.5,"Match",IF(D60&gt;C60,"Plant more","Plant less"))))</f>
        <v>Plant less</v>
      </c>
      <c r="G60" s="8" t="n">
        <v>0</v>
      </c>
      <c r="H60" s="8" t="n">
        <v>0</v>
      </c>
      <c r="I60" s="8" t="n">
        <v>0</v>
      </c>
      <c r="J60" s="8" t="n">
        <v>6.987</v>
      </c>
      <c r="K60" s="8" t="n">
        <f aca="false">IF(C60&gt;0,G60*E60,0)</f>
        <v>0</v>
      </c>
      <c r="L60" s="8" t="n">
        <f aca="false">IF(C60&gt;0,H60*E60,0)</f>
        <v>0</v>
      </c>
      <c r="M60" s="8" t="n">
        <f aca="false">IF(C60&gt;0,I60*E60,0)</f>
        <v>0</v>
      </c>
      <c r="N60" s="8" t="n">
        <f aca="false">IF(C60&gt;0,J60*E60,0)</f>
        <v>5.509</v>
      </c>
      <c r="O60" s="8" t="n">
        <f aca="false">IF(C60&gt;0,0,D60)</f>
        <v>0</v>
      </c>
      <c r="P60" s="7" t="n">
        <f aca="false">SUM(K60:O60)</f>
        <v>5.509</v>
      </c>
      <c r="Q60" s="8" t="n">
        <f aca="false">M60+N60</f>
        <v>5.509</v>
      </c>
      <c r="R60" s="21" t="n">
        <v>128</v>
      </c>
      <c r="S60" s="22" t="n">
        <v>128</v>
      </c>
      <c r="T60" s="23" t="n">
        <v>46196</v>
      </c>
    </row>
    <row r="61" customFormat="false" ht="15" hidden="false" customHeight="false" outlineLevel="0" collapsed="false">
      <c r="A61" s="18" t="s">
        <v>15</v>
      </c>
      <c r="B61" s="19" t="s">
        <v>98</v>
      </c>
      <c r="C61" s="8" t="n">
        <v>1.6796943760219</v>
      </c>
      <c r="D61" s="8" t="n">
        <v>1.749</v>
      </c>
      <c r="E61" s="20" t="n">
        <f aca="false">IF(C61&gt;0,D61/C61,"")</f>
        <v>1.04126085374069</v>
      </c>
      <c r="F61" s="18" t="str">
        <f aca="false">IF(AND(C61=0,D61&gt;0),"Plant only",IF(AND(D61=0,C61&gt;0),"System only",IF(ABS(D61-C61)&lt;=0.5,"Match",IF(D61&gt;C61,"Plant more","Plant less"))))</f>
        <v>Match</v>
      </c>
      <c r="G61" s="8" t="n">
        <v>0</v>
      </c>
      <c r="H61" s="8" t="n">
        <v>0</v>
      </c>
      <c r="I61" s="8" t="n">
        <v>0</v>
      </c>
      <c r="J61" s="8" t="n">
        <v>1.6796943760219</v>
      </c>
      <c r="K61" s="8" t="n">
        <f aca="false">IF(C61&gt;0,G61*E61,0)</f>
        <v>0</v>
      </c>
      <c r="L61" s="8" t="n">
        <f aca="false">IF(C61&gt;0,H61*E61,0)</f>
        <v>0</v>
      </c>
      <c r="M61" s="8" t="n">
        <f aca="false">IF(C61&gt;0,I61*E61,0)</f>
        <v>0</v>
      </c>
      <c r="N61" s="8" t="n">
        <f aca="false">IF(C61&gt;0,J61*E61,0)</f>
        <v>1.749</v>
      </c>
      <c r="O61" s="8" t="n">
        <f aca="false">IF(C61&gt;0,0,D61)</f>
        <v>0</v>
      </c>
      <c r="P61" s="7" t="n">
        <f aca="false">SUM(K61:O61)</f>
        <v>1.749</v>
      </c>
      <c r="Q61" s="8" t="n">
        <f aca="false">M61+N61</f>
        <v>1.749</v>
      </c>
      <c r="R61" s="21" t="n">
        <v>97</v>
      </c>
      <c r="S61" s="22" t="n">
        <v>97</v>
      </c>
      <c r="T61" s="23" t="n">
        <v>46227</v>
      </c>
    </row>
    <row r="62" customFormat="false" ht="15" hidden="false" customHeight="false" outlineLevel="0" collapsed="false">
      <c r="A62" s="18" t="s">
        <v>15</v>
      </c>
      <c r="B62" s="19" t="s">
        <v>99</v>
      </c>
      <c r="C62" s="8" t="n">
        <v>32.8148270267837</v>
      </c>
      <c r="D62" s="8" t="n">
        <v>27.325</v>
      </c>
      <c r="E62" s="20" t="n">
        <f aca="false">IF(C62&gt;0,D62/C62,"")</f>
        <v>0.832702850382151</v>
      </c>
      <c r="F62" s="18" t="str">
        <f aca="false">IF(AND(C62=0,D62&gt;0),"Plant only",IF(AND(D62=0,C62&gt;0),"System only",IF(ABS(D62-C62)&lt;=0.5,"Match",IF(D62&gt;C62,"Plant more","Plant less"))))</f>
        <v>Plant less</v>
      </c>
      <c r="G62" s="8" t="n">
        <v>0</v>
      </c>
      <c r="H62" s="8" t="n">
        <v>0</v>
      </c>
      <c r="I62" s="8" t="n">
        <v>0</v>
      </c>
      <c r="J62" s="8" t="n">
        <v>32.8148270267837</v>
      </c>
      <c r="K62" s="8" t="n">
        <f aca="false">IF(C62&gt;0,G62*E62,0)</f>
        <v>0</v>
      </c>
      <c r="L62" s="8" t="n">
        <f aca="false">IF(C62&gt;0,H62*E62,0)</f>
        <v>0</v>
      </c>
      <c r="M62" s="8" t="n">
        <f aca="false">IF(C62&gt;0,I62*E62,0)</f>
        <v>0</v>
      </c>
      <c r="N62" s="8" t="n">
        <f aca="false">IF(C62&gt;0,J62*E62,0)</f>
        <v>27.325</v>
      </c>
      <c r="O62" s="8" t="n">
        <f aca="false">IF(C62&gt;0,0,D62)</f>
        <v>0</v>
      </c>
      <c r="P62" s="7" t="n">
        <f aca="false">SUM(K62:O62)</f>
        <v>27.325</v>
      </c>
      <c r="Q62" s="8" t="n">
        <f aca="false">M62+N62</f>
        <v>27.325</v>
      </c>
      <c r="R62" s="21" t="n">
        <v>115.009698645807</v>
      </c>
      <c r="S62" s="22" t="n">
        <v>128</v>
      </c>
      <c r="T62" s="23" t="n">
        <v>46227</v>
      </c>
    </row>
    <row r="63" customFormat="false" ht="15" hidden="false" customHeight="false" outlineLevel="0" collapsed="false">
      <c r="A63" s="18" t="s">
        <v>15</v>
      </c>
      <c r="B63" s="19" t="s">
        <v>100</v>
      </c>
      <c r="C63" s="8" t="n">
        <v>14.0415575471577</v>
      </c>
      <c r="D63" s="8" t="n">
        <v>12.48</v>
      </c>
      <c r="E63" s="20" t="n">
        <f aca="false">IF(C63&gt;0,D63/C63,"")</f>
        <v>0.888790289687359</v>
      </c>
      <c r="F63" s="18" t="str">
        <f aca="false">IF(AND(C63=0,D63&gt;0),"Plant only",IF(AND(D63=0,C63&gt;0),"System only",IF(ABS(D63-C63)&lt;=0.5,"Match",IF(D63&gt;C63,"Plant more","Plant less"))))</f>
        <v>Plant less</v>
      </c>
      <c r="G63" s="8" t="n">
        <v>0</v>
      </c>
      <c r="H63" s="8" t="n">
        <v>0</v>
      </c>
      <c r="I63" s="8" t="n">
        <v>0</v>
      </c>
      <c r="J63" s="8" t="n">
        <v>14.0415575471577</v>
      </c>
      <c r="K63" s="8" t="n">
        <f aca="false">IF(C63&gt;0,G63*E63,0)</f>
        <v>0</v>
      </c>
      <c r="L63" s="8" t="n">
        <f aca="false">IF(C63&gt;0,H63*E63,0)</f>
        <v>0</v>
      </c>
      <c r="M63" s="8" t="n">
        <f aca="false">IF(C63&gt;0,I63*E63,0)</f>
        <v>0</v>
      </c>
      <c r="N63" s="8" t="n">
        <f aca="false">IF(C63&gt;0,J63*E63,0)</f>
        <v>12.48</v>
      </c>
      <c r="O63" s="8" t="n">
        <f aca="false">IF(C63&gt;0,0,D63)</f>
        <v>0</v>
      </c>
      <c r="P63" s="7" t="n">
        <f aca="false">SUM(K63:O63)</f>
        <v>12.48</v>
      </c>
      <c r="Q63" s="8" t="n">
        <f aca="false">M63+N63</f>
        <v>12.48</v>
      </c>
      <c r="R63" s="21" t="n">
        <v>111.358501640932</v>
      </c>
      <c r="S63" s="22" t="n">
        <v>127</v>
      </c>
      <c r="T63" s="23" t="n">
        <v>46221</v>
      </c>
    </row>
    <row r="64" customFormat="false" ht="15" hidden="false" customHeight="false" outlineLevel="0" collapsed="false">
      <c r="A64" s="18" t="s">
        <v>15</v>
      </c>
      <c r="B64" s="19" t="s">
        <v>101</v>
      </c>
      <c r="C64" s="8" t="n">
        <v>18.6965553667495</v>
      </c>
      <c r="D64" s="8" t="n">
        <v>15.655</v>
      </c>
      <c r="E64" s="20" t="n">
        <f aca="false">IF(C64&gt;0,D64/C64,"")</f>
        <v>0.837320013923061</v>
      </c>
      <c r="F64" s="18" t="str">
        <f aca="false">IF(AND(C64=0,D64&gt;0),"Plant only",IF(AND(D64=0,C64&gt;0),"System only",IF(ABS(D64-C64)&lt;=0.5,"Match",IF(D64&gt;C64,"Plant more","Plant less"))))</f>
        <v>Plant less</v>
      </c>
      <c r="G64" s="8" t="n">
        <v>18.6965553667495</v>
      </c>
      <c r="H64" s="8" t="n">
        <v>0</v>
      </c>
      <c r="I64" s="8" t="n">
        <v>0</v>
      </c>
      <c r="J64" s="8" t="n">
        <v>0</v>
      </c>
      <c r="K64" s="8" t="n">
        <f aca="false">IF(C64&gt;0,G64*E64,0)</f>
        <v>15.655</v>
      </c>
      <c r="L64" s="8" t="n">
        <f aca="false">IF(C64&gt;0,H64*E64,0)</f>
        <v>0</v>
      </c>
      <c r="M64" s="8" t="n">
        <f aca="false">IF(C64&gt;0,I64*E64,0)</f>
        <v>0</v>
      </c>
      <c r="N64" s="8" t="n">
        <f aca="false">IF(C64&gt;0,J64*E64,0)</f>
        <v>0</v>
      </c>
      <c r="O64" s="8" t="n">
        <f aca="false">IF(C64&gt;0,0,D64)</f>
        <v>0</v>
      </c>
      <c r="P64" s="7" t="n">
        <f aca="false">SUM(K64:O64)</f>
        <v>15.655</v>
      </c>
      <c r="Q64" s="8" t="n">
        <f aca="false">M64+N64</f>
        <v>0</v>
      </c>
      <c r="R64" s="21" t="n">
        <v>6</v>
      </c>
      <c r="S64" s="22" t="n">
        <v>6</v>
      </c>
      <c r="T64" s="23" t="n">
        <v>46318</v>
      </c>
    </row>
    <row r="65" customFormat="false" ht="15" hidden="false" customHeight="false" outlineLevel="0" collapsed="false">
      <c r="A65" s="18" t="s">
        <v>15</v>
      </c>
      <c r="B65" s="19" t="s">
        <v>102</v>
      </c>
      <c r="C65" s="8" t="n">
        <v>10.1022607216639</v>
      </c>
      <c r="D65" s="8" t="n">
        <v>10.076</v>
      </c>
      <c r="E65" s="20" t="n">
        <f aca="false">IF(C65&gt;0,D65/C65,"")</f>
        <v>0.997400510401838</v>
      </c>
      <c r="F65" s="18" t="str">
        <f aca="false">IF(AND(C65=0,D65&gt;0),"Plant only",IF(AND(D65=0,C65&gt;0),"System only",IF(ABS(D65-C65)&lt;=0.5,"Match",IF(D65&gt;C65,"Plant more","Plant less"))))</f>
        <v>Match</v>
      </c>
      <c r="G65" s="8" t="n">
        <v>0</v>
      </c>
      <c r="H65" s="8" t="n">
        <v>10.1022607216639</v>
      </c>
      <c r="I65" s="8" t="n">
        <v>0</v>
      </c>
      <c r="J65" s="8" t="n">
        <v>0</v>
      </c>
      <c r="K65" s="8" t="n">
        <f aca="false">IF(C65&gt;0,G65*E65,0)</f>
        <v>0</v>
      </c>
      <c r="L65" s="8" t="n">
        <f aca="false">IF(C65&gt;0,H65*E65,0)</f>
        <v>10.076</v>
      </c>
      <c r="M65" s="8" t="n">
        <f aca="false">IF(C65&gt;0,I65*E65,0)</f>
        <v>0</v>
      </c>
      <c r="N65" s="8" t="n">
        <f aca="false">IF(C65&gt;0,J65*E65,0)</f>
        <v>0</v>
      </c>
      <c r="O65" s="8" t="n">
        <f aca="false">IF(C65&gt;0,0,D65)</f>
        <v>0</v>
      </c>
      <c r="P65" s="7" t="n">
        <f aca="false">SUM(K65:O65)</f>
        <v>10.076</v>
      </c>
      <c r="Q65" s="8" t="n">
        <f aca="false">M65+N65</f>
        <v>0</v>
      </c>
      <c r="R65" s="21" t="n">
        <v>45</v>
      </c>
      <c r="S65" s="22" t="n">
        <v>45</v>
      </c>
      <c r="T65" s="23" t="n">
        <v>46279</v>
      </c>
    </row>
    <row r="66" customFormat="false" ht="15" hidden="false" customHeight="false" outlineLevel="0" collapsed="false">
      <c r="A66" s="18" t="s">
        <v>15</v>
      </c>
      <c r="B66" s="19" t="s">
        <v>103</v>
      </c>
      <c r="C66" s="8" t="n">
        <v>5.43362912409522</v>
      </c>
      <c r="D66" s="8" t="n">
        <v>9.126</v>
      </c>
      <c r="E66" s="20" t="n">
        <f aca="false">IF(C66&gt;0,D66/C66,"")</f>
        <v>1.679540467628</v>
      </c>
      <c r="F66" s="18" t="str">
        <f aca="false">IF(AND(C66=0,D66&gt;0),"Plant only",IF(AND(D66=0,C66&gt;0),"System only",IF(ABS(D66-C66)&lt;=0.5,"Match",IF(D66&gt;C66,"Plant more","Plant less"))))</f>
        <v>Plant more</v>
      </c>
      <c r="G66" s="8" t="n">
        <v>0</v>
      </c>
      <c r="H66" s="8" t="n">
        <v>0</v>
      </c>
      <c r="I66" s="8" t="n">
        <v>0</v>
      </c>
      <c r="J66" s="8" t="n">
        <v>5.43362912409522</v>
      </c>
      <c r="K66" s="8" t="n">
        <f aca="false">IF(C66&gt;0,G66*E66,0)</f>
        <v>0</v>
      </c>
      <c r="L66" s="8" t="n">
        <f aca="false">IF(C66&gt;0,H66*E66,0)</f>
        <v>0</v>
      </c>
      <c r="M66" s="8" t="n">
        <f aca="false">IF(C66&gt;0,I66*E66,0)</f>
        <v>0</v>
      </c>
      <c r="N66" s="8" t="n">
        <f aca="false">IF(C66&gt;0,J66*E66,0)</f>
        <v>9.126</v>
      </c>
      <c r="O66" s="8" t="n">
        <f aca="false">IF(C66&gt;0,0,D66)</f>
        <v>0</v>
      </c>
      <c r="P66" s="7" t="n">
        <f aca="false">SUM(K66:O66)</f>
        <v>9.126</v>
      </c>
      <c r="Q66" s="8" t="n">
        <f aca="false">M66+N66</f>
        <v>9.126</v>
      </c>
      <c r="R66" s="21" t="n">
        <v>123</v>
      </c>
      <c r="S66" s="22" t="n">
        <v>123</v>
      </c>
      <c r="T66" s="23" t="n">
        <v>46201</v>
      </c>
    </row>
    <row r="67" customFormat="false" ht="15" hidden="false" customHeight="false" outlineLevel="0" collapsed="false">
      <c r="A67" s="18" t="s">
        <v>15</v>
      </c>
      <c r="B67" s="19" t="s">
        <v>104</v>
      </c>
      <c r="C67" s="8" t="n">
        <v>5.38384355438487</v>
      </c>
      <c r="D67" s="8" t="n">
        <v>0</v>
      </c>
      <c r="E67" s="20" t="n">
        <f aca="false">IF(C67&gt;0,D67/C67,"")</f>
        <v>0</v>
      </c>
      <c r="F67" s="18" t="str">
        <f aca="false">IF(AND(C67=0,D67&gt;0),"Plant only",IF(AND(D67=0,C67&gt;0),"System only",IF(ABS(D67-C67)&lt;=0.5,"Match",IF(D67&gt;C67,"Plant more","Plant less"))))</f>
        <v>System only</v>
      </c>
      <c r="G67" s="8" t="n">
        <v>0</v>
      </c>
      <c r="H67" s="8" t="n">
        <v>5.38384355438487</v>
      </c>
      <c r="I67" s="8" t="n">
        <v>0</v>
      </c>
      <c r="J67" s="8" t="n">
        <v>0</v>
      </c>
      <c r="K67" s="8" t="n">
        <f aca="false">IF(C67&gt;0,G67*E67,0)</f>
        <v>0</v>
      </c>
      <c r="L67" s="8" t="n">
        <f aca="false">IF(C67&gt;0,H67*E67,0)</f>
        <v>0</v>
      </c>
      <c r="M67" s="8" t="n">
        <f aca="false">IF(C67&gt;0,I67*E67,0)</f>
        <v>0</v>
      </c>
      <c r="N67" s="8" t="n">
        <f aca="false">IF(C67&gt;0,J67*E67,0)</f>
        <v>0</v>
      </c>
      <c r="O67" s="8" t="n">
        <f aca="false">IF(C67&gt;0,0,D67)</f>
        <v>0</v>
      </c>
      <c r="P67" s="7" t="n">
        <f aca="false">SUM(K67:O67)</f>
        <v>0</v>
      </c>
      <c r="Q67" s="8" t="n">
        <f aca="false">M67+N67</f>
        <v>0</v>
      </c>
      <c r="R67" s="21" t="n">
        <v>45</v>
      </c>
      <c r="S67" s="22" t="n">
        <v>45</v>
      </c>
      <c r="T67" s="23" t="n">
        <v>46279</v>
      </c>
    </row>
    <row r="68" customFormat="false" ht="15" hidden="false" customHeight="false" outlineLevel="0" collapsed="false">
      <c r="A68" s="18" t="s">
        <v>15</v>
      </c>
      <c r="B68" s="19" t="s">
        <v>105</v>
      </c>
      <c r="C68" s="8" t="n">
        <v>0.0172000000000008</v>
      </c>
      <c r="D68" s="8" t="n">
        <v>0</v>
      </c>
      <c r="E68" s="20" t="n">
        <f aca="false">IF(C68&gt;0,D68/C68,"")</f>
        <v>0</v>
      </c>
      <c r="F68" s="18" t="str">
        <f aca="false">IF(AND(C68=0,D68&gt;0),"Plant only",IF(AND(D68=0,C68&gt;0),"System only",IF(ABS(D68-C68)&lt;=0.5,"Match",IF(D68&gt;C68,"Plant more","Plant less"))))</f>
        <v>System only</v>
      </c>
      <c r="G68" s="8" t="n">
        <v>0</v>
      </c>
      <c r="H68" s="8" t="n">
        <v>0</v>
      </c>
      <c r="I68" s="8" t="n">
        <v>0</v>
      </c>
      <c r="J68" s="8" t="n">
        <v>0.0172000000000008</v>
      </c>
      <c r="K68" s="8" t="n">
        <f aca="false">IF(C68&gt;0,G68*E68,0)</f>
        <v>0</v>
      </c>
      <c r="L68" s="8" t="n">
        <f aca="false">IF(C68&gt;0,H68*E68,0)</f>
        <v>0</v>
      </c>
      <c r="M68" s="8" t="n">
        <f aca="false">IF(C68&gt;0,I68*E68,0)</f>
        <v>0</v>
      </c>
      <c r="N68" s="8" t="n">
        <f aca="false">IF(C68&gt;0,J68*E68,0)</f>
        <v>0</v>
      </c>
      <c r="O68" s="8" t="n">
        <f aca="false">IF(C68&gt;0,0,D68)</f>
        <v>0</v>
      </c>
      <c r="P68" s="7" t="n">
        <f aca="false">SUM(K68:O68)</f>
        <v>0</v>
      </c>
      <c r="Q68" s="8" t="n">
        <f aca="false">M68+N68</f>
        <v>0</v>
      </c>
      <c r="R68" s="21" t="n">
        <v>123</v>
      </c>
      <c r="S68" s="22" t="n">
        <v>123</v>
      </c>
      <c r="T68" s="23" t="n">
        <v>46201</v>
      </c>
    </row>
    <row r="69" customFormat="false" ht="15" hidden="false" customHeight="false" outlineLevel="0" collapsed="false">
      <c r="A69" s="18" t="s">
        <v>15</v>
      </c>
      <c r="B69" s="19" t="s">
        <v>106</v>
      </c>
      <c r="C69" s="8" t="n">
        <v>15.21</v>
      </c>
      <c r="D69" s="8" t="n">
        <v>15.096</v>
      </c>
      <c r="E69" s="20" t="n">
        <f aca="false">IF(C69&gt;0,D69/C69,"")</f>
        <v>0.992504930966469</v>
      </c>
      <c r="F69" s="18" t="str">
        <f aca="false">IF(AND(C69=0,D69&gt;0),"Plant only",IF(AND(D69=0,C69&gt;0),"System only",IF(ABS(D69-C69)&lt;=0.5,"Match",IF(D69&gt;C69,"Plant more","Plant less"))))</f>
        <v>Match</v>
      </c>
      <c r="G69" s="8" t="n">
        <v>0</v>
      </c>
      <c r="H69" s="8" t="n">
        <v>0</v>
      </c>
      <c r="I69" s="8" t="n">
        <v>0</v>
      </c>
      <c r="J69" s="8" t="n">
        <v>15.21</v>
      </c>
      <c r="K69" s="8" t="n">
        <f aca="false">IF(C69&gt;0,G69*E69,0)</f>
        <v>0</v>
      </c>
      <c r="L69" s="8" t="n">
        <f aca="false">IF(C69&gt;0,H69*E69,0)</f>
        <v>0</v>
      </c>
      <c r="M69" s="8" t="n">
        <f aca="false">IF(C69&gt;0,I69*E69,0)</f>
        <v>0</v>
      </c>
      <c r="N69" s="8" t="n">
        <f aca="false">IF(C69&gt;0,J69*E69,0)</f>
        <v>15.096</v>
      </c>
      <c r="O69" s="8" t="n">
        <f aca="false">IF(C69&gt;0,0,D69)</f>
        <v>0</v>
      </c>
      <c r="P69" s="7" t="n">
        <f aca="false">SUM(K69:O69)</f>
        <v>15.096</v>
      </c>
      <c r="Q69" s="8" t="n">
        <f aca="false">M69+N69</f>
        <v>15.096</v>
      </c>
      <c r="R69" s="21" t="n">
        <v>113</v>
      </c>
      <c r="S69" s="22" t="n">
        <v>113</v>
      </c>
      <c r="T69" s="23" t="n">
        <v>46211</v>
      </c>
    </row>
    <row r="70" customFormat="false" ht="15" hidden="false" customHeight="false" outlineLevel="0" collapsed="false">
      <c r="A70" s="18" t="s">
        <v>15</v>
      </c>
      <c r="B70" s="19" t="s">
        <v>107</v>
      </c>
      <c r="C70" s="8" t="n">
        <v>16.9689453224326</v>
      </c>
      <c r="D70" s="8" t="n">
        <v>17.065</v>
      </c>
      <c r="E70" s="20" t="n">
        <f aca="false">IF(C70&gt;0,D70/C70,"")</f>
        <v>1.00566061565655</v>
      </c>
      <c r="F70" s="18" t="str">
        <f aca="false">IF(AND(C70=0,D70&gt;0),"Plant only",IF(AND(D70=0,C70&gt;0),"System only",IF(ABS(D70-C70)&lt;=0.5,"Match",IF(D70&gt;C70,"Plant more","Plant less"))))</f>
        <v>Match</v>
      </c>
      <c r="G70" s="8" t="n">
        <v>0</v>
      </c>
      <c r="H70" s="8" t="n">
        <v>0</v>
      </c>
      <c r="I70" s="8" t="n">
        <v>0</v>
      </c>
      <c r="J70" s="8" t="n">
        <v>16.9689453224326</v>
      </c>
      <c r="K70" s="8" t="n">
        <f aca="false">IF(C70&gt;0,G70*E70,0)</f>
        <v>0</v>
      </c>
      <c r="L70" s="8" t="n">
        <f aca="false">IF(C70&gt;0,H70*E70,0)</f>
        <v>0</v>
      </c>
      <c r="M70" s="8" t="n">
        <f aca="false">IF(C70&gt;0,I70*E70,0)</f>
        <v>0</v>
      </c>
      <c r="N70" s="8" t="n">
        <f aca="false">IF(C70&gt;0,J70*E70,0)</f>
        <v>17.065</v>
      </c>
      <c r="O70" s="8" t="n">
        <f aca="false">IF(C70&gt;0,0,D70)</f>
        <v>0</v>
      </c>
      <c r="P70" s="7" t="n">
        <f aca="false">SUM(K70:O70)</f>
        <v>17.065</v>
      </c>
      <c r="Q70" s="8" t="n">
        <f aca="false">M70+N70</f>
        <v>17.065</v>
      </c>
      <c r="R70" s="21" t="n">
        <v>114</v>
      </c>
      <c r="S70" s="22" t="n">
        <v>114</v>
      </c>
      <c r="T70" s="23" t="n">
        <v>46210</v>
      </c>
    </row>
    <row r="71" customFormat="false" ht="15" hidden="false" customHeight="false" outlineLevel="0" collapsed="false">
      <c r="A71" s="18" t="s">
        <v>15</v>
      </c>
      <c r="B71" s="19" t="s">
        <v>108</v>
      </c>
      <c r="C71" s="8" t="n">
        <v>34.3465701717689</v>
      </c>
      <c r="D71" s="8" t="n">
        <v>33.383</v>
      </c>
      <c r="E71" s="20" t="n">
        <f aca="false">IF(C71&gt;0,D71/C71,"")</f>
        <v>0.9719456654056</v>
      </c>
      <c r="F71" s="18" t="str">
        <f aca="false">IF(AND(C71=0,D71&gt;0),"Plant only",IF(AND(D71=0,C71&gt;0),"System only",IF(ABS(D71-C71)&lt;=0.5,"Match",IF(D71&gt;C71,"Plant more","Plant less"))))</f>
        <v>Plant less</v>
      </c>
      <c r="G71" s="8" t="n">
        <v>4.442621675858</v>
      </c>
      <c r="H71" s="8" t="n">
        <v>0</v>
      </c>
      <c r="I71" s="8" t="n">
        <v>0</v>
      </c>
      <c r="J71" s="8" t="n">
        <v>29.9039484959109</v>
      </c>
      <c r="K71" s="8" t="n">
        <f aca="false">IF(C71&gt;0,G71*E71,0)</f>
        <v>4.31798688088714</v>
      </c>
      <c r="L71" s="8" t="n">
        <f aca="false">IF(C71&gt;0,H71*E71,0)</f>
        <v>0</v>
      </c>
      <c r="M71" s="8" t="n">
        <f aca="false">IF(C71&gt;0,I71*E71,0)</f>
        <v>0</v>
      </c>
      <c r="N71" s="8" t="n">
        <f aca="false">IF(C71&gt;0,J71*E71,0)</f>
        <v>29.0650131191129</v>
      </c>
      <c r="O71" s="8" t="n">
        <f aca="false">IF(C71&gt;0,0,D71)</f>
        <v>0</v>
      </c>
      <c r="P71" s="7" t="n">
        <f aca="false">SUM(K71:O71)</f>
        <v>33.383</v>
      </c>
      <c r="Q71" s="8" t="n">
        <f aca="false">M71+N71</f>
        <v>29.0650131191129</v>
      </c>
      <c r="R71" s="21" t="n">
        <v>94.8138563805834</v>
      </c>
      <c r="S71" s="22" t="n">
        <v>114</v>
      </c>
      <c r="T71" s="23" t="n">
        <v>46312</v>
      </c>
    </row>
    <row r="72" customFormat="false" ht="15" hidden="false" customHeight="false" outlineLevel="0" collapsed="false">
      <c r="A72" s="18" t="s">
        <v>15</v>
      </c>
      <c r="B72" s="19" t="s">
        <v>109</v>
      </c>
      <c r="C72" s="8" t="n">
        <v>13.3602673449761</v>
      </c>
      <c r="D72" s="8" t="n">
        <v>12.496</v>
      </c>
      <c r="E72" s="20" t="n">
        <f aca="false">IF(C72&gt;0,D72/C72,"")</f>
        <v>0.935310624955338</v>
      </c>
      <c r="F72" s="18" t="str">
        <f aca="false">IF(AND(C72=0,D72&gt;0),"Plant only",IF(AND(D72=0,C72&gt;0),"System only",IF(ABS(D72-C72)&lt;=0.5,"Match",IF(D72&gt;C72,"Plant more","Plant less"))))</f>
        <v>Plant less</v>
      </c>
      <c r="G72" s="8" t="n">
        <v>3.1789</v>
      </c>
      <c r="H72" s="8" t="n">
        <v>0</v>
      </c>
      <c r="I72" s="8" t="n">
        <v>0</v>
      </c>
      <c r="J72" s="8" t="n">
        <v>10.1813673449761</v>
      </c>
      <c r="K72" s="8" t="n">
        <f aca="false">IF(C72&gt;0,G72*E72,0)</f>
        <v>2.97325894567052</v>
      </c>
      <c r="L72" s="8" t="n">
        <f aca="false">IF(C72&gt;0,H72*E72,0)</f>
        <v>0</v>
      </c>
      <c r="M72" s="8" t="n">
        <f aca="false">IF(C72&gt;0,I72*E72,0)</f>
        <v>0</v>
      </c>
      <c r="N72" s="8" t="n">
        <f aca="false">IF(C72&gt;0,J72*E72,0)</f>
        <v>9.52274105432948</v>
      </c>
      <c r="O72" s="8" t="n">
        <f aca="false">IF(C72&gt;0,0,D72)</f>
        <v>0</v>
      </c>
      <c r="P72" s="7" t="n">
        <f aca="false">SUM(K72:O72)</f>
        <v>12.496</v>
      </c>
      <c r="Q72" s="8" t="n">
        <f aca="false">M72+N72</f>
        <v>9.52274105432948</v>
      </c>
      <c r="R72" s="21" t="n">
        <v>72.2029884196566</v>
      </c>
      <c r="S72" s="22" t="n">
        <v>91</v>
      </c>
      <c r="T72" s="23" t="n">
        <v>46312</v>
      </c>
    </row>
    <row r="73" customFormat="false" ht="15" hidden="false" customHeight="false" outlineLevel="0" collapsed="false">
      <c r="A73" s="18" t="s">
        <v>15</v>
      </c>
      <c r="B73" s="19" t="s">
        <v>110</v>
      </c>
      <c r="C73" s="8" t="n">
        <v>19.5961</v>
      </c>
      <c r="D73" s="8" t="n">
        <v>19.762</v>
      </c>
      <c r="E73" s="20" t="n">
        <f aca="false">IF(C73&gt;0,D73/C73,"")</f>
        <v>1.00846597026959</v>
      </c>
      <c r="F73" s="18" t="str">
        <f aca="false">IF(AND(C73=0,D73&gt;0),"Plant only",IF(AND(D73=0,C73&gt;0),"System only",IF(ABS(D73-C73)&lt;=0.5,"Match",IF(D73&gt;C73,"Plant more","Plant less"))))</f>
        <v>Match</v>
      </c>
      <c r="G73" s="8" t="n">
        <v>19.5961</v>
      </c>
      <c r="H73" s="8" t="n">
        <v>0</v>
      </c>
      <c r="I73" s="8" t="n">
        <v>0</v>
      </c>
      <c r="J73" s="8" t="n">
        <v>0</v>
      </c>
      <c r="K73" s="8" t="n">
        <f aca="false">IF(C73&gt;0,G73*E73,0)</f>
        <v>19.762</v>
      </c>
      <c r="L73" s="8" t="n">
        <f aca="false">IF(C73&gt;0,H73*E73,0)</f>
        <v>0</v>
      </c>
      <c r="M73" s="8" t="n">
        <f aca="false">IF(C73&gt;0,I73*E73,0)</f>
        <v>0</v>
      </c>
      <c r="N73" s="8" t="n">
        <f aca="false">IF(C73&gt;0,J73*E73,0)</f>
        <v>0</v>
      </c>
      <c r="O73" s="8" t="n">
        <f aca="false">IF(C73&gt;0,0,D73)</f>
        <v>0</v>
      </c>
      <c r="P73" s="7" t="n">
        <f aca="false">SUM(K73:O73)</f>
        <v>19.762</v>
      </c>
      <c r="Q73" s="8" t="n">
        <f aca="false">M73+N73</f>
        <v>0</v>
      </c>
      <c r="R73" s="21" t="n">
        <v>12</v>
      </c>
      <c r="S73" s="22" t="n">
        <v>12</v>
      </c>
      <c r="T73" s="23" t="n">
        <v>46312</v>
      </c>
    </row>
    <row r="74" customFormat="false" ht="15" hidden="false" customHeight="false" outlineLevel="0" collapsed="false">
      <c r="A74" s="18" t="s">
        <v>16</v>
      </c>
      <c r="B74" s="19" t="s">
        <v>42</v>
      </c>
      <c r="C74" s="8" t="n">
        <v>0</v>
      </c>
      <c r="D74" s="8" t="n">
        <v>2</v>
      </c>
      <c r="E74" s="20" t="str">
        <f aca="false">IF(C74&gt;0,D74/C74,"")</f>
        <v/>
      </c>
      <c r="F74" s="18" t="str">
        <f aca="false">IF(AND(C74=0,D74&gt;0),"Plant only",IF(AND(D74=0,C74&gt;0),"System only",IF(ABS(D74-C74)&lt;=0.5,"Match",IF(D74&gt;C74,"Plant more","Plant less"))))</f>
        <v>Plant only</v>
      </c>
      <c r="G74" s="8" t="n">
        <v>0</v>
      </c>
      <c r="H74" s="8" t="n">
        <v>0</v>
      </c>
      <c r="I74" s="8" t="n">
        <v>0</v>
      </c>
      <c r="J74" s="8" t="n">
        <v>0</v>
      </c>
      <c r="K74" s="8" t="n">
        <f aca="false">IF(C74&gt;0,G74*E74,0)</f>
        <v>0</v>
      </c>
      <c r="L74" s="8" t="n">
        <f aca="false">IF(C74&gt;0,H74*E74,0)</f>
        <v>0</v>
      </c>
      <c r="M74" s="8" t="n">
        <f aca="false">IF(C74&gt;0,I74*E74,0)</f>
        <v>0</v>
      </c>
      <c r="N74" s="8" t="n">
        <f aca="false">IF(C74&gt;0,J74*E74,0)</f>
        <v>0</v>
      </c>
      <c r="O74" s="8" t="n">
        <f aca="false">IF(C74&gt;0,0,D74)</f>
        <v>2</v>
      </c>
      <c r="P74" s="7" t="n">
        <f aca="false">SUM(K74:O74)</f>
        <v>2</v>
      </c>
      <c r="Q74" s="8" t="n">
        <f aca="false">M74+N74</f>
        <v>0</v>
      </c>
      <c r="R74" s="21"/>
      <c r="S74" s="22"/>
      <c r="T74" s="23"/>
    </row>
    <row r="75" customFormat="false" ht="15" hidden="false" customHeight="false" outlineLevel="0" collapsed="false">
      <c r="A75" s="18" t="s">
        <v>16</v>
      </c>
      <c r="B75" s="19" t="s">
        <v>111</v>
      </c>
      <c r="C75" s="8" t="n">
        <v>0</v>
      </c>
      <c r="D75" s="8" t="n">
        <v>4</v>
      </c>
      <c r="E75" s="20" t="str">
        <f aca="false">IF(C75&gt;0,D75/C75,"")</f>
        <v/>
      </c>
      <c r="F75" s="18" t="str">
        <f aca="false">IF(AND(C75=0,D75&gt;0),"Plant only",IF(AND(D75=0,C75&gt;0),"System only",IF(ABS(D75-C75)&lt;=0.5,"Match",IF(D75&gt;C75,"Plant more","Plant less"))))</f>
        <v>Plant only</v>
      </c>
      <c r="G75" s="8" t="n">
        <v>0</v>
      </c>
      <c r="H75" s="8" t="n">
        <v>0</v>
      </c>
      <c r="I75" s="8" t="n">
        <v>0</v>
      </c>
      <c r="J75" s="8" t="n">
        <v>0</v>
      </c>
      <c r="K75" s="8" t="n">
        <f aca="false">IF(C75&gt;0,G75*E75,0)</f>
        <v>0</v>
      </c>
      <c r="L75" s="8" t="n">
        <f aca="false">IF(C75&gt;0,H75*E75,0)</f>
        <v>0</v>
      </c>
      <c r="M75" s="8" t="n">
        <f aca="false">IF(C75&gt;0,I75*E75,0)</f>
        <v>0</v>
      </c>
      <c r="N75" s="8" t="n">
        <f aca="false">IF(C75&gt;0,J75*E75,0)</f>
        <v>0</v>
      </c>
      <c r="O75" s="8" t="n">
        <f aca="false">IF(C75&gt;0,0,D75)</f>
        <v>4</v>
      </c>
      <c r="P75" s="7" t="n">
        <f aca="false">SUM(K75:O75)</f>
        <v>4</v>
      </c>
      <c r="Q75" s="8" t="n">
        <f aca="false">M75+N75</f>
        <v>0</v>
      </c>
      <c r="R75" s="21"/>
      <c r="S75" s="22"/>
      <c r="T75" s="23"/>
    </row>
    <row r="76" customFormat="false" ht="15" hidden="false" customHeight="false" outlineLevel="0" collapsed="false">
      <c r="A76" s="18" t="s">
        <v>16</v>
      </c>
      <c r="B76" s="19" t="s">
        <v>112</v>
      </c>
      <c r="C76" s="8" t="n">
        <v>5.55292480000001</v>
      </c>
      <c r="D76" s="8" t="n">
        <v>2.4</v>
      </c>
      <c r="E76" s="20" t="n">
        <f aca="false">IF(C76&gt;0,D76/C76,"")</f>
        <v>0.432204664467993</v>
      </c>
      <c r="F76" s="18" t="str">
        <f aca="false">IF(AND(C76=0,D76&gt;0),"Plant only",IF(AND(D76=0,C76&gt;0),"System only",IF(ABS(D76-C76)&lt;=0.5,"Match",IF(D76&gt;C76,"Plant more","Plant less"))))</f>
        <v>Plant less</v>
      </c>
      <c r="G76" s="8" t="n">
        <v>5.55292480000001</v>
      </c>
      <c r="H76" s="8" t="n">
        <v>0</v>
      </c>
      <c r="I76" s="8" t="n">
        <v>0</v>
      </c>
      <c r="J76" s="8" t="n">
        <v>0</v>
      </c>
      <c r="K76" s="8" t="n">
        <f aca="false">IF(C76&gt;0,G76*E76,0)</f>
        <v>2.4</v>
      </c>
      <c r="L76" s="8" t="n">
        <f aca="false">IF(C76&gt;0,H76*E76,0)</f>
        <v>0</v>
      </c>
      <c r="M76" s="8" t="n">
        <f aca="false">IF(C76&gt;0,I76*E76,0)</f>
        <v>0</v>
      </c>
      <c r="N76" s="8" t="n">
        <f aca="false">IF(C76&gt;0,J76*E76,0)</f>
        <v>0</v>
      </c>
      <c r="O76" s="8" t="n">
        <f aca="false">IF(C76&gt;0,0,D76)</f>
        <v>0</v>
      </c>
      <c r="P76" s="7" t="n">
        <f aca="false">SUM(K76:O76)</f>
        <v>2.4</v>
      </c>
      <c r="Q76" s="8" t="n">
        <f aca="false">M76+N76</f>
        <v>0</v>
      </c>
      <c r="R76" s="21" t="n">
        <v>19</v>
      </c>
      <c r="S76" s="22" t="n">
        <v>19</v>
      </c>
      <c r="T76" s="23" t="n">
        <v>46305</v>
      </c>
    </row>
    <row r="77" customFormat="false" ht="15" hidden="false" customHeight="false" outlineLevel="0" collapsed="false">
      <c r="A77" s="18" t="s">
        <v>16</v>
      </c>
      <c r="B77" s="19" t="s">
        <v>113</v>
      </c>
      <c r="C77" s="8" t="n">
        <v>6.5123125</v>
      </c>
      <c r="D77" s="8" t="n">
        <v>0</v>
      </c>
      <c r="E77" s="20" t="n">
        <f aca="false">IF(C77&gt;0,D77/C77,"")</f>
        <v>0</v>
      </c>
      <c r="F77" s="18" t="str">
        <f aca="false">IF(AND(C77=0,D77&gt;0),"Plant only",IF(AND(D77=0,C77&gt;0),"System only",IF(ABS(D77-C77)&lt;=0.5,"Match",IF(D77&gt;C77,"Plant more","Plant less"))))</f>
        <v>System only</v>
      </c>
      <c r="G77" s="8" t="n">
        <v>6.5123125</v>
      </c>
      <c r="H77" s="8" t="n">
        <v>0</v>
      </c>
      <c r="I77" s="8" t="n">
        <v>0</v>
      </c>
      <c r="J77" s="8" t="n">
        <v>0</v>
      </c>
      <c r="K77" s="8" t="n">
        <f aca="false">IF(C77&gt;0,G77*E77,0)</f>
        <v>0</v>
      </c>
      <c r="L77" s="8" t="n">
        <f aca="false">IF(C77&gt;0,H77*E77,0)</f>
        <v>0</v>
      </c>
      <c r="M77" s="8" t="n">
        <f aca="false">IF(C77&gt;0,I77*E77,0)</f>
        <v>0</v>
      </c>
      <c r="N77" s="8" t="n">
        <f aca="false">IF(C77&gt;0,J77*E77,0)</f>
        <v>0</v>
      </c>
      <c r="O77" s="8" t="n">
        <f aca="false">IF(C77&gt;0,0,D77)</f>
        <v>0</v>
      </c>
      <c r="P77" s="7" t="n">
        <f aca="false">SUM(K77:O77)</f>
        <v>0</v>
      </c>
      <c r="Q77" s="8" t="n">
        <f aca="false">M77+N77</f>
        <v>0</v>
      </c>
      <c r="R77" s="21" t="n">
        <v>19</v>
      </c>
      <c r="S77" s="22" t="n">
        <v>19</v>
      </c>
      <c r="T77" s="23" t="n">
        <v>46305</v>
      </c>
    </row>
    <row r="78" customFormat="false" ht="15" hidden="false" customHeight="false" outlineLevel="0" collapsed="false">
      <c r="A78" s="18" t="s">
        <v>16</v>
      </c>
      <c r="B78" s="19" t="s">
        <v>114</v>
      </c>
      <c r="C78" s="8" t="n">
        <v>4.667348</v>
      </c>
      <c r="D78" s="8" t="n">
        <v>34</v>
      </c>
      <c r="E78" s="20" t="n">
        <f aca="false">IF(C78&gt;0,D78/C78,"")</f>
        <v>7.28465072670819</v>
      </c>
      <c r="F78" s="18" t="str">
        <f aca="false">IF(AND(C78=0,D78&gt;0),"Plant only",IF(AND(D78=0,C78&gt;0),"System only",IF(ABS(D78-C78)&lt;=0.5,"Match",IF(D78&gt;C78,"Plant more","Plant less"))))</f>
        <v>Plant more</v>
      </c>
      <c r="G78" s="8" t="n">
        <v>4.667348</v>
      </c>
      <c r="H78" s="8" t="n">
        <v>0</v>
      </c>
      <c r="I78" s="8" t="n">
        <v>0</v>
      </c>
      <c r="J78" s="8" t="n">
        <v>0</v>
      </c>
      <c r="K78" s="8" t="n">
        <f aca="false">IF(C78&gt;0,G78*E78,0)</f>
        <v>34</v>
      </c>
      <c r="L78" s="8" t="n">
        <f aca="false">IF(C78&gt;0,H78*E78,0)</f>
        <v>0</v>
      </c>
      <c r="M78" s="8" t="n">
        <f aca="false">IF(C78&gt;0,I78*E78,0)</f>
        <v>0</v>
      </c>
      <c r="N78" s="8" t="n">
        <f aca="false">IF(C78&gt;0,J78*E78,0)</f>
        <v>0</v>
      </c>
      <c r="O78" s="8" t="n">
        <f aca="false">IF(C78&gt;0,0,D78)</f>
        <v>0</v>
      </c>
      <c r="P78" s="7" t="n">
        <f aca="false">SUM(K78:O78)</f>
        <v>34</v>
      </c>
      <c r="Q78" s="8" t="n">
        <f aca="false">M78+N78</f>
        <v>0</v>
      </c>
      <c r="R78" s="21" t="n">
        <v>23</v>
      </c>
      <c r="S78" s="22" t="n">
        <v>23</v>
      </c>
      <c r="T78" s="23" t="n">
        <v>46301</v>
      </c>
    </row>
    <row r="79" customFormat="false" ht="15" hidden="false" customHeight="false" outlineLevel="0" collapsed="false">
      <c r="A79" s="18" t="s">
        <v>16</v>
      </c>
      <c r="B79" s="19" t="s">
        <v>115</v>
      </c>
      <c r="C79" s="8" t="n">
        <v>1.86896</v>
      </c>
      <c r="D79" s="8" t="n">
        <v>0</v>
      </c>
      <c r="E79" s="20" t="n">
        <f aca="false">IF(C79&gt;0,D79/C79,"")</f>
        <v>0</v>
      </c>
      <c r="F79" s="18" t="str">
        <f aca="false">IF(AND(C79=0,D79&gt;0),"Plant only",IF(AND(D79=0,C79&gt;0),"System only",IF(ABS(D79-C79)&lt;=0.5,"Match",IF(D79&gt;C79,"Plant more","Plant less"))))</f>
        <v>System only</v>
      </c>
      <c r="G79" s="8" t="n">
        <v>0</v>
      </c>
      <c r="H79" s="8" t="n">
        <v>1.86896</v>
      </c>
      <c r="I79" s="8" t="n">
        <v>0</v>
      </c>
      <c r="J79" s="8" t="n">
        <v>0</v>
      </c>
      <c r="K79" s="8" t="n">
        <f aca="false">IF(C79&gt;0,G79*E79,0)</f>
        <v>0</v>
      </c>
      <c r="L79" s="8" t="n">
        <f aca="false">IF(C79&gt;0,H79*E79,0)</f>
        <v>0</v>
      </c>
      <c r="M79" s="8" t="n">
        <f aca="false">IF(C79&gt;0,I79*E79,0)</f>
        <v>0</v>
      </c>
      <c r="N79" s="8" t="n">
        <f aca="false">IF(C79&gt;0,J79*E79,0)</f>
        <v>0</v>
      </c>
      <c r="O79" s="8" t="n">
        <f aca="false">IF(C79&gt;0,0,D79)</f>
        <v>0</v>
      </c>
      <c r="P79" s="7" t="n">
        <f aca="false">SUM(K79:O79)</f>
        <v>0</v>
      </c>
      <c r="Q79" s="8" t="n">
        <f aca="false">M79+N79</f>
        <v>0</v>
      </c>
      <c r="R79" s="21" t="n">
        <v>37</v>
      </c>
      <c r="S79" s="22" t="n">
        <v>37</v>
      </c>
      <c r="T79" s="23" t="n">
        <v>46287</v>
      </c>
    </row>
    <row r="80" customFormat="false" ht="15" hidden="false" customHeight="false" outlineLevel="0" collapsed="false">
      <c r="A80" s="18" t="s">
        <v>16</v>
      </c>
      <c r="B80" s="19" t="s">
        <v>116</v>
      </c>
      <c r="C80" s="8" t="n">
        <v>5.3884585</v>
      </c>
      <c r="D80" s="8" t="n">
        <v>18.8</v>
      </c>
      <c r="E80" s="20" t="n">
        <f aca="false">IF(C80&gt;0,D80/C80,"")</f>
        <v>3.48893844130005</v>
      </c>
      <c r="F80" s="18" t="str">
        <f aca="false">IF(AND(C80=0,D80&gt;0),"Plant only",IF(AND(D80=0,C80&gt;0),"System only",IF(ABS(D80-C80)&lt;=0.5,"Match",IF(D80&gt;C80,"Plant more","Plant less"))))</f>
        <v>Plant more</v>
      </c>
      <c r="G80" s="8" t="n">
        <v>0</v>
      </c>
      <c r="H80" s="8" t="n">
        <v>5.3884585</v>
      </c>
      <c r="I80" s="8" t="n">
        <v>0</v>
      </c>
      <c r="J80" s="8" t="n">
        <v>0</v>
      </c>
      <c r="K80" s="8" t="n">
        <f aca="false">IF(C80&gt;0,G80*E80,0)</f>
        <v>0</v>
      </c>
      <c r="L80" s="8" t="n">
        <f aca="false">IF(C80&gt;0,H80*E80,0)</f>
        <v>18.8</v>
      </c>
      <c r="M80" s="8" t="n">
        <f aca="false">IF(C80&gt;0,I80*E80,0)</f>
        <v>0</v>
      </c>
      <c r="N80" s="8" t="n">
        <f aca="false">IF(C80&gt;0,J80*E80,0)</f>
        <v>0</v>
      </c>
      <c r="O80" s="8" t="n">
        <f aca="false">IF(C80&gt;0,0,D80)</f>
        <v>0</v>
      </c>
      <c r="P80" s="7" t="n">
        <f aca="false">SUM(K80:O80)</f>
        <v>18.8</v>
      </c>
      <c r="Q80" s="8" t="n">
        <f aca="false">M80+N80</f>
        <v>0</v>
      </c>
      <c r="R80" s="21" t="n">
        <v>35</v>
      </c>
      <c r="S80" s="22" t="n">
        <v>35</v>
      </c>
      <c r="T80" s="23" t="n">
        <v>46289</v>
      </c>
    </row>
    <row r="81" customFormat="false" ht="15" hidden="false" customHeight="false" outlineLevel="0" collapsed="false">
      <c r="A81" s="18" t="s">
        <v>16</v>
      </c>
      <c r="B81" s="19" t="s">
        <v>117</v>
      </c>
      <c r="C81" s="8" t="n">
        <v>0</v>
      </c>
      <c r="D81" s="8" t="n">
        <v>1.8</v>
      </c>
      <c r="E81" s="20" t="str">
        <f aca="false">IF(C81&gt;0,D81/C81,"")</f>
        <v/>
      </c>
      <c r="F81" s="18" t="str">
        <f aca="false">IF(AND(C81=0,D81&gt;0),"Plant only",IF(AND(D81=0,C81&gt;0),"System only",IF(ABS(D81-C81)&lt;=0.5,"Match",IF(D81&gt;C81,"Plant more","Plant less"))))</f>
        <v>Plant only</v>
      </c>
      <c r="G81" s="8" t="n">
        <v>0</v>
      </c>
      <c r="H81" s="8" t="n">
        <v>0</v>
      </c>
      <c r="I81" s="8" t="n">
        <v>0</v>
      </c>
      <c r="J81" s="8" t="n">
        <v>0</v>
      </c>
      <c r="K81" s="8" t="n">
        <f aca="false">IF(C81&gt;0,G81*E81,0)</f>
        <v>0</v>
      </c>
      <c r="L81" s="8" t="n">
        <f aca="false">IF(C81&gt;0,H81*E81,0)</f>
        <v>0</v>
      </c>
      <c r="M81" s="8" t="n">
        <f aca="false">IF(C81&gt;0,I81*E81,0)</f>
        <v>0</v>
      </c>
      <c r="N81" s="8" t="n">
        <f aca="false">IF(C81&gt;0,J81*E81,0)</f>
        <v>0</v>
      </c>
      <c r="O81" s="8" t="n">
        <f aca="false">IF(C81&gt;0,0,D81)</f>
        <v>1.8</v>
      </c>
      <c r="P81" s="7" t="n">
        <f aca="false">SUM(K81:O81)</f>
        <v>1.8</v>
      </c>
      <c r="Q81" s="8" t="n">
        <f aca="false">M81+N81</f>
        <v>0</v>
      </c>
      <c r="R81" s="21"/>
      <c r="S81" s="22"/>
      <c r="T81" s="23" t="n">
        <v>46289</v>
      </c>
    </row>
    <row r="82" customFormat="false" ht="15" hidden="false" customHeight="false" outlineLevel="0" collapsed="false">
      <c r="A82" s="18" t="s">
        <v>16</v>
      </c>
      <c r="B82" s="19" t="s">
        <v>118</v>
      </c>
      <c r="C82" s="8" t="n">
        <v>51.75348</v>
      </c>
      <c r="D82" s="8" t="n">
        <v>49</v>
      </c>
      <c r="E82" s="20" t="n">
        <f aca="false">IF(C82&gt;0,D82/C82,"")</f>
        <v>0.946796234765276</v>
      </c>
      <c r="F82" s="18" t="str">
        <f aca="false">IF(AND(C82=0,D82&gt;0),"Plant only",IF(AND(D82=0,C82&gt;0),"System only",IF(ABS(D82-C82)&lt;=0.5,"Match",IF(D82&gt;C82,"Plant more","Plant less"))))</f>
        <v>Plant less</v>
      </c>
      <c r="G82" s="8" t="n">
        <v>0</v>
      </c>
      <c r="H82" s="8" t="n">
        <v>51.75348</v>
      </c>
      <c r="I82" s="8" t="n">
        <v>0</v>
      </c>
      <c r="J82" s="8" t="n">
        <v>0</v>
      </c>
      <c r="K82" s="8" t="n">
        <f aca="false">IF(C82&gt;0,G82*E82,0)</f>
        <v>0</v>
      </c>
      <c r="L82" s="8" t="n">
        <f aca="false">IF(C82&gt;0,H82*E82,0)</f>
        <v>49</v>
      </c>
      <c r="M82" s="8" t="n">
        <f aca="false">IF(C82&gt;0,I82*E82,0)</f>
        <v>0</v>
      </c>
      <c r="N82" s="8" t="n">
        <f aca="false">IF(C82&gt;0,J82*E82,0)</f>
        <v>0</v>
      </c>
      <c r="O82" s="8" t="n">
        <f aca="false">IF(C82&gt;0,0,D82)</f>
        <v>0</v>
      </c>
      <c r="P82" s="7" t="n">
        <f aca="false">SUM(K82:O82)</f>
        <v>49</v>
      </c>
      <c r="Q82" s="8" t="n">
        <f aca="false">M82+N82</f>
        <v>0</v>
      </c>
      <c r="R82" s="21" t="n">
        <v>36.2073170731707</v>
      </c>
      <c r="S82" s="22" t="n">
        <v>37</v>
      </c>
      <c r="T82" s="23" t="n">
        <v>46288</v>
      </c>
    </row>
    <row r="83" customFormat="false" ht="15" hidden="false" customHeight="false" outlineLevel="0" collapsed="false">
      <c r="A83" s="18" t="s">
        <v>16</v>
      </c>
      <c r="B83" s="19" t="s">
        <v>119</v>
      </c>
      <c r="C83" s="8" t="n">
        <v>0.333020799999996</v>
      </c>
      <c r="D83" s="8" t="n">
        <v>0</v>
      </c>
      <c r="E83" s="20" t="n">
        <f aca="false">IF(C83&gt;0,D83/C83,"")</f>
        <v>0</v>
      </c>
      <c r="F83" s="18" t="str">
        <f aca="false">IF(AND(C83=0,D83&gt;0),"Plant only",IF(AND(D83=0,C83&gt;0),"System only",IF(ABS(D83-C83)&lt;=0.5,"Match",IF(D83&gt;C83,"Plant more","Plant less"))))</f>
        <v>System only</v>
      </c>
      <c r="G83" s="8" t="n">
        <v>0</v>
      </c>
      <c r="H83" s="8" t="n">
        <v>0.333020799999996</v>
      </c>
      <c r="I83" s="8" t="n">
        <v>0</v>
      </c>
      <c r="J83" s="8" t="n">
        <v>0</v>
      </c>
      <c r="K83" s="8" t="n">
        <f aca="false">IF(C83&gt;0,G83*E83,0)</f>
        <v>0</v>
      </c>
      <c r="L83" s="8" t="n">
        <f aca="false">IF(C83&gt;0,H83*E83,0)</f>
        <v>0</v>
      </c>
      <c r="M83" s="8" t="n">
        <f aca="false">IF(C83&gt;0,I83*E83,0)</f>
        <v>0</v>
      </c>
      <c r="N83" s="8" t="n">
        <f aca="false">IF(C83&gt;0,J83*E83,0)</f>
        <v>0</v>
      </c>
      <c r="O83" s="8" t="n">
        <f aca="false">IF(C83&gt;0,0,D83)</f>
        <v>0</v>
      </c>
      <c r="P83" s="7" t="n">
        <f aca="false">SUM(K83:O83)</f>
        <v>0</v>
      </c>
      <c r="Q83" s="8" t="n">
        <f aca="false">M83+N83</f>
        <v>0</v>
      </c>
      <c r="R83" s="21" t="n">
        <v>57</v>
      </c>
      <c r="S83" s="22" t="n">
        <v>57</v>
      </c>
      <c r="T83" s="23" t="n">
        <v>46267</v>
      </c>
    </row>
    <row r="84" customFormat="false" ht="15" hidden="false" customHeight="false" outlineLevel="0" collapsed="false">
      <c r="A84" s="18" t="s">
        <v>16</v>
      </c>
      <c r="B84" s="19" t="s">
        <v>120</v>
      </c>
      <c r="C84" s="8" t="n">
        <v>0.267739999999995</v>
      </c>
      <c r="D84" s="8" t="n">
        <v>1</v>
      </c>
      <c r="E84" s="20" t="n">
        <f aca="false">IF(C84&gt;0,D84/C84,"")</f>
        <v>3.73496675879592</v>
      </c>
      <c r="F84" s="18" t="str">
        <f aca="false">IF(AND(C84=0,D84&gt;0),"Plant only",IF(AND(D84=0,C84&gt;0),"System only",IF(ABS(D84-C84)&lt;=0.5,"Match",IF(D84&gt;C84,"Plant more","Plant less"))))</f>
        <v>Plant more</v>
      </c>
      <c r="G84" s="8" t="n">
        <v>0</v>
      </c>
      <c r="H84" s="8" t="n">
        <v>0.267739999999995</v>
      </c>
      <c r="I84" s="8" t="n">
        <v>0</v>
      </c>
      <c r="J84" s="8" t="n">
        <v>0</v>
      </c>
      <c r="K84" s="8" t="n">
        <f aca="false">IF(C84&gt;0,G84*E84,0)</f>
        <v>0</v>
      </c>
      <c r="L84" s="8" t="n">
        <f aca="false">IF(C84&gt;0,H84*E84,0)</f>
        <v>1</v>
      </c>
      <c r="M84" s="8" t="n">
        <f aca="false">IF(C84&gt;0,I84*E84,0)</f>
        <v>0</v>
      </c>
      <c r="N84" s="8" t="n">
        <f aca="false">IF(C84&gt;0,J84*E84,0)</f>
        <v>0</v>
      </c>
      <c r="O84" s="8" t="n">
        <f aca="false">IF(C84&gt;0,0,D84)</f>
        <v>0</v>
      </c>
      <c r="P84" s="7" t="n">
        <f aca="false">SUM(K84:O84)</f>
        <v>1</v>
      </c>
      <c r="Q84" s="8" t="n">
        <f aca="false">M84+N84</f>
        <v>0</v>
      </c>
      <c r="R84" s="21" t="n">
        <v>40</v>
      </c>
      <c r="S84" s="22" t="n">
        <v>40</v>
      </c>
      <c r="T84" s="23" t="n">
        <v>46284</v>
      </c>
    </row>
    <row r="85" customFormat="false" ht="15" hidden="false" customHeight="false" outlineLevel="0" collapsed="false">
      <c r="A85" s="18" t="s">
        <v>16</v>
      </c>
      <c r="B85" s="19" t="s">
        <v>121</v>
      </c>
      <c r="C85" s="8" t="n">
        <v>0.535804799999998</v>
      </c>
      <c r="D85" s="8" t="n">
        <v>0</v>
      </c>
      <c r="E85" s="20" t="n">
        <f aca="false">IF(C85&gt;0,D85/C85,"")</f>
        <v>0</v>
      </c>
      <c r="F85" s="18" t="str">
        <f aca="false">IF(AND(C85=0,D85&gt;0),"Plant only",IF(AND(D85=0,C85&gt;0),"System only",IF(ABS(D85-C85)&lt;=0.5,"Match",IF(D85&gt;C85,"Plant more","Plant less"))))</f>
        <v>System only</v>
      </c>
      <c r="G85" s="8" t="n">
        <v>0</v>
      </c>
      <c r="H85" s="8" t="n">
        <v>0.535804799999998</v>
      </c>
      <c r="I85" s="8" t="n">
        <v>0</v>
      </c>
      <c r="J85" s="8" t="n">
        <v>0</v>
      </c>
      <c r="K85" s="8" t="n">
        <f aca="false">IF(C85&gt;0,G85*E85,0)</f>
        <v>0</v>
      </c>
      <c r="L85" s="8" t="n">
        <f aca="false">IF(C85&gt;0,H85*E85,0)</f>
        <v>0</v>
      </c>
      <c r="M85" s="8" t="n">
        <f aca="false">IF(C85&gt;0,I85*E85,0)</f>
        <v>0</v>
      </c>
      <c r="N85" s="8" t="n">
        <f aca="false">IF(C85&gt;0,J85*E85,0)</f>
        <v>0</v>
      </c>
      <c r="O85" s="8" t="n">
        <f aca="false">IF(C85&gt;0,0,D85)</f>
        <v>0</v>
      </c>
      <c r="P85" s="7" t="n">
        <f aca="false">SUM(K85:O85)</f>
        <v>0</v>
      </c>
      <c r="Q85" s="8" t="n">
        <f aca="false">M85+N85</f>
        <v>0</v>
      </c>
      <c r="R85" s="21" t="n">
        <v>40</v>
      </c>
      <c r="S85" s="22" t="n">
        <v>40</v>
      </c>
      <c r="T85" s="23" t="n">
        <v>46284</v>
      </c>
    </row>
    <row r="86" customFormat="false" ht="15" hidden="false" customHeight="false" outlineLevel="0" collapsed="false">
      <c r="A86" s="18" t="s">
        <v>16</v>
      </c>
      <c r="B86" s="19" t="s">
        <v>122</v>
      </c>
      <c r="C86" s="8" t="n">
        <v>0</v>
      </c>
      <c r="D86" s="8" t="n">
        <v>1</v>
      </c>
      <c r="E86" s="20" t="str">
        <f aca="false">IF(C86&gt;0,D86/C86,"")</f>
        <v/>
      </c>
      <c r="F86" s="18" t="str">
        <f aca="false">IF(AND(C86=0,D86&gt;0),"Plant only",IF(AND(D86=0,C86&gt;0),"System only",IF(ABS(D86-C86)&lt;=0.5,"Match",IF(D86&gt;C86,"Plant more","Plant less"))))</f>
        <v>Plant only</v>
      </c>
      <c r="G86" s="8" t="n">
        <v>0</v>
      </c>
      <c r="H86" s="8" t="n">
        <v>0</v>
      </c>
      <c r="I86" s="8" t="n">
        <v>0</v>
      </c>
      <c r="J86" s="8" t="n">
        <v>0</v>
      </c>
      <c r="K86" s="8" t="n">
        <f aca="false">IF(C86&gt;0,G86*E86,0)</f>
        <v>0</v>
      </c>
      <c r="L86" s="8" t="n">
        <f aca="false">IF(C86&gt;0,H86*E86,0)</f>
        <v>0</v>
      </c>
      <c r="M86" s="8" t="n">
        <f aca="false">IF(C86&gt;0,I86*E86,0)</f>
        <v>0</v>
      </c>
      <c r="N86" s="8" t="n">
        <f aca="false">IF(C86&gt;0,J86*E86,0)</f>
        <v>0</v>
      </c>
      <c r="O86" s="8" t="n">
        <f aca="false">IF(C86&gt;0,0,D86)</f>
        <v>1</v>
      </c>
      <c r="P86" s="7" t="n">
        <f aca="false">SUM(K86:O86)</f>
        <v>1</v>
      </c>
      <c r="Q86" s="8" t="n">
        <f aca="false">M86+N86</f>
        <v>0</v>
      </c>
      <c r="R86" s="21"/>
      <c r="S86" s="22"/>
      <c r="T86" s="23" t="n">
        <v>46280</v>
      </c>
    </row>
    <row r="87" customFormat="false" ht="15" hidden="false" customHeight="false" outlineLevel="0" collapsed="false">
      <c r="A87" s="18" t="s">
        <v>16</v>
      </c>
      <c r="B87" s="19" t="s">
        <v>123</v>
      </c>
      <c r="C87" s="8" t="n">
        <v>2.00522</v>
      </c>
      <c r="D87" s="8" t="n">
        <v>8.3</v>
      </c>
      <c r="E87" s="20" t="n">
        <f aca="false">IF(C87&gt;0,D87/C87,"")</f>
        <v>4.13919669662181</v>
      </c>
      <c r="F87" s="18" t="str">
        <f aca="false">IF(AND(C87=0,D87&gt;0),"Plant only",IF(AND(D87=0,C87&gt;0),"System only",IF(ABS(D87-C87)&lt;=0.5,"Match",IF(D87&gt;C87,"Plant more","Plant less"))))</f>
        <v>Plant more</v>
      </c>
      <c r="G87" s="8" t="n">
        <v>0</v>
      </c>
      <c r="H87" s="8" t="n">
        <v>2.00522</v>
      </c>
      <c r="I87" s="8" t="n">
        <v>0</v>
      </c>
      <c r="J87" s="8" t="n">
        <v>0</v>
      </c>
      <c r="K87" s="8" t="n">
        <f aca="false">IF(C87&gt;0,G87*E87,0)</f>
        <v>0</v>
      </c>
      <c r="L87" s="8" t="n">
        <f aca="false">IF(C87&gt;0,H87*E87,0)</f>
        <v>8.3</v>
      </c>
      <c r="M87" s="8" t="n">
        <f aca="false">IF(C87&gt;0,I87*E87,0)</f>
        <v>0</v>
      </c>
      <c r="N87" s="8" t="n">
        <f aca="false">IF(C87&gt;0,J87*E87,0)</f>
        <v>0</v>
      </c>
      <c r="O87" s="8" t="n">
        <f aca="false">IF(C87&gt;0,0,D87)</f>
        <v>0</v>
      </c>
      <c r="P87" s="7" t="n">
        <f aca="false">SUM(K87:O87)</f>
        <v>8.3</v>
      </c>
      <c r="Q87" s="8" t="n">
        <f aca="false">M87+N87</f>
        <v>0</v>
      </c>
      <c r="R87" s="21" t="n">
        <v>40</v>
      </c>
      <c r="S87" s="22" t="n">
        <v>40</v>
      </c>
      <c r="T87" s="23" t="n">
        <v>46284</v>
      </c>
    </row>
    <row r="88" customFormat="false" ht="15" hidden="false" customHeight="false" outlineLevel="0" collapsed="false">
      <c r="A88" s="18" t="s">
        <v>16</v>
      </c>
      <c r="B88" s="19" t="s">
        <v>124</v>
      </c>
      <c r="C88" s="8" t="n">
        <v>37.7925888</v>
      </c>
      <c r="D88" s="8" t="n">
        <v>43.5</v>
      </c>
      <c r="E88" s="20" t="n">
        <f aca="false">IF(C88&gt;0,D88/C88,"")</f>
        <v>1.15101932366168</v>
      </c>
      <c r="F88" s="18" t="str">
        <f aca="false">IF(AND(C88=0,D88&gt;0),"Plant only",IF(AND(D88=0,C88&gt;0),"System only",IF(ABS(D88-C88)&lt;=0.5,"Match",IF(D88&gt;C88,"Plant more","Plant less"))))</f>
        <v>Plant more</v>
      </c>
      <c r="G88" s="8" t="n">
        <v>37.7925888</v>
      </c>
      <c r="H88" s="8" t="n">
        <v>0</v>
      </c>
      <c r="I88" s="8" t="n">
        <v>0</v>
      </c>
      <c r="J88" s="8" t="n">
        <v>0</v>
      </c>
      <c r="K88" s="8" t="n">
        <f aca="false">IF(C88&gt;0,G88*E88,0)</f>
        <v>43.5</v>
      </c>
      <c r="L88" s="8" t="n">
        <f aca="false">IF(C88&gt;0,H88*E88,0)</f>
        <v>0</v>
      </c>
      <c r="M88" s="8" t="n">
        <f aca="false">IF(C88&gt;0,I88*E88,0)</f>
        <v>0</v>
      </c>
      <c r="N88" s="8" t="n">
        <f aca="false">IF(C88&gt;0,J88*E88,0)</f>
        <v>0</v>
      </c>
      <c r="O88" s="8" t="n">
        <f aca="false">IF(C88&gt;0,0,D88)</f>
        <v>0</v>
      </c>
      <c r="P88" s="7" t="n">
        <f aca="false">SUM(K88:O88)</f>
        <v>43.5</v>
      </c>
      <c r="Q88" s="8" t="n">
        <f aca="false">M88+N88</f>
        <v>0</v>
      </c>
      <c r="R88" s="21" t="n">
        <v>16</v>
      </c>
      <c r="S88" s="22" t="n">
        <v>16</v>
      </c>
      <c r="T88" s="23" t="n">
        <v>46308</v>
      </c>
    </row>
    <row r="89" customFormat="false" ht="15" hidden="false" customHeight="false" outlineLevel="0" collapsed="false">
      <c r="A89" s="18" t="s">
        <v>16</v>
      </c>
      <c r="B89" s="19" t="s">
        <v>125</v>
      </c>
      <c r="C89" s="8" t="n">
        <v>35.024976</v>
      </c>
      <c r="D89" s="8" t="n">
        <v>31</v>
      </c>
      <c r="E89" s="20" t="n">
        <f aca="false">IF(C89&gt;0,D89/C89,"")</f>
        <v>0.885082690706198</v>
      </c>
      <c r="F89" s="18" t="str">
        <f aca="false">IF(AND(C89=0,D89&gt;0),"Plant only",IF(AND(D89=0,C89&gt;0),"System only",IF(ABS(D89-C89)&lt;=0.5,"Match",IF(D89&gt;C89,"Plant more","Plant less"))))</f>
        <v>Plant less</v>
      </c>
      <c r="G89" s="8" t="n">
        <v>35.024976</v>
      </c>
      <c r="H89" s="8" t="n">
        <v>0</v>
      </c>
      <c r="I89" s="8" t="n">
        <v>0</v>
      </c>
      <c r="J89" s="8" t="n">
        <v>0</v>
      </c>
      <c r="K89" s="8" t="n">
        <f aca="false">IF(C89&gt;0,G89*E89,0)</f>
        <v>31</v>
      </c>
      <c r="L89" s="8" t="n">
        <f aca="false">IF(C89&gt;0,H89*E89,0)</f>
        <v>0</v>
      </c>
      <c r="M89" s="8" t="n">
        <f aca="false">IF(C89&gt;0,I89*E89,0)</f>
        <v>0</v>
      </c>
      <c r="N89" s="8" t="n">
        <f aca="false">IF(C89&gt;0,J89*E89,0)</f>
        <v>0</v>
      </c>
      <c r="O89" s="8" t="n">
        <f aca="false">IF(C89&gt;0,0,D89)</f>
        <v>0</v>
      </c>
      <c r="P89" s="7" t="n">
        <f aca="false">SUM(K89:O89)</f>
        <v>31</v>
      </c>
      <c r="Q89" s="8" t="n">
        <f aca="false">M89+N89</f>
        <v>0</v>
      </c>
      <c r="R89" s="21" t="n">
        <v>5.5309424451854</v>
      </c>
      <c r="S89" s="22" t="n">
        <v>17</v>
      </c>
      <c r="T89" s="23" t="n">
        <v>46321</v>
      </c>
    </row>
    <row r="90" customFormat="false" ht="15" hidden="false" customHeight="false" outlineLevel="0" collapsed="false">
      <c r="A90" s="18" t="s">
        <v>16</v>
      </c>
      <c r="B90" s="19" t="s">
        <v>126</v>
      </c>
      <c r="C90" s="8" t="n">
        <v>41.17071</v>
      </c>
      <c r="D90" s="8" t="n">
        <v>37.4</v>
      </c>
      <c r="E90" s="20" t="n">
        <f aca="false">IF(C90&gt;0,D90/C90,"")</f>
        <v>0.908412801236607</v>
      </c>
      <c r="F90" s="18" t="str">
        <f aca="false">IF(AND(C90=0,D90&gt;0),"Plant only",IF(AND(D90=0,C90&gt;0),"System only",IF(ABS(D90-C90)&lt;=0.5,"Match",IF(D90&gt;C90,"Plant more","Plant less"))))</f>
        <v>Plant less</v>
      </c>
      <c r="G90" s="8" t="n">
        <v>41.17071</v>
      </c>
      <c r="H90" s="8" t="n">
        <v>0</v>
      </c>
      <c r="I90" s="8" t="n">
        <v>0</v>
      </c>
      <c r="J90" s="8" t="n">
        <v>0</v>
      </c>
      <c r="K90" s="8" t="n">
        <f aca="false">IF(C90&gt;0,G90*E90,0)</f>
        <v>37.4</v>
      </c>
      <c r="L90" s="8" t="n">
        <f aca="false">IF(C90&gt;0,H90*E90,0)</f>
        <v>0</v>
      </c>
      <c r="M90" s="8" t="n">
        <f aca="false">IF(C90&gt;0,I90*E90,0)</f>
        <v>0</v>
      </c>
      <c r="N90" s="8" t="n">
        <f aca="false">IF(C90&gt;0,J90*E90,0)</f>
        <v>0</v>
      </c>
      <c r="O90" s="8" t="n">
        <f aca="false">IF(C90&gt;0,0,D90)</f>
        <v>0</v>
      </c>
      <c r="P90" s="7" t="n">
        <f aca="false">SUM(K90:O90)</f>
        <v>37.4</v>
      </c>
      <c r="Q90" s="8" t="n">
        <f aca="false">M90+N90</f>
        <v>0</v>
      </c>
      <c r="R90" s="21" t="n">
        <v>7.10538074276591</v>
      </c>
      <c r="S90" s="22" t="n">
        <v>16</v>
      </c>
      <c r="T90" s="23" t="n">
        <v>46321</v>
      </c>
    </row>
    <row r="91" customFormat="false" ht="15" hidden="false" customHeight="false" outlineLevel="0" collapsed="false">
      <c r="A91" s="18" t="s">
        <v>16</v>
      </c>
      <c r="B91" s="19" t="s">
        <v>63</v>
      </c>
      <c r="C91" s="8" t="n">
        <v>0</v>
      </c>
      <c r="D91" s="8" t="n">
        <v>8.9</v>
      </c>
      <c r="E91" s="20" t="str">
        <f aca="false">IF(C91&gt;0,D91/C91,"")</f>
        <v/>
      </c>
      <c r="F91" s="18" t="str">
        <f aca="false">IF(AND(C91=0,D91&gt;0),"Plant only",IF(AND(D91=0,C91&gt;0),"System only",IF(ABS(D91-C91)&lt;=0.5,"Match",IF(D91&gt;C91,"Plant more","Plant less"))))</f>
        <v>Plant only</v>
      </c>
      <c r="G91" s="8" t="n">
        <v>0</v>
      </c>
      <c r="H91" s="8" t="n">
        <v>0</v>
      </c>
      <c r="I91" s="8" t="n">
        <v>0</v>
      </c>
      <c r="J91" s="8" t="n">
        <v>0</v>
      </c>
      <c r="K91" s="8" t="n">
        <f aca="false">IF(C91&gt;0,G91*E91,0)</f>
        <v>0</v>
      </c>
      <c r="L91" s="8" t="n">
        <f aca="false">IF(C91&gt;0,H91*E91,0)</f>
        <v>0</v>
      </c>
      <c r="M91" s="8" t="n">
        <f aca="false">IF(C91&gt;0,I91*E91,0)</f>
        <v>0</v>
      </c>
      <c r="N91" s="8" t="n">
        <f aca="false">IF(C91&gt;0,J91*E91,0)</f>
        <v>0</v>
      </c>
      <c r="O91" s="8" t="n">
        <f aca="false">IF(C91&gt;0,0,D91)</f>
        <v>8.9</v>
      </c>
      <c r="P91" s="7" t="n">
        <f aca="false">SUM(K91:O91)</f>
        <v>8.9</v>
      </c>
      <c r="Q91" s="8" t="n">
        <f aca="false">M91+N91</f>
        <v>0</v>
      </c>
      <c r="R91" s="21"/>
      <c r="S91" s="22"/>
      <c r="T91" s="23"/>
    </row>
    <row r="92" customFormat="false" ht="15" hidden="false" customHeight="false" outlineLevel="0" collapsed="false">
      <c r="A92" s="18" t="s">
        <v>16</v>
      </c>
      <c r="B92" s="19" t="s">
        <v>65</v>
      </c>
      <c r="C92" s="8" t="n">
        <v>6.1211178</v>
      </c>
      <c r="D92" s="8" t="n">
        <v>5.8</v>
      </c>
      <c r="E92" s="20" t="n">
        <f aca="false">IF(C92&gt;0,D92/C92,"")</f>
        <v>0.947539353024704</v>
      </c>
      <c r="F92" s="18" t="str">
        <f aca="false">IF(AND(C92=0,D92&gt;0),"Plant only",IF(AND(D92=0,C92&gt;0),"System only",IF(ABS(D92-C92)&lt;=0.5,"Match",IF(D92&gt;C92,"Plant more","Plant less"))))</f>
        <v>Match</v>
      </c>
      <c r="G92" s="8" t="n">
        <v>6.1211178</v>
      </c>
      <c r="H92" s="8" t="n">
        <v>0</v>
      </c>
      <c r="I92" s="8" t="n">
        <v>0</v>
      </c>
      <c r="J92" s="8" t="n">
        <v>0</v>
      </c>
      <c r="K92" s="8" t="n">
        <f aca="false">IF(C92&gt;0,G92*E92,0)</f>
        <v>5.8</v>
      </c>
      <c r="L92" s="8" t="n">
        <f aca="false">IF(C92&gt;0,H92*E92,0)</f>
        <v>0</v>
      </c>
      <c r="M92" s="8" t="n">
        <f aca="false">IF(C92&gt;0,I92*E92,0)</f>
        <v>0</v>
      </c>
      <c r="N92" s="8" t="n">
        <f aca="false">IF(C92&gt;0,J92*E92,0)</f>
        <v>0</v>
      </c>
      <c r="O92" s="8" t="n">
        <f aca="false">IF(C92&gt;0,0,D92)</f>
        <v>0</v>
      </c>
      <c r="P92" s="7" t="n">
        <f aca="false">SUM(K92:O92)</f>
        <v>5.8</v>
      </c>
      <c r="Q92" s="8" t="n">
        <f aca="false">M92+N92</f>
        <v>0</v>
      </c>
      <c r="R92" s="21" t="n">
        <v>17</v>
      </c>
      <c r="S92" s="22" t="n">
        <v>17</v>
      </c>
      <c r="T92" s="23" t="n">
        <v>46307</v>
      </c>
    </row>
    <row r="93" customFormat="false" ht="15" hidden="false" customHeight="false" outlineLevel="0" collapsed="false">
      <c r="A93" s="18" t="s">
        <v>16</v>
      </c>
      <c r="B93" s="19" t="s">
        <v>127</v>
      </c>
      <c r="C93" s="8" t="n">
        <v>3.771654</v>
      </c>
      <c r="D93" s="8" t="n">
        <v>3</v>
      </c>
      <c r="E93" s="20" t="n">
        <f aca="false">IF(C93&gt;0,D93/C93,"")</f>
        <v>0.795407001808756</v>
      </c>
      <c r="F93" s="18" t="str">
        <f aca="false">IF(AND(C93=0,D93&gt;0),"Plant only",IF(AND(D93=0,C93&gt;0),"System only",IF(ABS(D93-C93)&lt;=0.5,"Match",IF(D93&gt;C93,"Plant more","Plant less"))))</f>
        <v>Plant less</v>
      </c>
      <c r="G93" s="8" t="n">
        <v>0</v>
      </c>
      <c r="H93" s="8" t="n">
        <v>3.771654</v>
      </c>
      <c r="I93" s="8" t="n">
        <v>0</v>
      </c>
      <c r="J93" s="8" t="n">
        <v>0</v>
      </c>
      <c r="K93" s="8" t="n">
        <f aca="false">IF(C93&gt;0,G93*E93,0)</f>
        <v>0</v>
      </c>
      <c r="L93" s="8" t="n">
        <f aca="false">IF(C93&gt;0,H93*E93,0)</f>
        <v>3</v>
      </c>
      <c r="M93" s="8" t="n">
        <f aca="false">IF(C93&gt;0,I93*E93,0)</f>
        <v>0</v>
      </c>
      <c r="N93" s="8" t="n">
        <f aca="false">IF(C93&gt;0,J93*E93,0)</f>
        <v>0</v>
      </c>
      <c r="O93" s="8" t="n">
        <f aca="false">IF(C93&gt;0,0,D93)</f>
        <v>0</v>
      </c>
      <c r="P93" s="7" t="n">
        <f aca="false">SUM(K93:O93)</f>
        <v>3</v>
      </c>
      <c r="Q93" s="8" t="n">
        <f aca="false">M93+N93</f>
        <v>0</v>
      </c>
      <c r="R93" s="21" t="n">
        <v>33</v>
      </c>
      <c r="S93" s="22" t="n">
        <v>33</v>
      </c>
      <c r="T93" s="23" t="n">
        <v>46291</v>
      </c>
    </row>
    <row r="94" customFormat="false" ht="15" hidden="false" customHeight="false" outlineLevel="0" collapsed="false">
      <c r="A94" s="18" t="s">
        <v>16</v>
      </c>
      <c r="B94" s="19" t="s">
        <v>128</v>
      </c>
      <c r="C94" s="8" t="n">
        <v>8.3800532</v>
      </c>
      <c r="D94" s="8" t="n">
        <v>7.5</v>
      </c>
      <c r="E94" s="20" t="n">
        <f aca="false">IF(C94&gt;0,D94/C94,"")</f>
        <v>0.894982385076029</v>
      </c>
      <c r="F94" s="18" t="str">
        <f aca="false">IF(AND(C94=0,D94&gt;0),"Plant only",IF(AND(D94=0,C94&gt;0),"System only",IF(ABS(D94-C94)&lt;=0.5,"Match",IF(D94&gt;C94,"Plant more","Plant less"))))</f>
        <v>Plant less</v>
      </c>
      <c r="G94" s="8" t="n">
        <v>8.3800532</v>
      </c>
      <c r="H94" s="8" t="n">
        <v>0</v>
      </c>
      <c r="I94" s="8" t="n">
        <v>0</v>
      </c>
      <c r="J94" s="8" t="n">
        <v>0</v>
      </c>
      <c r="K94" s="8" t="n">
        <f aca="false">IF(C94&gt;0,G94*E94,0)</f>
        <v>7.5</v>
      </c>
      <c r="L94" s="8" t="n">
        <f aca="false">IF(C94&gt;0,H94*E94,0)</f>
        <v>0</v>
      </c>
      <c r="M94" s="8" t="n">
        <f aca="false">IF(C94&gt;0,I94*E94,0)</f>
        <v>0</v>
      </c>
      <c r="N94" s="8" t="n">
        <f aca="false">IF(C94&gt;0,J94*E94,0)</f>
        <v>0</v>
      </c>
      <c r="O94" s="8" t="n">
        <f aca="false">IF(C94&gt;0,0,D94)</f>
        <v>0</v>
      </c>
      <c r="P94" s="7" t="n">
        <f aca="false">SUM(K94:O94)</f>
        <v>7.5</v>
      </c>
      <c r="Q94" s="8" t="n">
        <f aca="false">M94+N94</f>
        <v>0</v>
      </c>
      <c r="R94" s="21" t="n">
        <v>29</v>
      </c>
      <c r="S94" s="22" t="n">
        <v>29</v>
      </c>
      <c r="T94" s="23" t="n">
        <v>46295</v>
      </c>
    </row>
    <row r="95" customFormat="false" ht="15" hidden="false" customHeight="false" outlineLevel="0" collapsed="false">
      <c r="A95" s="18" t="s">
        <v>16</v>
      </c>
      <c r="B95" s="19" t="s">
        <v>129</v>
      </c>
      <c r="C95" s="8" t="n">
        <v>4.2607808</v>
      </c>
      <c r="D95" s="8" t="n">
        <v>4</v>
      </c>
      <c r="E95" s="20" t="n">
        <f aca="false">IF(C95&gt;0,D95/C95,"")</f>
        <v>0.938795067796024</v>
      </c>
      <c r="F95" s="18" t="str">
        <f aca="false">IF(AND(C95=0,D95&gt;0),"Plant only",IF(AND(D95=0,C95&gt;0),"System only",IF(ABS(D95-C95)&lt;=0.5,"Match",IF(D95&gt;C95,"Plant more","Plant less"))))</f>
        <v>Match</v>
      </c>
      <c r="G95" s="8" t="n">
        <v>4.2607808</v>
      </c>
      <c r="H95" s="8" t="n">
        <v>0</v>
      </c>
      <c r="I95" s="8" t="n">
        <v>0</v>
      </c>
      <c r="J95" s="8" t="n">
        <v>0</v>
      </c>
      <c r="K95" s="8" t="n">
        <f aca="false">IF(C95&gt;0,G95*E95,0)</f>
        <v>4</v>
      </c>
      <c r="L95" s="8" t="n">
        <f aca="false">IF(C95&gt;0,H95*E95,0)</f>
        <v>0</v>
      </c>
      <c r="M95" s="8" t="n">
        <f aca="false">IF(C95&gt;0,I95*E95,0)</f>
        <v>0</v>
      </c>
      <c r="N95" s="8" t="n">
        <f aca="false">IF(C95&gt;0,J95*E95,0)</f>
        <v>0</v>
      </c>
      <c r="O95" s="8" t="n">
        <f aca="false">IF(C95&gt;0,0,D95)</f>
        <v>0</v>
      </c>
      <c r="P95" s="7" t="n">
        <f aca="false">SUM(K95:O95)</f>
        <v>4</v>
      </c>
      <c r="Q95" s="8" t="n">
        <f aca="false">M95+N95</f>
        <v>0</v>
      </c>
      <c r="R95" s="21" t="n">
        <v>30</v>
      </c>
      <c r="S95" s="22" t="n">
        <v>30</v>
      </c>
      <c r="T95" s="23" t="n">
        <v>46294</v>
      </c>
    </row>
    <row r="96" customFormat="false" ht="15" hidden="false" customHeight="false" outlineLevel="0" collapsed="false">
      <c r="A96" s="18" t="s">
        <v>16</v>
      </c>
      <c r="B96" s="19" t="s">
        <v>130</v>
      </c>
      <c r="C96" s="8" t="n">
        <v>22.771162</v>
      </c>
      <c r="D96" s="8" t="n">
        <v>20.8</v>
      </c>
      <c r="E96" s="20" t="n">
        <f aca="false">IF(C96&gt;0,D96/C96,"")</f>
        <v>0.913436038090634</v>
      </c>
      <c r="F96" s="18" t="str">
        <f aca="false">IF(AND(C96=0,D96&gt;0),"Plant only",IF(AND(D96=0,C96&gt;0),"System only",IF(ABS(D96-C96)&lt;=0.5,"Match",IF(D96&gt;C96,"Plant more","Plant less"))))</f>
        <v>Plant less</v>
      </c>
      <c r="G96" s="8" t="n">
        <v>22.771162</v>
      </c>
      <c r="H96" s="8" t="n">
        <v>0</v>
      </c>
      <c r="I96" s="8" t="n">
        <v>0</v>
      </c>
      <c r="J96" s="8" t="n">
        <v>0</v>
      </c>
      <c r="K96" s="8" t="n">
        <f aca="false">IF(C96&gt;0,G96*E96,0)</f>
        <v>20.8</v>
      </c>
      <c r="L96" s="8" t="n">
        <f aca="false">IF(C96&gt;0,H96*E96,0)</f>
        <v>0</v>
      </c>
      <c r="M96" s="8" t="n">
        <f aca="false">IF(C96&gt;0,I96*E96,0)</f>
        <v>0</v>
      </c>
      <c r="N96" s="8" t="n">
        <f aca="false">IF(C96&gt;0,J96*E96,0)</f>
        <v>0</v>
      </c>
      <c r="O96" s="8" t="n">
        <f aca="false">IF(C96&gt;0,0,D96)</f>
        <v>0</v>
      </c>
      <c r="P96" s="7" t="n">
        <f aca="false">SUM(K96:O96)</f>
        <v>20.8</v>
      </c>
      <c r="Q96" s="8" t="n">
        <f aca="false">M96+N96</f>
        <v>0</v>
      </c>
      <c r="R96" s="21" t="n">
        <v>29.8198418684123</v>
      </c>
      <c r="S96" s="22" t="n">
        <v>30</v>
      </c>
      <c r="T96" s="23" t="n">
        <v>46295</v>
      </c>
    </row>
    <row r="97" customFormat="false" ht="15" hidden="false" customHeight="false" outlineLevel="0" collapsed="false">
      <c r="A97" s="18" t="s">
        <v>16</v>
      </c>
      <c r="B97" s="19" t="s">
        <v>131</v>
      </c>
      <c r="C97" s="8" t="n">
        <v>2.392126</v>
      </c>
      <c r="D97" s="8" t="n">
        <v>2.2</v>
      </c>
      <c r="E97" s="20" t="n">
        <f aca="false">IF(C97&gt;0,D97/C97,"")</f>
        <v>0.919683996578776</v>
      </c>
      <c r="F97" s="18" t="str">
        <f aca="false">IF(AND(C97=0,D97&gt;0),"Plant only",IF(AND(D97=0,C97&gt;0),"System only",IF(ABS(D97-C97)&lt;=0.5,"Match",IF(D97&gt;C97,"Plant more","Plant less"))))</f>
        <v>Match</v>
      </c>
      <c r="G97" s="8" t="n">
        <v>2.392126</v>
      </c>
      <c r="H97" s="8" t="n">
        <v>0</v>
      </c>
      <c r="I97" s="8" t="n">
        <v>0</v>
      </c>
      <c r="J97" s="8" t="n">
        <v>0</v>
      </c>
      <c r="K97" s="8" t="n">
        <f aca="false">IF(C97&gt;0,G97*E97,0)</f>
        <v>2.2</v>
      </c>
      <c r="L97" s="8" t="n">
        <f aca="false">IF(C97&gt;0,H97*E97,0)</f>
        <v>0</v>
      </c>
      <c r="M97" s="8" t="n">
        <f aca="false">IF(C97&gt;0,I97*E97,0)</f>
        <v>0</v>
      </c>
      <c r="N97" s="8" t="n">
        <f aca="false">IF(C97&gt;0,J97*E97,0)</f>
        <v>0</v>
      </c>
      <c r="O97" s="8" t="n">
        <f aca="false">IF(C97&gt;0,0,D97)</f>
        <v>0</v>
      </c>
      <c r="P97" s="7" t="n">
        <f aca="false">SUM(K97:O97)</f>
        <v>2.2</v>
      </c>
      <c r="Q97" s="8" t="n">
        <f aca="false">M97+N97</f>
        <v>0</v>
      </c>
      <c r="R97" s="21" t="n">
        <v>22</v>
      </c>
      <c r="S97" s="22" t="n">
        <v>22</v>
      </c>
      <c r="T97" s="23" t="n">
        <v>46302</v>
      </c>
    </row>
    <row r="98" customFormat="false" ht="15" hidden="false" customHeight="false" outlineLevel="0" collapsed="false">
      <c r="A98" s="18" t="s">
        <v>16</v>
      </c>
      <c r="B98" s="19" t="s">
        <v>132</v>
      </c>
      <c r="C98" s="8" t="n">
        <v>23.493792</v>
      </c>
      <c r="D98" s="8" t="n">
        <v>22.5</v>
      </c>
      <c r="E98" s="20" t="n">
        <f aca="false">IF(C98&gt;0,D98/C98,"")</f>
        <v>0.957699804271699</v>
      </c>
      <c r="F98" s="18" t="str">
        <f aca="false">IF(AND(C98=0,D98&gt;0),"Plant only",IF(AND(D98=0,C98&gt;0),"System only",IF(ABS(D98-C98)&lt;=0.5,"Match",IF(D98&gt;C98,"Plant more","Plant less"))))</f>
        <v>Plant less</v>
      </c>
      <c r="G98" s="8" t="n">
        <v>23.493792</v>
      </c>
      <c r="H98" s="8" t="n">
        <v>0</v>
      </c>
      <c r="I98" s="8" t="n">
        <v>0</v>
      </c>
      <c r="J98" s="8" t="n">
        <v>0</v>
      </c>
      <c r="K98" s="8" t="n">
        <f aca="false">IF(C98&gt;0,G98*E98,0)</f>
        <v>22.5</v>
      </c>
      <c r="L98" s="8" t="n">
        <f aca="false">IF(C98&gt;0,H98*E98,0)</f>
        <v>0</v>
      </c>
      <c r="M98" s="8" t="n">
        <f aca="false">IF(C98&gt;0,I98*E98,0)</f>
        <v>0</v>
      </c>
      <c r="N98" s="8" t="n">
        <f aca="false">IF(C98&gt;0,J98*E98,0)</f>
        <v>0</v>
      </c>
      <c r="O98" s="8" t="n">
        <f aca="false">IF(C98&gt;0,0,D98)</f>
        <v>0</v>
      </c>
      <c r="P98" s="7" t="n">
        <f aca="false">SUM(K98:O98)</f>
        <v>22.5</v>
      </c>
      <c r="Q98" s="8" t="n">
        <f aca="false">M98+N98</f>
        <v>0</v>
      </c>
      <c r="R98" s="21" t="n">
        <v>22.7785980653953</v>
      </c>
      <c r="S98" s="22" t="n">
        <v>25</v>
      </c>
      <c r="T98" s="23" t="n">
        <v>46302</v>
      </c>
    </row>
    <row r="99" customFormat="false" ht="15" hidden="false" customHeight="false" outlineLevel="0" collapsed="false">
      <c r="A99" s="18" t="s">
        <v>16</v>
      </c>
      <c r="B99" s="19" t="s">
        <v>133</v>
      </c>
      <c r="C99" s="8" t="n">
        <v>9.700807</v>
      </c>
      <c r="D99" s="8" t="n">
        <v>8.5</v>
      </c>
      <c r="E99" s="20" t="n">
        <f aca="false">IF(C99&gt;0,D99/C99,"")</f>
        <v>0.876215762255656</v>
      </c>
      <c r="F99" s="18" t="str">
        <f aca="false">IF(AND(C99=0,D99&gt;0),"Plant only",IF(AND(D99=0,C99&gt;0),"System only",IF(ABS(D99-C99)&lt;=0.5,"Match",IF(D99&gt;C99,"Plant more","Plant less"))))</f>
        <v>Plant less</v>
      </c>
      <c r="G99" s="8" t="n">
        <v>9.700807</v>
      </c>
      <c r="H99" s="8" t="n">
        <v>0</v>
      </c>
      <c r="I99" s="8" t="n">
        <v>0</v>
      </c>
      <c r="J99" s="8" t="n">
        <v>0</v>
      </c>
      <c r="K99" s="8" t="n">
        <f aca="false">IF(C99&gt;0,G99*E99,0)</f>
        <v>8.5</v>
      </c>
      <c r="L99" s="8" t="n">
        <f aca="false">IF(C99&gt;0,H99*E99,0)</f>
        <v>0</v>
      </c>
      <c r="M99" s="8" t="n">
        <f aca="false">IF(C99&gt;0,I99*E99,0)</f>
        <v>0</v>
      </c>
      <c r="N99" s="8" t="n">
        <f aca="false">IF(C99&gt;0,J99*E99,0)</f>
        <v>0</v>
      </c>
      <c r="O99" s="8" t="n">
        <f aca="false">IF(C99&gt;0,0,D99)</f>
        <v>0</v>
      </c>
      <c r="P99" s="7" t="n">
        <f aca="false">SUM(K99:O99)</f>
        <v>8.5</v>
      </c>
      <c r="Q99" s="8" t="n">
        <f aca="false">M99+N99</f>
        <v>0</v>
      </c>
      <c r="R99" s="21" t="n">
        <v>24</v>
      </c>
      <c r="S99" s="22" t="n">
        <v>24</v>
      </c>
      <c r="T99" s="23" t="n">
        <v>46300</v>
      </c>
    </row>
    <row r="100" customFormat="false" ht="15" hidden="false" customHeight="false" outlineLevel="0" collapsed="false">
      <c r="A100" s="18" t="s">
        <v>16</v>
      </c>
      <c r="B100" s="19" t="s">
        <v>134</v>
      </c>
      <c r="C100" s="8" t="n">
        <v>30.45868</v>
      </c>
      <c r="D100" s="8" t="n">
        <v>39.5</v>
      </c>
      <c r="E100" s="20" t="n">
        <f aca="false">IF(C100&gt;0,D100/C100,"")</f>
        <v>1.29683886498036</v>
      </c>
      <c r="F100" s="18" t="str">
        <f aca="false">IF(AND(C100=0,D100&gt;0),"Plant only",IF(AND(D100=0,C100&gt;0),"System only",IF(ABS(D100-C100)&lt;=0.5,"Match",IF(D100&gt;C100,"Plant more","Plant less"))))</f>
        <v>Plant more</v>
      </c>
      <c r="G100" s="8" t="n">
        <v>30.45868</v>
      </c>
      <c r="H100" s="8" t="n">
        <v>0</v>
      </c>
      <c r="I100" s="8" t="n">
        <v>0</v>
      </c>
      <c r="J100" s="8" t="n">
        <v>0</v>
      </c>
      <c r="K100" s="8" t="n">
        <f aca="false">IF(C100&gt;0,G100*E100,0)</f>
        <v>39.5</v>
      </c>
      <c r="L100" s="8" t="n">
        <f aca="false">IF(C100&gt;0,H100*E100,0)</f>
        <v>0</v>
      </c>
      <c r="M100" s="8" t="n">
        <f aca="false">IF(C100&gt;0,I100*E100,0)</f>
        <v>0</v>
      </c>
      <c r="N100" s="8" t="n">
        <f aca="false">IF(C100&gt;0,J100*E100,0)</f>
        <v>0</v>
      </c>
      <c r="O100" s="8" t="n">
        <f aca="false">IF(C100&gt;0,0,D100)</f>
        <v>0</v>
      </c>
      <c r="P100" s="7" t="n">
        <f aca="false">SUM(K100:O100)</f>
        <v>39.5</v>
      </c>
      <c r="Q100" s="8" t="n">
        <f aca="false">M100+N100</f>
        <v>0</v>
      </c>
      <c r="R100" s="21" t="n">
        <v>23</v>
      </c>
      <c r="S100" s="22" t="n">
        <v>23</v>
      </c>
      <c r="T100" s="23" t="n">
        <v>46301</v>
      </c>
    </row>
    <row r="101" customFormat="false" ht="15" hidden="false" customHeight="false" outlineLevel="0" collapsed="false">
      <c r="A101" s="18" t="s">
        <v>16</v>
      </c>
      <c r="B101" s="19" t="s">
        <v>135</v>
      </c>
      <c r="C101" s="8" t="n">
        <v>23.196887</v>
      </c>
      <c r="D101" s="8" t="n">
        <v>28.2</v>
      </c>
      <c r="E101" s="20" t="n">
        <f aca="false">IF(C101&gt;0,D101/C101,"")</f>
        <v>1.21568036262797</v>
      </c>
      <c r="F101" s="18" t="str">
        <f aca="false">IF(AND(C101=0,D101&gt;0),"Plant only",IF(AND(D101=0,C101&gt;0),"System only",IF(ABS(D101-C101)&lt;=0.5,"Match",IF(D101&gt;C101,"Plant more","Plant less"))))</f>
        <v>Plant more</v>
      </c>
      <c r="G101" s="8" t="n">
        <v>23.196887</v>
      </c>
      <c r="H101" s="8" t="n">
        <v>0</v>
      </c>
      <c r="I101" s="8" t="n">
        <v>0</v>
      </c>
      <c r="J101" s="8" t="n">
        <v>0</v>
      </c>
      <c r="K101" s="8" t="n">
        <f aca="false">IF(C101&gt;0,G101*E101,0)</f>
        <v>28.2</v>
      </c>
      <c r="L101" s="8" t="n">
        <f aca="false">IF(C101&gt;0,H101*E101,0)</f>
        <v>0</v>
      </c>
      <c r="M101" s="8" t="n">
        <f aca="false">IF(C101&gt;0,I101*E101,0)</f>
        <v>0</v>
      </c>
      <c r="N101" s="8" t="n">
        <f aca="false">IF(C101&gt;0,J101*E101,0)</f>
        <v>0</v>
      </c>
      <c r="O101" s="8" t="n">
        <f aca="false">IF(C101&gt;0,0,D101)</f>
        <v>0</v>
      </c>
      <c r="P101" s="7" t="n">
        <f aca="false">SUM(K101:O101)</f>
        <v>28.2</v>
      </c>
      <c r="Q101" s="8" t="n">
        <f aca="false">M101+N101</f>
        <v>0</v>
      </c>
      <c r="R101" s="21" t="n">
        <v>22.3923081575558</v>
      </c>
      <c r="S101" s="22" t="n">
        <v>23</v>
      </c>
      <c r="T101" s="23" t="n">
        <v>46302</v>
      </c>
    </row>
    <row r="102" customFormat="false" ht="15" hidden="false" customHeight="false" outlineLevel="0" collapsed="false">
      <c r="A102" s="18" t="s">
        <v>17</v>
      </c>
      <c r="B102" s="19" t="s">
        <v>51</v>
      </c>
      <c r="C102" s="8" t="n">
        <v>54.7693178240002</v>
      </c>
      <c r="D102" s="8" t="n">
        <v>50.5</v>
      </c>
      <c r="E102" s="20" t="n">
        <f aca="false">IF(C102&gt;0,D102/C102,"")</f>
        <v>0.922049096216252</v>
      </c>
      <c r="F102" s="18" t="str">
        <f aca="false">IF(AND(C102=0,D102&gt;0),"Plant only",IF(AND(D102=0,C102&gt;0),"System only",IF(ABS(D102-C102)&lt;=0.5,"Match",IF(D102&gt;C102,"Plant more","Plant less"))))</f>
        <v>Plant less</v>
      </c>
      <c r="G102" s="8" t="n">
        <v>54.7693178240002</v>
      </c>
      <c r="H102" s="8" t="n">
        <v>0</v>
      </c>
      <c r="I102" s="8" t="n">
        <v>0</v>
      </c>
      <c r="J102" s="8" t="n">
        <v>0</v>
      </c>
      <c r="K102" s="8" t="n">
        <f aca="false">IF(C102&gt;0,G102*E102,0)</f>
        <v>50.5</v>
      </c>
      <c r="L102" s="8" t="n">
        <f aca="false">IF(C102&gt;0,H102*E102,0)</f>
        <v>0</v>
      </c>
      <c r="M102" s="8" t="n">
        <f aca="false">IF(C102&gt;0,I102*E102,0)</f>
        <v>0</v>
      </c>
      <c r="N102" s="8" t="n">
        <f aca="false">IF(C102&gt;0,J102*E102,0)</f>
        <v>0</v>
      </c>
      <c r="O102" s="8" t="n">
        <f aca="false">IF(C102&gt;0,0,D102)</f>
        <v>0</v>
      </c>
      <c r="P102" s="7" t="n">
        <f aca="false">SUM(K102:O102)</f>
        <v>50.5</v>
      </c>
      <c r="Q102" s="8" t="n">
        <f aca="false">M102+N102</f>
        <v>0</v>
      </c>
      <c r="R102" s="21" t="n">
        <v>21.397401712067</v>
      </c>
      <c r="S102" s="22" t="n">
        <v>27</v>
      </c>
      <c r="T102" s="23" t="n">
        <v>46323</v>
      </c>
    </row>
    <row r="103" customFormat="false" ht="15" hidden="false" customHeight="false" outlineLevel="0" collapsed="false">
      <c r="A103" s="18" t="s">
        <v>17</v>
      </c>
      <c r="B103" s="19" t="s">
        <v>52</v>
      </c>
      <c r="C103" s="8" t="n">
        <v>67.0330016</v>
      </c>
      <c r="D103" s="8" t="n">
        <v>69.5</v>
      </c>
      <c r="E103" s="20" t="n">
        <f aca="false">IF(C103&gt;0,D103/C103,"")</f>
        <v>1.03680274403824</v>
      </c>
      <c r="F103" s="18" t="str">
        <f aca="false">IF(AND(C103=0,D103&gt;0),"Plant only",IF(AND(D103=0,C103&gt;0),"System only",IF(ABS(D103-C103)&lt;=0.5,"Match",IF(D103&gt;C103,"Plant more","Plant less"))))</f>
        <v>Plant more</v>
      </c>
      <c r="G103" s="8" t="n">
        <v>47.8204416</v>
      </c>
      <c r="H103" s="8" t="n">
        <v>19.21256</v>
      </c>
      <c r="I103" s="8" t="n">
        <v>0</v>
      </c>
      <c r="J103" s="8" t="n">
        <v>0</v>
      </c>
      <c r="K103" s="8" t="n">
        <f aca="false">IF(C103&gt;0,G103*E103,0)</f>
        <v>49.5803650720006</v>
      </c>
      <c r="L103" s="8" t="n">
        <f aca="false">IF(C103&gt;0,H103*E103,0)</f>
        <v>19.9196349279994</v>
      </c>
      <c r="M103" s="8" t="n">
        <f aca="false">IF(C103&gt;0,I103*E103,0)</f>
        <v>0</v>
      </c>
      <c r="N103" s="8" t="n">
        <f aca="false">IF(C103&gt;0,J103*E103,0)</f>
        <v>0</v>
      </c>
      <c r="O103" s="8" t="n">
        <f aca="false">IF(C103&gt;0,0,D103)</f>
        <v>0</v>
      </c>
      <c r="P103" s="7" t="n">
        <f aca="false">SUM(K103:O103)</f>
        <v>69.5</v>
      </c>
      <c r="Q103" s="8" t="n">
        <f aca="false">M103+N103</f>
        <v>0</v>
      </c>
      <c r="R103" s="21" t="n">
        <v>22.5173666577986</v>
      </c>
      <c r="S103" s="22" t="n">
        <v>54</v>
      </c>
      <c r="T103" s="23" t="n">
        <v>46323</v>
      </c>
    </row>
    <row r="104" customFormat="false" ht="15" hidden="false" customHeight="false" outlineLevel="0" collapsed="false">
      <c r="A104" s="18" t="s">
        <v>17</v>
      </c>
      <c r="B104" s="19" t="s">
        <v>53</v>
      </c>
      <c r="C104" s="8" t="n">
        <v>71.0481625</v>
      </c>
      <c r="D104" s="8" t="n">
        <v>71.2</v>
      </c>
      <c r="E104" s="20" t="n">
        <f aca="false">IF(C104&gt;0,D104/C104,"")</f>
        <v>1.00213710664227</v>
      </c>
      <c r="F104" s="18" t="str">
        <f aca="false">IF(AND(C104=0,D104&gt;0),"Plant only",IF(AND(D104=0,C104&gt;0),"System only",IF(ABS(D104-C104)&lt;=0.5,"Match",IF(D104&gt;C104,"Plant more","Plant less"))))</f>
        <v>Match</v>
      </c>
      <c r="G104" s="8" t="n">
        <v>71.0481625</v>
      </c>
      <c r="H104" s="8" t="n">
        <v>0</v>
      </c>
      <c r="I104" s="8" t="n">
        <v>0</v>
      </c>
      <c r="J104" s="8" t="n">
        <v>0</v>
      </c>
      <c r="K104" s="8" t="n">
        <f aca="false">IF(C104&gt;0,G104*E104,0)</f>
        <v>71.2</v>
      </c>
      <c r="L104" s="8" t="n">
        <f aca="false">IF(C104&gt;0,H104*E104,0)</f>
        <v>0</v>
      </c>
      <c r="M104" s="8" t="n">
        <f aca="false">IF(C104&gt;0,I104*E104,0)</f>
        <v>0</v>
      </c>
      <c r="N104" s="8" t="n">
        <f aca="false">IF(C104&gt;0,J104*E104,0)</f>
        <v>0</v>
      </c>
      <c r="O104" s="8" t="n">
        <f aca="false">IF(C104&gt;0,0,D104)</f>
        <v>0</v>
      </c>
      <c r="P104" s="7" t="n">
        <f aca="false">SUM(K104:O104)</f>
        <v>71.2</v>
      </c>
      <c r="Q104" s="8" t="n">
        <f aca="false">M104+N104</f>
        <v>0</v>
      </c>
      <c r="R104" s="21" t="n">
        <v>23.5170029203781</v>
      </c>
      <c r="S104" s="22" t="n">
        <v>30</v>
      </c>
      <c r="T104" s="23" t="n">
        <v>46322</v>
      </c>
    </row>
    <row r="105" customFormat="false" ht="15" hidden="false" customHeight="false" outlineLevel="0" collapsed="false">
      <c r="A105" s="18" t="s">
        <v>17</v>
      </c>
      <c r="B105" s="19" t="s">
        <v>115</v>
      </c>
      <c r="C105" s="8" t="n">
        <v>23.950528</v>
      </c>
      <c r="D105" s="8" t="n">
        <v>23</v>
      </c>
      <c r="E105" s="20" t="n">
        <f aca="false">IF(C105&gt;0,D105/C105,"")</f>
        <v>0.960312858238449</v>
      </c>
      <c r="F105" s="18" t="str">
        <f aca="false">IF(AND(C105=0,D105&gt;0),"Plant only",IF(AND(D105=0,C105&gt;0),"System only",IF(ABS(D105-C105)&lt;=0.5,"Match",IF(D105&gt;C105,"Plant more","Plant less"))))</f>
        <v>Plant less</v>
      </c>
      <c r="G105" s="8" t="n">
        <v>23.950528</v>
      </c>
      <c r="H105" s="8" t="n">
        <v>0</v>
      </c>
      <c r="I105" s="8" t="n">
        <v>0</v>
      </c>
      <c r="J105" s="8" t="n">
        <v>0</v>
      </c>
      <c r="K105" s="8" t="n">
        <f aca="false">IF(C105&gt;0,G105*E105,0)</f>
        <v>23</v>
      </c>
      <c r="L105" s="8" t="n">
        <f aca="false">IF(C105&gt;0,H105*E105,0)</f>
        <v>0</v>
      </c>
      <c r="M105" s="8" t="n">
        <f aca="false">IF(C105&gt;0,I105*E105,0)</f>
        <v>0</v>
      </c>
      <c r="N105" s="8" t="n">
        <f aca="false">IF(C105&gt;0,J105*E105,0)</f>
        <v>0</v>
      </c>
      <c r="O105" s="8" t="n">
        <f aca="false">IF(C105&gt;0,0,D105)</f>
        <v>0</v>
      </c>
      <c r="P105" s="7" t="n">
        <f aca="false">SUM(K105:O105)</f>
        <v>23</v>
      </c>
      <c r="Q105" s="8" t="n">
        <f aca="false">M105+N105</f>
        <v>0</v>
      </c>
      <c r="R105" s="21" t="n">
        <v>11</v>
      </c>
      <c r="S105" s="22" t="n">
        <v>11</v>
      </c>
      <c r="T105" s="23" t="n">
        <v>46313</v>
      </c>
    </row>
    <row r="106" customFormat="false" ht="15" hidden="false" customHeight="false" outlineLevel="0" collapsed="false">
      <c r="A106" s="18" t="s">
        <v>17</v>
      </c>
      <c r="B106" s="19" t="s">
        <v>116</v>
      </c>
      <c r="C106" s="8" t="n">
        <v>29.997252</v>
      </c>
      <c r="D106" s="8" t="n">
        <v>29</v>
      </c>
      <c r="E106" s="20" t="n">
        <f aca="false">IF(C106&gt;0,D106/C106,"")</f>
        <v>0.966755221444951</v>
      </c>
      <c r="F106" s="18" t="str">
        <f aca="false">IF(AND(C106=0,D106&gt;0),"Plant only",IF(AND(D106=0,C106&gt;0),"System only",IF(ABS(D106-C106)&lt;=0.5,"Match",IF(D106&gt;C106,"Plant more","Plant less"))))</f>
        <v>Plant less</v>
      </c>
      <c r="G106" s="8" t="n">
        <v>29.997252</v>
      </c>
      <c r="H106" s="8" t="n">
        <v>0</v>
      </c>
      <c r="I106" s="8" t="n">
        <v>0</v>
      </c>
      <c r="J106" s="8" t="n">
        <v>0</v>
      </c>
      <c r="K106" s="8" t="n">
        <f aca="false">IF(C106&gt;0,G106*E106,0)</f>
        <v>29</v>
      </c>
      <c r="L106" s="8" t="n">
        <f aca="false">IF(C106&gt;0,H106*E106,0)</f>
        <v>0</v>
      </c>
      <c r="M106" s="8" t="n">
        <f aca="false">IF(C106&gt;0,I106*E106,0)</f>
        <v>0</v>
      </c>
      <c r="N106" s="8" t="n">
        <f aca="false">IF(C106&gt;0,J106*E106,0)</f>
        <v>0</v>
      </c>
      <c r="O106" s="8" t="n">
        <f aca="false">IF(C106&gt;0,0,D106)</f>
        <v>0</v>
      </c>
      <c r="P106" s="7" t="n">
        <f aca="false">SUM(K106:O106)</f>
        <v>29</v>
      </c>
      <c r="Q106" s="8" t="n">
        <f aca="false">M106+N106</f>
        <v>0</v>
      </c>
      <c r="R106" s="21" t="n">
        <v>10.4478275210009</v>
      </c>
      <c r="S106" s="22" t="n">
        <v>11</v>
      </c>
      <c r="T106" s="23" t="n">
        <v>46314</v>
      </c>
    </row>
    <row r="107" customFormat="false" ht="15" hidden="false" customHeight="false" outlineLevel="0" collapsed="false">
      <c r="A107" s="18" t="s">
        <v>17</v>
      </c>
      <c r="B107" s="19" t="s">
        <v>136</v>
      </c>
      <c r="C107" s="8" t="n">
        <v>2.153178688</v>
      </c>
      <c r="D107" s="8" t="n">
        <v>1</v>
      </c>
      <c r="E107" s="20" t="n">
        <f aca="false">IF(C107&gt;0,D107/C107,"")</f>
        <v>0.464429638642234</v>
      </c>
      <c r="F107" s="18" t="str">
        <f aca="false">IF(AND(C107=0,D107&gt;0),"Plant only",IF(AND(D107=0,C107&gt;0),"System only",IF(ABS(D107-C107)&lt;=0.5,"Match",IF(D107&gt;C107,"Plant more","Plant less"))))</f>
        <v>Plant less</v>
      </c>
      <c r="G107" s="8" t="n">
        <v>0</v>
      </c>
      <c r="H107" s="8" t="n">
        <v>2.153178688</v>
      </c>
      <c r="I107" s="8" t="n">
        <v>0</v>
      </c>
      <c r="J107" s="8" t="n">
        <v>0</v>
      </c>
      <c r="K107" s="8" t="n">
        <f aca="false">IF(C107&gt;0,G107*E107,0)</f>
        <v>0</v>
      </c>
      <c r="L107" s="8" t="n">
        <f aca="false">IF(C107&gt;0,H107*E107,0)</f>
        <v>1</v>
      </c>
      <c r="M107" s="8" t="n">
        <f aca="false">IF(C107&gt;0,I107*E107,0)</f>
        <v>0</v>
      </c>
      <c r="N107" s="8" t="n">
        <f aca="false">IF(C107&gt;0,J107*E107,0)</f>
        <v>0</v>
      </c>
      <c r="O107" s="8" t="n">
        <f aca="false">IF(C107&gt;0,0,D107)</f>
        <v>0</v>
      </c>
      <c r="P107" s="7" t="n">
        <f aca="false">SUM(K107:O107)</f>
        <v>1</v>
      </c>
      <c r="Q107" s="8" t="n">
        <f aca="false">M107+N107</f>
        <v>0</v>
      </c>
      <c r="R107" s="21" t="n">
        <v>36</v>
      </c>
      <c r="S107" s="22" t="n">
        <v>36</v>
      </c>
      <c r="T107" s="23" t="n">
        <v>46288</v>
      </c>
    </row>
    <row r="108" customFormat="false" ht="15" hidden="false" customHeight="false" outlineLevel="0" collapsed="false">
      <c r="A108" s="18" t="s">
        <v>17</v>
      </c>
      <c r="B108" s="19" t="s">
        <v>64</v>
      </c>
      <c r="C108" s="8" t="n">
        <v>0</v>
      </c>
      <c r="D108" s="8" t="n">
        <v>0.8</v>
      </c>
      <c r="E108" s="20" t="str">
        <f aca="false">IF(C108&gt;0,D108/C108,"")</f>
        <v/>
      </c>
      <c r="F108" s="18" t="str">
        <f aca="false">IF(AND(C108=0,D108&gt;0),"Plant only",IF(AND(D108=0,C108&gt;0),"System only",IF(ABS(D108-C108)&lt;=0.5,"Match",IF(D108&gt;C108,"Plant more","Plant less"))))</f>
        <v>Plant only</v>
      </c>
      <c r="G108" s="8" t="n">
        <v>0</v>
      </c>
      <c r="H108" s="8" t="n">
        <v>0</v>
      </c>
      <c r="I108" s="8" t="n">
        <v>0</v>
      </c>
      <c r="J108" s="8" t="n">
        <v>0</v>
      </c>
      <c r="K108" s="8" t="n">
        <f aca="false">IF(C108&gt;0,G108*E108,0)</f>
        <v>0</v>
      </c>
      <c r="L108" s="8" t="n">
        <f aca="false">IF(C108&gt;0,H108*E108,0)</f>
        <v>0</v>
      </c>
      <c r="M108" s="8" t="n">
        <f aca="false">IF(C108&gt;0,I108*E108,0)</f>
        <v>0</v>
      </c>
      <c r="N108" s="8" t="n">
        <f aca="false">IF(C108&gt;0,J108*E108,0)</f>
        <v>0</v>
      </c>
      <c r="O108" s="8" t="n">
        <f aca="false">IF(C108&gt;0,0,D108)</f>
        <v>0.8</v>
      </c>
      <c r="P108" s="7" t="n">
        <f aca="false">SUM(K108:O108)</f>
        <v>0.8</v>
      </c>
      <c r="Q108" s="8" t="n">
        <f aca="false">M108+N108</f>
        <v>0</v>
      </c>
      <c r="R108" s="21"/>
      <c r="S108" s="22"/>
      <c r="T108" s="23" t="n">
        <v>46291</v>
      </c>
    </row>
    <row r="109" customFormat="false" ht="15" hidden="false" customHeight="false" outlineLevel="0" collapsed="false">
      <c r="A109" s="18" t="s">
        <v>17</v>
      </c>
      <c r="B109" s="19" t="s">
        <v>65</v>
      </c>
      <c r="C109" s="8" t="n">
        <v>0</v>
      </c>
      <c r="D109" s="8" t="n">
        <v>0.1</v>
      </c>
      <c r="E109" s="20" t="str">
        <f aca="false">IF(C109&gt;0,D109/C109,"")</f>
        <v/>
      </c>
      <c r="F109" s="18" t="str">
        <f aca="false">IF(AND(C109=0,D109&gt;0),"Plant only",IF(AND(D109=0,C109&gt;0),"System only",IF(ABS(D109-C109)&lt;=0.5,"Match",IF(D109&gt;C109,"Plant more","Plant less"))))</f>
        <v>Plant only</v>
      </c>
      <c r="G109" s="8" t="n">
        <v>0</v>
      </c>
      <c r="H109" s="8" t="n">
        <v>0</v>
      </c>
      <c r="I109" s="8" t="n">
        <v>0</v>
      </c>
      <c r="J109" s="8" t="n">
        <v>0</v>
      </c>
      <c r="K109" s="8" t="n">
        <f aca="false">IF(C109&gt;0,G109*E109,0)</f>
        <v>0</v>
      </c>
      <c r="L109" s="8" t="n">
        <f aca="false">IF(C109&gt;0,H109*E109,0)</f>
        <v>0</v>
      </c>
      <c r="M109" s="8" t="n">
        <f aca="false">IF(C109&gt;0,I109*E109,0)</f>
        <v>0</v>
      </c>
      <c r="N109" s="8" t="n">
        <f aca="false">IF(C109&gt;0,J109*E109,0)</f>
        <v>0</v>
      </c>
      <c r="O109" s="8" t="n">
        <f aca="false">IF(C109&gt;0,0,D109)</f>
        <v>0.1</v>
      </c>
      <c r="P109" s="7" t="n">
        <f aca="false">SUM(K109:O109)</f>
        <v>0.1</v>
      </c>
      <c r="Q109" s="8" t="n">
        <f aca="false">M109+N109</f>
        <v>0</v>
      </c>
      <c r="R109" s="21"/>
      <c r="S109" s="22"/>
      <c r="T109" s="23" t="n">
        <v>46291</v>
      </c>
    </row>
    <row r="110" customFormat="false" ht="15" hidden="false" customHeight="false" outlineLevel="0" collapsed="false">
      <c r="A110" s="18" t="s">
        <v>17</v>
      </c>
      <c r="B110" s="19" t="s">
        <v>66</v>
      </c>
      <c r="C110" s="8" t="n">
        <v>102.528854464</v>
      </c>
      <c r="D110" s="8" t="n">
        <v>99</v>
      </c>
      <c r="E110" s="20" t="n">
        <f aca="false">IF(C110&gt;0,D110/C110,"")</f>
        <v>0.965581840522376</v>
      </c>
      <c r="F110" s="18" t="str">
        <f aca="false">IF(AND(C110=0,D110&gt;0),"Plant only",IF(AND(D110=0,C110&gt;0),"System only",IF(ABS(D110-C110)&lt;=0.5,"Match",IF(D110&gt;C110,"Plant more","Plant less"))))</f>
        <v>Plant less</v>
      </c>
      <c r="G110" s="8" t="n">
        <v>102.528854464</v>
      </c>
      <c r="H110" s="8" t="n">
        <v>0</v>
      </c>
      <c r="I110" s="8" t="n">
        <v>0</v>
      </c>
      <c r="J110" s="8" t="n">
        <v>0</v>
      </c>
      <c r="K110" s="8" t="n">
        <f aca="false">IF(C110&gt;0,G110*E110,0)</f>
        <v>99</v>
      </c>
      <c r="L110" s="8" t="n">
        <f aca="false">IF(C110&gt;0,H110*E110,0)</f>
        <v>0</v>
      </c>
      <c r="M110" s="8" t="n">
        <f aca="false">IF(C110&gt;0,I110*E110,0)</f>
        <v>0</v>
      </c>
      <c r="N110" s="8" t="n">
        <f aca="false">IF(C110&gt;0,J110*E110,0)</f>
        <v>0</v>
      </c>
      <c r="O110" s="8" t="n">
        <f aca="false">IF(C110&gt;0,0,D110)</f>
        <v>0</v>
      </c>
      <c r="P110" s="7" t="n">
        <f aca="false">SUM(K110:O110)</f>
        <v>99</v>
      </c>
      <c r="Q110" s="8" t="n">
        <f aca="false">M110+N110</f>
        <v>0</v>
      </c>
      <c r="R110" s="21" t="n">
        <v>18.6066136798382</v>
      </c>
      <c r="S110" s="22" t="n">
        <v>20</v>
      </c>
      <c r="T110" s="23" t="n">
        <v>46306</v>
      </c>
    </row>
    <row r="111" customFormat="false" ht="15" hidden="false" customHeight="false" outlineLevel="0" collapsed="false">
      <c r="A111" s="18" t="s">
        <v>17</v>
      </c>
      <c r="B111" s="19" t="s">
        <v>67</v>
      </c>
      <c r="C111" s="8" t="n">
        <v>40.8825136</v>
      </c>
      <c r="D111" s="8" t="n">
        <v>41.3</v>
      </c>
      <c r="E111" s="20" t="n">
        <f aca="false">IF(C111&gt;0,D111/C111,"")</f>
        <v>1.01021185742356</v>
      </c>
      <c r="F111" s="18" t="str">
        <f aca="false">IF(AND(C111=0,D111&gt;0),"Plant only",IF(AND(D111=0,C111&gt;0),"System only",IF(ABS(D111-C111)&lt;=0.5,"Match",IF(D111&gt;C111,"Plant more","Plant less"))))</f>
        <v>Match</v>
      </c>
      <c r="G111" s="8" t="n">
        <v>40.8825136</v>
      </c>
      <c r="H111" s="8" t="n">
        <v>0</v>
      </c>
      <c r="I111" s="8" t="n">
        <v>0</v>
      </c>
      <c r="J111" s="8" t="n">
        <v>0</v>
      </c>
      <c r="K111" s="8" t="n">
        <f aca="false">IF(C111&gt;0,G111*E111,0)</f>
        <v>41.3</v>
      </c>
      <c r="L111" s="8" t="n">
        <f aca="false">IF(C111&gt;0,H111*E111,0)</f>
        <v>0</v>
      </c>
      <c r="M111" s="8" t="n">
        <f aca="false">IF(C111&gt;0,I111*E111,0)</f>
        <v>0</v>
      </c>
      <c r="N111" s="8" t="n">
        <f aca="false">IF(C111&gt;0,J111*E111,0)</f>
        <v>0</v>
      </c>
      <c r="O111" s="8" t="n">
        <f aca="false">IF(C111&gt;0,0,D111)</f>
        <v>0</v>
      </c>
      <c r="P111" s="7" t="n">
        <f aca="false">SUM(K111:O111)</f>
        <v>41.3</v>
      </c>
      <c r="Q111" s="8" t="n">
        <f aca="false">M111+N111</f>
        <v>0</v>
      </c>
      <c r="R111" s="21" t="n">
        <v>21.6575828546902</v>
      </c>
      <c r="S111" s="22" t="n">
        <v>22</v>
      </c>
      <c r="T111" s="23" t="n">
        <v>46304</v>
      </c>
    </row>
    <row r="112" customFormat="false" ht="15" hidden="false" customHeight="false" outlineLevel="0" collapsed="false">
      <c r="A112" s="18" t="s">
        <v>17</v>
      </c>
      <c r="B112" s="19" t="s">
        <v>68</v>
      </c>
      <c r="C112" s="8" t="n">
        <v>41.7639025</v>
      </c>
      <c r="D112" s="8" t="n">
        <v>42</v>
      </c>
      <c r="E112" s="20" t="n">
        <f aca="false">IF(C112&gt;0,D112/C112,"")</f>
        <v>1.00565314747586</v>
      </c>
      <c r="F112" s="18" t="str">
        <f aca="false">IF(AND(C112=0,D112&gt;0),"Plant only",IF(AND(D112=0,C112&gt;0),"System only",IF(ABS(D112-C112)&lt;=0.5,"Match",IF(D112&gt;C112,"Plant more","Plant less"))))</f>
        <v>Match</v>
      </c>
      <c r="G112" s="8" t="n">
        <v>41.7639025</v>
      </c>
      <c r="H112" s="8" t="n">
        <v>0</v>
      </c>
      <c r="I112" s="8" t="n">
        <v>0</v>
      </c>
      <c r="J112" s="8" t="n">
        <v>0</v>
      </c>
      <c r="K112" s="8" t="n">
        <f aca="false">IF(C112&gt;0,G112*E112,0)</f>
        <v>42</v>
      </c>
      <c r="L112" s="8" t="n">
        <f aca="false">IF(C112&gt;0,H112*E112,0)</f>
        <v>0</v>
      </c>
      <c r="M112" s="8" t="n">
        <f aca="false">IF(C112&gt;0,I112*E112,0)</f>
        <v>0</v>
      </c>
      <c r="N112" s="8" t="n">
        <f aca="false">IF(C112&gt;0,J112*E112,0)</f>
        <v>0</v>
      </c>
      <c r="O112" s="8" t="n">
        <f aca="false">IF(C112&gt;0,0,D112)</f>
        <v>0</v>
      </c>
      <c r="P112" s="7" t="n">
        <f aca="false">SUM(K112:O112)</f>
        <v>42</v>
      </c>
      <c r="Q112" s="8" t="n">
        <f aca="false">M112+N112</f>
        <v>0</v>
      </c>
      <c r="R112" s="21" t="n">
        <v>23.3802068065838</v>
      </c>
      <c r="S112" s="22" t="n">
        <v>24</v>
      </c>
      <c r="T112" s="23" t="n">
        <v>46301</v>
      </c>
    </row>
    <row r="113" customFormat="false" ht="15" hidden="false" customHeight="false" outlineLevel="0" collapsed="false">
      <c r="A113" s="18" t="s">
        <v>17</v>
      </c>
      <c r="B113" s="19" t="s">
        <v>69</v>
      </c>
      <c r="C113" s="8" t="n">
        <v>17.3729504</v>
      </c>
      <c r="D113" s="8" t="n">
        <v>17.4</v>
      </c>
      <c r="E113" s="20" t="n">
        <f aca="false">IF(C113&gt;0,D113/C113,"")</f>
        <v>1.00155699517798</v>
      </c>
      <c r="F113" s="18" t="str">
        <f aca="false">IF(AND(C113=0,D113&gt;0),"Plant only",IF(AND(D113=0,C113&gt;0),"System only",IF(ABS(D113-C113)&lt;=0.5,"Match",IF(D113&gt;C113,"Plant more","Plant less"))))</f>
        <v>Match</v>
      </c>
      <c r="G113" s="8" t="n">
        <v>0</v>
      </c>
      <c r="H113" s="8" t="n">
        <v>17.3729504</v>
      </c>
      <c r="I113" s="8" t="n">
        <v>0</v>
      </c>
      <c r="J113" s="8" t="n">
        <v>0</v>
      </c>
      <c r="K113" s="8" t="n">
        <f aca="false">IF(C113&gt;0,G113*E113,0)</f>
        <v>0</v>
      </c>
      <c r="L113" s="8" t="n">
        <f aca="false">IF(C113&gt;0,H113*E113,0)</f>
        <v>17.4</v>
      </c>
      <c r="M113" s="8" t="n">
        <f aca="false">IF(C113&gt;0,I113*E113,0)</f>
        <v>0</v>
      </c>
      <c r="N113" s="8" t="n">
        <f aca="false">IF(C113&gt;0,J113*E113,0)</f>
        <v>0</v>
      </c>
      <c r="O113" s="8" t="n">
        <f aca="false">IF(C113&gt;0,0,D113)</f>
        <v>0</v>
      </c>
      <c r="P113" s="7" t="n">
        <f aca="false">SUM(K113:O113)</f>
        <v>17.4</v>
      </c>
      <c r="Q113" s="8" t="n">
        <f aca="false">M113+N113</f>
        <v>0</v>
      </c>
      <c r="R113" s="21" t="n">
        <v>52</v>
      </c>
      <c r="S113" s="22" t="n">
        <v>52</v>
      </c>
      <c r="T113" s="23" t="n">
        <v>46272</v>
      </c>
    </row>
    <row r="114" customFormat="false" ht="15" hidden="false" customHeight="false" outlineLevel="0" collapsed="false">
      <c r="A114" s="18" t="s">
        <v>17</v>
      </c>
      <c r="B114" s="19" t="s">
        <v>137</v>
      </c>
      <c r="C114" s="8" t="n">
        <v>56.1601697920001</v>
      </c>
      <c r="D114" s="8" t="n">
        <v>56.6</v>
      </c>
      <c r="E114" s="20" t="n">
        <f aca="false">IF(C114&gt;0,D114/C114,"")</f>
        <v>1.00783171079484</v>
      </c>
      <c r="F114" s="18" t="str">
        <f aca="false">IF(AND(C114=0,D114&gt;0),"Plant only",IF(AND(D114=0,C114&gt;0),"System only",IF(ABS(D114-C114)&lt;=0.5,"Match",IF(D114&gt;C114,"Plant more","Plant less"))))</f>
        <v>Match</v>
      </c>
      <c r="G114" s="8" t="n">
        <v>56.1601697920001</v>
      </c>
      <c r="H114" s="8" t="n">
        <v>0</v>
      </c>
      <c r="I114" s="8" t="n">
        <v>0</v>
      </c>
      <c r="J114" s="8" t="n">
        <v>0</v>
      </c>
      <c r="K114" s="8" t="n">
        <f aca="false">IF(C114&gt;0,G114*E114,0)</f>
        <v>56.6</v>
      </c>
      <c r="L114" s="8" t="n">
        <f aca="false">IF(C114&gt;0,H114*E114,0)</f>
        <v>0</v>
      </c>
      <c r="M114" s="8" t="n">
        <f aca="false">IF(C114&gt;0,I114*E114,0)</f>
        <v>0</v>
      </c>
      <c r="N114" s="8" t="n">
        <f aca="false">IF(C114&gt;0,J114*E114,0)</f>
        <v>0</v>
      </c>
      <c r="O114" s="8" t="n">
        <f aca="false">IF(C114&gt;0,0,D114)</f>
        <v>0</v>
      </c>
      <c r="P114" s="7" t="n">
        <f aca="false">SUM(K114:O114)</f>
        <v>56.6</v>
      </c>
      <c r="Q114" s="8" t="n">
        <f aca="false">M114+N114</f>
        <v>0</v>
      </c>
      <c r="R114" s="21" t="n">
        <v>6.59004657391047</v>
      </c>
      <c r="S114" s="22" t="n">
        <v>8</v>
      </c>
      <c r="T114" s="23" t="n">
        <v>46318</v>
      </c>
    </row>
    <row r="115" customFormat="false" ht="15" hidden="false" customHeight="false" outlineLevel="0" collapsed="false">
      <c r="A115" s="18" t="s">
        <v>17</v>
      </c>
      <c r="B115" s="19" t="s">
        <v>73</v>
      </c>
      <c r="C115" s="8" t="n">
        <v>101.4804864</v>
      </c>
      <c r="D115" s="8" t="n">
        <v>104</v>
      </c>
      <c r="E115" s="20" t="n">
        <f aca="false">IF(C115&gt;0,D115/C115,"")</f>
        <v>1.02482756724351</v>
      </c>
      <c r="F115" s="18" t="str">
        <f aca="false">IF(AND(C115=0,D115&gt;0),"Plant only",IF(AND(D115=0,C115&gt;0),"System only",IF(ABS(D115-C115)&lt;=0.5,"Match",IF(D115&gt;C115,"Plant more","Plant less"))))</f>
        <v>Plant more</v>
      </c>
      <c r="G115" s="8" t="n">
        <v>49.6313424</v>
      </c>
      <c r="H115" s="8" t="n">
        <v>51.849144</v>
      </c>
      <c r="I115" s="8" t="n">
        <v>0</v>
      </c>
      <c r="J115" s="8" t="n">
        <v>0</v>
      </c>
      <c r="K115" s="8" t="n">
        <f aca="false">IF(C115&gt;0,G115*E115,0)</f>
        <v>50.8635678908216</v>
      </c>
      <c r="L115" s="8" t="n">
        <f aca="false">IF(C115&gt;0,H115*E115,0)</f>
        <v>53.1364321091784</v>
      </c>
      <c r="M115" s="8" t="n">
        <f aca="false">IF(C115&gt;0,I115*E115,0)</f>
        <v>0</v>
      </c>
      <c r="N115" s="8" t="n">
        <f aca="false">IF(C115&gt;0,J115*E115,0)</f>
        <v>0</v>
      </c>
      <c r="O115" s="8" t="n">
        <f aca="false">IF(C115&gt;0,0,D115)</f>
        <v>0</v>
      </c>
      <c r="P115" s="7" t="n">
        <f aca="false">SUM(K115:O115)</f>
        <v>104</v>
      </c>
      <c r="Q115" s="8" t="n">
        <f aca="false">M115+N115</f>
        <v>0</v>
      </c>
      <c r="R115" s="21" t="n">
        <v>25.7210398865412</v>
      </c>
      <c r="S115" s="22" t="n">
        <v>44</v>
      </c>
      <c r="T115" s="23" t="n">
        <v>46321</v>
      </c>
    </row>
    <row r="116" customFormat="false" ht="15" hidden="false" customHeight="false" outlineLevel="0" collapsed="false">
      <c r="A116" s="18" t="s">
        <v>17</v>
      </c>
      <c r="B116" s="19" t="s">
        <v>74</v>
      </c>
      <c r="C116" s="8" t="n">
        <v>62.560575</v>
      </c>
      <c r="D116" s="8" t="n">
        <v>63</v>
      </c>
      <c r="E116" s="20" t="n">
        <f aca="false">IF(C116&gt;0,D116/C116,"")</f>
        <v>1.00702399234662</v>
      </c>
      <c r="F116" s="18" t="str">
        <f aca="false">IF(AND(C116=0,D116&gt;0),"Plant only",IF(AND(D116=0,C116&gt;0),"System only",IF(ABS(D116-C116)&lt;=0.5,"Match",IF(D116&gt;C116,"Plant more","Plant less"))))</f>
        <v>Match</v>
      </c>
      <c r="G116" s="8" t="n">
        <v>62.560575</v>
      </c>
      <c r="H116" s="8" t="n">
        <v>0</v>
      </c>
      <c r="I116" s="8" t="n">
        <v>0</v>
      </c>
      <c r="J116" s="8" t="n">
        <v>0</v>
      </c>
      <c r="K116" s="8" t="n">
        <f aca="false">IF(C116&gt;0,G116*E116,0)</f>
        <v>63</v>
      </c>
      <c r="L116" s="8" t="n">
        <f aca="false">IF(C116&gt;0,H116*E116,0)</f>
        <v>0</v>
      </c>
      <c r="M116" s="8" t="n">
        <f aca="false">IF(C116&gt;0,I116*E116,0)</f>
        <v>0</v>
      </c>
      <c r="N116" s="8" t="n">
        <f aca="false">IF(C116&gt;0,J116*E116,0)</f>
        <v>0</v>
      </c>
      <c r="O116" s="8" t="n">
        <f aca="false">IF(C116&gt;0,0,D116)</f>
        <v>0</v>
      </c>
      <c r="P116" s="7" t="n">
        <f aca="false">SUM(K116:O116)</f>
        <v>63</v>
      </c>
      <c r="Q116" s="8" t="n">
        <f aca="false">M116+N116</f>
        <v>0</v>
      </c>
      <c r="R116" s="21" t="n">
        <v>3.85714285714286</v>
      </c>
      <c r="S116" s="22" t="n">
        <v>4</v>
      </c>
      <c r="T116" s="23" t="n">
        <v>46321</v>
      </c>
    </row>
    <row r="117" customFormat="false" ht="15" hidden="false" customHeight="false" outlineLevel="0" collapsed="false">
      <c r="A117" s="18" t="s">
        <v>17</v>
      </c>
      <c r="B117" s="19" t="s">
        <v>75</v>
      </c>
      <c r="C117" s="8" t="n">
        <v>28.7222888</v>
      </c>
      <c r="D117" s="8" t="n">
        <v>29.6</v>
      </c>
      <c r="E117" s="20" t="n">
        <f aca="false">IF(C117&gt;0,D117/C117,"")</f>
        <v>1.03055853961053</v>
      </c>
      <c r="F117" s="18" t="str">
        <f aca="false">IF(AND(C117=0,D117&gt;0),"Plant only",IF(AND(D117=0,C117&gt;0),"System only",IF(ABS(D117-C117)&lt;=0.5,"Match",IF(D117&gt;C117,"Plant more","Plant less"))))</f>
        <v>Plant more</v>
      </c>
      <c r="G117" s="8" t="n">
        <v>0</v>
      </c>
      <c r="H117" s="8" t="n">
        <v>28.7222888</v>
      </c>
      <c r="I117" s="8" t="n">
        <v>0</v>
      </c>
      <c r="J117" s="8" t="n">
        <v>0</v>
      </c>
      <c r="K117" s="8" t="n">
        <f aca="false">IF(C117&gt;0,G117*E117,0)</f>
        <v>0</v>
      </c>
      <c r="L117" s="8" t="n">
        <f aca="false">IF(C117&gt;0,H117*E117,0)</f>
        <v>29.6</v>
      </c>
      <c r="M117" s="8" t="n">
        <f aca="false">IF(C117&gt;0,I117*E117,0)</f>
        <v>0</v>
      </c>
      <c r="N117" s="8" t="n">
        <f aca="false">IF(C117&gt;0,J117*E117,0)</f>
        <v>0</v>
      </c>
      <c r="O117" s="8" t="n">
        <f aca="false">IF(C117&gt;0,0,D117)</f>
        <v>0</v>
      </c>
      <c r="P117" s="7" t="n">
        <f aca="false">SUM(K117:O117)</f>
        <v>29.6</v>
      </c>
      <c r="Q117" s="8" t="n">
        <f aca="false">M117+N117</f>
        <v>0</v>
      </c>
      <c r="R117" s="21" t="n">
        <v>46.7661832855047</v>
      </c>
      <c r="S117" s="22" t="n">
        <v>48</v>
      </c>
      <c r="T117" s="23" t="n">
        <v>46278</v>
      </c>
    </row>
    <row r="118" customFormat="false" ht="15" hidden="false" customHeight="false" outlineLevel="0" collapsed="false">
      <c r="A118" s="18" t="s">
        <v>17</v>
      </c>
      <c r="B118" s="19" t="s">
        <v>138</v>
      </c>
      <c r="C118" s="8" t="n">
        <v>19.777918528</v>
      </c>
      <c r="D118" s="8" t="n">
        <v>20</v>
      </c>
      <c r="E118" s="20" t="n">
        <f aca="false">IF(C118&gt;0,D118/C118,"")</f>
        <v>1.0112287585615</v>
      </c>
      <c r="F118" s="18" t="str">
        <f aca="false">IF(AND(C118=0,D118&gt;0),"Plant only",IF(AND(D118=0,C118&gt;0),"System only",IF(ABS(D118-C118)&lt;=0.5,"Match",IF(D118&gt;C118,"Plant more","Plant less"))))</f>
        <v>Match</v>
      </c>
      <c r="G118" s="8" t="n">
        <v>19.777918528</v>
      </c>
      <c r="H118" s="8" t="n">
        <v>0</v>
      </c>
      <c r="I118" s="8" t="n">
        <v>0</v>
      </c>
      <c r="J118" s="8" t="n">
        <v>0</v>
      </c>
      <c r="K118" s="8" t="n">
        <f aca="false">IF(C118&gt;0,G118*E118,0)</f>
        <v>20</v>
      </c>
      <c r="L118" s="8" t="n">
        <f aca="false">IF(C118&gt;0,H118*E118,0)</f>
        <v>0</v>
      </c>
      <c r="M118" s="8" t="n">
        <f aca="false">IF(C118&gt;0,I118*E118,0)</f>
        <v>0</v>
      </c>
      <c r="N118" s="8" t="n">
        <f aca="false">IF(C118&gt;0,J118*E118,0)</f>
        <v>0</v>
      </c>
      <c r="O118" s="8" t="n">
        <f aca="false">IF(C118&gt;0,0,D118)</f>
        <v>0</v>
      </c>
      <c r="P118" s="7" t="n">
        <f aca="false">SUM(K118:O118)</f>
        <v>20</v>
      </c>
      <c r="Q118" s="8" t="n">
        <f aca="false">M118+N118</f>
        <v>0</v>
      </c>
      <c r="R118" s="21" t="n">
        <v>13</v>
      </c>
      <c r="S118" s="22" t="n">
        <v>13</v>
      </c>
      <c r="T118" s="23" t="n">
        <v>46311</v>
      </c>
    </row>
    <row r="119" customFormat="false" ht="15" hidden="false" customHeight="false" outlineLevel="0" collapsed="false">
      <c r="A119" s="18" t="s">
        <v>17</v>
      </c>
      <c r="B119" s="19" t="s">
        <v>139</v>
      </c>
      <c r="C119" s="8" t="n">
        <v>40.21808</v>
      </c>
      <c r="D119" s="8" t="n">
        <v>39.8</v>
      </c>
      <c r="E119" s="20" t="n">
        <f aca="false">IF(C119&gt;0,D119/C119,"")</f>
        <v>0.989604675310209</v>
      </c>
      <c r="F119" s="18" t="str">
        <f aca="false">IF(AND(C119=0,D119&gt;0),"Plant only",IF(AND(D119=0,C119&gt;0),"System only",IF(ABS(D119-C119)&lt;=0.5,"Match",IF(D119&gt;C119,"Plant more","Plant less"))))</f>
        <v>Match</v>
      </c>
      <c r="G119" s="8" t="n">
        <v>40.21808</v>
      </c>
      <c r="H119" s="8" t="n">
        <v>0</v>
      </c>
      <c r="I119" s="8" t="n">
        <v>0</v>
      </c>
      <c r="J119" s="8" t="n">
        <v>0</v>
      </c>
      <c r="K119" s="8" t="n">
        <f aca="false">IF(C119&gt;0,G119*E119,0)</f>
        <v>39.8</v>
      </c>
      <c r="L119" s="8" t="n">
        <f aca="false">IF(C119&gt;0,H119*E119,0)</f>
        <v>0</v>
      </c>
      <c r="M119" s="8" t="n">
        <f aca="false">IF(C119&gt;0,I119*E119,0)</f>
        <v>0</v>
      </c>
      <c r="N119" s="8" t="n">
        <f aca="false">IF(C119&gt;0,J119*E119,0)</f>
        <v>0</v>
      </c>
      <c r="O119" s="8" t="n">
        <f aca="false">IF(C119&gt;0,0,D119)</f>
        <v>0</v>
      </c>
      <c r="P119" s="7" t="n">
        <f aca="false">SUM(K119:O119)</f>
        <v>39.8</v>
      </c>
      <c r="Q119" s="8" t="n">
        <f aca="false">M119+N119</f>
        <v>0</v>
      </c>
      <c r="R119" s="21" t="n">
        <v>14.4884569328024</v>
      </c>
      <c r="S119" s="22" t="n">
        <v>15</v>
      </c>
      <c r="T119" s="23" t="n">
        <v>46313</v>
      </c>
    </row>
    <row r="120" customFormat="false" ht="15" hidden="false" customHeight="false" outlineLevel="0" collapsed="false">
      <c r="A120" s="18" t="s">
        <v>17</v>
      </c>
      <c r="B120" s="19" t="s">
        <v>128</v>
      </c>
      <c r="C120" s="8" t="n">
        <v>17.4673736</v>
      </c>
      <c r="D120" s="8" t="n">
        <v>17.4</v>
      </c>
      <c r="E120" s="20" t="n">
        <f aca="false">IF(C120&gt;0,D120/C120,"")</f>
        <v>0.996142888934373</v>
      </c>
      <c r="F120" s="18" t="str">
        <f aca="false">IF(AND(C120=0,D120&gt;0),"Plant only",IF(AND(D120=0,C120&gt;0),"System only",IF(ABS(D120-C120)&lt;=0.5,"Match",IF(D120&gt;C120,"Plant more","Plant less"))))</f>
        <v>Match</v>
      </c>
      <c r="G120" s="8" t="n">
        <v>17.4673736</v>
      </c>
      <c r="H120" s="8" t="n">
        <v>0</v>
      </c>
      <c r="I120" s="8" t="n">
        <v>0</v>
      </c>
      <c r="J120" s="8" t="n">
        <v>0</v>
      </c>
      <c r="K120" s="8" t="n">
        <f aca="false">IF(C120&gt;0,G120*E120,0)</f>
        <v>17.4</v>
      </c>
      <c r="L120" s="8" t="n">
        <f aca="false">IF(C120&gt;0,H120*E120,0)</f>
        <v>0</v>
      </c>
      <c r="M120" s="8" t="n">
        <f aca="false">IF(C120&gt;0,I120*E120,0)</f>
        <v>0</v>
      </c>
      <c r="N120" s="8" t="n">
        <f aca="false">IF(C120&gt;0,J120*E120,0)</f>
        <v>0</v>
      </c>
      <c r="O120" s="8" t="n">
        <f aca="false">IF(C120&gt;0,0,D120)</f>
        <v>0</v>
      </c>
      <c r="P120" s="7" t="n">
        <f aca="false">SUM(K120:O120)</f>
        <v>17.4</v>
      </c>
      <c r="Q120" s="8" t="n">
        <f aca="false">M120+N120</f>
        <v>0</v>
      </c>
      <c r="R120" s="21" t="n">
        <v>15.3078737378125</v>
      </c>
      <c r="S120" s="22" t="n">
        <v>16</v>
      </c>
      <c r="T120" s="23" t="n">
        <v>46309</v>
      </c>
    </row>
    <row r="121" customFormat="false" ht="15" hidden="false" customHeight="false" outlineLevel="0" collapsed="false">
      <c r="A121" s="18" t="s">
        <v>18</v>
      </c>
      <c r="B121" s="19" t="s">
        <v>112</v>
      </c>
      <c r="C121" s="8" t="n">
        <v>0.111864</v>
      </c>
      <c r="D121" s="8" t="n">
        <v>0</v>
      </c>
      <c r="E121" s="20" t="n">
        <f aca="false">IF(C121&gt;0,D121/C121,"")</f>
        <v>0</v>
      </c>
      <c r="F121" s="18" t="str">
        <f aca="false">IF(AND(C121=0,D121&gt;0),"Plant only",IF(AND(D121=0,C121&gt;0),"System only",IF(ABS(D121-C121)&lt;=0.5,"Match",IF(D121&gt;C121,"Plant more","Plant less"))))</f>
        <v>System only</v>
      </c>
      <c r="G121" s="8" t="n">
        <v>0</v>
      </c>
      <c r="H121" s="8" t="n">
        <v>0.111864</v>
      </c>
      <c r="I121" s="8" t="n">
        <v>0</v>
      </c>
      <c r="J121" s="8" t="n">
        <v>0</v>
      </c>
      <c r="K121" s="8" t="n">
        <f aca="false">IF(C121&gt;0,G121*E121,0)</f>
        <v>0</v>
      </c>
      <c r="L121" s="8" t="n">
        <f aca="false">IF(C121&gt;0,H121*E121,0)</f>
        <v>0</v>
      </c>
      <c r="M121" s="8" t="n">
        <f aca="false">IF(C121&gt;0,I121*E121,0)</f>
        <v>0</v>
      </c>
      <c r="N121" s="8" t="n">
        <f aca="false">IF(C121&gt;0,J121*E121,0)</f>
        <v>0</v>
      </c>
      <c r="O121" s="8" t="n">
        <f aca="false">IF(C121&gt;0,0,D121)</f>
        <v>0</v>
      </c>
      <c r="P121" s="7" t="n">
        <f aca="false">SUM(K121:O121)</f>
        <v>0</v>
      </c>
      <c r="Q121" s="8" t="n">
        <f aca="false">M121+N121</f>
        <v>0</v>
      </c>
      <c r="R121" s="21" t="n">
        <v>40</v>
      </c>
      <c r="S121" s="22" t="n">
        <v>40</v>
      </c>
      <c r="T121" s="23" t="n">
        <v>46284</v>
      </c>
    </row>
    <row r="122" customFormat="false" ht="15" hidden="false" customHeight="false" outlineLevel="0" collapsed="false">
      <c r="A122" s="18" t="s">
        <v>18</v>
      </c>
      <c r="B122" s="19" t="s">
        <v>114</v>
      </c>
      <c r="C122" s="8" t="n">
        <v>0.0868599999999997</v>
      </c>
      <c r="D122" s="8" t="n">
        <v>0</v>
      </c>
      <c r="E122" s="20" t="n">
        <f aca="false">IF(C122&gt;0,D122/C122,"")</f>
        <v>0</v>
      </c>
      <c r="F122" s="18" t="str">
        <f aca="false">IF(AND(C122=0,D122&gt;0),"Plant only",IF(AND(D122=0,C122&gt;0),"System only",IF(ABS(D122-C122)&lt;=0.5,"Match",IF(D122&gt;C122,"Plant more","Plant less"))))</f>
        <v>System only</v>
      </c>
      <c r="G122" s="8" t="n">
        <v>0</v>
      </c>
      <c r="H122" s="8" t="n">
        <v>0.0868599999999997</v>
      </c>
      <c r="I122" s="8" t="n">
        <v>0</v>
      </c>
      <c r="J122" s="8" t="n">
        <v>0</v>
      </c>
      <c r="K122" s="8" t="n">
        <f aca="false">IF(C122&gt;0,G122*E122,0)</f>
        <v>0</v>
      </c>
      <c r="L122" s="8" t="n">
        <f aca="false">IF(C122&gt;0,H122*E122,0)</f>
        <v>0</v>
      </c>
      <c r="M122" s="8" t="n">
        <f aca="false">IF(C122&gt;0,I122*E122,0)</f>
        <v>0</v>
      </c>
      <c r="N122" s="8" t="n">
        <f aca="false">IF(C122&gt;0,J122*E122,0)</f>
        <v>0</v>
      </c>
      <c r="O122" s="8" t="n">
        <f aca="false">IF(C122&gt;0,0,D122)</f>
        <v>0</v>
      </c>
      <c r="P122" s="7" t="n">
        <f aca="false">SUM(K122:O122)</f>
        <v>0</v>
      </c>
      <c r="Q122" s="8" t="n">
        <f aca="false">M122+N122</f>
        <v>0</v>
      </c>
      <c r="R122" s="21" t="n">
        <v>40</v>
      </c>
      <c r="S122" s="22" t="n">
        <v>40</v>
      </c>
      <c r="T122" s="23" t="n">
        <v>46284</v>
      </c>
    </row>
    <row r="123" customFormat="false" ht="15" hidden="false" customHeight="false" outlineLevel="0" collapsed="false">
      <c r="A123" s="18" t="s">
        <v>18</v>
      </c>
      <c r="B123" s="19" t="s">
        <v>52</v>
      </c>
      <c r="C123" s="8" t="n">
        <v>26.858584</v>
      </c>
      <c r="D123" s="8" t="n">
        <v>26</v>
      </c>
      <c r="E123" s="20" t="n">
        <f aca="false">IF(C123&gt;0,D123/C123,"")</f>
        <v>0.968033162135427</v>
      </c>
      <c r="F123" s="18" t="str">
        <f aca="false">IF(AND(C123=0,D123&gt;0),"Plant only",IF(AND(D123=0,C123&gt;0),"System only",IF(ABS(D123-C123)&lt;=0.5,"Match",IF(D123&gt;C123,"Plant more","Plant less"))))</f>
        <v>Plant less</v>
      </c>
      <c r="G123" s="8" t="n">
        <v>15.192576</v>
      </c>
      <c r="H123" s="8" t="n">
        <v>11.666008</v>
      </c>
      <c r="I123" s="8" t="n">
        <v>0</v>
      </c>
      <c r="J123" s="8" t="n">
        <v>0</v>
      </c>
      <c r="K123" s="8" t="n">
        <f aca="false">IF(C123&gt;0,G123*E123,0)</f>
        <v>14.7069173862628</v>
      </c>
      <c r="L123" s="8" t="n">
        <f aca="false">IF(C123&gt;0,H123*E123,0)</f>
        <v>11.2930826137372</v>
      </c>
      <c r="M123" s="8" t="n">
        <f aca="false">IF(C123&gt;0,I123*E123,0)</f>
        <v>0</v>
      </c>
      <c r="N123" s="8" t="n">
        <f aca="false">IF(C123&gt;0,J123*E123,0)</f>
        <v>0</v>
      </c>
      <c r="O123" s="8" t="n">
        <f aca="false">IF(C123&gt;0,0,D123)</f>
        <v>0</v>
      </c>
      <c r="P123" s="7" t="n">
        <f aca="false">SUM(K123:O123)</f>
        <v>26</v>
      </c>
      <c r="Q123" s="8" t="n">
        <f aca="false">M123+N123</f>
        <v>0</v>
      </c>
      <c r="R123" s="21" t="n">
        <v>30.4343493312976</v>
      </c>
      <c r="S123" s="22" t="n">
        <v>31</v>
      </c>
      <c r="T123" s="23" t="n">
        <v>46294</v>
      </c>
    </row>
    <row r="124" customFormat="false" ht="15" hidden="false" customHeight="false" outlineLevel="0" collapsed="false">
      <c r="A124" s="18" t="s">
        <v>18</v>
      </c>
      <c r="B124" s="19" t="s">
        <v>53</v>
      </c>
      <c r="C124" s="8" t="n">
        <v>7.1239375</v>
      </c>
      <c r="D124" s="8" t="n">
        <v>6</v>
      </c>
      <c r="E124" s="20" t="n">
        <f aca="false">IF(C124&gt;0,D124/C124,"")</f>
        <v>0.842230858987744</v>
      </c>
      <c r="F124" s="18" t="str">
        <f aca="false">IF(AND(C124=0,D124&gt;0),"Plant only",IF(AND(D124=0,C124&gt;0),"System only",IF(ABS(D124-C124)&lt;=0.5,"Match",IF(D124&gt;C124,"Plant more","Plant less"))))</f>
        <v>Plant less</v>
      </c>
      <c r="G124" s="8" t="n">
        <v>0</v>
      </c>
      <c r="H124" s="8" t="n">
        <v>7.1239375</v>
      </c>
      <c r="I124" s="8" t="n">
        <v>0</v>
      </c>
      <c r="J124" s="8" t="n">
        <v>0</v>
      </c>
      <c r="K124" s="8" t="n">
        <f aca="false">IF(C124&gt;0,G124*E124,0)</f>
        <v>0</v>
      </c>
      <c r="L124" s="8" t="n">
        <f aca="false">IF(C124&gt;0,H124*E124,0)</f>
        <v>6</v>
      </c>
      <c r="M124" s="8" t="n">
        <f aca="false">IF(C124&gt;0,I124*E124,0)</f>
        <v>0</v>
      </c>
      <c r="N124" s="8" t="n">
        <f aca="false">IF(C124&gt;0,J124*E124,0)</f>
        <v>0</v>
      </c>
      <c r="O124" s="8" t="n">
        <f aca="false">IF(C124&gt;0,0,D124)</f>
        <v>0</v>
      </c>
      <c r="P124" s="7" t="n">
        <f aca="false">SUM(K124:O124)</f>
        <v>6</v>
      </c>
      <c r="Q124" s="8" t="n">
        <f aca="false">M124+N124</f>
        <v>0</v>
      </c>
      <c r="R124" s="21" t="n">
        <v>32.4504180447962</v>
      </c>
      <c r="S124" s="22" t="n">
        <v>33</v>
      </c>
      <c r="T124" s="23" t="n">
        <v>46292</v>
      </c>
    </row>
    <row r="125" customFormat="false" ht="15" hidden="false" customHeight="false" outlineLevel="0" collapsed="false">
      <c r="A125" s="18" t="s">
        <v>18</v>
      </c>
      <c r="B125" s="19" t="s">
        <v>54</v>
      </c>
      <c r="C125" s="8" t="n">
        <v>4.432376</v>
      </c>
      <c r="D125" s="8" t="n">
        <v>3</v>
      </c>
      <c r="E125" s="20" t="n">
        <f aca="false">IF(C125&gt;0,D125/C125,"")</f>
        <v>0.676837885594544</v>
      </c>
      <c r="F125" s="18" t="str">
        <f aca="false">IF(AND(C125=0,D125&gt;0),"Plant only",IF(AND(D125=0,C125&gt;0),"System only",IF(ABS(D125-C125)&lt;=0.5,"Match",IF(D125&gt;C125,"Plant more","Plant less"))))</f>
        <v>Plant less</v>
      </c>
      <c r="G125" s="8" t="n">
        <v>0</v>
      </c>
      <c r="H125" s="8" t="n">
        <v>4.432376</v>
      </c>
      <c r="I125" s="8" t="n">
        <v>0</v>
      </c>
      <c r="J125" s="8" t="n">
        <v>0</v>
      </c>
      <c r="K125" s="8" t="n">
        <f aca="false">IF(C125&gt;0,G125*E125,0)</f>
        <v>0</v>
      </c>
      <c r="L125" s="8" t="n">
        <f aca="false">IF(C125&gt;0,H125*E125,0)</f>
        <v>3</v>
      </c>
      <c r="M125" s="8" t="n">
        <f aca="false">IF(C125&gt;0,I125*E125,0)</f>
        <v>0</v>
      </c>
      <c r="N125" s="8" t="n">
        <f aca="false">IF(C125&gt;0,J125*E125,0)</f>
        <v>0</v>
      </c>
      <c r="O125" s="8" t="n">
        <f aca="false">IF(C125&gt;0,0,D125)</f>
        <v>0</v>
      </c>
      <c r="P125" s="7" t="n">
        <f aca="false">SUM(K125:O125)</f>
        <v>3</v>
      </c>
      <c r="Q125" s="8" t="n">
        <f aca="false">M125+N125</f>
        <v>0</v>
      </c>
      <c r="R125" s="21" t="n">
        <v>32</v>
      </c>
      <c r="S125" s="22" t="n">
        <v>32</v>
      </c>
      <c r="T125" s="23" t="n">
        <v>46292</v>
      </c>
    </row>
    <row r="126" customFormat="false" ht="15" hidden="false" customHeight="false" outlineLevel="0" collapsed="false">
      <c r="A126" s="18" t="s">
        <v>18</v>
      </c>
      <c r="B126" s="19" t="s">
        <v>55</v>
      </c>
      <c r="C126" s="8" t="n">
        <v>1.3121184</v>
      </c>
      <c r="D126" s="8" t="n">
        <v>0</v>
      </c>
      <c r="E126" s="20" t="n">
        <f aca="false">IF(C126&gt;0,D126/C126,"")</f>
        <v>0</v>
      </c>
      <c r="F126" s="18" t="str">
        <f aca="false">IF(AND(C126=0,D126&gt;0),"Plant only",IF(AND(D126=0,C126&gt;0),"System only",IF(ABS(D126-C126)&lt;=0.5,"Match",IF(D126&gt;C126,"Plant more","Plant less"))))</f>
        <v>System only</v>
      </c>
      <c r="G126" s="8" t="n">
        <v>0</v>
      </c>
      <c r="H126" s="8" t="n">
        <v>1.3121184</v>
      </c>
      <c r="I126" s="8" t="n">
        <v>0</v>
      </c>
      <c r="J126" s="8" t="n">
        <v>0</v>
      </c>
      <c r="K126" s="8" t="n">
        <f aca="false">IF(C126&gt;0,G126*E126,0)</f>
        <v>0</v>
      </c>
      <c r="L126" s="8" t="n">
        <f aca="false">IF(C126&gt;0,H126*E126,0)</f>
        <v>0</v>
      </c>
      <c r="M126" s="8" t="n">
        <f aca="false">IF(C126&gt;0,I126*E126,0)</f>
        <v>0</v>
      </c>
      <c r="N126" s="8" t="n">
        <f aca="false">IF(C126&gt;0,J126*E126,0)</f>
        <v>0</v>
      </c>
      <c r="O126" s="8" t="n">
        <f aca="false">IF(C126&gt;0,0,D126)</f>
        <v>0</v>
      </c>
      <c r="P126" s="7" t="n">
        <f aca="false">SUM(K126:O126)</f>
        <v>0</v>
      </c>
      <c r="Q126" s="8" t="n">
        <f aca="false">M126+N126</f>
        <v>0</v>
      </c>
      <c r="R126" s="21" t="n">
        <v>35</v>
      </c>
      <c r="S126" s="22" t="n">
        <v>35</v>
      </c>
      <c r="T126" s="23" t="n">
        <v>46289</v>
      </c>
    </row>
    <row r="127" customFormat="false" ht="15" hidden="false" customHeight="false" outlineLevel="0" collapsed="false">
      <c r="A127" s="18" t="s">
        <v>18</v>
      </c>
      <c r="B127" s="19" t="s">
        <v>140</v>
      </c>
      <c r="C127" s="8" t="n">
        <v>10.39302</v>
      </c>
      <c r="D127" s="8" t="n">
        <v>12</v>
      </c>
      <c r="E127" s="20" t="n">
        <f aca="false">IF(C127&gt;0,D127/C127,"")</f>
        <v>1.15462108222634</v>
      </c>
      <c r="F127" s="18" t="str">
        <f aca="false">IF(AND(C127=0,D127&gt;0),"Plant only",IF(AND(D127=0,C127&gt;0),"System only",IF(ABS(D127-C127)&lt;=0.5,"Match",IF(D127&gt;C127,"Plant more","Plant less"))))</f>
        <v>Plant more</v>
      </c>
      <c r="G127" s="8" t="n">
        <v>10.39302</v>
      </c>
      <c r="H127" s="8" t="n">
        <v>0</v>
      </c>
      <c r="I127" s="8" t="n">
        <v>0</v>
      </c>
      <c r="J127" s="8" t="n">
        <v>0</v>
      </c>
      <c r="K127" s="8" t="n">
        <f aca="false">IF(C127&gt;0,G127*E127,0)</f>
        <v>12</v>
      </c>
      <c r="L127" s="8" t="n">
        <f aca="false">IF(C127&gt;0,H127*E127,0)</f>
        <v>0</v>
      </c>
      <c r="M127" s="8" t="n">
        <f aca="false">IF(C127&gt;0,I127*E127,0)</f>
        <v>0</v>
      </c>
      <c r="N127" s="8" t="n">
        <f aca="false">IF(C127&gt;0,J127*E127,0)</f>
        <v>0</v>
      </c>
      <c r="O127" s="8" t="n">
        <f aca="false">IF(C127&gt;0,0,D127)</f>
        <v>0</v>
      </c>
      <c r="P127" s="7" t="n">
        <f aca="false">SUM(K127:O127)</f>
        <v>12</v>
      </c>
      <c r="Q127" s="8" t="n">
        <f aca="false">M127+N127</f>
        <v>0</v>
      </c>
      <c r="R127" s="21" t="n">
        <v>29</v>
      </c>
      <c r="S127" s="22" t="n">
        <v>29</v>
      </c>
      <c r="T127" s="23" t="n">
        <v>46295</v>
      </c>
    </row>
    <row r="128" customFormat="false" ht="15" hidden="false" customHeight="false" outlineLevel="0" collapsed="false">
      <c r="A128" s="18" t="s">
        <v>18</v>
      </c>
      <c r="B128" s="19" t="s">
        <v>57</v>
      </c>
      <c r="C128" s="8" t="n">
        <v>31.229184</v>
      </c>
      <c r="D128" s="8" t="n">
        <v>33</v>
      </c>
      <c r="E128" s="20" t="n">
        <f aca="false">IF(C128&gt;0,D128/C128,"")</f>
        <v>1.056703883137</v>
      </c>
      <c r="F128" s="18" t="str">
        <f aca="false">IF(AND(C128=0,D128&gt;0),"Plant only",IF(AND(D128=0,C128&gt;0),"System only",IF(ABS(D128-C128)&lt;=0.5,"Match",IF(D128&gt;C128,"Plant more","Plant less"))))</f>
        <v>Plant more</v>
      </c>
      <c r="G128" s="8" t="n">
        <v>31.229184</v>
      </c>
      <c r="H128" s="8" t="n">
        <v>0</v>
      </c>
      <c r="I128" s="8" t="n">
        <v>0</v>
      </c>
      <c r="J128" s="8" t="n">
        <v>0</v>
      </c>
      <c r="K128" s="8" t="n">
        <f aca="false">IF(C128&gt;0,G128*E128,0)</f>
        <v>33</v>
      </c>
      <c r="L128" s="8" t="n">
        <f aca="false">IF(C128&gt;0,H128*E128,0)</f>
        <v>0</v>
      </c>
      <c r="M128" s="8" t="n">
        <f aca="false">IF(C128&gt;0,I128*E128,0)</f>
        <v>0</v>
      </c>
      <c r="N128" s="8" t="n">
        <f aca="false">IF(C128&gt;0,J128*E128,0)</f>
        <v>0</v>
      </c>
      <c r="O128" s="8" t="n">
        <f aca="false">IF(C128&gt;0,0,D128)</f>
        <v>0</v>
      </c>
      <c r="P128" s="7" t="n">
        <f aca="false">SUM(K128:O128)</f>
        <v>33</v>
      </c>
      <c r="Q128" s="8" t="n">
        <f aca="false">M128+N128</f>
        <v>0</v>
      </c>
      <c r="R128" s="21" t="n">
        <v>2</v>
      </c>
      <c r="S128" s="22" t="n">
        <v>2</v>
      </c>
      <c r="T128" s="23" t="n">
        <v>46322</v>
      </c>
    </row>
    <row r="129" customFormat="false" ht="15" hidden="false" customHeight="false" outlineLevel="0" collapsed="false">
      <c r="A129" s="18" t="s">
        <v>18</v>
      </c>
      <c r="B129" s="19" t="s">
        <v>141</v>
      </c>
      <c r="C129" s="8" t="n">
        <v>23.10726</v>
      </c>
      <c r="D129" s="8" t="n">
        <v>23</v>
      </c>
      <c r="E129" s="20" t="n">
        <f aca="false">IF(C129&gt;0,D129/C129,"")</f>
        <v>0.995358168817939</v>
      </c>
      <c r="F129" s="18" t="str">
        <f aca="false">IF(AND(C129=0,D129&gt;0),"Plant only",IF(AND(D129=0,C129&gt;0),"System only",IF(ABS(D129-C129)&lt;=0.5,"Match",IF(D129&gt;C129,"Plant more","Plant less"))))</f>
        <v>Match</v>
      </c>
      <c r="G129" s="8" t="n">
        <v>23.10726</v>
      </c>
      <c r="H129" s="8" t="n">
        <v>0</v>
      </c>
      <c r="I129" s="8" t="n">
        <v>0</v>
      </c>
      <c r="J129" s="8" t="n">
        <v>0</v>
      </c>
      <c r="K129" s="8" t="n">
        <f aca="false">IF(C129&gt;0,G129*E129,0)</f>
        <v>23</v>
      </c>
      <c r="L129" s="8" t="n">
        <f aca="false">IF(C129&gt;0,H129*E129,0)</f>
        <v>0</v>
      </c>
      <c r="M129" s="8" t="n">
        <f aca="false">IF(C129&gt;0,I129*E129,0)</f>
        <v>0</v>
      </c>
      <c r="N129" s="8" t="n">
        <f aca="false">IF(C129&gt;0,J129*E129,0)</f>
        <v>0</v>
      </c>
      <c r="O129" s="8" t="n">
        <f aca="false">IF(C129&gt;0,0,D129)</f>
        <v>0</v>
      </c>
      <c r="P129" s="7" t="n">
        <f aca="false">SUM(K129:O129)</f>
        <v>23</v>
      </c>
      <c r="Q129" s="8" t="n">
        <f aca="false">M129+N129</f>
        <v>0</v>
      </c>
      <c r="R129" s="21" t="n">
        <v>1.38116591928251</v>
      </c>
      <c r="S129" s="22" t="n">
        <v>2</v>
      </c>
      <c r="T129" s="23" t="n">
        <v>46323</v>
      </c>
    </row>
    <row r="130" customFormat="false" ht="15" hidden="false" customHeight="false" outlineLevel="0" collapsed="false">
      <c r="A130" s="18" t="s">
        <v>18</v>
      </c>
      <c r="B130" s="19" t="s">
        <v>115</v>
      </c>
      <c r="C130" s="8" t="n">
        <v>0</v>
      </c>
      <c r="D130" s="8" t="n">
        <v>26</v>
      </c>
      <c r="E130" s="20" t="str">
        <f aca="false">IF(C130&gt;0,D130/C130,"")</f>
        <v/>
      </c>
      <c r="F130" s="18" t="str">
        <f aca="false">IF(AND(C130=0,D130&gt;0),"Plant only",IF(AND(D130=0,C130&gt;0),"System only",IF(ABS(D130-C130)&lt;=0.5,"Match",IF(D130&gt;C130,"Plant more","Plant less"))))</f>
        <v>Plant only</v>
      </c>
      <c r="G130" s="8" t="n">
        <v>0</v>
      </c>
      <c r="H130" s="8" t="n">
        <v>0</v>
      </c>
      <c r="I130" s="8" t="n">
        <v>0</v>
      </c>
      <c r="J130" s="8" t="n">
        <v>0</v>
      </c>
      <c r="K130" s="8" t="n">
        <f aca="false">IF(C130&gt;0,G130*E130,0)</f>
        <v>0</v>
      </c>
      <c r="L130" s="8" t="n">
        <f aca="false">IF(C130&gt;0,H130*E130,0)</f>
        <v>0</v>
      </c>
      <c r="M130" s="8" t="n">
        <f aca="false">IF(C130&gt;0,I130*E130,0)</f>
        <v>0</v>
      </c>
      <c r="N130" s="8" t="n">
        <f aca="false">IF(C130&gt;0,J130*E130,0)</f>
        <v>0</v>
      </c>
      <c r="O130" s="8" t="n">
        <f aca="false">IF(C130&gt;0,0,D130)</f>
        <v>26</v>
      </c>
      <c r="P130" s="7" t="n">
        <f aca="false">SUM(K130:O130)</f>
        <v>26</v>
      </c>
      <c r="Q130" s="8" t="n">
        <f aca="false">M130+N130</f>
        <v>0</v>
      </c>
      <c r="R130" s="21"/>
      <c r="S130" s="22"/>
      <c r="T130" s="23" t="n">
        <v>46316</v>
      </c>
    </row>
    <row r="131" customFormat="false" ht="15" hidden="false" customHeight="false" outlineLevel="0" collapsed="false">
      <c r="A131" s="18" t="s">
        <v>18</v>
      </c>
      <c r="B131" s="19" t="s">
        <v>116</v>
      </c>
      <c r="C131" s="8" t="n">
        <v>31.238791</v>
      </c>
      <c r="D131" s="8" t="n">
        <v>29</v>
      </c>
      <c r="E131" s="20" t="n">
        <f aca="false">IF(C131&gt;0,D131/C131,"")</f>
        <v>0.928332981900612</v>
      </c>
      <c r="F131" s="18" t="str">
        <f aca="false">IF(AND(C131=0,D131&gt;0),"Plant only",IF(AND(D131=0,C131&gt;0),"System only",IF(ABS(D131-C131)&lt;=0.5,"Match",IF(D131&gt;C131,"Plant more","Plant less"))))</f>
        <v>Plant less</v>
      </c>
      <c r="G131" s="8" t="n">
        <v>31.238791</v>
      </c>
      <c r="H131" s="8" t="n">
        <v>0</v>
      </c>
      <c r="I131" s="8" t="n">
        <v>0</v>
      </c>
      <c r="J131" s="8" t="n">
        <v>0</v>
      </c>
      <c r="K131" s="8" t="n">
        <f aca="false">IF(C131&gt;0,G131*E131,0)</f>
        <v>29</v>
      </c>
      <c r="L131" s="8" t="n">
        <f aca="false">IF(C131&gt;0,H131*E131,0)</f>
        <v>0</v>
      </c>
      <c r="M131" s="8" t="n">
        <f aca="false">IF(C131&gt;0,I131*E131,0)</f>
        <v>0</v>
      </c>
      <c r="N131" s="8" t="n">
        <f aca="false">IF(C131&gt;0,J131*E131,0)</f>
        <v>0</v>
      </c>
      <c r="O131" s="8" t="n">
        <f aca="false">IF(C131&gt;0,0,D131)</f>
        <v>0</v>
      </c>
      <c r="P131" s="7" t="n">
        <f aca="false">SUM(K131:O131)</f>
        <v>29</v>
      </c>
      <c r="Q131" s="8" t="n">
        <f aca="false">M131+N131</f>
        <v>0</v>
      </c>
      <c r="R131" s="21" t="n">
        <v>8</v>
      </c>
      <c r="S131" s="22" t="n">
        <v>8</v>
      </c>
      <c r="T131" s="23" t="n">
        <v>46316</v>
      </c>
    </row>
    <row r="132" customFormat="false" ht="15" hidden="false" customHeight="false" outlineLevel="0" collapsed="false">
      <c r="A132" s="18" t="s">
        <v>18</v>
      </c>
      <c r="B132" s="19" t="s">
        <v>142</v>
      </c>
      <c r="C132" s="8" t="n">
        <v>0</v>
      </c>
      <c r="D132" s="8" t="n">
        <v>2</v>
      </c>
      <c r="E132" s="20" t="str">
        <f aca="false">IF(C132&gt;0,D132/C132,"")</f>
        <v/>
      </c>
      <c r="F132" s="18" t="str">
        <f aca="false">IF(AND(C132=0,D132&gt;0),"Plant only",IF(AND(D132=0,C132&gt;0),"System only",IF(ABS(D132-C132)&lt;=0.5,"Match",IF(D132&gt;C132,"Plant more","Plant less"))))</f>
        <v>Plant only</v>
      </c>
      <c r="G132" s="8" t="n">
        <v>0</v>
      </c>
      <c r="H132" s="8" t="n">
        <v>0</v>
      </c>
      <c r="I132" s="8" t="n">
        <v>0</v>
      </c>
      <c r="J132" s="8" t="n">
        <v>0</v>
      </c>
      <c r="K132" s="8" t="n">
        <f aca="false">IF(C132&gt;0,G132*E132,0)</f>
        <v>0</v>
      </c>
      <c r="L132" s="8" t="n">
        <f aca="false">IF(C132&gt;0,H132*E132,0)</f>
        <v>0</v>
      </c>
      <c r="M132" s="8" t="n">
        <f aca="false">IF(C132&gt;0,I132*E132,0)</f>
        <v>0</v>
      </c>
      <c r="N132" s="8" t="n">
        <f aca="false">IF(C132&gt;0,J132*E132,0)</f>
        <v>0</v>
      </c>
      <c r="O132" s="8" t="n">
        <f aca="false">IF(C132&gt;0,0,D132)</f>
        <v>2</v>
      </c>
      <c r="P132" s="7" t="n">
        <f aca="false">SUM(K132:O132)</f>
        <v>2</v>
      </c>
      <c r="Q132" s="8" t="n">
        <f aca="false">M132+N132</f>
        <v>0</v>
      </c>
      <c r="R132" s="21"/>
      <c r="S132" s="22"/>
      <c r="T132" s="23" t="n">
        <v>46316</v>
      </c>
    </row>
    <row r="133" customFormat="false" ht="15" hidden="false" customHeight="false" outlineLevel="0" collapsed="false">
      <c r="A133" s="18" t="s">
        <v>18</v>
      </c>
      <c r="B133" s="19" t="s">
        <v>117</v>
      </c>
      <c r="C133" s="8" t="n">
        <v>0</v>
      </c>
      <c r="D133" s="8" t="n">
        <v>14</v>
      </c>
      <c r="E133" s="20" t="str">
        <f aca="false">IF(C133&gt;0,D133/C133,"")</f>
        <v/>
      </c>
      <c r="F133" s="18" t="str">
        <f aca="false">IF(AND(C133=0,D133&gt;0),"Plant only",IF(AND(D133=0,C133&gt;0),"System only",IF(ABS(D133-C133)&lt;=0.5,"Match",IF(D133&gt;C133,"Plant more","Plant less"))))</f>
        <v>Plant only</v>
      </c>
      <c r="G133" s="8" t="n">
        <v>0</v>
      </c>
      <c r="H133" s="8" t="n">
        <v>0</v>
      </c>
      <c r="I133" s="8" t="n">
        <v>0</v>
      </c>
      <c r="J133" s="8" t="n">
        <v>0</v>
      </c>
      <c r="K133" s="8" t="n">
        <f aca="false">IF(C133&gt;0,G133*E133,0)</f>
        <v>0</v>
      </c>
      <c r="L133" s="8" t="n">
        <f aca="false">IF(C133&gt;0,H133*E133,0)</f>
        <v>0</v>
      </c>
      <c r="M133" s="8" t="n">
        <f aca="false">IF(C133&gt;0,I133*E133,0)</f>
        <v>0</v>
      </c>
      <c r="N133" s="8" t="n">
        <f aca="false">IF(C133&gt;0,J133*E133,0)</f>
        <v>0</v>
      </c>
      <c r="O133" s="8" t="n">
        <f aca="false">IF(C133&gt;0,0,D133)</f>
        <v>14</v>
      </c>
      <c r="P133" s="7" t="n">
        <f aca="false">SUM(K133:O133)</f>
        <v>14</v>
      </c>
      <c r="Q133" s="8" t="n">
        <f aca="false">M133+N133</f>
        <v>0</v>
      </c>
      <c r="R133" s="21"/>
      <c r="S133" s="22"/>
      <c r="T133" s="23" t="n">
        <v>46261</v>
      </c>
    </row>
    <row r="134" customFormat="false" ht="15" hidden="false" customHeight="false" outlineLevel="0" collapsed="false">
      <c r="A134" s="18" t="s">
        <v>18</v>
      </c>
      <c r="B134" s="19" t="s">
        <v>118</v>
      </c>
      <c r="C134" s="8" t="n">
        <v>4.494248</v>
      </c>
      <c r="D134" s="8" t="n">
        <v>0</v>
      </c>
      <c r="E134" s="20" t="n">
        <f aca="false">IF(C134&gt;0,D134/C134,"")</f>
        <v>0</v>
      </c>
      <c r="F134" s="18" t="str">
        <f aca="false">IF(AND(C134=0,D134&gt;0),"Plant only",IF(AND(D134=0,C134&gt;0),"System only",IF(ABS(D134-C134)&lt;=0.5,"Match",IF(D134&gt;C134,"Plant more","Plant less"))))</f>
        <v>System only</v>
      </c>
      <c r="G134" s="8" t="n">
        <v>0</v>
      </c>
      <c r="H134" s="8" t="n">
        <v>0</v>
      </c>
      <c r="I134" s="8" t="n">
        <v>4.494248</v>
      </c>
      <c r="J134" s="8" t="n">
        <v>0</v>
      </c>
      <c r="K134" s="8" t="n">
        <f aca="false">IF(C134&gt;0,G134*E134,0)</f>
        <v>0</v>
      </c>
      <c r="L134" s="8" t="n">
        <f aca="false">IF(C134&gt;0,H134*E134,0)</f>
        <v>0</v>
      </c>
      <c r="M134" s="8" t="n">
        <f aca="false">IF(C134&gt;0,I134*E134,0)</f>
        <v>0</v>
      </c>
      <c r="N134" s="8" t="n">
        <f aca="false">IF(C134&gt;0,J134*E134,0)</f>
        <v>0</v>
      </c>
      <c r="O134" s="8" t="n">
        <f aca="false">IF(C134&gt;0,0,D134)</f>
        <v>0</v>
      </c>
      <c r="P134" s="7" t="n">
        <f aca="false">SUM(K134:O134)</f>
        <v>0</v>
      </c>
      <c r="Q134" s="8" t="n">
        <f aca="false">M134+N134</f>
        <v>0</v>
      </c>
      <c r="R134" s="21" t="n">
        <v>63</v>
      </c>
      <c r="S134" s="22" t="n">
        <v>63</v>
      </c>
      <c r="T134" s="23" t="n">
        <v>46261</v>
      </c>
    </row>
    <row r="135" customFormat="false" ht="15" hidden="false" customHeight="false" outlineLevel="0" collapsed="false">
      <c r="A135" s="18" t="s">
        <v>18</v>
      </c>
      <c r="B135" s="19" t="s">
        <v>143</v>
      </c>
      <c r="C135" s="8" t="n">
        <v>0</v>
      </c>
      <c r="D135" s="8" t="n">
        <v>5</v>
      </c>
      <c r="E135" s="20" t="str">
        <f aca="false">IF(C135&gt;0,D135/C135,"")</f>
        <v/>
      </c>
      <c r="F135" s="18" t="str">
        <f aca="false">IF(AND(C135=0,D135&gt;0),"Plant only",IF(AND(D135=0,C135&gt;0),"System only",IF(ABS(D135-C135)&lt;=0.5,"Match",IF(D135&gt;C135,"Plant more","Plant less"))))</f>
        <v>Plant only</v>
      </c>
      <c r="G135" s="8" t="n">
        <v>0</v>
      </c>
      <c r="H135" s="8" t="n">
        <v>0</v>
      </c>
      <c r="I135" s="8" t="n">
        <v>0</v>
      </c>
      <c r="J135" s="8" t="n">
        <v>0</v>
      </c>
      <c r="K135" s="8" t="n">
        <f aca="false">IF(C135&gt;0,G135*E135,0)</f>
        <v>0</v>
      </c>
      <c r="L135" s="8" t="n">
        <f aca="false">IF(C135&gt;0,H135*E135,0)</f>
        <v>0</v>
      </c>
      <c r="M135" s="8" t="n">
        <f aca="false">IF(C135&gt;0,I135*E135,0)</f>
        <v>0</v>
      </c>
      <c r="N135" s="8" t="n">
        <f aca="false">IF(C135&gt;0,J135*E135,0)</f>
        <v>0</v>
      </c>
      <c r="O135" s="8" t="n">
        <f aca="false">IF(C135&gt;0,0,D135)</f>
        <v>5</v>
      </c>
      <c r="P135" s="7" t="n">
        <f aca="false">SUM(K135:O135)</f>
        <v>5</v>
      </c>
      <c r="Q135" s="8" t="n">
        <f aca="false">M135+N135</f>
        <v>0</v>
      </c>
      <c r="R135" s="21"/>
      <c r="S135" s="22"/>
      <c r="T135" s="23" t="n">
        <v>46321</v>
      </c>
    </row>
    <row r="136" customFormat="false" ht="15" hidden="false" customHeight="false" outlineLevel="0" collapsed="false">
      <c r="A136" s="18" t="s">
        <v>18</v>
      </c>
      <c r="B136" s="19" t="s">
        <v>144</v>
      </c>
      <c r="C136" s="8" t="n">
        <v>5.0504</v>
      </c>
      <c r="D136" s="8" t="n">
        <v>5</v>
      </c>
      <c r="E136" s="20" t="n">
        <f aca="false">IF(C136&gt;0,D136/C136,"")</f>
        <v>0.990020592428322</v>
      </c>
      <c r="F136" s="18" t="str">
        <f aca="false">IF(AND(C136=0,D136&gt;0),"Plant only",IF(AND(D136=0,C136&gt;0),"System only",IF(ABS(D136-C136)&lt;=0.5,"Match",IF(D136&gt;C136,"Plant more","Plant less"))))</f>
        <v>Match</v>
      </c>
      <c r="G136" s="8" t="n">
        <v>5.0504</v>
      </c>
      <c r="H136" s="8" t="n">
        <v>0</v>
      </c>
      <c r="I136" s="8" t="n">
        <v>0</v>
      </c>
      <c r="J136" s="8" t="n">
        <v>0</v>
      </c>
      <c r="K136" s="8" t="n">
        <f aca="false">IF(C136&gt;0,G136*E136,0)</f>
        <v>5</v>
      </c>
      <c r="L136" s="8" t="n">
        <f aca="false">IF(C136&gt;0,H136*E136,0)</f>
        <v>0</v>
      </c>
      <c r="M136" s="8" t="n">
        <f aca="false">IF(C136&gt;0,I136*E136,0)</f>
        <v>0</v>
      </c>
      <c r="N136" s="8" t="n">
        <f aca="false">IF(C136&gt;0,J136*E136,0)</f>
        <v>0</v>
      </c>
      <c r="O136" s="8" t="n">
        <f aca="false">IF(C136&gt;0,0,D136)</f>
        <v>0</v>
      </c>
      <c r="P136" s="7" t="n">
        <f aca="false">SUM(K136:O136)</f>
        <v>5</v>
      </c>
      <c r="Q136" s="8" t="n">
        <f aca="false">M136+N136</f>
        <v>0</v>
      </c>
      <c r="R136" s="21" t="n">
        <v>3</v>
      </c>
      <c r="S136" s="22" t="n">
        <v>3</v>
      </c>
      <c r="T136" s="23" t="n">
        <v>46321</v>
      </c>
    </row>
    <row r="137" customFormat="false" ht="15" hidden="false" customHeight="false" outlineLevel="0" collapsed="false">
      <c r="A137" s="18" t="s">
        <v>18</v>
      </c>
      <c r="B137" s="19" t="s">
        <v>119</v>
      </c>
      <c r="C137" s="8" t="n">
        <v>24.8301344</v>
      </c>
      <c r="D137" s="8" t="n">
        <v>23</v>
      </c>
      <c r="E137" s="20" t="n">
        <f aca="false">IF(C137&gt;0,D137/C137,"")</f>
        <v>0.926293818208249</v>
      </c>
      <c r="F137" s="18" t="str">
        <f aca="false">IF(AND(C137=0,D137&gt;0),"Plant only",IF(AND(D137=0,C137&gt;0),"System only",IF(ABS(D137-C137)&lt;=0.5,"Match",IF(D137&gt;C137,"Plant more","Plant less"))))</f>
        <v>Plant less</v>
      </c>
      <c r="G137" s="8" t="n">
        <v>24.8301344</v>
      </c>
      <c r="H137" s="8" t="n">
        <v>0</v>
      </c>
      <c r="I137" s="8" t="n">
        <v>0</v>
      </c>
      <c r="J137" s="8" t="n">
        <v>0</v>
      </c>
      <c r="K137" s="8" t="n">
        <f aca="false">IF(C137&gt;0,G137*E137,0)</f>
        <v>23</v>
      </c>
      <c r="L137" s="8" t="n">
        <f aca="false">IF(C137&gt;0,H137*E137,0)</f>
        <v>0</v>
      </c>
      <c r="M137" s="8" t="n">
        <f aca="false">IF(C137&gt;0,I137*E137,0)</f>
        <v>0</v>
      </c>
      <c r="N137" s="8" t="n">
        <f aca="false">IF(C137&gt;0,J137*E137,0)</f>
        <v>0</v>
      </c>
      <c r="O137" s="8" t="n">
        <f aca="false">IF(C137&gt;0,0,D137)</f>
        <v>0</v>
      </c>
      <c r="P137" s="7" t="n">
        <f aca="false">SUM(K137:O137)</f>
        <v>23</v>
      </c>
      <c r="Q137" s="8" t="n">
        <f aca="false">M137+N137</f>
        <v>0</v>
      </c>
      <c r="R137" s="21" t="n">
        <v>17</v>
      </c>
      <c r="S137" s="22" t="n">
        <v>17</v>
      </c>
      <c r="T137" s="23" t="n">
        <v>46307</v>
      </c>
    </row>
    <row r="138" customFormat="false" ht="15" hidden="false" customHeight="false" outlineLevel="0" collapsed="false">
      <c r="A138" s="18" t="s">
        <v>18</v>
      </c>
      <c r="B138" s="19" t="s">
        <v>120</v>
      </c>
      <c r="C138" s="8" t="n">
        <v>0.715932499999995</v>
      </c>
      <c r="D138" s="8" t="n">
        <v>0</v>
      </c>
      <c r="E138" s="20" t="n">
        <f aca="false">IF(C138&gt;0,D138/C138,"")</f>
        <v>0</v>
      </c>
      <c r="F138" s="18" t="str">
        <f aca="false">IF(AND(C138=0,D138&gt;0),"Plant only",IF(AND(D138=0,C138&gt;0),"System only",IF(ABS(D138-C138)&lt;=0.5,"Match",IF(D138&gt;C138,"Plant more","Plant less"))))</f>
        <v>System only</v>
      </c>
      <c r="G138" s="8" t="n">
        <v>0.715932499999995</v>
      </c>
      <c r="H138" s="8" t="n">
        <v>0</v>
      </c>
      <c r="I138" s="8" t="n">
        <v>0</v>
      </c>
      <c r="J138" s="8" t="n">
        <v>0</v>
      </c>
      <c r="K138" s="8" t="n">
        <f aca="false">IF(C138&gt;0,G138*E138,0)</f>
        <v>0</v>
      </c>
      <c r="L138" s="8" t="n">
        <f aca="false">IF(C138&gt;0,H138*E138,0)</f>
        <v>0</v>
      </c>
      <c r="M138" s="8" t="n">
        <f aca="false">IF(C138&gt;0,I138*E138,0)</f>
        <v>0</v>
      </c>
      <c r="N138" s="8" t="n">
        <f aca="false">IF(C138&gt;0,J138*E138,0)</f>
        <v>0</v>
      </c>
      <c r="O138" s="8" t="n">
        <f aca="false">IF(C138&gt;0,0,D138)</f>
        <v>0</v>
      </c>
      <c r="P138" s="7" t="n">
        <f aca="false">SUM(K138:O138)</f>
        <v>0</v>
      </c>
      <c r="Q138" s="8" t="n">
        <f aca="false">M138+N138</f>
        <v>0</v>
      </c>
      <c r="R138" s="21" t="n">
        <v>17</v>
      </c>
      <c r="S138" s="22" t="n">
        <v>17</v>
      </c>
      <c r="T138" s="23" t="n">
        <v>46307</v>
      </c>
    </row>
    <row r="139" customFormat="false" ht="15" hidden="false" customHeight="false" outlineLevel="0" collapsed="false">
      <c r="A139" s="18" t="s">
        <v>18</v>
      </c>
      <c r="B139" s="19" t="s">
        <v>121</v>
      </c>
      <c r="C139" s="8" t="n">
        <v>30.3663824</v>
      </c>
      <c r="D139" s="8" t="n">
        <v>35</v>
      </c>
      <c r="E139" s="20" t="n">
        <f aca="false">IF(C139&gt;0,D139/C139,"")</f>
        <v>1.15259037243765</v>
      </c>
      <c r="F139" s="18" t="str">
        <f aca="false">IF(AND(C139=0,D139&gt;0),"Plant only",IF(AND(D139=0,C139&gt;0),"System only",IF(ABS(D139-C139)&lt;=0.5,"Match",IF(D139&gt;C139,"Plant more","Plant less"))))</f>
        <v>Plant more</v>
      </c>
      <c r="G139" s="8" t="n">
        <v>30.3663824</v>
      </c>
      <c r="H139" s="8" t="n">
        <v>0</v>
      </c>
      <c r="I139" s="8" t="n">
        <v>0</v>
      </c>
      <c r="J139" s="8" t="n">
        <v>0</v>
      </c>
      <c r="K139" s="8" t="n">
        <f aca="false">IF(C139&gt;0,G139*E139,0)</f>
        <v>35</v>
      </c>
      <c r="L139" s="8" t="n">
        <f aca="false">IF(C139&gt;0,H139*E139,0)</f>
        <v>0</v>
      </c>
      <c r="M139" s="8" t="n">
        <f aca="false">IF(C139&gt;0,I139*E139,0)</f>
        <v>0</v>
      </c>
      <c r="N139" s="8" t="n">
        <f aca="false">IF(C139&gt;0,J139*E139,0)</f>
        <v>0</v>
      </c>
      <c r="O139" s="8" t="n">
        <f aca="false">IF(C139&gt;0,0,D139)</f>
        <v>0</v>
      </c>
      <c r="P139" s="7" t="n">
        <f aca="false">SUM(K139:O139)</f>
        <v>35</v>
      </c>
      <c r="Q139" s="8" t="n">
        <f aca="false">M139+N139</f>
        <v>0</v>
      </c>
      <c r="R139" s="21" t="n">
        <v>3.36705611663508</v>
      </c>
      <c r="S139" s="22" t="n">
        <v>9</v>
      </c>
      <c r="T139" s="23" t="n">
        <v>46323</v>
      </c>
    </row>
    <row r="140" customFormat="false" ht="15" hidden="false" customHeight="false" outlineLevel="0" collapsed="false">
      <c r="A140" s="18" t="s">
        <v>18</v>
      </c>
      <c r="B140" s="19" t="s">
        <v>122</v>
      </c>
      <c r="C140" s="8" t="n">
        <v>6.94151360000002</v>
      </c>
      <c r="D140" s="8" t="n">
        <v>12</v>
      </c>
      <c r="E140" s="20" t="n">
        <f aca="false">IF(C140&gt;0,D140/C140,"")</f>
        <v>1.72872959580458</v>
      </c>
      <c r="F140" s="18" t="str">
        <f aca="false">IF(AND(C140=0,D140&gt;0),"Plant only",IF(AND(D140=0,C140&gt;0),"System only",IF(ABS(D140-C140)&lt;=0.5,"Match",IF(D140&gt;C140,"Plant more","Plant less"))))</f>
        <v>Plant more</v>
      </c>
      <c r="G140" s="8" t="n">
        <v>6.94151360000002</v>
      </c>
      <c r="H140" s="8" t="n">
        <v>0</v>
      </c>
      <c r="I140" s="8" t="n">
        <v>0</v>
      </c>
      <c r="J140" s="8" t="n">
        <v>0</v>
      </c>
      <c r="K140" s="8" t="n">
        <f aca="false">IF(C140&gt;0,G140*E140,0)</f>
        <v>12</v>
      </c>
      <c r="L140" s="8" t="n">
        <f aca="false">IF(C140&gt;0,H140*E140,0)</f>
        <v>0</v>
      </c>
      <c r="M140" s="8" t="n">
        <f aca="false">IF(C140&gt;0,I140*E140,0)</f>
        <v>0</v>
      </c>
      <c r="N140" s="8" t="n">
        <f aca="false">IF(C140&gt;0,J140*E140,0)</f>
        <v>0</v>
      </c>
      <c r="O140" s="8" t="n">
        <f aca="false">IF(C140&gt;0,0,D140)</f>
        <v>0</v>
      </c>
      <c r="P140" s="7" t="n">
        <f aca="false">SUM(K140:O140)</f>
        <v>12</v>
      </c>
      <c r="Q140" s="8" t="n">
        <f aca="false">M140+N140</f>
        <v>0</v>
      </c>
      <c r="R140" s="21" t="n">
        <v>3</v>
      </c>
      <c r="S140" s="22" t="n">
        <v>3</v>
      </c>
      <c r="T140" s="23" t="n">
        <v>46321</v>
      </c>
    </row>
    <row r="141" customFormat="false" ht="15" hidden="false" customHeight="false" outlineLevel="0" collapsed="false">
      <c r="A141" s="18" t="s">
        <v>18</v>
      </c>
      <c r="B141" s="19" t="s">
        <v>123</v>
      </c>
      <c r="C141" s="8" t="n">
        <v>20.16135</v>
      </c>
      <c r="D141" s="8" t="n">
        <v>20</v>
      </c>
      <c r="E141" s="20" t="n">
        <f aca="false">IF(C141&gt;0,D141/C141,"")</f>
        <v>0.991997063688692</v>
      </c>
      <c r="F141" s="18" t="str">
        <f aca="false">IF(AND(C141=0,D141&gt;0),"Plant only",IF(AND(D141=0,C141&gt;0),"System only",IF(ABS(D141-C141)&lt;=0.5,"Match",IF(D141&gt;C141,"Plant more","Plant less"))))</f>
        <v>Match</v>
      </c>
      <c r="G141" s="8" t="n">
        <v>20.13525</v>
      </c>
      <c r="H141" s="8" t="n">
        <v>0.026099999999996</v>
      </c>
      <c r="I141" s="8" t="n">
        <v>0</v>
      </c>
      <c r="J141" s="8" t="n">
        <v>0</v>
      </c>
      <c r="K141" s="8" t="n">
        <f aca="false">IF(C141&gt;0,G141*E141,0)</f>
        <v>19.9741088766377</v>
      </c>
      <c r="L141" s="8" t="n">
        <f aca="false">IF(C141&gt;0,H141*E141,0)</f>
        <v>0.0258911233622709</v>
      </c>
      <c r="M141" s="8" t="n">
        <f aca="false">IF(C141&gt;0,I141*E141,0)</f>
        <v>0</v>
      </c>
      <c r="N141" s="8" t="n">
        <f aca="false">IF(C141&gt;0,J141*E141,0)</f>
        <v>0</v>
      </c>
      <c r="O141" s="8" t="n">
        <f aca="false">IF(C141&gt;0,0,D141)</f>
        <v>0</v>
      </c>
      <c r="P141" s="7" t="n">
        <f aca="false">SUM(K141:O141)</f>
        <v>20</v>
      </c>
      <c r="Q141" s="8" t="n">
        <f aca="false">M141+N141</f>
        <v>0</v>
      </c>
      <c r="R141" s="21" t="n">
        <v>3.07378970158247</v>
      </c>
      <c r="S141" s="22" t="n">
        <v>60</v>
      </c>
      <c r="T141" s="23" t="n">
        <v>46321</v>
      </c>
    </row>
    <row r="142" customFormat="false" ht="15" hidden="false" customHeight="false" outlineLevel="0" collapsed="false">
      <c r="A142" s="18" t="s">
        <v>18</v>
      </c>
      <c r="B142" s="19" t="s">
        <v>145</v>
      </c>
      <c r="C142" s="8" t="n">
        <v>2.66855360000001</v>
      </c>
      <c r="D142" s="8" t="n">
        <v>3</v>
      </c>
      <c r="E142" s="20" t="n">
        <f aca="false">IF(C142&gt;0,D142/C142,"")</f>
        <v>1.12420451288668</v>
      </c>
      <c r="F142" s="18" t="str">
        <f aca="false">IF(AND(C142=0,D142&gt;0),"Plant only",IF(AND(D142=0,C142&gt;0),"System only",IF(ABS(D142-C142)&lt;=0.5,"Match",IF(D142&gt;C142,"Plant more","Plant less"))))</f>
        <v>Match</v>
      </c>
      <c r="G142" s="8" t="n">
        <v>2.66855360000001</v>
      </c>
      <c r="H142" s="8" t="n">
        <v>0</v>
      </c>
      <c r="I142" s="8" t="n">
        <v>0</v>
      </c>
      <c r="J142" s="8" t="n">
        <v>0</v>
      </c>
      <c r="K142" s="8" t="n">
        <f aca="false">IF(C142&gt;0,G142*E142,0)</f>
        <v>3</v>
      </c>
      <c r="L142" s="8" t="n">
        <f aca="false">IF(C142&gt;0,H142*E142,0)</f>
        <v>0</v>
      </c>
      <c r="M142" s="8" t="n">
        <f aca="false">IF(C142&gt;0,I142*E142,0)</f>
        <v>0</v>
      </c>
      <c r="N142" s="8" t="n">
        <f aca="false">IF(C142&gt;0,J142*E142,0)</f>
        <v>0</v>
      </c>
      <c r="O142" s="8" t="n">
        <f aca="false">IF(C142&gt;0,0,D142)</f>
        <v>0</v>
      </c>
      <c r="P142" s="7" t="n">
        <f aca="false">SUM(K142:O142)</f>
        <v>3</v>
      </c>
      <c r="Q142" s="8" t="n">
        <f aca="false">M142+N142</f>
        <v>0</v>
      </c>
      <c r="R142" s="21" t="n">
        <v>15</v>
      </c>
      <c r="S142" s="22" t="n">
        <v>15</v>
      </c>
      <c r="T142" s="23" t="n">
        <v>46309</v>
      </c>
    </row>
    <row r="143" customFormat="false" ht="15" hidden="false" customHeight="false" outlineLevel="0" collapsed="false">
      <c r="A143" s="18" t="s">
        <v>18</v>
      </c>
      <c r="B143" s="19" t="s">
        <v>146</v>
      </c>
      <c r="C143" s="8" t="n">
        <v>0.762212000000002</v>
      </c>
      <c r="D143" s="8" t="n">
        <v>0</v>
      </c>
      <c r="E143" s="20" t="n">
        <f aca="false">IF(C143&gt;0,D143/C143,"")</f>
        <v>0</v>
      </c>
      <c r="F143" s="18" t="str">
        <f aca="false">IF(AND(C143=0,D143&gt;0),"Plant only",IF(AND(D143=0,C143&gt;0),"System only",IF(ABS(D143-C143)&lt;=0.5,"Match",IF(D143&gt;C143,"Plant more","Plant less"))))</f>
        <v>System only</v>
      </c>
      <c r="G143" s="8" t="n">
        <v>0</v>
      </c>
      <c r="H143" s="8" t="n">
        <v>0.762212000000002</v>
      </c>
      <c r="I143" s="8" t="n">
        <v>0</v>
      </c>
      <c r="J143" s="8" t="n">
        <v>0</v>
      </c>
      <c r="K143" s="8" t="n">
        <f aca="false">IF(C143&gt;0,G143*E143,0)</f>
        <v>0</v>
      </c>
      <c r="L143" s="8" t="n">
        <f aca="false">IF(C143&gt;0,H143*E143,0)</f>
        <v>0</v>
      </c>
      <c r="M143" s="8" t="n">
        <f aca="false">IF(C143&gt;0,I143*E143,0)</f>
        <v>0</v>
      </c>
      <c r="N143" s="8" t="n">
        <f aca="false">IF(C143&gt;0,J143*E143,0)</f>
        <v>0</v>
      </c>
      <c r="O143" s="8" t="n">
        <f aca="false">IF(C143&gt;0,0,D143)</f>
        <v>0</v>
      </c>
      <c r="P143" s="7" t="n">
        <f aca="false">SUM(K143:O143)</f>
        <v>0</v>
      </c>
      <c r="Q143" s="8" t="n">
        <f aca="false">M143+N143</f>
        <v>0</v>
      </c>
      <c r="R143" s="21" t="n">
        <v>34</v>
      </c>
      <c r="S143" s="22" t="n">
        <v>34</v>
      </c>
      <c r="T143" s="23" t="n">
        <v>46290</v>
      </c>
    </row>
    <row r="144" customFormat="false" ht="15" hidden="false" customHeight="false" outlineLevel="0" collapsed="false">
      <c r="A144" s="18" t="s">
        <v>18</v>
      </c>
      <c r="B144" s="19" t="s">
        <v>147</v>
      </c>
      <c r="C144" s="8" t="n">
        <v>0.0340639999999972</v>
      </c>
      <c r="D144" s="8" t="n">
        <v>0</v>
      </c>
      <c r="E144" s="20" t="n">
        <f aca="false">IF(C144&gt;0,D144/C144,"")</f>
        <v>0</v>
      </c>
      <c r="F144" s="18" t="str">
        <f aca="false">IF(AND(C144=0,D144&gt;0),"Plant only",IF(AND(D144=0,C144&gt;0),"System only",IF(ABS(D144-C144)&lt;=0.5,"Match",IF(D144&gt;C144,"Plant more","Plant less"))))</f>
        <v>System only</v>
      </c>
      <c r="G144" s="8" t="n">
        <v>0</v>
      </c>
      <c r="H144" s="8" t="n">
        <v>0.0340639999999972</v>
      </c>
      <c r="I144" s="8" t="n">
        <v>0</v>
      </c>
      <c r="J144" s="8" t="n">
        <v>0</v>
      </c>
      <c r="K144" s="8" t="n">
        <f aca="false">IF(C144&gt;0,G144*E144,0)</f>
        <v>0</v>
      </c>
      <c r="L144" s="8" t="n">
        <f aca="false">IF(C144&gt;0,H144*E144,0)</f>
        <v>0</v>
      </c>
      <c r="M144" s="8" t="n">
        <f aca="false">IF(C144&gt;0,I144*E144,0)</f>
        <v>0</v>
      </c>
      <c r="N144" s="8" t="n">
        <f aca="false">IF(C144&gt;0,J144*E144,0)</f>
        <v>0</v>
      </c>
      <c r="O144" s="8" t="n">
        <f aca="false">IF(C144&gt;0,0,D144)</f>
        <v>0</v>
      </c>
      <c r="P144" s="7" t="n">
        <f aca="false">SUM(K144:O144)</f>
        <v>0</v>
      </c>
      <c r="Q144" s="8" t="n">
        <f aca="false">M144+N144</f>
        <v>0</v>
      </c>
      <c r="R144" s="21" t="n">
        <v>34</v>
      </c>
      <c r="S144" s="22" t="n">
        <v>34</v>
      </c>
      <c r="T144" s="23" t="n">
        <v>46290</v>
      </c>
    </row>
    <row r="145" customFormat="false" ht="15" hidden="false" customHeight="false" outlineLevel="0" collapsed="false">
      <c r="A145" s="18" t="s">
        <v>18</v>
      </c>
      <c r="B145" s="19" t="s">
        <v>148</v>
      </c>
      <c r="C145" s="8" t="n">
        <v>63.6940375</v>
      </c>
      <c r="D145" s="8" t="n">
        <v>59</v>
      </c>
      <c r="E145" s="20" t="n">
        <f aca="false">IF(C145&gt;0,D145/C145,"")</f>
        <v>0.926303345112955</v>
      </c>
      <c r="F145" s="18" t="str">
        <f aca="false">IF(AND(C145=0,D145&gt;0),"Plant only",IF(AND(D145=0,C145&gt;0),"System only",IF(ABS(D145-C145)&lt;=0.5,"Match",IF(D145&gt;C145,"Plant more","Plant less"))))</f>
        <v>Plant less</v>
      </c>
      <c r="G145" s="8" t="n">
        <v>60.7884375</v>
      </c>
      <c r="H145" s="8" t="n">
        <v>2.9056</v>
      </c>
      <c r="I145" s="8" t="n">
        <v>0</v>
      </c>
      <c r="J145" s="8" t="n">
        <v>0</v>
      </c>
      <c r="K145" s="8" t="n">
        <f aca="false">IF(C145&gt;0,G145*E145,0)</f>
        <v>56.3085330004398</v>
      </c>
      <c r="L145" s="8" t="n">
        <f aca="false">IF(C145&gt;0,H145*E145,0)</f>
        <v>2.6914669995602</v>
      </c>
      <c r="M145" s="8" t="n">
        <f aca="false">IF(C145&gt;0,I145*E145,0)</f>
        <v>0</v>
      </c>
      <c r="N145" s="8" t="n">
        <f aca="false">IF(C145&gt;0,J145*E145,0)</f>
        <v>0</v>
      </c>
      <c r="O145" s="8" t="n">
        <f aca="false">IF(C145&gt;0,0,D145)</f>
        <v>0</v>
      </c>
      <c r="P145" s="7" t="n">
        <f aca="false">SUM(K145:O145)</f>
        <v>59</v>
      </c>
      <c r="Q145" s="8" t="n">
        <f aca="false">M145+N145</f>
        <v>0</v>
      </c>
      <c r="R145" s="21" t="n">
        <v>29.854741701686</v>
      </c>
      <c r="S145" s="22" t="n">
        <v>31</v>
      </c>
      <c r="T145" s="23" t="n">
        <v>46295</v>
      </c>
    </row>
    <row r="146" customFormat="false" ht="15" hidden="false" customHeight="false" outlineLevel="0" collapsed="false">
      <c r="A146" s="18" t="s">
        <v>18</v>
      </c>
      <c r="B146" s="19" t="s">
        <v>124</v>
      </c>
      <c r="C146" s="8" t="n">
        <v>44.5940144</v>
      </c>
      <c r="D146" s="8" t="n">
        <v>43</v>
      </c>
      <c r="E146" s="20" t="n">
        <f aca="false">IF(C146&gt;0,D146/C146,"")</f>
        <v>0.964254969608656</v>
      </c>
      <c r="F146" s="18" t="str">
        <f aca="false">IF(AND(C146=0,D146&gt;0),"Plant only",IF(AND(D146=0,C146&gt;0),"System only",IF(ABS(D146-C146)&lt;=0.5,"Match",IF(D146&gt;C146,"Plant more","Plant less"))))</f>
        <v>Plant less</v>
      </c>
      <c r="G146" s="8" t="n">
        <v>44.5940144</v>
      </c>
      <c r="H146" s="8" t="n">
        <v>0</v>
      </c>
      <c r="I146" s="8" t="n">
        <v>0</v>
      </c>
      <c r="J146" s="8" t="n">
        <v>0</v>
      </c>
      <c r="K146" s="8" t="n">
        <f aca="false">IF(C146&gt;0,G146*E146,0)</f>
        <v>43</v>
      </c>
      <c r="L146" s="8" t="n">
        <f aca="false">IF(C146&gt;0,H146*E146,0)</f>
        <v>0</v>
      </c>
      <c r="M146" s="8" t="n">
        <f aca="false">IF(C146&gt;0,I146*E146,0)</f>
        <v>0</v>
      </c>
      <c r="N146" s="8" t="n">
        <f aca="false">IF(C146&gt;0,J146*E146,0)</f>
        <v>0</v>
      </c>
      <c r="O146" s="8" t="n">
        <f aca="false">IF(C146&gt;0,0,D146)</f>
        <v>0</v>
      </c>
      <c r="P146" s="7" t="n">
        <f aca="false">SUM(K146:O146)</f>
        <v>43</v>
      </c>
      <c r="Q146" s="8" t="n">
        <f aca="false">M146+N146</f>
        <v>0</v>
      </c>
      <c r="R146" s="21" t="n">
        <v>29</v>
      </c>
      <c r="S146" s="22" t="n">
        <v>29</v>
      </c>
      <c r="T146" s="23" t="n">
        <v>46295</v>
      </c>
    </row>
    <row r="147" customFormat="false" ht="15" hidden="false" customHeight="false" outlineLevel="0" collapsed="false">
      <c r="A147" s="18" t="s">
        <v>18</v>
      </c>
      <c r="B147" s="19" t="s">
        <v>125</v>
      </c>
      <c r="C147" s="8" t="n">
        <v>2.47299039999999</v>
      </c>
      <c r="D147" s="8" t="n">
        <v>0</v>
      </c>
      <c r="E147" s="20" t="n">
        <f aca="false">IF(C147&gt;0,D147/C147,"")</f>
        <v>0</v>
      </c>
      <c r="F147" s="18" t="str">
        <f aca="false">IF(AND(C147=0,D147&gt;0),"Plant only",IF(AND(D147=0,C147&gt;0),"System only",IF(ABS(D147-C147)&lt;=0.5,"Match",IF(D147&gt;C147,"Plant more","Plant less"))))</f>
        <v>System only</v>
      </c>
      <c r="G147" s="8" t="n">
        <v>2.47299039999999</v>
      </c>
      <c r="H147" s="8" t="n">
        <v>0</v>
      </c>
      <c r="I147" s="8" t="n">
        <v>0</v>
      </c>
      <c r="J147" s="8" t="n">
        <v>0</v>
      </c>
      <c r="K147" s="8" t="n">
        <f aca="false">IF(C147&gt;0,G147*E147,0)</f>
        <v>0</v>
      </c>
      <c r="L147" s="8" t="n">
        <f aca="false">IF(C147&gt;0,H147*E147,0)</f>
        <v>0</v>
      </c>
      <c r="M147" s="8" t="n">
        <f aca="false">IF(C147&gt;0,I147*E147,0)</f>
        <v>0</v>
      </c>
      <c r="N147" s="8" t="n">
        <f aca="false">IF(C147&gt;0,J147*E147,0)</f>
        <v>0</v>
      </c>
      <c r="O147" s="8" t="n">
        <f aca="false">IF(C147&gt;0,0,D147)</f>
        <v>0</v>
      </c>
      <c r="P147" s="7" t="n">
        <f aca="false">SUM(K147:O147)</f>
        <v>0</v>
      </c>
      <c r="Q147" s="8" t="n">
        <f aca="false">M147+N147</f>
        <v>0</v>
      </c>
      <c r="R147" s="21" t="n">
        <v>29</v>
      </c>
      <c r="S147" s="22" t="n">
        <v>29</v>
      </c>
      <c r="T147" s="23" t="n">
        <v>46295</v>
      </c>
    </row>
    <row r="148" customFormat="false" ht="15" hidden="false" customHeight="false" outlineLevel="0" collapsed="false">
      <c r="A148" s="18" t="s">
        <v>18</v>
      </c>
      <c r="B148" s="19" t="s">
        <v>126</v>
      </c>
      <c r="C148" s="8" t="n">
        <v>5.50399000000002</v>
      </c>
      <c r="D148" s="8" t="n">
        <v>2</v>
      </c>
      <c r="E148" s="20" t="n">
        <f aca="false">IF(C148&gt;0,D148/C148,"")</f>
        <v>0.363372753220844</v>
      </c>
      <c r="F148" s="18" t="str">
        <f aca="false">IF(AND(C148=0,D148&gt;0),"Plant only",IF(AND(D148=0,C148&gt;0),"System only",IF(ABS(D148-C148)&lt;=0.5,"Match",IF(D148&gt;C148,"Plant more","Plant less"))))</f>
        <v>Plant less</v>
      </c>
      <c r="G148" s="8" t="n">
        <v>5.50399000000002</v>
      </c>
      <c r="H148" s="8" t="n">
        <v>0</v>
      </c>
      <c r="I148" s="8" t="n">
        <v>0</v>
      </c>
      <c r="J148" s="8" t="n">
        <v>0</v>
      </c>
      <c r="K148" s="8" t="n">
        <f aca="false">IF(C148&gt;0,G148*E148,0)</f>
        <v>2</v>
      </c>
      <c r="L148" s="8" t="n">
        <f aca="false">IF(C148&gt;0,H148*E148,0)</f>
        <v>0</v>
      </c>
      <c r="M148" s="8" t="n">
        <f aca="false">IF(C148&gt;0,I148*E148,0)</f>
        <v>0</v>
      </c>
      <c r="N148" s="8" t="n">
        <f aca="false">IF(C148&gt;0,J148*E148,0)</f>
        <v>0</v>
      </c>
      <c r="O148" s="8" t="n">
        <f aca="false">IF(C148&gt;0,0,D148)</f>
        <v>0</v>
      </c>
      <c r="P148" s="7" t="n">
        <f aca="false">SUM(K148:O148)</f>
        <v>2</v>
      </c>
      <c r="Q148" s="8" t="n">
        <f aca="false">M148+N148</f>
        <v>0</v>
      </c>
      <c r="R148" s="21" t="n">
        <v>27</v>
      </c>
      <c r="S148" s="22" t="n">
        <v>27</v>
      </c>
      <c r="T148" s="23" t="n">
        <v>46297</v>
      </c>
    </row>
    <row r="149" customFormat="false" ht="15" hidden="false" customHeight="false" outlineLevel="0" collapsed="false">
      <c r="A149" s="18" t="s">
        <v>18</v>
      </c>
      <c r="B149" s="19" t="s">
        <v>67</v>
      </c>
      <c r="C149" s="8" t="n">
        <v>2.08072</v>
      </c>
      <c r="D149" s="8" t="n">
        <v>1</v>
      </c>
      <c r="E149" s="20" t="n">
        <f aca="false">IF(C149&gt;0,D149/C149,"")</f>
        <v>0.480602868237917</v>
      </c>
      <c r="F149" s="18" t="str">
        <f aca="false">IF(AND(C149=0,D149&gt;0),"Plant only",IF(AND(D149=0,C149&gt;0),"System only",IF(ABS(D149-C149)&lt;=0.5,"Match",IF(D149&gt;C149,"Plant more","Plant less"))))</f>
        <v>Plant less</v>
      </c>
      <c r="G149" s="8" t="n">
        <v>2.08072</v>
      </c>
      <c r="H149" s="8" t="n">
        <v>0</v>
      </c>
      <c r="I149" s="8" t="n">
        <v>0</v>
      </c>
      <c r="J149" s="8" t="n">
        <v>0</v>
      </c>
      <c r="K149" s="8" t="n">
        <f aca="false">IF(C149&gt;0,G149*E149,0)</f>
        <v>1</v>
      </c>
      <c r="L149" s="8" t="n">
        <f aca="false">IF(C149&gt;0,H149*E149,0)</f>
        <v>0</v>
      </c>
      <c r="M149" s="8" t="n">
        <f aca="false">IF(C149&gt;0,I149*E149,0)</f>
        <v>0</v>
      </c>
      <c r="N149" s="8" t="n">
        <f aca="false">IF(C149&gt;0,J149*E149,0)</f>
        <v>0</v>
      </c>
      <c r="O149" s="8" t="n">
        <f aca="false">IF(C149&gt;0,0,D149)</f>
        <v>0</v>
      </c>
      <c r="P149" s="7" t="n">
        <f aca="false">SUM(K149:O149)</f>
        <v>1</v>
      </c>
      <c r="Q149" s="8" t="n">
        <f aca="false">M149+N149</f>
        <v>0</v>
      </c>
      <c r="R149" s="21" t="n">
        <v>28</v>
      </c>
      <c r="S149" s="22" t="n">
        <v>28</v>
      </c>
      <c r="T149" s="23" t="n">
        <v>46296</v>
      </c>
    </row>
    <row r="150" customFormat="false" ht="15" hidden="false" customHeight="false" outlineLevel="0" collapsed="false">
      <c r="A150" s="18" t="s">
        <v>18</v>
      </c>
      <c r="B150" s="19" t="s">
        <v>68</v>
      </c>
      <c r="C150" s="8" t="n">
        <v>0.152975000000001</v>
      </c>
      <c r="D150" s="8" t="n">
        <v>0</v>
      </c>
      <c r="E150" s="20" t="n">
        <f aca="false">IF(C150&gt;0,D150/C150,"")</f>
        <v>0</v>
      </c>
      <c r="F150" s="18" t="str">
        <f aca="false">IF(AND(C150=0,D150&gt;0),"Plant only",IF(AND(D150=0,C150&gt;0),"System only",IF(ABS(D150-C150)&lt;=0.5,"Match",IF(D150&gt;C150,"Plant more","Plant less"))))</f>
        <v>System only</v>
      </c>
      <c r="G150" s="8" t="n">
        <v>0.152975000000001</v>
      </c>
      <c r="H150" s="8" t="n">
        <v>0</v>
      </c>
      <c r="I150" s="8" t="n">
        <v>0</v>
      </c>
      <c r="J150" s="8" t="n">
        <v>0</v>
      </c>
      <c r="K150" s="8" t="n">
        <f aca="false">IF(C150&gt;0,G150*E150,0)</f>
        <v>0</v>
      </c>
      <c r="L150" s="8" t="n">
        <f aca="false">IF(C150&gt;0,H150*E150,0)</f>
        <v>0</v>
      </c>
      <c r="M150" s="8" t="n">
        <f aca="false">IF(C150&gt;0,I150*E150,0)</f>
        <v>0</v>
      </c>
      <c r="N150" s="8" t="n">
        <f aca="false">IF(C150&gt;0,J150*E150,0)</f>
        <v>0</v>
      </c>
      <c r="O150" s="8" t="n">
        <f aca="false">IF(C150&gt;0,0,D150)</f>
        <v>0</v>
      </c>
      <c r="P150" s="7" t="n">
        <f aca="false">SUM(K150:O150)</f>
        <v>0</v>
      </c>
      <c r="Q150" s="8" t="n">
        <f aca="false">M150+N150</f>
        <v>0</v>
      </c>
      <c r="R150" s="21" t="n">
        <v>27</v>
      </c>
      <c r="S150" s="22" t="n">
        <v>27</v>
      </c>
      <c r="T150" s="23" t="n">
        <v>46297</v>
      </c>
    </row>
    <row r="151" customFormat="false" ht="15" hidden="false" customHeight="false" outlineLevel="0" collapsed="false">
      <c r="A151" s="18" t="s">
        <v>18</v>
      </c>
      <c r="B151" s="19" t="s">
        <v>149</v>
      </c>
      <c r="C151" s="8" t="n">
        <v>3.8724</v>
      </c>
      <c r="D151" s="8" t="n">
        <v>3</v>
      </c>
      <c r="E151" s="20" t="n">
        <f aca="false">IF(C151&gt;0,D151/C151,"")</f>
        <v>0.774713356058259</v>
      </c>
      <c r="F151" s="18" t="str">
        <f aca="false">IF(AND(C151=0,D151&gt;0),"Plant only",IF(AND(D151=0,C151&gt;0),"System only",IF(ABS(D151-C151)&lt;=0.5,"Match",IF(D151&gt;C151,"Plant more","Plant less"))))</f>
        <v>Plant less</v>
      </c>
      <c r="G151" s="8" t="n">
        <v>3.8724</v>
      </c>
      <c r="H151" s="8" t="n">
        <v>0</v>
      </c>
      <c r="I151" s="8" t="n">
        <v>0</v>
      </c>
      <c r="J151" s="8" t="n">
        <v>0</v>
      </c>
      <c r="K151" s="8" t="n">
        <f aca="false">IF(C151&gt;0,G151*E151,0)</f>
        <v>3</v>
      </c>
      <c r="L151" s="8" t="n">
        <f aca="false">IF(C151&gt;0,H151*E151,0)</f>
        <v>0</v>
      </c>
      <c r="M151" s="8" t="n">
        <f aca="false">IF(C151&gt;0,I151*E151,0)</f>
        <v>0</v>
      </c>
      <c r="N151" s="8" t="n">
        <f aca="false">IF(C151&gt;0,J151*E151,0)</f>
        <v>0</v>
      </c>
      <c r="O151" s="8" t="n">
        <f aca="false">IF(C151&gt;0,0,D151)</f>
        <v>0</v>
      </c>
      <c r="P151" s="7" t="n">
        <f aca="false">SUM(K151:O151)</f>
        <v>3</v>
      </c>
      <c r="Q151" s="8" t="n">
        <f aca="false">M151+N151</f>
        <v>0</v>
      </c>
      <c r="R151" s="21" t="n">
        <v>27</v>
      </c>
      <c r="S151" s="22" t="n">
        <v>27</v>
      </c>
      <c r="T151" s="23" t="n">
        <v>46297</v>
      </c>
    </row>
    <row r="152" customFormat="false" ht="15" hidden="false" customHeight="false" outlineLevel="0" collapsed="false">
      <c r="A152" s="18" t="s">
        <v>18</v>
      </c>
      <c r="B152" s="19" t="s">
        <v>73</v>
      </c>
      <c r="C152" s="8" t="n">
        <v>15.284016</v>
      </c>
      <c r="D152" s="8" t="n">
        <v>14</v>
      </c>
      <c r="E152" s="20" t="n">
        <f aca="false">IF(C152&gt;0,D152/C152,"")</f>
        <v>0.91598961948221</v>
      </c>
      <c r="F152" s="18" t="str">
        <f aca="false">IF(AND(C152=0,D152&gt;0),"Plant only",IF(AND(D152=0,C152&gt;0),"System only",IF(ABS(D152-C152)&lt;=0.5,"Match",IF(D152&gt;C152,"Plant more","Plant less"))))</f>
        <v>Plant less</v>
      </c>
      <c r="G152" s="8" t="n">
        <v>15.284016</v>
      </c>
      <c r="H152" s="8" t="n">
        <v>0</v>
      </c>
      <c r="I152" s="8" t="n">
        <v>0</v>
      </c>
      <c r="J152" s="8" t="n">
        <v>0</v>
      </c>
      <c r="K152" s="8" t="n">
        <f aca="false">IF(C152&gt;0,G152*E152,0)</f>
        <v>14</v>
      </c>
      <c r="L152" s="8" t="n">
        <f aca="false">IF(C152&gt;0,H152*E152,0)</f>
        <v>0</v>
      </c>
      <c r="M152" s="8" t="n">
        <f aca="false">IF(C152&gt;0,I152*E152,0)</f>
        <v>0</v>
      </c>
      <c r="N152" s="8" t="n">
        <f aca="false">IF(C152&gt;0,J152*E152,0)</f>
        <v>0</v>
      </c>
      <c r="O152" s="8" t="n">
        <f aca="false">IF(C152&gt;0,0,D152)</f>
        <v>0</v>
      </c>
      <c r="P152" s="7" t="n">
        <f aca="false">SUM(K152:O152)</f>
        <v>14</v>
      </c>
      <c r="Q152" s="8" t="n">
        <f aca="false">M152+N152</f>
        <v>0</v>
      </c>
      <c r="R152" s="21" t="n">
        <v>24</v>
      </c>
      <c r="S152" s="22" t="n">
        <v>24</v>
      </c>
      <c r="T152" s="23" t="n">
        <v>46300</v>
      </c>
    </row>
    <row r="153" customFormat="false" ht="15" hidden="false" customHeight="false" outlineLevel="0" collapsed="false">
      <c r="A153" s="18" t="s">
        <v>18</v>
      </c>
      <c r="B153" s="19" t="s">
        <v>74</v>
      </c>
      <c r="C153" s="8" t="n">
        <v>17.724625</v>
      </c>
      <c r="D153" s="8" t="n">
        <v>16</v>
      </c>
      <c r="E153" s="20" t="n">
        <f aca="false">IF(C153&gt;0,D153/C153,"")</f>
        <v>0.902698928750256</v>
      </c>
      <c r="F153" s="18" t="str">
        <f aca="false">IF(AND(C153=0,D153&gt;0),"Plant only",IF(AND(D153=0,C153&gt;0),"System only",IF(ABS(D153-C153)&lt;=0.5,"Match",IF(D153&gt;C153,"Plant more","Plant less"))))</f>
        <v>Plant less</v>
      </c>
      <c r="G153" s="8" t="n">
        <v>17.724625</v>
      </c>
      <c r="H153" s="8" t="n">
        <v>0</v>
      </c>
      <c r="I153" s="8" t="n">
        <v>0</v>
      </c>
      <c r="J153" s="8" t="n">
        <v>0</v>
      </c>
      <c r="K153" s="8" t="n">
        <f aca="false">IF(C153&gt;0,G153*E153,0)</f>
        <v>16</v>
      </c>
      <c r="L153" s="8" t="n">
        <f aca="false">IF(C153&gt;0,H153*E153,0)</f>
        <v>0</v>
      </c>
      <c r="M153" s="8" t="n">
        <f aca="false">IF(C153&gt;0,I153*E153,0)</f>
        <v>0</v>
      </c>
      <c r="N153" s="8" t="n">
        <f aca="false">IF(C153&gt;0,J153*E153,0)</f>
        <v>0</v>
      </c>
      <c r="O153" s="8" t="n">
        <f aca="false">IF(C153&gt;0,0,D153)</f>
        <v>0</v>
      </c>
      <c r="P153" s="7" t="n">
        <f aca="false">SUM(K153:O153)</f>
        <v>16</v>
      </c>
      <c r="Q153" s="8" t="n">
        <f aca="false">M153+N153</f>
        <v>0</v>
      </c>
      <c r="R153" s="21" t="n">
        <v>23</v>
      </c>
      <c r="S153" s="22" t="n">
        <v>23</v>
      </c>
      <c r="T153" s="23" t="n">
        <v>46301</v>
      </c>
    </row>
    <row r="154" customFormat="false" ht="15" hidden="false" customHeight="false" outlineLevel="0" collapsed="false">
      <c r="A154" s="18" t="s">
        <v>18</v>
      </c>
      <c r="B154" s="19" t="s">
        <v>75</v>
      </c>
      <c r="C154" s="8" t="n">
        <v>4.920268</v>
      </c>
      <c r="D154" s="8" t="n">
        <v>4</v>
      </c>
      <c r="E154" s="20" t="n">
        <f aca="false">IF(C154&gt;0,D154/C154,"")</f>
        <v>0.812963846684774</v>
      </c>
      <c r="F154" s="18" t="str">
        <f aca="false">IF(AND(C154=0,D154&gt;0),"Plant only",IF(AND(D154=0,C154&gt;0),"System only",IF(ABS(D154-C154)&lt;=0.5,"Match",IF(D154&gt;C154,"Plant more","Plant less"))))</f>
        <v>Plant less</v>
      </c>
      <c r="G154" s="8" t="n">
        <v>4.920268</v>
      </c>
      <c r="H154" s="8" t="n">
        <v>0</v>
      </c>
      <c r="I154" s="8" t="n">
        <v>0</v>
      </c>
      <c r="J154" s="8" t="n">
        <v>0</v>
      </c>
      <c r="K154" s="8" t="n">
        <f aca="false">IF(C154&gt;0,G154*E154,0)</f>
        <v>4</v>
      </c>
      <c r="L154" s="8" t="n">
        <f aca="false">IF(C154&gt;0,H154*E154,0)</f>
        <v>0</v>
      </c>
      <c r="M154" s="8" t="n">
        <f aca="false">IF(C154&gt;0,I154*E154,0)</f>
        <v>0</v>
      </c>
      <c r="N154" s="8" t="n">
        <f aca="false">IF(C154&gt;0,J154*E154,0)</f>
        <v>0</v>
      </c>
      <c r="O154" s="8" t="n">
        <f aca="false">IF(C154&gt;0,0,D154)</f>
        <v>0</v>
      </c>
      <c r="P154" s="7" t="n">
        <f aca="false">SUM(K154:O154)</f>
        <v>4</v>
      </c>
      <c r="Q154" s="8" t="n">
        <f aca="false">M154+N154</f>
        <v>0</v>
      </c>
      <c r="R154" s="21" t="n">
        <v>21</v>
      </c>
      <c r="S154" s="22" t="n">
        <v>21</v>
      </c>
      <c r="T154" s="23" t="n">
        <v>46303</v>
      </c>
    </row>
    <row r="155" customFormat="false" ht="15" hidden="false" customHeight="false" outlineLevel="0" collapsed="false">
      <c r="A155" s="18" t="s">
        <v>18</v>
      </c>
      <c r="B155" s="19" t="s">
        <v>76</v>
      </c>
      <c r="C155" s="8" t="n">
        <v>42.2617312</v>
      </c>
      <c r="D155" s="8" t="n">
        <v>43</v>
      </c>
      <c r="E155" s="20" t="n">
        <f aca="false">IF(C155&gt;0,D155/C155,"")</f>
        <v>1.01746896729115</v>
      </c>
      <c r="F155" s="18" t="str">
        <f aca="false">IF(AND(C155=0,D155&gt;0),"Plant only",IF(AND(D155=0,C155&gt;0),"System only",IF(ABS(D155-C155)&lt;=0.5,"Match",IF(D155&gt;C155,"Plant more","Plant less"))))</f>
        <v>Plant more</v>
      </c>
      <c r="G155" s="8" t="n">
        <v>42.2617312</v>
      </c>
      <c r="H155" s="8" t="n">
        <v>0</v>
      </c>
      <c r="I155" s="8" t="n">
        <v>0</v>
      </c>
      <c r="J155" s="8" t="n">
        <v>0</v>
      </c>
      <c r="K155" s="8" t="n">
        <f aca="false">IF(C155&gt;0,G155*E155,0)</f>
        <v>43</v>
      </c>
      <c r="L155" s="8" t="n">
        <f aca="false">IF(C155&gt;0,H155*E155,0)</f>
        <v>0</v>
      </c>
      <c r="M155" s="8" t="n">
        <f aca="false">IF(C155&gt;0,I155*E155,0)</f>
        <v>0</v>
      </c>
      <c r="N155" s="8" t="n">
        <f aca="false">IF(C155&gt;0,J155*E155,0)</f>
        <v>0</v>
      </c>
      <c r="O155" s="8" t="n">
        <f aca="false">IF(C155&gt;0,0,D155)</f>
        <v>0</v>
      </c>
      <c r="P155" s="7" t="n">
        <f aca="false">SUM(K155:O155)</f>
        <v>43</v>
      </c>
      <c r="Q155" s="8" t="n">
        <f aca="false">M155+N155</f>
        <v>0</v>
      </c>
      <c r="R155" s="21" t="n">
        <v>17.3289561408218</v>
      </c>
      <c r="S155" s="22" t="n">
        <v>18</v>
      </c>
      <c r="T155" s="23" t="n">
        <v>46307</v>
      </c>
    </row>
    <row r="156" customFormat="false" ht="15" hidden="false" customHeight="false" outlineLevel="0" collapsed="false">
      <c r="A156" s="18" t="s">
        <v>18</v>
      </c>
      <c r="B156" s="19" t="s">
        <v>150</v>
      </c>
      <c r="C156" s="8" t="n">
        <v>52.94524</v>
      </c>
      <c r="D156" s="8" t="n">
        <v>48</v>
      </c>
      <c r="E156" s="20" t="n">
        <f aca="false">IF(C156&gt;0,D156/C156,"")</f>
        <v>0.906597080304103</v>
      </c>
      <c r="F156" s="18" t="str">
        <f aca="false">IF(AND(C156=0,D156&gt;0),"Plant only",IF(AND(D156=0,C156&gt;0),"System only",IF(ABS(D156-C156)&lt;=0.5,"Match",IF(D156&gt;C156,"Plant more","Plant less"))))</f>
        <v>Plant less</v>
      </c>
      <c r="G156" s="8" t="n">
        <v>52.94524</v>
      </c>
      <c r="H156" s="8" t="n">
        <v>0</v>
      </c>
      <c r="I156" s="8" t="n">
        <v>0</v>
      </c>
      <c r="J156" s="8" t="n">
        <v>0</v>
      </c>
      <c r="K156" s="8" t="n">
        <f aca="false">IF(C156&gt;0,G156*E156,0)</f>
        <v>48</v>
      </c>
      <c r="L156" s="8" t="n">
        <f aca="false">IF(C156&gt;0,H156*E156,0)</f>
        <v>0</v>
      </c>
      <c r="M156" s="8" t="n">
        <f aca="false">IF(C156&gt;0,I156*E156,0)</f>
        <v>0</v>
      </c>
      <c r="N156" s="8" t="n">
        <f aca="false">IF(C156&gt;0,J156*E156,0)</f>
        <v>0</v>
      </c>
      <c r="O156" s="8" t="n">
        <f aca="false">IF(C156&gt;0,0,D156)</f>
        <v>0</v>
      </c>
      <c r="P156" s="7" t="n">
        <f aca="false">SUM(K156:O156)</f>
        <v>48</v>
      </c>
      <c r="Q156" s="8" t="n">
        <f aca="false">M156+N156</f>
        <v>0</v>
      </c>
      <c r="R156" s="21" t="n">
        <v>18.8316879855488</v>
      </c>
      <c r="S156" s="22" t="n">
        <v>19</v>
      </c>
      <c r="T156" s="23" t="n">
        <v>46306</v>
      </c>
    </row>
    <row r="157" customFormat="false" ht="15" hidden="false" customHeight="false" outlineLevel="0" collapsed="false">
      <c r="A157" s="18" t="s">
        <v>18</v>
      </c>
      <c r="B157" s="19" t="s">
        <v>139</v>
      </c>
      <c r="C157" s="8" t="n">
        <v>42.737136</v>
      </c>
      <c r="D157" s="8" t="n">
        <v>50</v>
      </c>
      <c r="E157" s="20" t="n">
        <f aca="false">IF(C157&gt;0,D157/C157,"")</f>
        <v>1.16994269339902</v>
      </c>
      <c r="F157" s="18" t="str">
        <f aca="false">IF(AND(C157=0,D157&gt;0),"Plant only",IF(AND(D157=0,C157&gt;0),"System only",IF(ABS(D157-C157)&lt;=0.5,"Match",IF(D157&gt;C157,"Plant more","Plant less"))))</f>
        <v>Plant more</v>
      </c>
      <c r="G157" s="8" t="n">
        <v>42.737136</v>
      </c>
      <c r="H157" s="8" t="n">
        <v>0</v>
      </c>
      <c r="I157" s="8" t="n">
        <v>0</v>
      </c>
      <c r="J157" s="8" t="n">
        <v>0</v>
      </c>
      <c r="K157" s="8" t="n">
        <f aca="false">IF(C157&gt;0,G157*E157,0)</f>
        <v>50</v>
      </c>
      <c r="L157" s="8" t="n">
        <f aca="false">IF(C157&gt;0,H157*E157,0)</f>
        <v>0</v>
      </c>
      <c r="M157" s="8" t="n">
        <f aca="false">IF(C157&gt;0,I157*E157,0)</f>
        <v>0</v>
      </c>
      <c r="N157" s="8" t="n">
        <f aca="false">IF(C157&gt;0,J157*E157,0)</f>
        <v>0</v>
      </c>
      <c r="O157" s="8" t="n">
        <f aca="false">IF(C157&gt;0,0,D157)</f>
        <v>0</v>
      </c>
      <c r="P157" s="7" t="n">
        <f aca="false">SUM(K157:O157)</f>
        <v>50</v>
      </c>
      <c r="Q157" s="8" t="n">
        <f aca="false">M157+N157</f>
        <v>0</v>
      </c>
      <c r="R157" s="21" t="n">
        <v>10.4792976300518</v>
      </c>
      <c r="S157" s="22" t="n">
        <v>12</v>
      </c>
      <c r="T157" s="23" t="n">
        <v>46314</v>
      </c>
    </row>
    <row r="158" customFormat="false" ht="15" hidden="false" customHeight="false" outlineLevel="0" collapsed="false">
      <c r="A158" s="18" t="s">
        <v>18</v>
      </c>
      <c r="B158" s="19" t="s">
        <v>127</v>
      </c>
      <c r="C158" s="8" t="n">
        <v>40.37355</v>
      </c>
      <c r="D158" s="8" t="n">
        <v>58</v>
      </c>
      <c r="E158" s="20" t="n">
        <f aca="false">IF(C158&gt;0,D158/C158,"")</f>
        <v>1.43658410023394</v>
      </c>
      <c r="F158" s="18" t="str">
        <f aca="false">IF(AND(C158=0,D158&gt;0),"Plant only",IF(AND(D158=0,C158&gt;0),"System only",IF(ABS(D158-C158)&lt;=0.5,"Match",IF(D158&gt;C158,"Plant more","Plant less"))))</f>
        <v>Plant more</v>
      </c>
      <c r="G158" s="8" t="n">
        <v>40.37355</v>
      </c>
      <c r="H158" s="8" t="n">
        <v>0</v>
      </c>
      <c r="I158" s="8" t="n">
        <v>0</v>
      </c>
      <c r="J158" s="8" t="n">
        <v>0</v>
      </c>
      <c r="K158" s="8" t="n">
        <f aca="false">IF(C158&gt;0,G158*E158,0)</f>
        <v>58</v>
      </c>
      <c r="L158" s="8" t="n">
        <f aca="false">IF(C158&gt;0,H158*E158,0)</f>
        <v>0</v>
      </c>
      <c r="M158" s="8" t="n">
        <f aca="false">IF(C158&gt;0,I158*E158,0)</f>
        <v>0</v>
      </c>
      <c r="N158" s="8" t="n">
        <f aca="false">IF(C158&gt;0,J158*E158,0)</f>
        <v>0</v>
      </c>
      <c r="O158" s="8" t="n">
        <f aca="false">IF(C158&gt;0,0,D158)</f>
        <v>0</v>
      </c>
      <c r="P158" s="7" t="n">
        <f aca="false">SUM(K158:O158)</f>
        <v>58</v>
      </c>
      <c r="Q158" s="8" t="n">
        <f aca="false">M158+N158</f>
        <v>0</v>
      </c>
      <c r="R158" s="21" t="n">
        <v>13.1486697355075</v>
      </c>
      <c r="S158" s="22" t="n">
        <v>14</v>
      </c>
      <c r="T158" s="23" t="n">
        <v>46311</v>
      </c>
    </row>
    <row r="159" customFormat="false" ht="15" hidden="false" customHeight="false" outlineLevel="0" collapsed="false">
      <c r="A159" s="18" t="s">
        <v>18</v>
      </c>
      <c r="B159" s="19" t="s">
        <v>128</v>
      </c>
      <c r="C159" s="8" t="n">
        <v>47.4872576</v>
      </c>
      <c r="D159" s="8" t="n">
        <v>44</v>
      </c>
      <c r="E159" s="20" t="n">
        <f aca="false">IF(C159&gt;0,D159/C159,"")</f>
        <v>0.926564350601708</v>
      </c>
      <c r="F159" s="18" t="str">
        <f aca="false">IF(AND(C159=0,D159&gt;0),"Plant only",IF(AND(D159=0,C159&gt;0),"System only",IF(ABS(D159-C159)&lt;=0.5,"Match",IF(D159&gt;C159,"Plant more","Plant less"))))</f>
        <v>Plant less</v>
      </c>
      <c r="G159" s="8" t="n">
        <v>47.4872576</v>
      </c>
      <c r="H159" s="8" t="n">
        <v>0</v>
      </c>
      <c r="I159" s="8" t="n">
        <v>0</v>
      </c>
      <c r="J159" s="8" t="n">
        <v>0</v>
      </c>
      <c r="K159" s="8" t="n">
        <f aca="false">IF(C159&gt;0,G159*E159,0)</f>
        <v>44</v>
      </c>
      <c r="L159" s="8" t="n">
        <f aca="false">IF(C159&gt;0,H159*E159,0)</f>
        <v>0</v>
      </c>
      <c r="M159" s="8" t="n">
        <f aca="false">IF(C159&gt;0,I159*E159,0)</f>
        <v>0</v>
      </c>
      <c r="N159" s="8" t="n">
        <f aca="false">IF(C159&gt;0,J159*E159,0)</f>
        <v>0</v>
      </c>
      <c r="O159" s="8" t="n">
        <f aca="false">IF(C159&gt;0,0,D159)</f>
        <v>0</v>
      </c>
      <c r="P159" s="7" t="n">
        <f aca="false">SUM(K159:O159)</f>
        <v>44</v>
      </c>
      <c r="Q159" s="8" t="n">
        <f aca="false">M159+N159</f>
        <v>0</v>
      </c>
      <c r="R159" s="21" t="n">
        <v>9.6673946907391</v>
      </c>
      <c r="S159" s="22" t="n">
        <v>10</v>
      </c>
      <c r="T159" s="23" t="n">
        <v>46315</v>
      </c>
    </row>
    <row r="160" customFormat="false" ht="15" hidden="false" customHeight="false" outlineLevel="0" collapsed="false">
      <c r="A160" s="18" t="s">
        <v>18</v>
      </c>
      <c r="B160" s="19" t="s">
        <v>129</v>
      </c>
      <c r="C160" s="8" t="n">
        <v>6.40176960000001</v>
      </c>
      <c r="D160" s="8" t="n">
        <v>13</v>
      </c>
      <c r="E160" s="20" t="n">
        <f aca="false">IF(C160&gt;0,D160/C160,"")</f>
        <v>2.0306885146257</v>
      </c>
      <c r="F160" s="18" t="str">
        <f aca="false">IF(AND(C160=0,D160&gt;0),"Plant only",IF(AND(D160=0,C160&gt;0),"System only",IF(ABS(D160-C160)&lt;=0.5,"Match",IF(D160&gt;C160,"Plant more","Plant less"))))</f>
        <v>Plant more</v>
      </c>
      <c r="G160" s="8" t="n">
        <v>6.40176960000001</v>
      </c>
      <c r="H160" s="8" t="n">
        <v>0</v>
      </c>
      <c r="I160" s="8" t="n">
        <v>0</v>
      </c>
      <c r="J160" s="8" t="n">
        <v>0</v>
      </c>
      <c r="K160" s="8" t="n">
        <f aca="false">IF(C160&gt;0,G160*E160,0)</f>
        <v>13</v>
      </c>
      <c r="L160" s="8" t="n">
        <f aca="false">IF(C160&gt;0,H160*E160,0)</f>
        <v>0</v>
      </c>
      <c r="M160" s="8" t="n">
        <f aca="false">IF(C160&gt;0,I160*E160,0)</f>
        <v>0</v>
      </c>
      <c r="N160" s="8" t="n">
        <f aca="false">IF(C160&gt;0,J160*E160,0)</f>
        <v>0</v>
      </c>
      <c r="O160" s="8" t="n">
        <f aca="false">IF(C160&gt;0,0,D160)</f>
        <v>0</v>
      </c>
      <c r="P160" s="7" t="n">
        <f aca="false">SUM(K160:O160)</f>
        <v>13</v>
      </c>
      <c r="Q160" s="8" t="n">
        <f aca="false">M160+N160</f>
        <v>0</v>
      </c>
      <c r="R160" s="21" t="n">
        <v>9</v>
      </c>
      <c r="S160" s="22" t="n">
        <v>9</v>
      </c>
      <c r="T160" s="23" t="n">
        <v>46315</v>
      </c>
    </row>
    <row r="161" customFormat="false" ht="15" hidden="false" customHeight="false" outlineLevel="0" collapsed="false">
      <c r="A161" s="18" t="s">
        <v>18</v>
      </c>
      <c r="B161" s="19" t="s">
        <v>130</v>
      </c>
      <c r="C161" s="8" t="n">
        <v>0</v>
      </c>
      <c r="D161" s="8" t="n">
        <v>6</v>
      </c>
      <c r="E161" s="20" t="str">
        <f aca="false">IF(C161&gt;0,D161/C161,"")</f>
        <v/>
      </c>
      <c r="F161" s="18" t="str">
        <f aca="false">IF(AND(C161=0,D161&gt;0),"Plant only",IF(AND(D161=0,C161&gt;0),"System only",IF(ABS(D161-C161)&lt;=0.5,"Match",IF(D161&gt;C161,"Plant more","Plant less"))))</f>
        <v>Plant only</v>
      </c>
      <c r="G161" s="8" t="n">
        <v>0</v>
      </c>
      <c r="H161" s="8" t="n">
        <v>0</v>
      </c>
      <c r="I161" s="8" t="n">
        <v>0</v>
      </c>
      <c r="J161" s="8" t="n">
        <v>0</v>
      </c>
      <c r="K161" s="8" t="n">
        <f aca="false">IF(C161&gt;0,G161*E161,0)</f>
        <v>0</v>
      </c>
      <c r="L161" s="8" t="n">
        <f aca="false">IF(C161&gt;0,H161*E161,0)</f>
        <v>0</v>
      </c>
      <c r="M161" s="8" t="n">
        <f aca="false">IF(C161&gt;0,I161*E161,0)</f>
        <v>0</v>
      </c>
      <c r="N161" s="8" t="n">
        <f aca="false">IF(C161&gt;0,J161*E161,0)</f>
        <v>0</v>
      </c>
      <c r="O161" s="8" t="n">
        <f aca="false">IF(C161&gt;0,0,D161)</f>
        <v>6</v>
      </c>
      <c r="P161" s="7" t="n">
        <f aca="false">SUM(K161:O161)</f>
        <v>6</v>
      </c>
      <c r="Q161" s="8" t="n">
        <f aca="false">M161+N161</f>
        <v>0</v>
      </c>
      <c r="R161" s="21"/>
      <c r="S161" s="22"/>
      <c r="T161" s="23" t="n">
        <v>46267</v>
      </c>
    </row>
    <row r="162" customFormat="false" ht="15" hidden="false" customHeight="false" outlineLevel="0" collapsed="false">
      <c r="A162" s="18" t="s">
        <v>18</v>
      </c>
      <c r="B162" s="19" t="s">
        <v>131</v>
      </c>
      <c r="C162" s="8" t="n">
        <v>20.1925496</v>
      </c>
      <c r="D162" s="8" t="n">
        <v>25</v>
      </c>
      <c r="E162" s="20" t="n">
        <f aca="false">IF(C162&gt;0,D162/C162,"")</f>
        <v>1.23808040565615</v>
      </c>
      <c r="F162" s="18" t="str">
        <f aca="false">IF(AND(C162=0,D162&gt;0),"Plant only",IF(AND(D162=0,C162&gt;0),"System only",IF(ABS(D162-C162)&lt;=0.5,"Match",IF(D162&gt;C162,"Plant more","Plant less"))))</f>
        <v>Plant more</v>
      </c>
      <c r="G162" s="8" t="n">
        <v>20.1925496</v>
      </c>
      <c r="H162" s="8" t="n">
        <v>0</v>
      </c>
      <c r="I162" s="8" t="n">
        <v>0</v>
      </c>
      <c r="J162" s="8" t="n">
        <v>0</v>
      </c>
      <c r="K162" s="8" t="n">
        <f aca="false">IF(C162&gt;0,G162*E162,0)</f>
        <v>25</v>
      </c>
      <c r="L162" s="8" t="n">
        <f aca="false">IF(C162&gt;0,H162*E162,0)</f>
        <v>0</v>
      </c>
      <c r="M162" s="8" t="n">
        <f aca="false">IF(C162&gt;0,I162*E162,0)</f>
        <v>0</v>
      </c>
      <c r="N162" s="8" t="n">
        <f aca="false">IF(C162&gt;0,J162*E162,0)</f>
        <v>0</v>
      </c>
      <c r="O162" s="8" t="n">
        <f aca="false">IF(C162&gt;0,0,D162)</f>
        <v>0</v>
      </c>
      <c r="P162" s="7" t="n">
        <f aca="false">SUM(K162:O162)</f>
        <v>25</v>
      </c>
      <c r="Q162" s="8" t="n">
        <f aca="false">M162+N162</f>
        <v>0</v>
      </c>
      <c r="R162" s="21" t="n">
        <v>20.3453203551869</v>
      </c>
      <c r="S162" s="22" t="n">
        <v>21</v>
      </c>
      <c r="T162" s="23" t="n">
        <v>46304</v>
      </c>
    </row>
    <row r="163" customFormat="false" ht="15" hidden="false" customHeight="false" outlineLevel="0" collapsed="false">
      <c r="A163" s="18" t="s">
        <v>18</v>
      </c>
      <c r="B163" s="19" t="s">
        <v>132</v>
      </c>
      <c r="C163" s="8" t="n">
        <v>23.668175</v>
      </c>
      <c r="D163" s="8" t="n">
        <v>22</v>
      </c>
      <c r="E163" s="20" t="n">
        <f aca="false">IF(C163&gt;0,D163/C163,"")</f>
        <v>0.929518224366687</v>
      </c>
      <c r="F163" s="18" t="str">
        <f aca="false">IF(AND(C163=0,D163&gt;0),"Plant only",IF(AND(D163=0,C163&gt;0),"System only",IF(ABS(D163-C163)&lt;=0.5,"Match",IF(D163&gt;C163,"Plant more","Plant less"))))</f>
        <v>Plant less</v>
      </c>
      <c r="G163" s="8" t="n">
        <v>23.668175</v>
      </c>
      <c r="H163" s="8" t="n">
        <v>0</v>
      </c>
      <c r="I163" s="8" t="n">
        <v>0</v>
      </c>
      <c r="J163" s="8" t="n">
        <v>0</v>
      </c>
      <c r="K163" s="8" t="n">
        <f aca="false">IF(C163&gt;0,G163*E163,0)</f>
        <v>22</v>
      </c>
      <c r="L163" s="8" t="n">
        <f aca="false">IF(C163&gt;0,H163*E163,0)</f>
        <v>0</v>
      </c>
      <c r="M163" s="8" t="n">
        <f aca="false">IF(C163&gt;0,I163*E163,0)</f>
        <v>0</v>
      </c>
      <c r="N163" s="8" t="n">
        <f aca="false">IF(C163&gt;0,J163*E163,0)</f>
        <v>0</v>
      </c>
      <c r="O163" s="8" t="n">
        <f aca="false">IF(C163&gt;0,0,D163)</f>
        <v>0</v>
      </c>
      <c r="P163" s="7" t="n">
        <f aca="false">SUM(K163:O163)</f>
        <v>22</v>
      </c>
      <c r="Q163" s="8" t="n">
        <f aca="false">M163+N163</f>
        <v>0</v>
      </c>
      <c r="R163" s="21" t="n">
        <v>23.3978217585429</v>
      </c>
      <c r="S163" s="22" t="n">
        <v>24</v>
      </c>
      <c r="T163" s="23" t="n">
        <v>46301</v>
      </c>
    </row>
    <row r="164" customFormat="false" ht="15" hidden="false" customHeight="false" outlineLevel="0" collapsed="false">
      <c r="A164" s="18" t="s">
        <v>18</v>
      </c>
      <c r="B164" s="19" t="s">
        <v>133</v>
      </c>
      <c r="C164" s="8" t="n">
        <v>49.1075198</v>
      </c>
      <c r="D164" s="8" t="n">
        <v>21</v>
      </c>
      <c r="E164" s="20" t="n">
        <f aca="false">IF(C164&gt;0,D164/C164,"")</f>
        <v>0.427633081155933</v>
      </c>
      <c r="F164" s="18" t="str">
        <f aca="false">IF(AND(C164=0,D164&gt;0),"Plant only",IF(AND(D164=0,C164&gt;0),"System only",IF(ABS(D164-C164)&lt;=0.5,"Match",IF(D164&gt;C164,"Plant more","Plant less"))))</f>
        <v>Plant less</v>
      </c>
      <c r="G164" s="8" t="n">
        <v>49.1075198</v>
      </c>
      <c r="H164" s="8" t="n">
        <v>0</v>
      </c>
      <c r="I164" s="8" t="n">
        <v>0</v>
      </c>
      <c r="J164" s="8" t="n">
        <v>0</v>
      </c>
      <c r="K164" s="8" t="n">
        <f aca="false">IF(C164&gt;0,G164*E164,0)</f>
        <v>21</v>
      </c>
      <c r="L164" s="8" t="n">
        <f aca="false">IF(C164&gt;0,H164*E164,0)</f>
        <v>0</v>
      </c>
      <c r="M164" s="8" t="n">
        <f aca="false">IF(C164&gt;0,I164*E164,0)</f>
        <v>0</v>
      </c>
      <c r="N164" s="8" t="n">
        <f aca="false">IF(C164&gt;0,J164*E164,0)</f>
        <v>0</v>
      </c>
      <c r="O164" s="8" t="n">
        <f aca="false">IF(C164&gt;0,0,D164)</f>
        <v>0</v>
      </c>
      <c r="P164" s="7" t="n">
        <f aca="false">SUM(K164:O164)</f>
        <v>21</v>
      </c>
      <c r="Q164" s="8" t="n">
        <f aca="false">M164+N164</f>
        <v>0</v>
      </c>
      <c r="R164" s="21" t="n">
        <v>22.7046102499357</v>
      </c>
      <c r="S164" s="22" t="n">
        <v>23</v>
      </c>
      <c r="T164" s="23" t="n">
        <v>46303</v>
      </c>
    </row>
    <row r="165" customFormat="false" ht="15" hidden="false" customHeight="false" outlineLevel="0" collapsed="false">
      <c r="A165" s="18" t="s">
        <v>18</v>
      </c>
      <c r="B165" s="19" t="s">
        <v>134</v>
      </c>
      <c r="C165" s="8" t="n">
        <v>0</v>
      </c>
      <c r="D165" s="8" t="n">
        <v>4</v>
      </c>
      <c r="E165" s="20" t="str">
        <f aca="false">IF(C165&gt;0,D165/C165,"")</f>
        <v/>
      </c>
      <c r="F165" s="18" t="str">
        <f aca="false">IF(AND(C165=0,D165&gt;0),"Plant only",IF(AND(D165=0,C165&gt;0),"System only",IF(ABS(D165-C165)&lt;=0.5,"Match",IF(D165&gt;C165,"Plant more","Plant less"))))</f>
        <v>Plant only</v>
      </c>
      <c r="G165" s="8" t="n">
        <v>0</v>
      </c>
      <c r="H165" s="8" t="n">
        <v>0</v>
      </c>
      <c r="I165" s="8" t="n">
        <v>0</v>
      </c>
      <c r="J165" s="8" t="n">
        <v>0</v>
      </c>
      <c r="K165" s="8" t="n">
        <f aca="false">IF(C165&gt;0,G165*E165,0)</f>
        <v>0</v>
      </c>
      <c r="L165" s="8" t="n">
        <f aca="false">IF(C165&gt;0,H165*E165,0)</f>
        <v>0</v>
      </c>
      <c r="M165" s="8" t="n">
        <f aca="false">IF(C165&gt;0,I165*E165,0)</f>
        <v>0</v>
      </c>
      <c r="N165" s="8" t="n">
        <f aca="false">IF(C165&gt;0,J165*E165,0)</f>
        <v>0</v>
      </c>
      <c r="O165" s="8" t="n">
        <f aca="false">IF(C165&gt;0,0,D165)</f>
        <v>4</v>
      </c>
      <c r="P165" s="7" t="n">
        <f aca="false">SUM(K165:O165)</f>
        <v>4</v>
      </c>
      <c r="Q165" s="8" t="n">
        <f aca="false">M165+N165</f>
        <v>0</v>
      </c>
      <c r="R165" s="21"/>
      <c r="S165" s="22"/>
      <c r="T165" s="23" t="n">
        <v>46304</v>
      </c>
    </row>
    <row r="166" customFormat="false" ht="15" hidden="false" customHeight="false" outlineLevel="0" collapsed="false">
      <c r="A166" s="18" t="s">
        <v>18</v>
      </c>
      <c r="B166" s="19" t="s">
        <v>151</v>
      </c>
      <c r="C166" s="8" t="n">
        <v>0</v>
      </c>
      <c r="D166" s="8" t="n">
        <v>14</v>
      </c>
      <c r="E166" s="20" t="str">
        <f aca="false">IF(C166&gt;0,D166/C166,"")</f>
        <v/>
      </c>
      <c r="F166" s="18" t="str">
        <f aca="false">IF(AND(C166=0,D166&gt;0),"Plant only",IF(AND(D166=0,C166&gt;0),"System only",IF(ABS(D166-C166)&lt;=0.5,"Match",IF(D166&gt;C166,"Plant more","Plant less"))))</f>
        <v>Plant only</v>
      </c>
      <c r="G166" s="8" t="n">
        <v>0</v>
      </c>
      <c r="H166" s="8" t="n">
        <v>0</v>
      </c>
      <c r="I166" s="8" t="n">
        <v>0</v>
      </c>
      <c r="J166" s="8" t="n">
        <v>0</v>
      </c>
      <c r="K166" s="8" t="n">
        <f aca="false">IF(C166&gt;0,G166*E166,0)</f>
        <v>0</v>
      </c>
      <c r="L166" s="8" t="n">
        <f aca="false">IF(C166&gt;0,H166*E166,0)</f>
        <v>0</v>
      </c>
      <c r="M166" s="8" t="n">
        <f aca="false">IF(C166&gt;0,I166*E166,0)</f>
        <v>0</v>
      </c>
      <c r="N166" s="8" t="n">
        <f aca="false">IF(C166&gt;0,J166*E166,0)</f>
        <v>0</v>
      </c>
      <c r="O166" s="8" t="n">
        <f aca="false">IF(C166&gt;0,0,D166)</f>
        <v>14</v>
      </c>
      <c r="P166" s="7" t="n">
        <f aca="false">SUM(K166:O166)</f>
        <v>14</v>
      </c>
      <c r="Q166" s="8" t="n">
        <f aca="false">M166+N166</f>
        <v>0</v>
      </c>
      <c r="R166" s="21"/>
      <c r="S166" s="22"/>
      <c r="T166" s="23"/>
    </row>
    <row r="167" customFormat="false" ht="15" hidden="false" customHeight="false" outlineLevel="0" collapsed="false">
      <c r="A167" s="18" t="s">
        <v>18</v>
      </c>
      <c r="B167" s="19" t="s">
        <v>152</v>
      </c>
      <c r="C167" s="8" t="n">
        <v>17.5263252</v>
      </c>
      <c r="D167" s="8" t="n">
        <v>16</v>
      </c>
      <c r="E167" s="20" t="n">
        <f aca="false">IF(C167&gt;0,D167/C167,"")</f>
        <v>0.912912422736513</v>
      </c>
      <c r="F167" s="18" t="str">
        <f aca="false">IF(AND(C167=0,D167&gt;0),"Plant only",IF(AND(D167=0,C167&gt;0),"System only",IF(ABS(D167-C167)&lt;=0.5,"Match",IF(D167&gt;C167,"Plant more","Plant less"))))</f>
        <v>Plant less</v>
      </c>
      <c r="G167" s="8" t="n">
        <v>16.4880144</v>
      </c>
      <c r="H167" s="8" t="n">
        <v>1.0383108</v>
      </c>
      <c r="I167" s="8" t="n">
        <v>0</v>
      </c>
      <c r="J167" s="8" t="n">
        <v>0</v>
      </c>
      <c r="K167" s="8" t="n">
        <f aca="false">IF(C167&gt;0,G167*E167,0)</f>
        <v>15.0521131720185</v>
      </c>
      <c r="L167" s="8" t="n">
        <f aca="false">IF(C167&gt;0,H167*E167,0)</f>
        <v>0.947886827981485</v>
      </c>
      <c r="M167" s="8" t="n">
        <f aca="false">IF(C167&gt;0,I167*E167,0)</f>
        <v>0</v>
      </c>
      <c r="N167" s="8" t="n">
        <f aca="false">IF(C167&gt;0,J167*E167,0)</f>
        <v>0</v>
      </c>
      <c r="O167" s="8" t="n">
        <f aca="false">IF(C167&gt;0,0,D167)</f>
        <v>0</v>
      </c>
      <c r="P167" s="7" t="n">
        <f aca="false">SUM(K167:O167)</f>
        <v>16</v>
      </c>
      <c r="Q167" s="8" t="n">
        <f aca="false">M167+N167</f>
        <v>0</v>
      </c>
      <c r="R167" s="21" t="n">
        <v>3.0735024362095</v>
      </c>
      <c r="S167" s="22" t="n">
        <v>36</v>
      </c>
      <c r="T167" s="23" t="n">
        <v>46323</v>
      </c>
    </row>
    <row r="168" customFormat="false" ht="15" hidden="false" customHeight="false" outlineLevel="0" collapsed="false">
      <c r="A168" s="18" t="s">
        <v>18</v>
      </c>
      <c r="B168" s="19" t="s">
        <v>153</v>
      </c>
      <c r="C168" s="8" t="n">
        <v>45.282544</v>
      </c>
      <c r="D168" s="8" t="n">
        <v>44</v>
      </c>
      <c r="E168" s="20" t="n">
        <f aca="false">IF(C168&gt;0,D168/C168,"")</f>
        <v>0.971676856317966</v>
      </c>
      <c r="F168" s="18" t="str">
        <f aca="false">IF(AND(C168=0,D168&gt;0),"Plant only",IF(AND(D168=0,C168&gt;0),"System only",IF(ABS(D168-C168)&lt;=0.5,"Match",IF(D168&gt;C168,"Plant more","Plant less"))))</f>
        <v>Plant less</v>
      </c>
      <c r="G168" s="8" t="n">
        <v>44.560368</v>
      </c>
      <c r="H168" s="8" t="n">
        <v>0.722176000000005</v>
      </c>
      <c r="I168" s="8" t="n">
        <v>0</v>
      </c>
      <c r="J168" s="8" t="n">
        <v>0</v>
      </c>
      <c r="K168" s="8" t="n">
        <f aca="false">IF(C168&gt;0,G168*E168,0)</f>
        <v>43.2982782946117</v>
      </c>
      <c r="L168" s="8" t="n">
        <f aca="false">IF(C168&gt;0,H168*E168,0)</f>
        <v>0.701721705388288</v>
      </c>
      <c r="M168" s="8" t="n">
        <f aca="false">IF(C168&gt;0,I168*E168,0)</f>
        <v>0</v>
      </c>
      <c r="N168" s="8" t="n">
        <f aca="false">IF(C168&gt;0,J168*E168,0)</f>
        <v>0</v>
      </c>
      <c r="O168" s="8" t="n">
        <f aca="false">IF(C168&gt;0,0,D168)</f>
        <v>0</v>
      </c>
      <c r="P168" s="7" t="n">
        <f aca="false">SUM(K168:O168)</f>
        <v>44</v>
      </c>
      <c r="Q168" s="8" t="n">
        <f aca="false">M168+N168</f>
        <v>0</v>
      </c>
      <c r="R168" s="21" t="n">
        <v>1.54223949961822</v>
      </c>
      <c r="S168" s="22" t="n">
        <v>35</v>
      </c>
      <c r="T168" s="23" t="n">
        <v>46323</v>
      </c>
    </row>
    <row r="169" customFormat="false" ht="15" hidden="false" customHeight="false" outlineLevel="0" collapsed="false">
      <c r="A169" s="18" t="s">
        <v>18</v>
      </c>
      <c r="B169" s="19" t="s">
        <v>154</v>
      </c>
      <c r="C169" s="8" t="n">
        <v>3.092136</v>
      </c>
      <c r="D169" s="8" t="n">
        <v>0</v>
      </c>
      <c r="E169" s="20" t="n">
        <f aca="false">IF(C169&gt;0,D169/C169,"")</f>
        <v>0</v>
      </c>
      <c r="F169" s="18" t="str">
        <f aca="false">IF(AND(C169=0,D169&gt;0),"Plant only",IF(AND(D169=0,C169&gt;0),"System only",IF(ABS(D169-C169)&lt;=0.5,"Match",IF(D169&gt;C169,"Plant more","Plant less"))))</f>
        <v>System only</v>
      </c>
      <c r="G169" s="8" t="n">
        <v>0</v>
      </c>
      <c r="H169" s="8" t="n">
        <v>3.092136</v>
      </c>
      <c r="I169" s="8" t="n">
        <v>0</v>
      </c>
      <c r="J169" s="8" t="n">
        <v>0</v>
      </c>
      <c r="K169" s="8" t="n">
        <f aca="false">IF(C169&gt;0,G169*E169,0)</f>
        <v>0</v>
      </c>
      <c r="L169" s="8" t="n">
        <f aca="false">IF(C169&gt;0,H169*E169,0)</f>
        <v>0</v>
      </c>
      <c r="M169" s="8" t="n">
        <f aca="false">IF(C169&gt;0,I169*E169,0)</f>
        <v>0</v>
      </c>
      <c r="N169" s="8" t="n">
        <f aca="false">IF(C169&gt;0,J169*E169,0)</f>
        <v>0</v>
      </c>
      <c r="O169" s="8" t="n">
        <f aca="false">IF(C169&gt;0,0,D169)</f>
        <v>0</v>
      </c>
      <c r="P169" s="7" t="n">
        <f aca="false">SUM(K169:O169)</f>
        <v>0</v>
      </c>
      <c r="Q169" s="8" t="n">
        <f aca="false">M169+N169</f>
        <v>0</v>
      </c>
      <c r="R169" s="21" t="n">
        <v>38</v>
      </c>
      <c r="S169" s="22" t="n">
        <v>38</v>
      </c>
      <c r="T169" s="23" t="n">
        <v>46286</v>
      </c>
    </row>
    <row r="170" customFormat="false" ht="15" hidden="false" customHeight="false" outlineLevel="0" collapsed="false">
      <c r="A170" s="18" t="s">
        <v>18</v>
      </c>
      <c r="B170" s="19" t="s">
        <v>155</v>
      </c>
      <c r="C170" s="8" t="n">
        <v>0.00544800000000123</v>
      </c>
      <c r="D170" s="8" t="n">
        <v>0</v>
      </c>
      <c r="E170" s="20" t="n">
        <f aca="false">IF(C170&gt;0,D170/C170,"")</f>
        <v>0</v>
      </c>
      <c r="F170" s="18" t="str">
        <f aca="false">IF(AND(C170=0,D170&gt;0),"Plant only",IF(AND(D170=0,C170&gt;0),"System only",IF(ABS(D170-C170)&lt;=0.5,"Match",IF(D170&gt;C170,"Plant more","Plant less"))))</f>
        <v>System only</v>
      </c>
      <c r="G170" s="8" t="n">
        <v>0</v>
      </c>
      <c r="H170" s="8" t="n">
        <v>0.00544800000000123</v>
      </c>
      <c r="I170" s="8" t="n">
        <v>0</v>
      </c>
      <c r="J170" s="8" t="n">
        <v>0</v>
      </c>
      <c r="K170" s="8" t="n">
        <f aca="false">IF(C170&gt;0,G170*E170,0)</f>
        <v>0</v>
      </c>
      <c r="L170" s="8" t="n">
        <f aca="false">IF(C170&gt;0,H170*E170,0)</f>
        <v>0</v>
      </c>
      <c r="M170" s="8" t="n">
        <f aca="false">IF(C170&gt;0,I170*E170,0)</f>
        <v>0</v>
      </c>
      <c r="N170" s="8" t="n">
        <f aca="false">IF(C170&gt;0,J170*E170,0)</f>
        <v>0</v>
      </c>
      <c r="O170" s="8" t="n">
        <f aca="false">IF(C170&gt;0,0,D170)</f>
        <v>0</v>
      </c>
      <c r="P170" s="7" t="n">
        <f aca="false">SUM(K170:O170)</f>
        <v>0</v>
      </c>
      <c r="Q170" s="8" t="n">
        <f aca="false">M170+N170</f>
        <v>0</v>
      </c>
      <c r="R170" s="21" t="n">
        <v>38</v>
      </c>
      <c r="S170" s="22" t="n">
        <v>38</v>
      </c>
      <c r="T170" s="23" t="n">
        <v>46286</v>
      </c>
    </row>
    <row r="171" customFormat="false" ht="15" hidden="false" customHeight="false" outlineLevel="0" collapsed="false">
      <c r="A171" s="18" t="s">
        <v>18</v>
      </c>
      <c r="B171" s="19" t="s">
        <v>156</v>
      </c>
      <c r="C171" s="8" t="n">
        <v>1.46430000000001</v>
      </c>
      <c r="D171" s="8" t="n">
        <v>0</v>
      </c>
      <c r="E171" s="20" t="n">
        <f aca="false">IF(C171&gt;0,D171/C171,"")</f>
        <v>0</v>
      </c>
      <c r="F171" s="18" t="str">
        <f aca="false">IF(AND(C171=0,D171&gt;0),"Plant only",IF(AND(D171=0,C171&gt;0),"System only",IF(ABS(D171-C171)&lt;=0.5,"Match",IF(D171&gt;C171,"Plant more","Plant less"))))</f>
        <v>System only</v>
      </c>
      <c r="G171" s="8" t="n">
        <v>0</v>
      </c>
      <c r="H171" s="8" t="n">
        <v>1.46430000000001</v>
      </c>
      <c r="I171" s="8" t="n">
        <v>0</v>
      </c>
      <c r="J171" s="8" t="n">
        <v>0</v>
      </c>
      <c r="K171" s="8" t="n">
        <f aca="false">IF(C171&gt;0,G171*E171,0)</f>
        <v>0</v>
      </c>
      <c r="L171" s="8" t="n">
        <f aca="false">IF(C171&gt;0,H171*E171,0)</f>
        <v>0</v>
      </c>
      <c r="M171" s="8" t="n">
        <f aca="false">IF(C171&gt;0,I171*E171,0)</f>
        <v>0</v>
      </c>
      <c r="N171" s="8" t="n">
        <f aca="false">IF(C171&gt;0,J171*E171,0)</f>
        <v>0</v>
      </c>
      <c r="O171" s="8" t="n">
        <f aca="false">IF(C171&gt;0,0,D171)</f>
        <v>0</v>
      </c>
      <c r="P171" s="7" t="n">
        <f aca="false">SUM(K171:O171)</f>
        <v>0</v>
      </c>
      <c r="Q171" s="8" t="n">
        <f aca="false">M171+N171</f>
        <v>0</v>
      </c>
      <c r="R171" s="21" t="n">
        <v>37</v>
      </c>
      <c r="S171" s="22" t="n">
        <v>37</v>
      </c>
      <c r="T171" s="23" t="n">
        <v>46287</v>
      </c>
    </row>
    <row r="172" customFormat="false" ht="15" hidden="false" customHeight="false" outlineLevel="0" collapsed="false">
      <c r="A172" s="11"/>
      <c r="B172" s="11" t="s">
        <v>157</v>
      </c>
      <c r="C172" s="12" t="n">
        <f aca="false">SUBTOTAL(9,C5:C171)</f>
        <v>2573.49662731872</v>
      </c>
      <c r="D172" s="12" t="n">
        <f aca="false">SUBTOTAL(9,D5:D171)</f>
        <v>2630.732</v>
      </c>
      <c r="E172" s="11"/>
      <c r="F172" s="11"/>
      <c r="G172" s="12" t="n">
        <f aca="false">SUBTOTAL(9,G5:G171)</f>
        <v>2010.72710874166</v>
      </c>
      <c r="H172" s="12" t="n">
        <f aca="false">SUBTOTAL(9,H5:H171)</f>
        <v>317.198103940105</v>
      </c>
      <c r="I172" s="12" t="n">
        <f aca="false">SUBTOTAL(9,I5:I171)</f>
        <v>25.3098499498091</v>
      </c>
      <c r="J172" s="12" t="n">
        <f aca="false">SUBTOTAL(9,J5:J171)</f>
        <v>220.261564687146</v>
      </c>
      <c r="K172" s="12" t="n">
        <f aca="false">SUBTOTAL(9,K5:K171)</f>
        <v>1997.16039909105</v>
      </c>
      <c r="L172" s="12" t="n">
        <f aca="false">SUBTOTAL(9,L5:L171)</f>
        <v>315.051592890545</v>
      </c>
      <c r="M172" s="12" t="n">
        <f aca="false">SUBTOTAL(9,M5:M171)</f>
        <v>14.464</v>
      </c>
      <c r="N172" s="12" t="n">
        <f aca="false">SUBTOTAL(9,N5:N171)</f>
        <v>205.725008018403</v>
      </c>
      <c r="O172" s="12" t="n">
        <f aca="false">SUBTOTAL(9,O5:O171)</f>
        <v>98.331</v>
      </c>
      <c r="P172" s="12" t="n">
        <f aca="false">SUBTOTAL(9,P5:P171)</f>
        <v>2630.732</v>
      </c>
      <c r="Q172" s="12" t="n">
        <f aca="false">SUBTOTAL(9,Q5:Q171)</f>
        <v>220.189008018403</v>
      </c>
      <c r="R172" s="11"/>
      <c r="S172" s="11"/>
      <c r="T172" s="11"/>
    </row>
  </sheetData>
  <autoFilter ref="A4:T171"/>
  <conditionalFormatting sqref="F5:F171">
    <cfRule type="expression" priority="2" aboveAverage="0" equalAverage="0" bottom="0" percent="0" rank="0" text="" dxfId="12">
      <formula>F5="Plant more"</formula>
    </cfRule>
    <cfRule type="expression" priority="3" aboveAverage="0" equalAverage="0" bottom="0" percent="0" rank="0" text="" dxfId="13">
      <formula>F5="Plant less"</formula>
    </cfRule>
    <cfRule type="expression" priority="4" aboveAverage="0" equalAverage="0" bottom="0" percent="0" rank="0" text="" dxfId="14">
      <formula>F5="Plant only"</formula>
    </cfRule>
    <cfRule type="expression" priority="5" aboveAverage="0" equalAverage="0" bottom="0" percent="0" rank="0" text="" dxfId="15">
      <formula>F5="System only"</formula>
    </cfRule>
    <cfRule type="expression" priority="6" aboveAverage="0" equalAverage="0" bottom="0" percent="0" rank="0" text="" dxfId="16">
      <formula>F5="Match"</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7" min="2" style="0" width="10"/>
    <col collapsed="false" customWidth="true" hidden="false" outlineLevel="0" max="9" min="8" style="0" width="11"/>
    <col collapsed="false" customWidth="true" hidden="false" outlineLevel="0" max="14" min="10" style="0" width="10"/>
  </cols>
  <sheetData>
    <row r="1" customFormat="false" ht="16.15" hidden="false" customHeight="false" outlineLevel="0" collapsed="false">
      <c r="A1" s="1" t="s">
        <v>158</v>
      </c>
    </row>
    <row r="3" customFormat="false" ht="43.5" hidden="false" customHeight="true" outlineLevel="0" collapsed="false">
      <c r="A3" s="2" t="s">
        <v>31</v>
      </c>
      <c r="B3" s="2" t="s">
        <v>2</v>
      </c>
      <c r="C3" s="2" t="s">
        <v>32</v>
      </c>
      <c r="D3" s="3" t="s">
        <v>5</v>
      </c>
      <c r="E3" s="4" t="s">
        <v>6</v>
      </c>
      <c r="F3" s="5" t="s">
        <v>7</v>
      </c>
      <c r="G3" s="6" t="s">
        <v>8</v>
      </c>
      <c r="H3" s="2" t="s">
        <v>9</v>
      </c>
      <c r="I3" s="2" t="s">
        <v>10</v>
      </c>
      <c r="J3" s="2" t="s">
        <v>11</v>
      </c>
      <c r="K3" s="2" t="s">
        <v>15</v>
      </c>
      <c r="L3" s="2" t="s">
        <v>16</v>
      </c>
      <c r="M3" s="2" t="s">
        <v>17</v>
      </c>
      <c r="N3" s="2" t="s">
        <v>18</v>
      </c>
    </row>
    <row r="4" customFormat="false" ht="15" hidden="false" customHeight="false" outlineLevel="0" collapsed="false">
      <c r="A4" s="7" t="s">
        <v>42</v>
      </c>
      <c r="B4" s="8" t="n">
        <f aca="false">SUMIF('Plant x size'!$B$5:$B$171,A4,'Plant x size'!$C$5:$C$171)</f>
        <v>12.3127576</v>
      </c>
      <c r="C4" s="8" t="n">
        <f aca="false">SUMIF('Plant x size'!$B$5:$B$171,A4,'Plant x size'!$D$5:$D$171)</f>
        <v>13.749</v>
      </c>
      <c r="D4" s="8" t="n">
        <f aca="false">SUMIF('Plant x size'!$B$5:$B$171,A4,'Plant x size'!$K$5:$K$171)</f>
        <v>11.749</v>
      </c>
      <c r="E4" s="8" t="n">
        <f aca="false">SUMIF('Plant x size'!$B$5:$B$171,A4,'Plant x size'!$L$5:$L$171)</f>
        <v>0</v>
      </c>
      <c r="F4" s="8" t="n">
        <f aca="false">SUMIF('Plant x size'!$B$5:$B$171,A4,'Plant x size'!$M$5:$M$171)</f>
        <v>0</v>
      </c>
      <c r="G4" s="8" t="n">
        <f aca="false">SUMIF('Plant x size'!$B$5:$B$171,A4,'Plant x size'!$N$5:$N$171)</f>
        <v>0</v>
      </c>
      <c r="H4" s="8" t="n">
        <f aca="false">SUMIF('Plant x size'!$B$5:$B$171,A4,'Plant x size'!$O$5:$O$171)</f>
        <v>2</v>
      </c>
      <c r="I4" s="7" t="n">
        <f aca="false">SUMIF('Plant x size'!$B$5:$B$171,A4,'Plant x size'!$P$5:$P$171)</f>
        <v>13.749</v>
      </c>
      <c r="J4" s="8" t="n">
        <f aca="false">SUMIF('Plant x size'!$B$5:$B$171,A4,'Plant x size'!$Q$5:$Q$171)</f>
        <v>0</v>
      </c>
      <c r="K4" s="8" t="n">
        <f aca="false">SUMIFS('Plant x size'!$P$5:$P$171,'Plant x size'!$B$5:$B$171,A4,'Plant x size'!$A$5:$A$171,"Hyderabad")</f>
        <v>11.749</v>
      </c>
      <c r="L4" s="8" t="n">
        <f aca="false">SUMIFS('Plant x size'!$P$5:$P$171,'Plant x size'!$B$5:$B$171,A4,'Plant x size'!$A$5:$A$171,"Lepakshi")</f>
        <v>2</v>
      </c>
      <c r="M4" s="8" t="n">
        <f aca="false">SUMIFS('Plant x size'!$P$5:$P$171,'Plant x size'!$B$5:$B$171,A4,'Plant x size'!$A$5:$A$171,"NPMD")</f>
        <v>0</v>
      </c>
      <c r="N4" s="8" t="n">
        <f aca="false">SUMIFS('Plant x size'!$P$5:$P$171,'Plant x size'!$B$5:$B$171,A4,'Plant x size'!$A$5:$A$171,"Tapi")</f>
        <v>0</v>
      </c>
    </row>
    <row r="5" customFormat="false" ht="15" hidden="false" customHeight="false" outlineLevel="0" collapsed="false">
      <c r="A5" s="7" t="s">
        <v>111</v>
      </c>
      <c r="B5" s="8" t="n">
        <f aca="false">SUMIF('Plant x size'!$B$5:$B$171,A5,'Plant x size'!$C$5:$C$171)</f>
        <v>0</v>
      </c>
      <c r="C5" s="8" t="n">
        <f aca="false">SUMIF('Plant x size'!$B$5:$B$171,A5,'Plant x size'!$D$5:$D$171)</f>
        <v>4</v>
      </c>
      <c r="D5" s="8" t="n">
        <f aca="false">SUMIF('Plant x size'!$B$5:$B$171,A5,'Plant x size'!$K$5:$K$171)</f>
        <v>0</v>
      </c>
      <c r="E5" s="8" t="n">
        <f aca="false">SUMIF('Plant x size'!$B$5:$B$171,A5,'Plant x size'!$L$5:$L$171)</f>
        <v>0</v>
      </c>
      <c r="F5" s="8" t="n">
        <f aca="false">SUMIF('Plant x size'!$B$5:$B$171,A5,'Plant x size'!$M$5:$M$171)</f>
        <v>0</v>
      </c>
      <c r="G5" s="8" t="n">
        <f aca="false">SUMIF('Plant x size'!$B$5:$B$171,A5,'Plant x size'!$N$5:$N$171)</f>
        <v>0</v>
      </c>
      <c r="H5" s="8" t="n">
        <f aca="false">SUMIF('Plant x size'!$B$5:$B$171,A5,'Plant x size'!$O$5:$O$171)</f>
        <v>4</v>
      </c>
      <c r="I5" s="7" t="n">
        <f aca="false">SUMIF('Plant x size'!$B$5:$B$171,A5,'Plant x size'!$P$5:$P$171)</f>
        <v>4</v>
      </c>
      <c r="J5" s="8" t="n">
        <f aca="false">SUMIF('Plant x size'!$B$5:$B$171,A5,'Plant x size'!$Q$5:$Q$171)</f>
        <v>0</v>
      </c>
      <c r="K5" s="8" t="n">
        <f aca="false">SUMIFS('Plant x size'!$P$5:$P$171,'Plant x size'!$B$5:$B$171,A5,'Plant x size'!$A$5:$A$171,"Hyderabad")</f>
        <v>0</v>
      </c>
      <c r="L5" s="8" t="n">
        <f aca="false">SUMIFS('Plant x size'!$P$5:$P$171,'Plant x size'!$B$5:$B$171,A5,'Plant x size'!$A$5:$A$171,"Lepakshi")</f>
        <v>4</v>
      </c>
      <c r="M5" s="8" t="n">
        <f aca="false">SUMIFS('Plant x size'!$P$5:$P$171,'Plant x size'!$B$5:$B$171,A5,'Plant x size'!$A$5:$A$171,"NPMD")</f>
        <v>0</v>
      </c>
      <c r="N5" s="8" t="n">
        <f aca="false">SUMIFS('Plant x size'!$P$5:$P$171,'Plant x size'!$B$5:$B$171,A5,'Plant x size'!$A$5:$A$171,"Tapi")</f>
        <v>0</v>
      </c>
    </row>
    <row r="6" customFormat="false" ht="15" hidden="false" customHeight="false" outlineLevel="0" collapsed="false">
      <c r="A6" s="7" t="s">
        <v>43</v>
      </c>
      <c r="B6" s="8" t="n">
        <f aca="false">SUMIF('Plant x size'!$B$5:$B$171,A6,'Plant x size'!$C$5:$C$171)</f>
        <v>0</v>
      </c>
      <c r="C6" s="8" t="n">
        <f aca="false">SUMIF('Plant x size'!$B$5:$B$171,A6,'Plant x size'!$D$5:$D$171)</f>
        <v>3.589</v>
      </c>
      <c r="D6" s="8" t="n">
        <f aca="false">SUMIF('Plant x size'!$B$5:$B$171,A6,'Plant x size'!$K$5:$K$171)</f>
        <v>0</v>
      </c>
      <c r="E6" s="8" t="n">
        <f aca="false">SUMIF('Plant x size'!$B$5:$B$171,A6,'Plant x size'!$L$5:$L$171)</f>
        <v>0</v>
      </c>
      <c r="F6" s="8" t="n">
        <f aca="false">SUMIF('Plant x size'!$B$5:$B$171,A6,'Plant x size'!$M$5:$M$171)</f>
        <v>0</v>
      </c>
      <c r="G6" s="8" t="n">
        <f aca="false">SUMIF('Plant x size'!$B$5:$B$171,A6,'Plant x size'!$N$5:$N$171)</f>
        <v>0</v>
      </c>
      <c r="H6" s="8" t="n">
        <f aca="false">SUMIF('Plant x size'!$B$5:$B$171,A6,'Plant x size'!$O$5:$O$171)</f>
        <v>3.589</v>
      </c>
      <c r="I6" s="7" t="n">
        <f aca="false">SUMIF('Plant x size'!$B$5:$B$171,A6,'Plant x size'!$P$5:$P$171)</f>
        <v>3.589</v>
      </c>
      <c r="J6" s="8" t="n">
        <f aca="false">SUMIF('Plant x size'!$B$5:$B$171,A6,'Plant x size'!$Q$5:$Q$171)</f>
        <v>0</v>
      </c>
      <c r="K6" s="8" t="n">
        <f aca="false">SUMIFS('Plant x size'!$P$5:$P$171,'Plant x size'!$B$5:$B$171,A6,'Plant x size'!$A$5:$A$171,"Hyderabad")</f>
        <v>3.589</v>
      </c>
      <c r="L6" s="8" t="n">
        <f aca="false">SUMIFS('Plant x size'!$P$5:$P$171,'Plant x size'!$B$5:$B$171,A6,'Plant x size'!$A$5:$A$171,"Lepakshi")</f>
        <v>0</v>
      </c>
      <c r="M6" s="8" t="n">
        <f aca="false">SUMIFS('Plant x size'!$P$5:$P$171,'Plant x size'!$B$5:$B$171,A6,'Plant x size'!$A$5:$A$171,"NPMD")</f>
        <v>0</v>
      </c>
      <c r="N6" s="8" t="n">
        <f aca="false">SUMIFS('Plant x size'!$P$5:$P$171,'Plant x size'!$B$5:$B$171,A6,'Plant x size'!$A$5:$A$171,"Tapi")</f>
        <v>0</v>
      </c>
    </row>
    <row r="7" customFormat="false" ht="15" hidden="false" customHeight="false" outlineLevel="0" collapsed="false">
      <c r="A7" s="7" t="s">
        <v>44</v>
      </c>
      <c r="B7" s="8" t="n">
        <f aca="false">SUMIF('Plant x size'!$B$5:$B$171,A7,'Plant x size'!$C$5:$C$171)</f>
        <v>0.398907968</v>
      </c>
      <c r="C7" s="8" t="n">
        <f aca="false">SUMIF('Plant x size'!$B$5:$B$171,A7,'Plant x size'!$D$5:$D$171)</f>
        <v>0</v>
      </c>
      <c r="D7" s="8" t="n">
        <f aca="false">SUMIF('Plant x size'!$B$5:$B$171,A7,'Plant x size'!$K$5:$K$171)</f>
        <v>0</v>
      </c>
      <c r="E7" s="8" t="n">
        <f aca="false">SUMIF('Plant x size'!$B$5:$B$171,A7,'Plant x size'!$L$5:$L$171)</f>
        <v>0</v>
      </c>
      <c r="F7" s="8" t="n">
        <f aca="false">SUMIF('Plant x size'!$B$5:$B$171,A7,'Plant x size'!$M$5:$M$171)</f>
        <v>0</v>
      </c>
      <c r="G7" s="8" t="n">
        <f aca="false">SUMIF('Plant x size'!$B$5:$B$171,A7,'Plant x size'!$N$5:$N$171)</f>
        <v>0</v>
      </c>
      <c r="H7" s="8" t="n">
        <f aca="false">SUMIF('Plant x size'!$B$5:$B$171,A7,'Plant x size'!$O$5:$O$171)</f>
        <v>0</v>
      </c>
      <c r="I7" s="7" t="n">
        <f aca="false">SUMIF('Plant x size'!$B$5:$B$171,A7,'Plant x size'!$P$5:$P$171)</f>
        <v>0</v>
      </c>
      <c r="J7" s="8" t="n">
        <f aca="false">SUMIF('Plant x size'!$B$5:$B$171,A7,'Plant x size'!$Q$5:$Q$171)</f>
        <v>0</v>
      </c>
      <c r="K7" s="8" t="n">
        <f aca="false">SUMIFS('Plant x size'!$P$5:$P$171,'Plant x size'!$B$5:$B$171,A7,'Plant x size'!$A$5:$A$171,"Hyderabad")</f>
        <v>0</v>
      </c>
      <c r="L7" s="8" t="n">
        <f aca="false">SUMIFS('Plant x size'!$P$5:$P$171,'Plant x size'!$B$5:$B$171,A7,'Plant x size'!$A$5:$A$171,"Lepakshi")</f>
        <v>0</v>
      </c>
      <c r="M7" s="8" t="n">
        <f aca="false">SUMIFS('Plant x size'!$P$5:$P$171,'Plant x size'!$B$5:$B$171,A7,'Plant x size'!$A$5:$A$171,"NPMD")</f>
        <v>0</v>
      </c>
      <c r="N7" s="8" t="n">
        <f aca="false">SUMIFS('Plant x size'!$P$5:$P$171,'Plant x size'!$B$5:$B$171,A7,'Plant x size'!$A$5:$A$171,"Tapi")</f>
        <v>0</v>
      </c>
    </row>
    <row r="8" customFormat="false" ht="15" hidden="false" customHeight="false" outlineLevel="0" collapsed="false">
      <c r="A8" s="7" t="s">
        <v>45</v>
      </c>
      <c r="B8" s="8" t="n">
        <f aca="false">SUMIF('Plant x size'!$B$5:$B$171,A8,'Plant x size'!$C$5:$C$171)</f>
        <v>3.4545625</v>
      </c>
      <c r="C8" s="8" t="n">
        <f aca="false">SUMIF('Plant x size'!$B$5:$B$171,A8,'Plant x size'!$D$5:$D$171)</f>
        <v>3.03</v>
      </c>
      <c r="D8" s="8" t="n">
        <f aca="false">SUMIF('Plant x size'!$B$5:$B$171,A8,'Plant x size'!$K$5:$K$171)</f>
        <v>0.897491339351945</v>
      </c>
      <c r="E8" s="8" t="n">
        <f aca="false">SUMIF('Plant x size'!$B$5:$B$171,A8,'Plant x size'!$L$5:$L$171)</f>
        <v>0</v>
      </c>
      <c r="F8" s="8" t="n">
        <f aca="false">SUMIF('Plant x size'!$B$5:$B$171,A8,'Plant x size'!$M$5:$M$171)</f>
        <v>0</v>
      </c>
      <c r="G8" s="8" t="n">
        <f aca="false">SUMIF('Plant x size'!$B$5:$B$171,A8,'Plant x size'!$N$5:$N$171)</f>
        <v>2.13250866064806</v>
      </c>
      <c r="H8" s="8" t="n">
        <f aca="false">SUMIF('Plant x size'!$B$5:$B$171,A8,'Plant x size'!$O$5:$O$171)</f>
        <v>0</v>
      </c>
      <c r="I8" s="7" t="n">
        <f aca="false">SUMIF('Plant x size'!$B$5:$B$171,A8,'Plant x size'!$P$5:$P$171)</f>
        <v>3.03</v>
      </c>
      <c r="J8" s="8" t="n">
        <f aca="false">SUMIF('Plant x size'!$B$5:$B$171,A8,'Plant x size'!$Q$5:$Q$171)</f>
        <v>2.13250866064806</v>
      </c>
      <c r="K8" s="8" t="n">
        <f aca="false">SUMIFS('Plant x size'!$P$5:$P$171,'Plant x size'!$B$5:$B$171,A8,'Plant x size'!$A$5:$A$171,"Hyderabad")</f>
        <v>3.03</v>
      </c>
      <c r="L8" s="8" t="n">
        <f aca="false">SUMIFS('Plant x size'!$P$5:$P$171,'Plant x size'!$B$5:$B$171,A8,'Plant x size'!$A$5:$A$171,"Lepakshi")</f>
        <v>0</v>
      </c>
      <c r="M8" s="8" t="n">
        <f aca="false">SUMIFS('Plant x size'!$P$5:$P$171,'Plant x size'!$B$5:$B$171,A8,'Plant x size'!$A$5:$A$171,"NPMD")</f>
        <v>0</v>
      </c>
      <c r="N8" s="8" t="n">
        <f aca="false">SUMIFS('Plant x size'!$P$5:$P$171,'Plant x size'!$B$5:$B$171,A8,'Plant x size'!$A$5:$A$171,"Tapi")</f>
        <v>0</v>
      </c>
    </row>
    <row r="9" customFormat="false" ht="15" hidden="false" customHeight="false" outlineLevel="0" collapsed="false">
      <c r="A9" s="7" t="s">
        <v>46</v>
      </c>
      <c r="B9" s="8" t="n">
        <f aca="false">SUMIF('Plant x size'!$B$5:$B$171,A9,'Plant x size'!$C$5:$C$171)</f>
        <v>1.1760019200002</v>
      </c>
      <c r="C9" s="8" t="n">
        <f aca="false">SUMIF('Plant x size'!$B$5:$B$171,A9,'Plant x size'!$D$5:$D$171)</f>
        <v>0</v>
      </c>
      <c r="D9" s="8" t="n">
        <f aca="false">SUMIF('Plant x size'!$B$5:$B$171,A9,'Plant x size'!$K$5:$K$171)</f>
        <v>0</v>
      </c>
      <c r="E9" s="8" t="n">
        <f aca="false">SUMIF('Plant x size'!$B$5:$B$171,A9,'Plant x size'!$L$5:$L$171)</f>
        <v>0</v>
      </c>
      <c r="F9" s="8" t="n">
        <f aca="false">SUMIF('Plant x size'!$B$5:$B$171,A9,'Plant x size'!$M$5:$M$171)</f>
        <v>0</v>
      </c>
      <c r="G9" s="8" t="n">
        <f aca="false">SUMIF('Plant x size'!$B$5:$B$171,A9,'Plant x size'!$N$5:$N$171)</f>
        <v>0</v>
      </c>
      <c r="H9" s="8" t="n">
        <f aca="false">SUMIF('Plant x size'!$B$5:$B$171,A9,'Plant x size'!$O$5:$O$171)</f>
        <v>0</v>
      </c>
      <c r="I9" s="7" t="n">
        <f aca="false">SUMIF('Plant x size'!$B$5:$B$171,A9,'Plant x size'!$P$5:$P$171)</f>
        <v>0</v>
      </c>
      <c r="J9" s="8" t="n">
        <f aca="false">SUMIF('Plant x size'!$B$5:$B$171,A9,'Plant x size'!$Q$5:$Q$171)</f>
        <v>0</v>
      </c>
      <c r="K9" s="8" t="n">
        <f aca="false">SUMIFS('Plant x size'!$P$5:$P$171,'Plant x size'!$B$5:$B$171,A9,'Plant x size'!$A$5:$A$171,"Hyderabad")</f>
        <v>0</v>
      </c>
      <c r="L9" s="8" t="n">
        <f aca="false">SUMIFS('Plant x size'!$P$5:$P$171,'Plant x size'!$B$5:$B$171,A9,'Plant x size'!$A$5:$A$171,"Lepakshi")</f>
        <v>0</v>
      </c>
      <c r="M9" s="8" t="n">
        <f aca="false">SUMIFS('Plant x size'!$P$5:$P$171,'Plant x size'!$B$5:$B$171,A9,'Plant x size'!$A$5:$A$171,"NPMD")</f>
        <v>0</v>
      </c>
      <c r="N9" s="8" t="n">
        <f aca="false">SUMIFS('Plant x size'!$P$5:$P$171,'Plant x size'!$B$5:$B$171,A9,'Plant x size'!$A$5:$A$171,"Tapi")</f>
        <v>0</v>
      </c>
    </row>
    <row r="10" customFormat="false" ht="15" hidden="false" customHeight="false" outlineLevel="0" collapsed="false">
      <c r="A10" s="7" t="s">
        <v>47</v>
      </c>
      <c r="B10" s="8" t="n">
        <f aca="false">SUMIF('Plant x size'!$B$5:$B$171,A10,'Plant x size'!$C$5:$C$171)</f>
        <v>31.996960096</v>
      </c>
      <c r="C10" s="8" t="n">
        <f aca="false">SUMIF('Plant x size'!$B$5:$B$171,A10,'Plant x size'!$D$5:$D$171)</f>
        <v>34.503</v>
      </c>
      <c r="D10" s="8" t="n">
        <f aca="false">SUMIF('Plant x size'!$B$5:$B$171,A10,'Plant x size'!$K$5:$K$171)</f>
        <v>34.503</v>
      </c>
      <c r="E10" s="8" t="n">
        <f aca="false">SUMIF('Plant x size'!$B$5:$B$171,A10,'Plant x size'!$L$5:$L$171)</f>
        <v>0</v>
      </c>
      <c r="F10" s="8" t="n">
        <f aca="false">SUMIF('Plant x size'!$B$5:$B$171,A10,'Plant x size'!$M$5:$M$171)</f>
        <v>0</v>
      </c>
      <c r="G10" s="8" t="n">
        <f aca="false">SUMIF('Plant x size'!$B$5:$B$171,A10,'Plant x size'!$N$5:$N$171)</f>
        <v>0</v>
      </c>
      <c r="H10" s="8" t="n">
        <f aca="false">SUMIF('Plant x size'!$B$5:$B$171,A10,'Plant x size'!$O$5:$O$171)</f>
        <v>0</v>
      </c>
      <c r="I10" s="7" t="n">
        <f aca="false">SUMIF('Plant x size'!$B$5:$B$171,A10,'Plant x size'!$P$5:$P$171)</f>
        <v>34.503</v>
      </c>
      <c r="J10" s="8" t="n">
        <f aca="false">SUMIF('Plant x size'!$B$5:$B$171,A10,'Plant x size'!$Q$5:$Q$171)</f>
        <v>0</v>
      </c>
      <c r="K10" s="8" t="n">
        <f aca="false">SUMIFS('Plant x size'!$P$5:$P$171,'Plant x size'!$B$5:$B$171,A10,'Plant x size'!$A$5:$A$171,"Hyderabad")</f>
        <v>34.503</v>
      </c>
      <c r="L10" s="8" t="n">
        <f aca="false">SUMIFS('Plant x size'!$P$5:$P$171,'Plant x size'!$B$5:$B$171,A10,'Plant x size'!$A$5:$A$171,"Lepakshi")</f>
        <v>0</v>
      </c>
      <c r="M10" s="8" t="n">
        <f aca="false">SUMIFS('Plant x size'!$P$5:$P$171,'Plant x size'!$B$5:$B$171,A10,'Plant x size'!$A$5:$A$171,"NPMD")</f>
        <v>0</v>
      </c>
      <c r="N10" s="8" t="n">
        <f aca="false">SUMIFS('Plant x size'!$P$5:$P$171,'Plant x size'!$B$5:$B$171,A10,'Plant x size'!$A$5:$A$171,"Tapi")</f>
        <v>0</v>
      </c>
    </row>
    <row r="11" customFormat="false" ht="15" hidden="false" customHeight="false" outlineLevel="0" collapsed="false">
      <c r="A11" s="7" t="s">
        <v>48</v>
      </c>
      <c r="B11" s="8" t="n">
        <f aca="false">SUMIF('Plant x size'!$B$5:$B$171,A11,'Plant x size'!$C$5:$C$171)</f>
        <v>23.161798</v>
      </c>
      <c r="C11" s="8" t="n">
        <f aca="false">SUMIF('Plant x size'!$B$5:$B$171,A11,'Plant x size'!$D$5:$D$171)</f>
        <v>19.677</v>
      </c>
      <c r="D11" s="8" t="n">
        <f aca="false">SUMIF('Plant x size'!$B$5:$B$171,A11,'Plant x size'!$K$5:$K$171)</f>
        <v>17.1026088438385</v>
      </c>
      <c r="E11" s="8" t="n">
        <f aca="false">SUMIF('Plant x size'!$B$5:$B$171,A11,'Plant x size'!$L$5:$L$171)</f>
        <v>2.57439115616155</v>
      </c>
      <c r="F11" s="8" t="n">
        <f aca="false">SUMIF('Plant x size'!$B$5:$B$171,A11,'Plant x size'!$M$5:$M$171)</f>
        <v>0</v>
      </c>
      <c r="G11" s="8" t="n">
        <f aca="false">SUMIF('Plant x size'!$B$5:$B$171,A11,'Plant x size'!$N$5:$N$171)</f>
        <v>0</v>
      </c>
      <c r="H11" s="8" t="n">
        <f aca="false">SUMIF('Plant x size'!$B$5:$B$171,A11,'Plant x size'!$O$5:$O$171)</f>
        <v>0</v>
      </c>
      <c r="I11" s="7" t="n">
        <f aca="false">SUMIF('Plant x size'!$B$5:$B$171,A11,'Plant x size'!$P$5:$P$171)</f>
        <v>19.677</v>
      </c>
      <c r="J11" s="8" t="n">
        <f aca="false">SUMIF('Plant x size'!$B$5:$B$171,A11,'Plant x size'!$Q$5:$Q$171)</f>
        <v>0</v>
      </c>
      <c r="K11" s="8" t="n">
        <f aca="false">SUMIFS('Plant x size'!$P$5:$P$171,'Plant x size'!$B$5:$B$171,A11,'Plant x size'!$A$5:$A$171,"Hyderabad")</f>
        <v>19.677</v>
      </c>
      <c r="L11" s="8" t="n">
        <f aca="false">SUMIFS('Plant x size'!$P$5:$P$171,'Plant x size'!$B$5:$B$171,A11,'Plant x size'!$A$5:$A$171,"Lepakshi")</f>
        <v>0</v>
      </c>
      <c r="M11" s="8" t="n">
        <f aca="false">SUMIFS('Plant x size'!$P$5:$P$171,'Plant x size'!$B$5:$B$171,A11,'Plant x size'!$A$5:$A$171,"NPMD")</f>
        <v>0</v>
      </c>
      <c r="N11" s="8" t="n">
        <f aca="false">SUMIFS('Plant x size'!$P$5:$P$171,'Plant x size'!$B$5:$B$171,A11,'Plant x size'!$A$5:$A$171,"Tapi")</f>
        <v>0</v>
      </c>
    </row>
    <row r="12" customFormat="false" ht="15" hidden="false" customHeight="false" outlineLevel="0" collapsed="false">
      <c r="A12" s="7" t="s">
        <v>49</v>
      </c>
      <c r="B12" s="8" t="n">
        <f aca="false">SUMIF('Plant x size'!$B$5:$B$171,A12,'Plant x size'!$C$5:$C$171)</f>
        <v>8.127012416</v>
      </c>
      <c r="C12" s="8" t="n">
        <f aca="false">SUMIF('Plant x size'!$B$5:$B$171,A12,'Plant x size'!$D$5:$D$171)</f>
        <v>13.237</v>
      </c>
      <c r="D12" s="8" t="n">
        <f aca="false">SUMIF('Plant x size'!$B$5:$B$171,A12,'Plant x size'!$K$5:$K$171)</f>
        <v>0</v>
      </c>
      <c r="E12" s="8" t="n">
        <f aca="false">SUMIF('Plant x size'!$B$5:$B$171,A12,'Plant x size'!$L$5:$L$171)</f>
        <v>13.237</v>
      </c>
      <c r="F12" s="8" t="n">
        <f aca="false">SUMIF('Plant x size'!$B$5:$B$171,A12,'Plant x size'!$M$5:$M$171)</f>
        <v>0</v>
      </c>
      <c r="G12" s="8" t="n">
        <f aca="false">SUMIF('Plant x size'!$B$5:$B$171,A12,'Plant x size'!$N$5:$N$171)</f>
        <v>0</v>
      </c>
      <c r="H12" s="8" t="n">
        <f aca="false">SUMIF('Plant x size'!$B$5:$B$171,A12,'Plant x size'!$O$5:$O$171)</f>
        <v>0</v>
      </c>
      <c r="I12" s="7" t="n">
        <f aca="false">SUMIF('Plant x size'!$B$5:$B$171,A12,'Plant x size'!$P$5:$P$171)</f>
        <v>13.237</v>
      </c>
      <c r="J12" s="8" t="n">
        <f aca="false">SUMIF('Plant x size'!$B$5:$B$171,A12,'Plant x size'!$Q$5:$Q$171)</f>
        <v>0</v>
      </c>
      <c r="K12" s="8" t="n">
        <f aca="false">SUMIFS('Plant x size'!$P$5:$P$171,'Plant x size'!$B$5:$B$171,A12,'Plant x size'!$A$5:$A$171,"Hyderabad")</f>
        <v>13.237</v>
      </c>
      <c r="L12" s="8" t="n">
        <f aca="false">SUMIFS('Plant x size'!$P$5:$P$171,'Plant x size'!$B$5:$B$171,A12,'Plant x size'!$A$5:$A$171,"Lepakshi")</f>
        <v>0</v>
      </c>
      <c r="M12" s="8" t="n">
        <f aca="false">SUMIFS('Plant x size'!$P$5:$P$171,'Plant x size'!$B$5:$B$171,A12,'Plant x size'!$A$5:$A$171,"NPMD")</f>
        <v>0</v>
      </c>
      <c r="N12" s="8" t="n">
        <f aca="false">SUMIFS('Plant x size'!$P$5:$P$171,'Plant x size'!$B$5:$B$171,A12,'Plant x size'!$A$5:$A$171,"Tapi")</f>
        <v>0</v>
      </c>
    </row>
    <row r="13" customFormat="false" ht="15" hidden="false" customHeight="false" outlineLevel="0" collapsed="false">
      <c r="A13" s="7" t="s">
        <v>50</v>
      </c>
      <c r="B13" s="8" t="n">
        <f aca="false">SUMIF('Plant x size'!$B$5:$B$171,A13,'Plant x size'!$C$5:$C$171)</f>
        <v>0.0619999999999976</v>
      </c>
      <c r="C13" s="8" t="n">
        <f aca="false">SUMIF('Plant x size'!$B$5:$B$171,A13,'Plant x size'!$D$5:$D$171)</f>
        <v>0</v>
      </c>
      <c r="D13" s="8" t="n">
        <f aca="false">SUMIF('Plant x size'!$B$5:$B$171,A13,'Plant x size'!$K$5:$K$171)</f>
        <v>0</v>
      </c>
      <c r="E13" s="8" t="n">
        <f aca="false">SUMIF('Plant x size'!$B$5:$B$171,A13,'Plant x size'!$L$5:$L$171)</f>
        <v>0</v>
      </c>
      <c r="F13" s="8" t="n">
        <f aca="false">SUMIF('Plant x size'!$B$5:$B$171,A13,'Plant x size'!$M$5:$M$171)</f>
        <v>0</v>
      </c>
      <c r="G13" s="8" t="n">
        <f aca="false">SUMIF('Plant x size'!$B$5:$B$171,A13,'Plant x size'!$N$5:$N$171)</f>
        <v>0</v>
      </c>
      <c r="H13" s="8" t="n">
        <f aca="false">SUMIF('Plant x size'!$B$5:$B$171,A13,'Plant x size'!$O$5:$O$171)</f>
        <v>0</v>
      </c>
      <c r="I13" s="7" t="n">
        <f aca="false">SUMIF('Plant x size'!$B$5:$B$171,A13,'Plant x size'!$P$5:$P$171)</f>
        <v>0</v>
      </c>
      <c r="J13" s="8" t="n">
        <f aca="false">SUMIF('Plant x size'!$B$5:$B$171,A13,'Plant x size'!$Q$5:$Q$171)</f>
        <v>0</v>
      </c>
      <c r="K13" s="8" t="n">
        <f aca="false">SUMIFS('Plant x size'!$P$5:$P$171,'Plant x size'!$B$5:$B$171,A13,'Plant x size'!$A$5:$A$171,"Hyderabad")</f>
        <v>0</v>
      </c>
      <c r="L13" s="8" t="n">
        <f aca="false">SUMIFS('Plant x size'!$P$5:$P$171,'Plant x size'!$B$5:$B$171,A13,'Plant x size'!$A$5:$A$171,"Lepakshi")</f>
        <v>0</v>
      </c>
      <c r="M13" s="8" t="n">
        <f aca="false">SUMIFS('Plant x size'!$P$5:$P$171,'Plant x size'!$B$5:$B$171,A13,'Plant x size'!$A$5:$A$171,"NPMD")</f>
        <v>0</v>
      </c>
      <c r="N13" s="8" t="n">
        <f aca="false">SUMIFS('Plant x size'!$P$5:$P$171,'Plant x size'!$B$5:$B$171,A13,'Plant x size'!$A$5:$A$171,"Tapi")</f>
        <v>0</v>
      </c>
    </row>
    <row r="14" customFormat="false" ht="15" hidden="false" customHeight="false" outlineLevel="0" collapsed="false">
      <c r="A14" s="7" t="s">
        <v>112</v>
      </c>
      <c r="B14" s="8" t="n">
        <f aca="false">SUMIF('Plant x size'!$B$5:$B$171,A14,'Plant x size'!$C$5:$C$171)</f>
        <v>5.66478880000001</v>
      </c>
      <c r="C14" s="8" t="n">
        <f aca="false">SUMIF('Plant x size'!$B$5:$B$171,A14,'Plant x size'!$D$5:$D$171)</f>
        <v>2.4</v>
      </c>
      <c r="D14" s="8" t="n">
        <f aca="false">SUMIF('Plant x size'!$B$5:$B$171,A14,'Plant x size'!$K$5:$K$171)</f>
        <v>2.4</v>
      </c>
      <c r="E14" s="8" t="n">
        <f aca="false">SUMIF('Plant x size'!$B$5:$B$171,A14,'Plant x size'!$L$5:$L$171)</f>
        <v>0</v>
      </c>
      <c r="F14" s="8" t="n">
        <f aca="false">SUMIF('Plant x size'!$B$5:$B$171,A14,'Plant x size'!$M$5:$M$171)</f>
        <v>0</v>
      </c>
      <c r="G14" s="8" t="n">
        <f aca="false">SUMIF('Plant x size'!$B$5:$B$171,A14,'Plant x size'!$N$5:$N$171)</f>
        <v>0</v>
      </c>
      <c r="H14" s="8" t="n">
        <f aca="false">SUMIF('Plant x size'!$B$5:$B$171,A14,'Plant x size'!$O$5:$O$171)</f>
        <v>0</v>
      </c>
      <c r="I14" s="7" t="n">
        <f aca="false">SUMIF('Plant x size'!$B$5:$B$171,A14,'Plant x size'!$P$5:$P$171)</f>
        <v>2.4</v>
      </c>
      <c r="J14" s="8" t="n">
        <f aca="false">SUMIF('Plant x size'!$B$5:$B$171,A14,'Plant x size'!$Q$5:$Q$171)</f>
        <v>0</v>
      </c>
      <c r="K14" s="8" t="n">
        <f aca="false">SUMIFS('Plant x size'!$P$5:$P$171,'Plant x size'!$B$5:$B$171,A14,'Plant x size'!$A$5:$A$171,"Hyderabad")</f>
        <v>0</v>
      </c>
      <c r="L14" s="8" t="n">
        <f aca="false">SUMIFS('Plant x size'!$P$5:$P$171,'Plant x size'!$B$5:$B$171,A14,'Plant x size'!$A$5:$A$171,"Lepakshi")</f>
        <v>2.4</v>
      </c>
      <c r="M14" s="8" t="n">
        <f aca="false">SUMIFS('Plant x size'!$P$5:$P$171,'Plant x size'!$B$5:$B$171,A14,'Plant x size'!$A$5:$A$171,"NPMD")</f>
        <v>0</v>
      </c>
      <c r="N14" s="8" t="n">
        <f aca="false">SUMIFS('Plant x size'!$P$5:$P$171,'Plant x size'!$B$5:$B$171,A14,'Plant x size'!$A$5:$A$171,"Tapi")</f>
        <v>0</v>
      </c>
    </row>
    <row r="15" customFormat="false" ht="15" hidden="false" customHeight="false" outlineLevel="0" collapsed="false">
      <c r="A15" s="7" t="s">
        <v>113</v>
      </c>
      <c r="B15" s="8" t="n">
        <f aca="false">SUMIF('Plant x size'!$B$5:$B$171,A15,'Plant x size'!$C$5:$C$171)</f>
        <v>6.5123125</v>
      </c>
      <c r="C15" s="8" t="n">
        <f aca="false">SUMIF('Plant x size'!$B$5:$B$171,A15,'Plant x size'!$D$5:$D$171)</f>
        <v>0</v>
      </c>
      <c r="D15" s="8" t="n">
        <f aca="false">SUMIF('Plant x size'!$B$5:$B$171,A15,'Plant x size'!$K$5:$K$171)</f>
        <v>0</v>
      </c>
      <c r="E15" s="8" t="n">
        <f aca="false">SUMIF('Plant x size'!$B$5:$B$171,A15,'Plant x size'!$L$5:$L$171)</f>
        <v>0</v>
      </c>
      <c r="F15" s="8" t="n">
        <f aca="false">SUMIF('Plant x size'!$B$5:$B$171,A15,'Plant x size'!$M$5:$M$171)</f>
        <v>0</v>
      </c>
      <c r="G15" s="8" t="n">
        <f aca="false">SUMIF('Plant x size'!$B$5:$B$171,A15,'Plant x size'!$N$5:$N$171)</f>
        <v>0</v>
      </c>
      <c r="H15" s="8" t="n">
        <f aca="false">SUMIF('Plant x size'!$B$5:$B$171,A15,'Plant x size'!$O$5:$O$171)</f>
        <v>0</v>
      </c>
      <c r="I15" s="7" t="n">
        <f aca="false">SUMIF('Plant x size'!$B$5:$B$171,A15,'Plant x size'!$P$5:$P$171)</f>
        <v>0</v>
      </c>
      <c r="J15" s="8" t="n">
        <f aca="false">SUMIF('Plant x size'!$B$5:$B$171,A15,'Plant x size'!$Q$5:$Q$171)</f>
        <v>0</v>
      </c>
      <c r="K15" s="8" t="n">
        <f aca="false">SUMIFS('Plant x size'!$P$5:$P$171,'Plant x size'!$B$5:$B$171,A15,'Plant x size'!$A$5:$A$171,"Hyderabad")</f>
        <v>0</v>
      </c>
      <c r="L15" s="8" t="n">
        <f aca="false">SUMIFS('Plant x size'!$P$5:$P$171,'Plant x size'!$B$5:$B$171,A15,'Plant x size'!$A$5:$A$171,"Lepakshi")</f>
        <v>0</v>
      </c>
      <c r="M15" s="8" t="n">
        <f aca="false">SUMIFS('Plant x size'!$P$5:$P$171,'Plant x size'!$B$5:$B$171,A15,'Plant x size'!$A$5:$A$171,"NPMD")</f>
        <v>0</v>
      </c>
      <c r="N15" s="8" t="n">
        <f aca="false">SUMIFS('Plant x size'!$P$5:$P$171,'Plant x size'!$B$5:$B$171,A15,'Plant x size'!$A$5:$A$171,"Tapi")</f>
        <v>0</v>
      </c>
    </row>
    <row r="16" customFormat="false" ht="15" hidden="false" customHeight="false" outlineLevel="0" collapsed="false">
      <c r="A16" s="7" t="s">
        <v>114</v>
      </c>
      <c r="B16" s="8" t="n">
        <f aca="false">SUMIF('Plant x size'!$B$5:$B$171,A16,'Plant x size'!$C$5:$C$171)</f>
        <v>4.754208</v>
      </c>
      <c r="C16" s="8" t="n">
        <f aca="false">SUMIF('Plant x size'!$B$5:$B$171,A16,'Plant x size'!$D$5:$D$171)</f>
        <v>34</v>
      </c>
      <c r="D16" s="8" t="n">
        <f aca="false">SUMIF('Plant x size'!$B$5:$B$171,A16,'Plant x size'!$K$5:$K$171)</f>
        <v>34</v>
      </c>
      <c r="E16" s="8" t="n">
        <f aca="false">SUMIF('Plant x size'!$B$5:$B$171,A16,'Plant x size'!$L$5:$L$171)</f>
        <v>0</v>
      </c>
      <c r="F16" s="8" t="n">
        <f aca="false">SUMIF('Plant x size'!$B$5:$B$171,A16,'Plant x size'!$M$5:$M$171)</f>
        <v>0</v>
      </c>
      <c r="G16" s="8" t="n">
        <f aca="false">SUMIF('Plant x size'!$B$5:$B$171,A16,'Plant x size'!$N$5:$N$171)</f>
        <v>0</v>
      </c>
      <c r="H16" s="8" t="n">
        <f aca="false">SUMIF('Plant x size'!$B$5:$B$171,A16,'Plant x size'!$O$5:$O$171)</f>
        <v>0</v>
      </c>
      <c r="I16" s="7" t="n">
        <f aca="false">SUMIF('Plant x size'!$B$5:$B$171,A16,'Plant x size'!$P$5:$P$171)</f>
        <v>34</v>
      </c>
      <c r="J16" s="8" t="n">
        <f aca="false">SUMIF('Plant x size'!$B$5:$B$171,A16,'Plant x size'!$Q$5:$Q$171)</f>
        <v>0</v>
      </c>
      <c r="K16" s="8" t="n">
        <f aca="false">SUMIFS('Plant x size'!$P$5:$P$171,'Plant x size'!$B$5:$B$171,A16,'Plant x size'!$A$5:$A$171,"Hyderabad")</f>
        <v>0</v>
      </c>
      <c r="L16" s="8" t="n">
        <f aca="false">SUMIFS('Plant x size'!$P$5:$P$171,'Plant x size'!$B$5:$B$171,A16,'Plant x size'!$A$5:$A$171,"Lepakshi")</f>
        <v>34</v>
      </c>
      <c r="M16" s="8" t="n">
        <f aca="false">SUMIFS('Plant x size'!$P$5:$P$171,'Plant x size'!$B$5:$B$171,A16,'Plant x size'!$A$5:$A$171,"NPMD")</f>
        <v>0</v>
      </c>
      <c r="N16" s="8" t="n">
        <f aca="false">SUMIFS('Plant x size'!$P$5:$P$171,'Plant x size'!$B$5:$B$171,A16,'Plant x size'!$A$5:$A$171,"Tapi")</f>
        <v>0</v>
      </c>
    </row>
    <row r="17" customFormat="false" ht="15" hidden="false" customHeight="false" outlineLevel="0" collapsed="false">
      <c r="A17" s="7" t="s">
        <v>51</v>
      </c>
      <c r="B17" s="8" t="n">
        <f aca="false">SUMIF('Plant x size'!$B$5:$B$171,A17,'Plant x size'!$C$5:$C$171)</f>
        <v>62.0414742400002</v>
      </c>
      <c r="C17" s="8" t="n">
        <f aca="false">SUMIF('Plant x size'!$B$5:$B$171,A17,'Plant x size'!$D$5:$D$171)</f>
        <v>59.171</v>
      </c>
      <c r="D17" s="8" t="n">
        <f aca="false">SUMIF('Plant x size'!$B$5:$B$171,A17,'Plant x size'!$K$5:$K$171)</f>
        <v>59.171</v>
      </c>
      <c r="E17" s="8" t="n">
        <f aca="false">SUMIF('Plant x size'!$B$5:$B$171,A17,'Plant x size'!$L$5:$L$171)</f>
        <v>0</v>
      </c>
      <c r="F17" s="8" t="n">
        <f aca="false">SUMIF('Plant x size'!$B$5:$B$171,A17,'Plant x size'!$M$5:$M$171)</f>
        <v>0</v>
      </c>
      <c r="G17" s="8" t="n">
        <f aca="false">SUMIF('Plant x size'!$B$5:$B$171,A17,'Plant x size'!$N$5:$N$171)</f>
        <v>0</v>
      </c>
      <c r="H17" s="8" t="n">
        <f aca="false">SUMIF('Plant x size'!$B$5:$B$171,A17,'Plant x size'!$O$5:$O$171)</f>
        <v>0</v>
      </c>
      <c r="I17" s="7" t="n">
        <f aca="false">SUMIF('Plant x size'!$B$5:$B$171,A17,'Plant x size'!$P$5:$P$171)</f>
        <v>59.171</v>
      </c>
      <c r="J17" s="8" t="n">
        <f aca="false">SUMIF('Plant x size'!$B$5:$B$171,A17,'Plant x size'!$Q$5:$Q$171)</f>
        <v>0</v>
      </c>
      <c r="K17" s="8" t="n">
        <f aca="false">SUMIFS('Plant x size'!$P$5:$P$171,'Plant x size'!$B$5:$B$171,A17,'Plant x size'!$A$5:$A$171,"Hyderabad")</f>
        <v>8.671</v>
      </c>
      <c r="L17" s="8" t="n">
        <f aca="false">SUMIFS('Plant x size'!$P$5:$P$171,'Plant x size'!$B$5:$B$171,A17,'Plant x size'!$A$5:$A$171,"Lepakshi")</f>
        <v>0</v>
      </c>
      <c r="M17" s="8" t="n">
        <f aca="false">SUMIFS('Plant x size'!$P$5:$P$171,'Plant x size'!$B$5:$B$171,A17,'Plant x size'!$A$5:$A$171,"NPMD")</f>
        <v>50.5</v>
      </c>
      <c r="N17" s="8" t="n">
        <f aca="false">SUMIFS('Plant x size'!$P$5:$P$171,'Plant x size'!$B$5:$B$171,A17,'Plant x size'!$A$5:$A$171,"Tapi")</f>
        <v>0</v>
      </c>
    </row>
    <row r="18" customFormat="false" ht="15" hidden="false" customHeight="false" outlineLevel="0" collapsed="false">
      <c r="A18" s="7" t="s">
        <v>52</v>
      </c>
      <c r="B18" s="8" t="n">
        <f aca="false">SUMIF('Plant x size'!$B$5:$B$171,A18,'Plant x size'!$C$5:$C$171)</f>
        <v>100.011712752</v>
      </c>
      <c r="C18" s="8" t="n">
        <f aca="false">SUMIF('Plant x size'!$B$5:$B$171,A18,'Plant x size'!$D$5:$D$171)</f>
        <v>103.972</v>
      </c>
      <c r="D18" s="8" t="n">
        <f aca="false">SUMIF('Plant x size'!$B$5:$B$171,A18,'Plant x size'!$K$5:$K$171)</f>
        <v>72.7592824582634</v>
      </c>
      <c r="E18" s="8" t="n">
        <f aca="false">SUMIF('Plant x size'!$B$5:$B$171,A18,'Plant x size'!$L$5:$L$171)</f>
        <v>31.2127175417366</v>
      </c>
      <c r="F18" s="8" t="n">
        <f aca="false">SUMIF('Plant x size'!$B$5:$B$171,A18,'Plant x size'!$M$5:$M$171)</f>
        <v>0</v>
      </c>
      <c r="G18" s="8" t="n">
        <f aca="false">SUMIF('Plant x size'!$B$5:$B$171,A18,'Plant x size'!$N$5:$N$171)</f>
        <v>0</v>
      </c>
      <c r="H18" s="8" t="n">
        <f aca="false">SUMIF('Plant x size'!$B$5:$B$171,A18,'Plant x size'!$O$5:$O$171)</f>
        <v>0</v>
      </c>
      <c r="I18" s="7" t="n">
        <f aca="false">SUMIF('Plant x size'!$B$5:$B$171,A18,'Plant x size'!$P$5:$P$171)</f>
        <v>103.972</v>
      </c>
      <c r="J18" s="8" t="n">
        <f aca="false">SUMIF('Plant x size'!$B$5:$B$171,A18,'Plant x size'!$Q$5:$Q$171)</f>
        <v>0</v>
      </c>
      <c r="K18" s="8" t="n">
        <f aca="false">SUMIFS('Plant x size'!$P$5:$P$171,'Plant x size'!$B$5:$B$171,A18,'Plant x size'!$A$5:$A$171,"Hyderabad")</f>
        <v>8.472</v>
      </c>
      <c r="L18" s="8" t="n">
        <f aca="false">SUMIFS('Plant x size'!$P$5:$P$171,'Plant x size'!$B$5:$B$171,A18,'Plant x size'!$A$5:$A$171,"Lepakshi")</f>
        <v>0</v>
      </c>
      <c r="M18" s="8" t="n">
        <f aca="false">SUMIFS('Plant x size'!$P$5:$P$171,'Plant x size'!$B$5:$B$171,A18,'Plant x size'!$A$5:$A$171,"NPMD")</f>
        <v>69.5</v>
      </c>
      <c r="N18" s="8" t="n">
        <f aca="false">SUMIFS('Plant x size'!$P$5:$P$171,'Plant x size'!$B$5:$B$171,A18,'Plant x size'!$A$5:$A$171,"Tapi")</f>
        <v>26</v>
      </c>
    </row>
    <row r="19" customFormat="false" ht="15" hidden="false" customHeight="false" outlineLevel="0" collapsed="false">
      <c r="A19" s="7" t="s">
        <v>53</v>
      </c>
      <c r="B19" s="8" t="n">
        <f aca="false">SUMIF('Plant x size'!$B$5:$B$171,A19,'Plant x size'!$C$5:$C$171)</f>
        <v>79.0912025</v>
      </c>
      <c r="C19" s="8" t="n">
        <f aca="false">SUMIF('Plant x size'!$B$5:$B$171,A19,'Plant x size'!$D$5:$D$171)</f>
        <v>78.571</v>
      </c>
      <c r="D19" s="8" t="n">
        <f aca="false">SUMIF('Plant x size'!$B$5:$B$171,A19,'Plant x size'!$K$5:$K$171)</f>
        <v>71.2</v>
      </c>
      <c r="E19" s="8" t="n">
        <f aca="false">SUMIF('Plant x size'!$B$5:$B$171,A19,'Plant x size'!$L$5:$L$171)</f>
        <v>7.371</v>
      </c>
      <c r="F19" s="8" t="n">
        <f aca="false">SUMIF('Plant x size'!$B$5:$B$171,A19,'Plant x size'!$M$5:$M$171)</f>
        <v>0</v>
      </c>
      <c r="G19" s="8" t="n">
        <f aca="false">SUMIF('Plant x size'!$B$5:$B$171,A19,'Plant x size'!$N$5:$N$171)</f>
        <v>0</v>
      </c>
      <c r="H19" s="8" t="n">
        <f aca="false">SUMIF('Plant x size'!$B$5:$B$171,A19,'Plant x size'!$O$5:$O$171)</f>
        <v>0</v>
      </c>
      <c r="I19" s="7" t="n">
        <f aca="false">SUMIF('Plant x size'!$B$5:$B$171,A19,'Plant x size'!$P$5:$P$171)</f>
        <v>78.571</v>
      </c>
      <c r="J19" s="8" t="n">
        <f aca="false">SUMIF('Plant x size'!$B$5:$B$171,A19,'Plant x size'!$Q$5:$Q$171)</f>
        <v>0</v>
      </c>
      <c r="K19" s="8" t="n">
        <f aca="false">SUMIFS('Plant x size'!$P$5:$P$171,'Plant x size'!$B$5:$B$171,A19,'Plant x size'!$A$5:$A$171,"Hyderabad")</f>
        <v>1.371</v>
      </c>
      <c r="L19" s="8" t="n">
        <f aca="false">SUMIFS('Plant x size'!$P$5:$P$171,'Plant x size'!$B$5:$B$171,A19,'Plant x size'!$A$5:$A$171,"Lepakshi")</f>
        <v>0</v>
      </c>
      <c r="M19" s="8" t="n">
        <f aca="false">SUMIFS('Plant x size'!$P$5:$P$171,'Plant x size'!$B$5:$B$171,A19,'Plant x size'!$A$5:$A$171,"NPMD")</f>
        <v>71.2</v>
      </c>
      <c r="N19" s="8" t="n">
        <f aca="false">SUMIFS('Plant x size'!$P$5:$P$171,'Plant x size'!$B$5:$B$171,A19,'Plant x size'!$A$5:$A$171,"Tapi")</f>
        <v>6</v>
      </c>
    </row>
    <row r="20" customFormat="false" ht="15" hidden="false" customHeight="false" outlineLevel="0" collapsed="false">
      <c r="A20" s="7" t="s">
        <v>54</v>
      </c>
      <c r="B20" s="8" t="n">
        <f aca="false">SUMIF('Plant x size'!$B$5:$B$171,A20,'Plant x size'!$C$5:$C$171)</f>
        <v>5.16227881600002</v>
      </c>
      <c r="C20" s="8" t="n">
        <f aca="false">SUMIF('Plant x size'!$B$5:$B$171,A20,'Plant x size'!$D$5:$D$171)</f>
        <v>3</v>
      </c>
      <c r="D20" s="8" t="n">
        <f aca="false">SUMIF('Plant x size'!$B$5:$B$171,A20,'Plant x size'!$K$5:$K$171)</f>
        <v>0</v>
      </c>
      <c r="E20" s="8" t="n">
        <f aca="false">SUMIF('Plant x size'!$B$5:$B$171,A20,'Plant x size'!$L$5:$L$171)</f>
        <v>3</v>
      </c>
      <c r="F20" s="8" t="n">
        <f aca="false">SUMIF('Plant x size'!$B$5:$B$171,A20,'Plant x size'!$M$5:$M$171)</f>
        <v>0</v>
      </c>
      <c r="G20" s="8" t="n">
        <f aca="false">SUMIF('Plant x size'!$B$5:$B$171,A20,'Plant x size'!$N$5:$N$171)</f>
        <v>0</v>
      </c>
      <c r="H20" s="8" t="n">
        <f aca="false">SUMIF('Plant x size'!$B$5:$B$171,A20,'Plant x size'!$O$5:$O$171)</f>
        <v>0</v>
      </c>
      <c r="I20" s="7" t="n">
        <f aca="false">SUMIF('Plant x size'!$B$5:$B$171,A20,'Plant x size'!$P$5:$P$171)</f>
        <v>3</v>
      </c>
      <c r="J20" s="8" t="n">
        <f aca="false">SUMIF('Plant x size'!$B$5:$B$171,A20,'Plant x size'!$Q$5:$Q$171)</f>
        <v>0</v>
      </c>
      <c r="K20" s="8" t="n">
        <f aca="false">SUMIFS('Plant x size'!$P$5:$P$171,'Plant x size'!$B$5:$B$171,A20,'Plant x size'!$A$5:$A$171,"Hyderabad")</f>
        <v>0</v>
      </c>
      <c r="L20" s="8" t="n">
        <f aca="false">SUMIFS('Plant x size'!$P$5:$P$171,'Plant x size'!$B$5:$B$171,A20,'Plant x size'!$A$5:$A$171,"Lepakshi")</f>
        <v>0</v>
      </c>
      <c r="M20" s="8" t="n">
        <f aca="false">SUMIFS('Plant x size'!$P$5:$P$171,'Plant x size'!$B$5:$B$171,A20,'Plant x size'!$A$5:$A$171,"NPMD")</f>
        <v>0</v>
      </c>
      <c r="N20" s="8" t="n">
        <f aca="false">SUMIFS('Plant x size'!$P$5:$P$171,'Plant x size'!$B$5:$B$171,A20,'Plant x size'!$A$5:$A$171,"Tapi")</f>
        <v>3</v>
      </c>
    </row>
    <row r="21" customFormat="false" ht="15" hidden="false" customHeight="false" outlineLevel="0" collapsed="false">
      <c r="A21" s="7" t="s">
        <v>55</v>
      </c>
      <c r="B21" s="8" t="n">
        <f aca="false">SUMIF('Plant x size'!$B$5:$B$171,A21,'Plant x size'!$C$5:$C$171)</f>
        <v>2.304432</v>
      </c>
      <c r="C21" s="8" t="n">
        <f aca="false">SUMIF('Plant x size'!$B$5:$B$171,A21,'Plant x size'!$D$5:$D$171)</f>
        <v>1.397</v>
      </c>
      <c r="D21" s="8" t="n">
        <f aca="false">SUMIF('Plant x size'!$B$5:$B$171,A21,'Plant x size'!$K$5:$K$171)</f>
        <v>0</v>
      </c>
      <c r="E21" s="8" t="n">
        <f aca="false">SUMIF('Plant x size'!$B$5:$B$171,A21,'Plant x size'!$L$5:$L$171)</f>
        <v>1.397</v>
      </c>
      <c r="F21" s="8" t="n">
        <f aca="false">SUMIF('Plant x size'!$B$5:$B$171,A21,'Plant x size'!$M$5:$M$171)</f>
        <v>0</v>
      </c>
      <c r="G21" s="8" t="n">
        <f aca="false">SUMIF('Plant x size'!$B$5:$B$171,A21,'Plant x size'!$N$5:$N$171)</f>
        <v>0</v>
      </c>
      <c r="H21" s="8" t="n">
        <f aca="false">SUMIF('Plant x size'!$B$5:$B$171,A21,'Plant x size'!$O$5:$O$171)</f>
        <v>0</v>
      </c>
      <c r="I21" s="7" t="n">
        <f aca="false">SUMIF('Plant x size'!$B$5:$B$171,A21,'Plant x size'!$P$5:$P$171)</f>
        <v>1.397</v>
      </c>
      <c r="J21" s="8" t="n">
        <f aca="false">SUMIF('Plant x size'!$B$5:$B$171,A21,'Plant x size'!$Q$5:$Q$171)</f>
        <v>0</v>
      </c>
      <c r="K21" s="8" t="n">
        <f aca="false">SUMIFS('Plant x size'!$P$5:$P$171,'Plant x size'!$B$5:$B$171,A21,'Plant x size'!$A$5:$A$171,"Hyderabad")</f>
        <v>1.397</v>
      </c>
      <c r="L21" s="8" t="n">
        <f aca="false">SUMIFS('Plant x size'!$P$5:$P$171,'Plant x size'!$B$5:$B$171,A21,'Plant x size'!$A$5:$A$171,"Lepakshi")</f>
        <v>0</v>
      </c>
      <c r="M21" s="8" t="n">
        <f aca="false">SUMIFS('Plant x size'!$P$5:$P$171,'Plant x size'!$B$5:$B$171,A21,'Plant x size'!$A$5:$A$171,"NPMD")</f>
        <v>0</v>
      </c>
      <c r="N21" s="8" t="n">
        <f aca="false">SUMIFS('Plant x size'!$P$5:$P$171,'Plant x size'!$B$5:$B$171,A21,'Plant x size'!$A$5:$A$171,"Tapi")</f>
        <v>0</v>
      </c>
    </row>
    <row r="22" customFormat="false" ht="15" hidden="false" customHeight="false" outlineLevel="0" collapsed="false">
      <c r="A22" s="7" t="s">
        <v>140</v>
      </c>
      <c r="B22" s="8" t="n">
        <f aca="false">SUMIF('Plant x size'!$B$5:$B$171,A22,'Plant x size'!$C$5:$C$171)</f>
        <v>10.39302</v>
      </c>
      <c r="C22" s="8" t="n">
        <f aca="false">SUMIF('Plant x size'!$B$5:$B$171,A22,'Plant x size'!$D$5:$D$171)</f>
        <v>12</v>
      </c>
      <c r="D22" s="8" t="n">
        <f aca="false">SUMIF('Plant x size'!$B$5:$B$171,A22,'Plant x size'!$K$5:$K$171)</f>
        <v>12</v>
      </c>
      <c r="E22" s="8" t="n">
        <f aca="false">SUMIF('Plant x size'!$B$5:$B$171,A22,'Plant x size'!$L$5:$L$171)</f>
        <v>0</v>
      </c>
      <c r="F22" s="8" t="n">
        <f aca="false">SUMIF('Plant x size'!$B$5:$B$171,A22,'Plant x size'!$M$5:$M$171)</f>
        <v>0</v>
      </c>
      <c r="G22" s="8" t="n">
        <f aca="false">SUMIF('Plant x size'!$B$5:$B$171,A22,'Plant x size'!$N$5:$N$171)</f>
        <v>0</v>
      </c>
      <c r="H22" s="8" t="n">
        <f aca="false">SUMIF('Plant x size'!$B$5:$B$171,A22,'Plant x size'!$O$5:$O$171)</f>
        <v>0</v>
      </c>
      <c r="I22" s="7" t="n">
        <f aca="false">SUMIF('Plant x size'!$B$5:$B$171,A22,'Plant x size'!$P$5:$P$171)</f>
        <v>12</v>
      </c>
      <c r="J22" s="8" t="n">
        <f aca="false">SUMIF('Plant x size'!$B$5:$B$171,A22,'Plant x size'!$Q$5:$Q$171)</f>
        <v>0</v>
      </c>
      <c r="K22" s="8" t="n">
        <f aca="false">SUMIFS('Plant x size'!$P$5:$P$171,'Plant x size'!$B$5:$B$171,A22,'Plant x size'!$A$5:$A$171,"Hyderabad")</f>
        <v>0</v>
      </c>
      <c r="L22" s="8" t="n">
        <f aca="false">SUMIFS('Plant x size'!$P$5:$P$171,'Plant x size'!$B$5:$B$171,A22,'Plant x size'!$A$5:$A$171,"Lepakshi")</f>
        <v>0</v>
      </c>
      <c r="M22" s="8" t="n">
        <f aca="false">SUMIFS('Plant x size'!$P$5:$P$171,'Plant x size'!$B$5:$B$171,A22,'Plant x size'!$A$5:$A$171,"NPMD")</f>
        <v>0</v>
      </c>
      <c r="N22" s="8" t="n">
        <f aca="false">SUMIFS('Plant x size'!$P$5:$P$171,'Plant x size'!$B$5:$B$171,A22,'Plant x size'!$A$5:$A$171,"Tapi")</f>
        <v>12</v>
      </c>
    </row>
    <row r="23" customFormat="false" ht="15" hidden="false" customHeight="false" outlineLevel="0" collapsed="false">
      <c r="A23" s="7" t="s">
        <v>56</v>
      </c>
      <c r="B23" s="8" t="n">
        <f aca="false">SUMIF('Plant x size'!$B$5:$B$171,A23,'Plant x size'!$C$5:$C$171)</f>
        <v>2.4611925</v>
      </c>
      <c r="C23" s="8" t="n">
        <f aca="false">SUMIF('Plant x size'!$B$5:$B$171,A23,'Plant x size'!$D$5:$D$171)</f>
        <v>2.182</v>
      </c>
      <c r="D23" s="8" t="n">
        <f aca="false">SUMIF('Plant x size'!$B$5:$B$171,A23,'Plant x size'!$K$5:$K$171)</f>
        <v>0</v>
      </c>
      <c r="E23" s="8" t="n">
        <f aca="false">SUMIF('Plant x size'!$B$5:$B$171,A23,'Plant x size'!$L$5:$L$171)</f>
        <v>0</v>
      </c>
      <c r="F23" s="8" t="n">
        <f aca="false">SUMIF('Plant x size'!$B$5:$B$171,A23,'Plant x size'!$M$5:$M$171)</f>
        <v>0</v>
      </c>
      <c r="G23" s="8" t="n">
        <f aca="false">SUMIF('Plant x size'!$B$5:$B$171,A23,'Plant x size'!$N$5:$N$171)</f>
        <v>2.182</v>
      </c>
      <c r="H23" s="8" t="n">
        <f aca="false">SUMIF('Plant x size'!$B$5:$B$171,A23,'Plant x size'!$O$5:$O$171)</f>
        <v>0</v>
      </c>
      <c r="I23" s="7" t="n">
        <f aca="false">SUMIF('Plant x size'!$B$5:$B$171,A23,'Plant x size'!$P$5:$P$171)</f>
        <v>2.182</v>
      </c>
      <c r="J23" s="8" t="n">
        <f aca="false">SUMIF('Plant x size'!$B$5:$B$171,A23,'Plant x size'!$Q$5:$Q$171)</f>
        <v>2.182</v>
      </c>
      <c r="K23" s="8" t="n">
        <f aca="false">SUMIFS('Plant x size'!$P$5:$P$171,'Plant x size'!$B$5:$B$171,A23,'Plant x size'!$A$5:$A$171,"Hyderabad")</f>
        <v>2.182</v>
      </c>
      <c r="L23" s="8" t="n">
        <f aca="false">SUMIFS('Plant x size'!$P$5:$P$171,'Plant x size'!$B$5:$B$171,A23,'Plant x size'!$A$5:$A$171,"Lepakshi")</f>
        <v>0</v>
      </c>
      <c r="M23" s="8" t="n">
        <f aca="false">SUMIFS('Plant x size'!$P$5:$P$171,'Plant x size'!$B$5:$B$171,A23,'Plant x size'!$A$5:$A$171,"NPMD")</f>
        <v>0</v>
      </c>
      <c r="N23" s="8" t="n">
        <f aca="false">SUMIFS('Plant x size'!$P$5:$P$171,'Plant x size'!$B$5:$B$171,A23,'Plant x size'!$A$5:$A$171,"Tapi")</f>
        <v>0</v>
      </c>
    </row>
    <row r="24" customFormat="false" ht="15" hidden="false" customHeight="false" outlineLevel="0" collapsed="false">
      <c r="A24" s="7" t="s">
        <v>57</v>
      </c>
      <c r="B24" s="8" t="n">
        <f aca="false">SUMIF('Plant x size'!$B$5:$B$171,A24,'Plant x size'!$C$5:$C$171)</f>
        <v>33.9614816</v>
      </c>
      <c r="C24" s="8" t="n">
        <f aca="false">SUMIF('Plant x size'!$B$5:$B$171,A24,'Plant x size'!$D$5:$D$171)</f>
        <v>35.548</v>
      </c>
      <c r="D24" s="8" t="n">
        <f aca="false">SUMIF('Plant x size'!$B$5:$B$171,A24,'Plant x size'!$K$5:$K$171)</f>
        <v>33</v>
      </c>
      <c r="E24" s="8" t="n">
        <f aca="false">SUMIF('Plant x size'!$B$5:$B$171,A24,'Plant x size'!$L$5:$L$171)</f>
        <v>2.548</v>
      </c>
      <c r="F24" s="8" t="n">
        <f aca="false">SUMIF('Plant x size'!$B$5:$B$171,A24,'Plant x size'!$M$5:$M$171)</f>
        <v>0</v>
      </c>
      <c r="G24" s="8" t="n">
        <f aca="false">SUMIF('Plant x size'!$B$5:$B$171,A24,'Plant x size'!$N$5:$N$171)</f>
        <v>0</v>
      </c>
      <c r="H24" s="8" t="n">
        <f aca="false">SUMIF('Plant x size'!$B$5:$B$171,A24,'Plant x size'!$O$5:$O$171)</f>
        <v>0</v>
      </c>
      <c r="I24" s="7" t="n">
        <f aca="false">SUMIF('Plant x size'!$B$5:$B$171,A24,'Plant x size'!$P$5:$P$171)</f>
        <v>35.548</v>
      </c>
      <c r="J24" s="8" t="n">
        <f aca="false">SUMIF('Plant x size'!$B$5:$B$171,A24,'Plant x size'!$Q$5:$Q$171)</f>
        <v>0</v>
      </c>
      <c r="K24" s="8" t="n">
        <f aca="false">SUMIFS('Plant x size'!$P$5:$P$171,'Plant x size'!$B$5:$B$171,A24,'Plant x size'!$A$5:$A$171,"Hyderabad")</f>
        <v>2.548</v>
      </c>
      <c r="L24" s="8" t="n">
        <f aca="false">SUMIFS('Plant x size'!$P$5:$P$171,'Plant x size'!$B$5:$B$171,A24,'Plant x size'!$A$5:$A$171,"Lepakshi")</f>
        <v>0</v>
      </c>
      <c r="M24" s="8" t="n">
        <f aca="false">SUMIFS('Plant x size'!$P$5:$P$171,'Plant x size'!$B$5:$B$171,A24,'Plant x size'!$A$5:$A$171,"NPMD")</f>
        <v>0</v>
      </c>
      <c r="N24" s="8" t="n">
        <f aca="false">SUMIFS('Plant x size'!$P$5:$P$171,'Plant x size'!$B$5:$B$171,A24,'Plant x size'!$A$5:$A$171,"Tapi")</f>
        <v>33</v>
      </c>
    </row>
    <row r="25" customFormat="false" ht="15" hidden="false" customHeight="false" outlineLevel="0" collapsed="false">
      <c r="A25" s="7" t="s">
        <v>141</v>
      </c>
      <c r="B25" s="8" t="n">
        <f aca="false">SUMIF('Plant x size'!$B$5:$B$171,A25,'Plant x size'!$C$5:$C$171)</f>
        <v>23.10726</v>
      </c>
      <c r="C25" s="8" t="n">
        <f aca="false">SUMIF('Plant x size'!$B$5:$B$171,A25,'Plant x size'!$D$5:$D$171)</f>
        <v>23</v>
      </c>
      <c r="D25" s="8" t="n">
        <f aca="false">SUMIF('Plant x size'!$B$5:$B$171,A25,'Plant x size'!$K$5:$K$171)</f>
        <v>23</v>
      </c>
      <c r="E25" s="8" t="n">
        <f aca="false">SUMIF('Plant x size'!$B$5:$B$171,A25,'Plant x size'!$L$5:$L$171)</f>
        <v>0</v>
      </c>
      <c r="F25" s="8" t="n">
        <f aca="false">SUMIF('Plant x size'!$B$5:$B$171,A25,'Plant x size'!$M$5:$M$171)</f>
        <v>0</v>
      </c>
      <c r="G25" s="8" t="n">
        <f aca="false">SUMIF('Plant x size'!$B$5:$B$171,A25,'Plant x size'!$N$5:$N$171)</f>
        <v>0</v>
      </c>
      <c r="H25" s="8" t="n">
        <f aca="false">SUMIF('Plant x size'!$B$5:$B$171,A25,'Plant x size'!$O$5:$O$171)</f>
        <v>0</v>
      </c>
      <c r="I25" s="7" t="n">
        <f aca="false">SUMIF('Plant x size'!$B$5:$B$171,A25,'Plant x size'!$P$5:$P$171)</f>
        <v>23</v>
      </c>
      <c r="J25" s="8" t="n">
        <f aca="false">SUMIF('Plant x size'!$B$5:$B$171,A25,'Plant x size'!$Q$5:$Q$171)</f>
        <v>0</v>
      </c>
      <c r="K25" s="8" t="n">
        <f aca="false">SUMIFS('Plant x size'!$P$5:$P$171,'Plant x size'!$B$5:$B$171,A25,'Plant x size'!$A$5:$A$171,"Hyderabad")</f>
        <v>0</v>
      </c>
      <c r="L25" s="8" t="n">
        <f aca="false">SUMIFS('Plant x size'!$P$5:$P$171,'Plant x size'!$B$5:$B$171,A25,'Plant x size'!$A$5:$A$171,"Lepakshi")</f>
        <v>0</v>
      </c>
      <c r="M25" s="8" t="n">
        <f aca="false">SUMIFS('Plant x size'!$P$5:$P$171,'Plant x size'!$B$5:$B$171,A25,'Plant x size'!$A$5:$A$171,"NPMD")</f>
        <v>0</v>
      </c>
      <c r="N25" s="8" t="n">
        <f aca="false">SUMIFS('Plant x size'!$P$5:$P$171,'Plant x size'!$B$5:$B$171,A25,'Plant x size'!$A$5:$A$171,"Tapi")</f>
        <v>23</v>
      </c>
    </row>
    <row r="26" customFormat="false" ht="15" hidden="false" customHeight="false" outlineLevel="0" collapsed="false">
      <c r="A26" s="7" t="s">
        <v>115</v>
      </c>
      <c r="B26" s="8" t="n">
        <f aca="false">SUMIF('Plant x size'!$B$5:$B$171,A26,'Plant x size'!$C$5:$C$171)</f>
        <v>25.819488</v>
      </c>
      <c r="C26" s="8" t="n">
        <f aca="false">SUMIF('Plant x size'!$B$5:$B$171,A26,'Plant x size'!$D$5:$D$171)</f>
        <v>49</v>
      </c>
      <c r="D26" s="8" t="n">
        <f aca="false">SUMIF('Plant x size'!$B$5:$B$171,A26,'Plant x size'!$K$5:$K$171)</f>
        <v>23</v>
      </c>
      <c r="E26" s="8" t="n">
        <f aca="false">SUMIF('Plant x size'!$B$5:$B$171,A26,'Plant x size'!$L$5:$L$171)</f>
        <v>0</v>
      </c>
      <c r="F26" s="8" t="n">
        <f aca="false">SUMIF('Plant x size'!$B$5:$B$171,A26,'Plant x size'!$M$5:$M$171)</f>
        <v>0</v>
      </c>
      <c r="G26" s="8" t="n">
        <f aca="false">SUMIF('Plant x size'!$B$5:$B$171,A26,'Plant x size'!$N$5:$N$171)</f>
        <v>0</v>
      </c>
      <c r="H26" s="8" t="n">
        <f aca="false">SUMIF('Plant x size'!$B$5:$B$171,A26,'Plant x size'!$O$5:$O$171)</f>
        <v>26</v>
      </c>
      <c r="I26" s="7" t="n">
        <f aca="false">SUMIF('Plant x size'!$B$5:$B$171,A26,'Plant x size'!$P$5:$P$171)</f>
        <v>49</v>
      </c>
      <c r="J26" s="8" t="n">
        <f aca="false">SUMIF('Plant x size'!$B$5:$B$171,A26,'Plant x size'!$Q$5:$Q$171)</f>
        <v>0</v>
      </c>
      <c r="K26" s="8" t="n">
        <f aca="false">SUMIFS('Plant x size'!$P$5:$P$171,'Plant x size'!$B$5:$B$171,A26,'Plant x size'!$A$5:$A$171,"Hyderabad")</f>
        <v>0</v>
      </c>
      <c r="L26" s="8" t="n">
        <f aca="false">SUMIFS('Plant x size'!$P$5:$P$171,'Plant x size'!$B$5:$B$171,A26,'Plant x size'!$A$5:$A$171,"Lepakshi")</f>
        <v>0</v>
      </c>
      <c r="M26" s="8" t="n">
        <f aca="false">SUMIFS('Plant x size'!$P$5:$P$171,'Plant x size'!$B$5:$B$171,A26,'Plant x size'!$A$5:$A$171,"NPMD")</f>
        <v>23</v>
      </c>
      <c r="N26" s="8" t="n">
        <f aca="false">SUMIFS('Plant x size'!$P$5:$P$171,'Plant x size'!$B$5:$B$171,A26,'Plant x size'!$A$5:$A$171,"Tapi")</f>
        <v>26</v>
      </c>
    </row>
    <row r="27" customFormat="false" ht="15" hidden="false" customHeight="false" outlineLevel="0" collapsed="false">
      <c r="A27" s="7" t="s">
        <v>116</v>
      </c>
      <c r="B27" s="8" t="n">
        <f aca="false">SUMIF('Plant x size'!$B$5:$B$171,A27,'Plant x size'!$C$5:$C$171)</f>
        <v>66.6245015</v>
      </c>
      <c r="C27" s="8" t="n">
        <f aca="false">SUMIF('Plant x size'!$B$5:$B$171,A27,'Plant x size'!$D$5:$D$171)</f>
        <v>76.8</v>
      </c>
      <c r="D27" s="8" t="n">
        <f aca="false">SUMIF('Plant x size'!$B$5:$B$171,A27,'Plant x size'!$K$5:$K$171)</f>
        <v>58</v>
      </c>
      <c r="E27" s="8" t="n">
        <f aca="false">SUMIF('Plant x size'!$B$5:$B$171,A27,'Plant x size'!$L$5:$L$171)</f>
        <v>18.8</v>
      </c>
      <c r="F27" s="8" t="n">
        <f aca="false">SUMIF('Plant x size'!$B$5:$B$171,A27,'Plant x size'!$M$5:$M$171)</f>
        <v>0</v>
      </c>
      <c r="G27" s="8" t="n">
        <f aca="false">SUMIF('Plant x size'!$B$5:$B$171,A27,'Plant x size'!$N$5:$N$171)</f>
        <v>0</v>
      </c>
      <c r="H27" s="8" t="n">
        <f aca="false">SUMIF('Plant x size'!$B$5:$B$171,A27,'Plant x size'!$O$5:$O$171)</f>
        <v>0</v>
      </c>
      <c r="I27" s="7" t="n">
        <f aca="false">SUMIF('Plant x size'!$B$5:$B$171,A27,'Plant x size'!$P$5:$P$171)</f>
        <v>76.8</v>
      </c>
      <c r="J27" s="8" t="n">
        <f aca="false">SUMIF('Plant x size'!$B$5:$B$171,A27,'Plant x size'!$Q$5:$Q$171)</f>
        <v>0</v>
      </c>
      <c r="K27" s="8" t="n">
        <f aca="false">SUMIFS('Plant x size'!$P$5:$P$171,'Plant x size'!$B$5:$B$171,A27,'Plant x size'!$A$5:$A$171,"Hyderabad")</f>
        <v>0</v>
      </c>
      <c r="L27" s="8" t="n">
        <f aca="false">SUMIFS('Plant x size'!$P$5:$P$171,'Plant x size'!$B$5:$B$171,A27,'Plant x size'!$A$5:$A$171,"Lepakshi")</f>
        <v>18.8</v>
      </c>
      <c r="M27" s="8" t="n">
        <f aca="false">SUMIFS('Plant x size'!$P$5:$P$171,'Plant x size'!$B$5:$B$171,A27,'Plant x size'!$A$5:$A$171,"NPMD")</f>
        <v>29</v>
      </c>
      <c r="N27" s="8" t="n">
        <f aca="false">SUMIFS('Plant x size'!$P$5:$P$171,'Plant x size'!$B$5:$B$171,A27,'Plant x size'!$A$5:$A$171,"Tapi")</f>
        <v>29</v>
      </c>
    </row>
    <row r="28" customFormat="false" ht="15" hidden="false" customHeight="false" outlineLevel="0" collapsed="false">
      <c r="A28" s="7" t="s">
        <v>142</v>
      </c>
      <c r="B28" s="8" t="n">
        <f aca="false">SUMIF('Plant x size'!$B$5:$B$171,A28,'Plant x size'!$C$5:$C$171)</f>
        <v>0</v>
      </c>
      <c r="C28" s="8" t="n">
        <f aca="false">SUMIF('Plant x size'!$B$5:$B$171,A28,'Plant x size'!$D$5:$D$171)</f>
        <v>2</v>
      </c>
      <c r="D28" s="8" t="n">
        <f aca="false">SUMIF('Plant x size'!$B$5:$B$171,A28,'Plant x size'!$K$5:$K$171)</f>
        <v>0</v>
      </c>
      <c r="E28" s="8" t="n">
        <f aca="false">SUMIF('Plant x size'!$B$5:$B$171,A28,'Plant x size'!$L$5:$L$171)</f>
        <v>0</v>
      </c>
      <c r="F28" s="8" t="n">
        <f aca="false">SUMIF('Plant x size'!$B$5:$B$171,A28,'Plant x size'!$M$5:$M$171)</f>
        <v>0</v>
      </c>
      <c r="G28" s="8" t="n">
        <f aca="false">SUMIF('Plant x size'!$B$5:$B$171,A28,'Plant x size'!$N$5:$N$171)</f>
        <v>0</v>
      </c>
      <c r="H28" s="8" t="n">
        <f aca="false">SUMIF('Plant x size'!$B$5:$B$171,A28,'Plant x size'!$O$5:$O$171)</f>
        <v>2</v>
      </c>
      <c r="I28" s="7" t="n">
        <f aca="false">SUMIF('Plant x size'!$B$5:$B$171,A28,'Plant x size'!$P$5:$P$171)</f>
        <v>2</v>
      </c>
      <c r="J28" s="8" t="n">
        <f aca="false">SUMIF('Plant x size'!$B$5:$B$171,A28,'Plant x size'!$Q$5:$Q$171)</f>
        <v>0</v>
      </c>
      <c r="K28" s="8" t="n">
        <f aca="false">SUMIFS('Plant x size'!$P$5:$P$171,'Plant x size'!$B$5:$B$171,A28,'Plant x size'!$A$5:$A$171,"Hyderabad")</f>
        <v>0</v>
      </c>
      <c r="L28" s="8" t="n">
        <f aca="false">SUMIFS('Plant x size'!$P$5:$P$171,'Plant x size'!$B$5:$B$171,A28,'Plant x size'!$A$5:$A$171,"Lepakshi")</f>
        <v>0</v>
      </c>
      <c r="M28" s="8" t="n">
        <f aca="false">SUMIFS('Plant x size'!$P$5:$P$171,'Plant x size'!$B$5:$B$171,A28,'Plant x size'!$A$5:$A$171,"NPMD")</f>
        <v>0</v>
      </c>
      <c r="N28" s="8" t="n">
        <f aca="false">SUMIFS('Plant x size'!$P$5:$P$171,'Plant x size'!$B$5:$B$171,A28,'Plant x size'!$A$5:$A$171,"Tapi")</f>
        <v>2</v>
      </c>
    </row>
    <row r="29" customFormat="false" ht="15" hidden="false" customHeight="false" outlineLevel="0" collapsed="false">
      <c r="A29" s="7" t="s">
        <v>117</v>
      </c>
      <c r="B29" s="8" t="n">
        <f aca="false">SUMIF('Plant x size'!$B$5:$B$171,A29,'Plant x size'!$C$5:$C$171)</f>
        <v>0</v>
      </c>
      <c r="C29" s="8" t="n">
        <f aca="false">SUMIF('Plant x size'!$B$5:$B$171,A29,'Plant x size'!$D$5:$D$171)</f>
        <v>15.8</v>
      </c>
      <c r="D29" s="8" t="n">
        <f aca="false">SUMIF('Plant x size'!$B$5:$B$171,A29,'Plant x size'!$K$5:$K$171)</f>
        <v>0</v>
      </c>
      <c r="E29" s="8" t="n">
        <f aca="false">SUMIF('Plant x size'!$B$5:$B$171,A29,'Plant x size'!$L$5:$L$171)</f>
        <v>0</v>
      </c>
      <c r="F29" s="8" t="n">
        <f aca="false">SUMIF('Plant x size'!$B$5:$B$171,A29,'Plant x size'!$M$5:$M$171)</f>
        <v>0</v>
      </c>
      <c r="G29" s="8" t="n">
        <f aca="false">SUMIF('Plant x size'!$B$5:$B$171,A29,'Plant x size'!$N$5:$N$171)</f>
        <v>0</v>
      </c>
      <c r="H29" s="8" t="n">
        <f aca="false">SUMIF('Plant x size'!$B$5:$B$171,A29,'Plant x size'!$O$5:$O$171)</f>
        <v>15.8</v>
      </c>
      <c r="I29" s="7" t="n">
        <f aca="false">SUMIF('Plant x size'!$B$5:$B$171,A29,'Plant x size'!$P$5:$P$171)</f>
        <v>15.8</v>
      </c>
      <c r="J29" s="8" t="n">
        <f aca="false">SUMIF('Plant x size'!$B$5:$B$171,A29,'Plant x size'!$Q$5:$Q$171)</f>
        <v>0</v>
      </c>
      <c r="K29" s="8" t="n">
        <f aca="false">SUMIFS('Plant x size'!$P$5:$P$171,'Plant x size'!$B$5:$B$171,A29,'Plant x size'!$A$5:$A$171,"Hyderabad")</f>
        <v>0</v>
      </c>
      <c r="L29" s="8" t="n">
        <f aca="false">SUMIFS('Plant x size'!$P$5:$P$171,'Plant x size'!$B$5:$B$171,A29,'Plant x size'!$A$5:$A$171,"Lepakshi")</f>
        <v>1.8</v>
      </c>
      <c r="M29" s="8" t="n">
        <f aca="false">SUMIFS('Plant x size'!$P$5:$P$171,'Plant x size'!$B$5:$B$171,A29,'Plant x size'!$A$5:$A$171,"NPMD")</f>
        <v>0</v>
      </c>
      <c r="N29" s="8" t="n">
        <f aca="false">SUMIFS('Plant x size'!$P$5:$P$171,'Plant x size'!$B$5:$B$171,A29,'Plant x size'!$A$5:$A$171,"Tapi")</f>
        <v>14</v>
      </c>
    </row>
    <row r="30" customFormat="false" ht="15" hidden="false" customHeight="false" outlineLevel="0" collapsed="false">
      <c r="A30" s="7" t="s">
        <v>118</v>
      </c>
      <c r="B30" s="8" t="n">
        <f aca="false">SUMIF('Plant x size'!$B$5:$B$171,A30,'Plant x size'!$C$5:$C$171)</f>
        <v>56.247728</v>
      </c>
      <c r="C30" s="8" t="n">
        <f aca="false">SUMIF('Plant x size'!$B$5:$B$171,A30,'Plant x size'!$D$5:$D$171)</f>
        <v>49</v>
      </c>
      <c r="D30" s="8" t="n">
        <f aca="false">SUMIF('Plant x size'!$B$5:$B$171,A30,'Plant x size'!$K$5:$K$171)</f>
        <v>0</v>
      </c>
      <c r="E30" s="8" t="n">
        <f aca="false">SUMIF('Plant x size'!$B$5:$B$171,A30,'Plant x size'!$L$5:$L$171)</f>
        <v>49</v>
      </c>
      <c r="F30" s="8" t="n">
        <f aca="false">SUMIF('Plant x size'!$B$5:$B$171,A30,'Plant x size'!$M$5:$M$171)</f>
        <v>0</v>
      </c>
      <c r="G30" s="8" t="n">
        <f aca="false">SUMIF('Plant x size'!$B$5:$B$171,A30,'Plant x size'!$N$5:$N$171)</f>
        <v>0</v>
      </c>
      <c r="H30" s="8" t="n">
        <f aca="false">SUMIF('Plant x size'!$B$5:$B$171,A30,'Plant x size'!$O$5:$O$171)</f>
        <v>0</v>
      </c>
      <c r="I30" s="7" t="n">
        <f aca="false">SUMIF('Plant x size'!$B$5:$B$171,A30,'Plant x size'!$P$5:$P$171)</f>
        <v>49</v>
      </c>
      <c r="J30" s="8" t="n">
        <f aca="false">SUMIF('Plant x size'!$B$5:$B$171,A30,'Plant x size'!$Q$5:$Q$171)</f>
        <v>0</v>
      </c>
      <c r="K30" s="8" t="n">
        <f aca="false">SUMIFS('Plant x size'!$P$5:$P$171,'Plant x size'!$B$5:$B$171,A30,'Plant x size'!$A$5:$A$171,"Hyderabad")</f>
        <v>0</v>
      </c>
      <c r="L30" s="8" t="n">
        <f aca="false">SUMIFS('Plant x size'!$P$5:$P$171,'Plant x size'!$B$5:$B$171,A30,'Plant x size'!$A$5:$A$171,"Lepakshi")</f>
        <v>49</v>
      </c>
      <c r="M30" s="8" t="n">
        <f aca="false">SUMIFS('Plant x size'!$P$5:$P$171,'Plant x size'!$B$5:$B$171,A30,'Plant x size'!$A$5:$A$171,"NPMD")</f>
        <v>0</v>
      </c>
      <c r="N30" s="8" t="n">
        <f aca="false">SUMIFS('Plant x size'!$P$5:$P$171,'Plant x size'!$B$5:$B$171,A30,'Plant x size'!$A$5:$A$171,"Tapi")</f>
        <v>0</v>
      </c>
    </row>
    <row r="31" customFormat="false" ht="15" hidden="false" customHeight="false" outlineLevel="0" collapsed="false">
      <c r="A31" s="7" t="s">
        <v>58</v>
      </c>
      <c r="B31" s="8" t="n">
        <f aca="false">SUMIF('Plant x size'!$B$5:$B$171,A31,'Plant x size'!$C$5:$C$171)</f>
        <v>0.810000000000002</v>
      </c>
      <c r="C31" s="8" t="n">
        <f aca="false">SUMIF('Plant x size'!$B$5:$B$171,A31,'Plant x size'!$D$5:$D$171)</f>
        <v>0</v>
      </c>
      <c r="D31" s="8" t="n">
        <f aca="false">SUMIF('Plant x size'!$B$5:$B$171,A31,'Plant x size'!$K$5:$K$171)</f>
        <v>0</v>
      </c>
      <c r="E31" s="8" t="n">
        <f aca="false">SUMIF('Plant x size'!$B$5:$B$171,A31,'Plant x size'!$L$5:$L$171)</f>
        <v>0</v>
      </c>
      <c r="F31" s="8" t="n">
        <f aca="false">SUMIF('Plant x size'!$B$5:$B$171,A31,'Plant x size'!$M$5:$M$171)</f>
        <v>0</v>
      </c>
      <c r="G31" s="8" t="n">
        <f aca="false">SUMIF('Plant x size'!$B$5:$B$171,A31,'Plant x size'!$N$5:$N$171)</f>
        <v>0</v>
      </c>
      <c r="H31" s="8" t="n">
        <f aca="false">SUMIF('Plant x size'!$B$5:$B$171,A31,'Plant x size'!$O$5:$O$171)</f>
        <v>0</v>
      </c>
      <c r="I31" s="7" t="n">
        <f aca="false">SUMIF('Plant x size'!$B$5:$B$171,A31,'Plant x size'!$P$5:$P$171)</f>
        <v>0</v>
      </c>
      <c r="J31" s="8" t="n">
        <f aca="false">SUMIF('Plant x size'!$B$5:$B$171,A31,'Plant x size'!$Q$5:$Q$171)</f>
        <v>0</v>
      </c>
      <c r="K31" s="8" t="n">
        <f aca="false">SUMIFS('Plant x size'!$P$5:$P$171,'Plant x size'!$B$5:$B$171,A31,'Plant x size'!$A$5:$A$171,"Hyderabad")</f>
        <v>0</v>
      </c>
      <c r="L31" s="8" t="n">
        <f aca="false">SUMIFS('Plant x size'!$P$5:$P$171,'Plant x size'!$B$5:$B$171,A31,'Plant x size'!$A$5:$A$171,"Lepakshi")</f>
        <v>0</v>
      </c>
      <c r="M31" s="8" t="n">
        <f aca="false">SUMIFS('Plant x size'!$P$5:$P$171,'Plant x size'!$B$5:$B$171,A31,'Plant x size'!$A$5:$A$171,"NPMD")</f>
        <v>0</v>
      </c>
      <c r="N31" s="8" t="n">
        <f aca="false">SUMIFS('Plant x size'!$P$5:$P$171,'Plant x size'!$B$5:$B$171,A31,'Plant x size'!$A$5:$A$171,"Tapi")</f>
        <v>0</v>
      </c>
    </row>
    <row r="32" customFormat="false" ht="15" hidden="false" customHeight="false" outlineLevel="0" collapsed="false">
      <c r="A32" s="7" t="s">
        <v>59</v>
      </c>
      <c r="B32" s="8" t="n">
        <f aca="false">SUMIF('Plant x size'!$B$5:$B$171,A32,'Plant x size'!$C$5:$C$171)</f>
        <v>0.365000000000002</v>
      </c>
      <c r="C32" s="8" t="n">
        <f aca="false">SUMIF('Plant x size'!$B$5:$B$171,A32,'Plant x size'!$D$5:$D$171)</f>
        <v>0</v>
      </c>
      <c r="D32" s="8" t="n">
        <f aca="false">SUMIF('Plant x size'!$B$5:$B$171,A32,'Plant x size'!$K$5:$K$171)</f>
        <v>0</v>
      </c>
      <c r="E32" s="8" t="n">
        <f aca="false">SUMIF('Plant x size'!$B$5:$B$171,A32,'Plant x size'!$L$5:$L$171)</f>
        <v>0</v>
      </c>
      <c r="F32" s="8" t="n">
        <f aca="false">SUMIF('Plant x size'!$B$5:$B$171,A32,'Plant x size'!$M$5:$M$171)</f>
        <v>0</v>
      </c>
      <c r="G32" s="8" t="n">
        <f aca="false">SUMIF('Plant x size'!$B$5:$B$171,A32,'Plant x size'!$N$5:$N$171)</f>
        <v>0</v>
      </c>
      <c r="H32" s="8" t="n">
        <f aca="false">SUMIF('Plant x size'!$B$5:$B$171,A32,'Plant x size'!$O$5:$O$171)</f>
        <v>0</v>
      </c>
      <c r="I32" s="7" t="n">
        <f aca="false">SUMIF('Plant x size'!$B$5:$B$171,A32,'Plant x size'!$P$5:$P$171)</f>
        <v>0</v>
      </c>
      <c r="J32" s="8" t="n">
        <f aca="false">SUMIF('Plant x size'!$B$5:$B$171,A32,'Plant x size'!$Q$5:$Q$171)</f>
        <v>0</v>
      </c>
      <c r="K32" s="8" t="n">
        <f aca="false">SUMIFS('Plant x size'!$P$5:$P$171,'Plant x size'!$B$5:$B$171,A32,'Plant x size'!$A$5:$A$171,"Hyderabad")</f>
        <v>0</v>
      </c>
      <c r="L32" s="8" t="n">
        <f aca="false">SUMIFS('Plant x size'!$P$5:$P$171,'Plant x size'!$B$5:$B$171,A32,'Plant x size'!$A$5:$A$171,"Lepakshi")</f>
        <v>0</v>
      </c>
      <c r="M32" s="8" t="n">
        <f aca="false">SUMIFS('Plant x size'!$P$5:$P$171,'Plant x size'!$B$5:$B$171,A32,'Plant x size'!$A$5:$A$171,"NPMD")</f>
        <v>0</v>
      </c>
      <c r="N32" s="8" t="n">
        <f aca="false">SUMIFS('Plant x size'!$P$5:$P$171,'Plant x size'!$B$5:$B$171,A32,'Plant x size'!$A$5:$A$171,"Tapi")</f>
        <v>0</v>
      </c>
    </row>
    <row r="33" customFormat="false" ht="15" hidden="false" customHeight="false" outlineLevel="0" collapsed="false">
      <c r="A33" s="7" t="s">
        <v>143</v>
      </c>
      <c r="B33" s="8" t="n">
        <f aca="false">SUMIF('Plant x size'!$B$5:$B$171,A33,'Plant x size'!$C$5:$C$171)</f>
        <v>0</v>
      </c>
      <c r="C33" s="8" t="n">
        <f aca="false">SUMIF('Plant x size'!$B$5:$B$171,A33,'Plant x size'!$D$5:$D$171)</f>
        <v>5</v>
      </c>
      <c r="D33" s="8" t="n">
        <f aca="false">SUMIF('Plant x size'!$B$5:$B$171,A33,'Plant x size'!$K$5:$K$171)</f>
        <v>0</v>
      </c>
      <c r="E33" s="8" t="n">
        <f aca="false">SUMIF('Plant x size'!$B$5:$B$171,A33,'Plant x size'!$L$5:$L$171)</f>
        <v>0</v>
      </c>
      <c r="F33" s="8" t="n">
        <f aca="false">SUMIF('Plant x size'!$B$5:$B$171,A33,'Plant x size'!$M$5:$M$171)</f>
        <v>0</v>
      </c>
      <c r="G33" s="8" t="n">
        <f aca="false">SUMIF('Plant x size'!$B$5:$B$171,A33,'Plant x size'!$N$5:$N$171)</f>
        <v>0</v>
      </c>
      <c r="H33" s="8" t="n">
        <f aca="false">SUMIF('Plant x size'!$B$5:$B$171,A33,'Plant x size'!$O$5:$O$171)</f>
        <v>5</v>
      </c>
      <c r="I33" s="7" t="n">
        <f aca="false">SUMIF('Plant x size'!$B$5:$B$171,A33,'Plant x size'!$P$5:$P$171)</f>
        <v>5</v>
      </c>
      <c r="J33" s="8" t="n">
        <f aca="false">SUMIF('Plant x size'!$B$5:$B$171,A33,'Plant x size'!$Q$5:$Q$171)</f>
        <v>0</v>
      </c>
      <c r="K33" s="8" t="n">
        <f aca="false">SUMIFS('Plant x size'!$P$5:$P$171,'Plant x size'!$B$5:$B$171,A33,'Plant x size'!$A$5:$A$171,"Hyderabad")</f>
        <v>0</v>
      </c>
      <c r="L33" s="8" t="n">
        <f aca="false">SUMIFS('Plant x size'!$P$5:$P$171,'Plant x size'!$B$5:$B$171,A33,'Plant x size'!$A$5:$A$171,"Lepakshi")</f>
        <v>0</v>
      </c>
      <c r="M33" s="8" t="n">
        <f aca="false">SUMIFS('Plant x size'!$P$5:$P$171,'Plant x size'!$B$5:$B$171,A33,'Plant x size'!$A$5:$A$171,"NPMD")</f>
        <v>0</v>
      </c>
      <c r="N33" s="8" t="n">
        <f aca="false">SUMIFS('Plant x size'!$P$5:$P$171,'Plant x size'!$B$5:$B$171,A33,'Plant x size'!$A$5:$A$171,"Tapi")</f>
        <v>5</v>
      </c>
    </row>
    <row r="34" customFormat="false" ht="15" hidden="false" customHeight="false" outlineLevel="0" collapsed="false">
      <c r="A34" s="7" t="s">
        <v>144</v>
      </c>
      <c r="B34" s="8" t="n">
        <f aca="false">SUMIF('Plant x size'!$B$5:$B$171,A34,'Plant x size'!$C$5:$C$171)</f>
        <v>5.0504</v>
      </c>
      <c r="C34" s="8" t="n">
        <f aca="false">SUMIF('Plant x size'!$B$5:$B$171,A34,'Plant x size'!$D$5:$D$171)</f>
        <v>5</v>
      </c>
      <c r="D34" s="8" t="n">
        <f aca="false">SUMIF('Plant x size'!$B$5:$B$171,A34,'Plant x size'!$K$5:$K$171)</f>
        <v>5</v>
      </c>
      <c r="E34" s="8" t="n">
        <f aca="false">SUMIF('Plant x size'!$B$5:$B$171,A34,'Plant x size'!$L$5:$L$171)</f>
        <v>0</v>
      </c>
      <c r="F34" s="8" t="n">
        <f aca="false">SUMIF('Plant x size'!$B$5:$B$171,A34,'Plant x size'!$M$5:$M$171)</f>
        <v>0</v>
      </c>
      <c r="G34" s="8" t="n">
        <f aca="false">SUMIF('Plant x size'!$B$5:$B$171,A34,'Plant x size'!$N$5:$N$171)</f>
        <v>0</v>
      </c>
      <c r="H34" s="8" t="n">
        <f aca="false">SUMIF('Plant x size'!$B$5:$B$171,A34,'Plant x size'!$O$5:$O$171)</f>
        <v>0</v>
      </c>
      <c r="I34" s="7" t="n">
        <f aca="false">SUMIF('Plant x size'!$B$5:$B$171,A34,'Plant x size'!$P$5:$P$171)</f>
        <v>5</v>
      </c>
      <c r="J34" s="8" t="n">
        <f aca="false">SUMIF('Plant x size'!$B$5:$B$171,A34,'Plant x size'!$Q$5:$Q$171)</f>
        <v>0</v>
      </c>
      <c r="K34" s="8" t="n">
        <f aca="false">SUMIFS('Plant x size'!$P$5:$P$171,'Plant x size'!$B$5:$B$171,A34,'Plant x size'!$A$5:$A$171,"Hyderabad")</f>
        <v>0</v>
      </c>
      <c r="L34" s="8" t="n">
        <f aca="false">SUMIFS('Plant x size'!$P$5:$P$171,'Plant x size'!$B$5:$B$171,A34,'Plant x size'!$A$5:$A$171,"Lepakshi")</f>
        <v>0</v>
      </c>
      <c r="M34" s="8" t="n">
        <f aca="false">SUMIFS('Plant x size'!$P$5:$P$171,'Plant x size'!$B$5:$B$171,A34,'Plant x size'!$A$5:$A$171,"NPMD")</f>
        <v>0</v>
      </c>
      <c r="N34" s="8" t="n">
        <f aca="false">SUMIFS('Plant x size'!$P$5:$P$171,'Plant x size'!$B$5:$B$171,A34,'Plant x size'!$A$5:$A$171,"Tapi")</f>
        <v>5</v>
      </c>
    </row>
    <row r="35" customFormat="false" ht="15" hidden="false" customHeight="false" outlineLevel="0" collapsed="false">
      <c r="A35" s="7" t="s">
        <v>119</v>
      </c>
      <c r="B35" s="8" t="n">
        <f aca="false">SUMIF('Plant x size'!$B$5:$B$171,A35,'Plant x size'!$C$5:$C$171)</f>
        <v>25.1631552</v>
      </c>
      <c r="C35" s="8" t="n">
        <f aca="false">SUMIF('Plant x size'!$B$5:$B$171,A35,'Plant x size'!$D$5:$D$171)</f>
        <v>23</v>
      </c>
      <c r="D35" s="8" t="n">
        <f aca="false">SUMIF('Plant x size'!$B$5:$B$171,A35,'Plant x size'!$K$5:$K$171)</f>
        <v>23</v>
      </c>
      <c r="E35" s="8" t="n">
        <f aca="false">SUMIF('Plant x size'!$B$5:$B$171,A35,'Plant x size'!$L$5:$L$171)</f>
        <v>0</v>
      </c>
      <c r="F35" s="8" t="n">
        <f aca="false">SUMIF('Plant x size'!$B$5:$B$171,A35,'Plant x size'!$M$5:$M$171)</f>
        <v>0</v>
      </c>
      <c r="G35" s="8" t="n">
        <f aca="false">SUMIF('Plant x size'!$B$5:$B$171,A35,'Plant x size'!$N$5:$N$171)</f>
        <v>0</v>
      </c>
      <c r="H35" s="8" t="n">
        <f aca="false">SUMIF('Plant x size'!$B$5:$B$171,A35,'Plant x size'!$O$5:$O$171)</f>
        <v>0</v>
      </c>
      <c r="I35" s="7" t="n">
        <f aca="false">SUMIF('Plant x size'!$B$5:$B$171,A35,'Plant x size'!$P$5:$P$171)</f>
        <v>23</v>
      </c>
      <c r="J35" s="8" t="n">
        <f aca="false">SUMIF('Plant x size'!$B$5:$B$171,A35,'Plant x size'!$Q$5:$Q$171)</f>
        <v>0</v>
      </c>
      <c r="K35" s="8" t="n">
        <f aca="false">SUMIFS('Plant x size'!$P$5:$P$171,'Plant x size'!$B$5:$B$171,A35,'Plant x size'!$A$5:$A$171,"Hyderabad")</f>
        <v>0</v>
      </c>
      <c r="L35" s="8" t="n">
        <f aca="false">SUMIFS('Plant x size'!$P$5:$P$171,'Plant x size'!$B$5:$B$171,A35,'Plant x size'!$A$5:$A$171,"Lepakshi")</f>
        <v>0</v>
      </c>
      <c r="M35" s="8" t="n">
        <f aca="false">SUMIFS('Plant x size'!$P$5:$P$171,'Plant x size'!$B$5:$B$171,A35,'Plant x size'!$A$5:$A$171,"NPMD")</f>
        <v>0</v>
      </c>
      <c r="N35" s="8" t="n">
        <f aca="false">SUMIFS('Plant x size'!$P$5:$P$171,'Plant x size'!$B$5:$B$171,A35,'Plant x size'!$A$5:$A$171,"Tapi")</f>
        <v>23</v>
      </c>
    </row>
    <row r="36" customFormat="false" ht="15" hidden="false" customHeight="false" outlineLevel="0" collapsed="false">
      <c r="A36" s="7" t="s">
        <v>120</v>
      </c>
      <c r="B36" s="8" t="n">
        <f aca="false">SUMIF('Plant x size'!$B$5:$B$171,A36,'Plant x size'!$C$5:$C$171)</f>
        <v>0.983672499999989</v>
      </c>
      <c r="C36" s="8" t="n">
        <f aca="false">SUMIF('Plant x size'!$B$5:$B$171,A36,'Plant x size'!$D$5:$D$171)</f>
        <v>1</v>
      </c>
      <c r="D36" s="8" t="n">
        <f aca="false">SUMIF('Plant x size'!$B$5:$B$171,A36,'Plant x size'!$K$5:$K$171)</f>
        <v>0</v>
      </c>
      <c r="E36" s="8" t="n">
        <f aca="false">SUMIF('Plant x size'!$B$5:$B$171,A36,'Plant x size'!$L$5:$L$171)</f>
        <v>1</v>
      </c>
      <c r="F36" s="8" t="n">
        <f aca="false">SUMIF('Plant x size'!$B$5:$B$171,A36,'Plant x size'!$M$5:$M$171)</f>
        <v>0</v>
      </c>
      <c r="G36" s="8" t="n">
        <f aca="false">SUMIF('Plant x size'!$B$5:$B$171,A36,'Plant x size'!$N$5:$N$171)</f>
        <v>0</v>
      </c>
      <c r="H36" s="8" t="n">
        <f aca="false">SUMIF('Plant x size'!$B$5:$B$171,A36,'Plant x size'!$O$5:$O$171)</f>
        <v>0</v>
      </c>
      <c r="I36" s="7" t="n">
        <f aca="false">SUMIF('Plant x size'!$B$5:$B$171,A36,'Plant x size'!$P$5:$P$171)</f>
        <v>1</v>
      </c>
      <c r="J36" s="8" t="n">
        <f aca="false">SUMIF('Plant x size'!$B$5:$B$171,A36,'Plant x size'!$Q$5:$Q$171)</f>
        <v>0</v>
      </c>
      <c r="K36" s="8" t="n">
        <f aca="false">SUMIFS('Plant x size'!$P$5:$P$171,'Plant x size'!$B$5:$B$171,A36,'Plant x size'!$A$5:$A$171,"Hyderabad")</f>
        <v>0</v>
      </c>
      <c r="L36" s="8" t="n">
        <f aca="false">SUMIFS('Plant x size'!$P$5:$P$171,'Plant x size'!$B$5:$B$171,A36,'Plant x size'!$A$5:$A$171,"Lepakshi")</f>
        <v>1</v>
      </c>
      <c r="M36" s="8" t="n">
        <f aca="false">SUMIFS('Plant x size'!$P$5:$P$171,'Plant x size'!$B$5:$B$171,A36,'Plant x size'!$A$5:$A$171,"NPMD")</f>
        <v>0</v>
      </c>
      <c r="N36" s="8" t="n">
        <f aca="false">SUMIFS('Plant x size'!$P$5:$P$171,'Plant x size'!$B$5:$B$171,A36,'Plant x size'!$A$5:$A$171,"Tapi")</f>
        <v>0</v>
      </c>
    </row>
    <row r="37" customFormat="false" ht="15" hidden="false" customHeight="false" outlineLevel="0" collapsed="false">
      <c r="A37" s="7" t="s">
        <v>121</v>
      </c>
      <c r="B37" s="8" t="n">
        <f aca="false">SUMIF('Plant x size'!$B$5:$B$171,A37,'Plant x size'!$C$5:$C$171)</f>
        <v>30.9021872</v>
      </c>
      <c r="C37" s="8" t="n">
        <f aca="false">SUMIF('Plant x size'!$B$5:$B$171,A37,'Plant x size'!$D$5:$D$171)</f>
        <v>35</v>
      </c>
      <c r="D37" s="8" t="n">
        <f aca="false">SUMIF('Plant x size'!$B$5:$B$171,A37,'Plant x size'!$K$5:$K$171)</f>
        <v>35</v>
      </c>
      <c r="E37" s="8" t="n">
        <f aca="false">SUMIF('Plant x size'!$B$5:$B$171,A37,'Plant x size'!$L$5:$L$171)</f>
        <v>0</v>
      </c>
      <c r="F37" s="8" t="n">
        <f aca="false">SUMIF('Plant x size'!$B$5:$B$171,A37,'Plant x size'!$M$5:$M$171)</f>
        <v>0</v>
      </c>
      <c r="G37" s="8" t="n">
        <f aca="false">SUMIF('Plant x size'!$B$5:$B$171,A37,'Plant x size'!$N$5:$N$171)</f>
        <v>0</v>
      </c>
      <c r="H37" s="8" t="n">
        <f aca="false">SUMIF('Plant x size'!$B$5:$B$171,A37,'Plant x size'!$O$5:$O$171)</f>
        <v>0</v>
      </c>
      <c r="I37" s="7" t="n">
        <f aca="false">SUMIF('Plant x size'!$B$5:$B$171,A37,'Plant x size'!$P$5:$P$171)</f>
        <v>35</v>
      </c>
      <c r="J37" s="8" t="n">
        <f aca="false">SUMIF('Plant x size'!$B$5:$B$171,A37,'Plant x size'!$Q$5:$Q$171)</f>
        <v>0</v>
      </c>
      <c r="K37" s="8" t="n">
        <f aca="false">SUMIFS('Plant x size'!$P$5:$P$171,'Plant x size'!$B$5:$B$171,A37,'Plant x size'!$A$5:$A$171,"Hyderabad")</f>
        <v>0</v>
      </c>
      <c r="L37" s="8" t="n">
        <f aca="false">SUMIFS('Plant x size'!$P$5:$P$171,'Plant x size'!$B$5:$B$171,A37,'Plant x size'!$A$5:$A$171,"Lepakshi")</f>
        <v>0</v>
      </c>
      <c r="M37" s="8" t="n">
        <f aca="false">SUMIFS('Plant x size'!$P$5:$P$171,'Plant x size'!$B$5:$B$171,A37,'Plant x size'!$A$5:$A$171,"NPMD")</f>
        <v>0</v>
      </c>
      <c r="N37" s="8" t="n">
        <f aca="false">SUMIFS('Plant x size'!$P$5:$P$171,'Plant x size'!$B$5:$B$171,A37,'Plant x size'!$A$5:$A$171,"Tapi")</f>
        <v>35</v>
      </c>
    </row>
    <row r="38" customFormat="false" ht="15" hidden="false" customHeight="false" outlineLevel="0" collapsed="false">
      <c r="A38" s="7" t="s">
        <v>122</v>
      </c>
      <c r="B38" s="8" t="n">
        <f aca="false">SUMIF('Plant x size'!$B$5:$B$171,A38,'Plant x size'!$C$5:$C$171)</f>
        <v>6.94151360000002</v>
      </c>
      <c r="C38" s="8" t="n">
        <f aca="false">SUMIF('Plant x size'!$B$5:$B$171,A38,'Plant x size'!$D$5:$D$171)</f>
        <v>13</v>
      </c>
      <c r="D38" s="8" t="n">
        <f aca="false">SUMIF('Plant x size'!$B$5:$B$171,A38,'Plant x size'!$K$5:$K$171)</f>
        <v>12</v>
      </c>
      <c r="E38" s="8" t="n">
        <f aca="false">SUMIF('Plant x size'!$B$5:$B$171,A38,'Plant x size'!$L$5:$L$171)</f>
        <v>0</v>
      </c>
      <c r="F38" s="8" t="n">
        <f aca="false">SUMIF('Plant x size'!$B$5:$B$171,A38,'Plant x size'!$M$5:$M$171)</f>
        <v>0</v>
      </c>
      <c r="G38" s="8" t="n">
        <f aca="false">SUMIF('Plant x size'!$B$5:$B$171,A38,'Plant x size'!$N$5:$N$171)</f>
        <v>0</v>
      </c>
      <c r="H38" s="8" t="n">
        <f aca="false">SUMIF('Plant x size'!$B$5:$B$171,A38,'Plant x size'!$O$5:$O$171)</f>
        <v>1</v>
      </c>
      <c r="I38" s="7" t="n">
        <f aca="false">SUMIF('Plant x size'!$B$5:$B$171,A38,'Plant x size'!$P$5:$P$171)</f>
        <v>13</v>
      </c>
      <c r="J38" s="8" t="n">
        <f aca="false">SUMIF('Plant x size'!$B$5:$B$171,A38,'Plant x size'!$Q$5:$Q$171)</f>
        <v>0</v>
      </c>
      <c r="K38" s="8" t="n">
        <f aca="false">SUMIFS('Plant x size'!$P$5:$P$171,'Plant x size'!$B$5:$B$171,A38,'Plant x size'!$A$5:$A$171,"Hyderabad")</f>
        <v>0</v>
      </c>
      <c r="L38" s="8" t="n">
        <f aca="false">SUMIFS('Plant x size'!$P$5:$P$171,'Plant x size'!$B$5:$B$171,A38,'Plant x size'!$A$5:$A$171,"Lepakshi")</f>
        <v>1</v>
      </c>
      <c r="M38" s="8" t="n">
        <f aca="false">SUMIFS('Plant x size'!$P$5:$P$171,'Plant x size'!$B$5:$B$171,A38,'Plant x size'!$A$5:$A$171,"NPMD")</f>
        <v>0</v>
      </c>
      <c r="N38" s="8" t="n">
        <f aca="false">SUMIFS('Plant x size'!$P$5:$P$171,'Plant x size'!$B$5:$B$171,A38,'Plant x size'!$A$5:$A$171,"Tapi")</f>
        <v>12</v>
      </c>
    </row>
    <row r="39" customFormat="false" ht="15" hidden="false" customHeight="false" outlineLevel="0" collapsed="false">
      <c r="A39" s="7" t="s">
        <v>123</v>
      </c>
      <c r="B39" s="8" t="n">
        <f aca="false">SUMIF('Plant x size'!$B$5:$B$171,A39,'Plant x size'!$C$5:$C$171)</f>
        <v>22.16657</v>
      </c>
      <c r="C39" s="8" t="n">
        <f aca="false">SUMIF('Plant x size'!$B$5:$B$171,A39,'Plant x size'!$D$5:$D$171)</f>
        <v>28.3</v>
      </c>
      <c r="D39" s="8" t="n">
        <f aca="false">SUMIF('Plant x size'!$B$5:$B$171,A39,'Plant x size'!$K$5:$K$171)</f>
        <v>19.9741088766377</v>
      </c>
      <c r="E39" s="8" t="n">
        <f aca="false">SUMIF('Plant x size'!$B$5:$B$171,A39,'Plant x size'!$L$5:$L$171)</f>
        <v>8.32589112336227</v>
      </c>
      <c r="F39" s="8" t="n">
        <f aca="false">SUMIF('Plant x size'!$B$5:$B$171,A39,'Plant x size'!$M$5:$M$171)</f>
        <v>0</v>
      </c>
      <c r="G39" s="8" t="n">
        <f aca="false">SUMIF('Plant x size'!$B$5:$B$171,A39,'Plant x size'!$N$5:$N$171)</f>
        <v>0</v>
      </c>
      <c r="H39" s="8" t="n">
        <f aca="false">SUMIF('Plant x size'!$B$5:$B$171,A39,'Plant x size'!$O$5:$O$171)</f>
        <v>0</v>
      </c>
      <c r="I39" s="7" t="n">
        <f aca="false">SUMIF('Plant x size'!$B$5:$B$171,A39,'Plant x size'!$P$5:$P$171)</f>
        <v>28.3</v>
      </c>
      <c r="J39" s="8" t="n">
        <f aca="false">SUMIF('Plant x size'!$B$5:$B$171,A39,'Plant x size'!$Q$5:$Q$171)</f>
        <v>0</v>
      </c>
      <c r="K39" s="8" t="n">
        <f aca="false">SUMIFS('Plant x size'!$P$5:$P$171,'Plant x size'!$B$5:$B$171,A39,'Plant x size'!$A$5:$A$171,"Hyderabad")</f>
        <v>0</v>
      </c>
      <c r="L39" s="8" t="n">
        <f aca="false">SUMIFS('Plant x size'!$P$5:$P$171,'Plant x size'!$B$5:$B$171,A39,'Plant x size'!$A$5:$A$171,"Lepakshi")</f>
        <v>8.3</v>
      </c>
      <c r="M39" s="8" t="n">
        <f aca="false">SUMIFS('Plant x size'!$P$5:$P$171,'Plant x size'!$B$5:$B$171,A39,'Plant x size'!$A$5:$A$171,"NPMD")</f>
        <v>0</v>
      </c>
      <c r="N39" s="8" t="n">
        <f aca="false">SUMIFS('Plant x size'!$P$5:$P$171,'Plant x size'!$B$5:$B$171,A39,'Plant x size'!$A$5:$A$171,"Tapi")</f>
        <v>20</v>
      </c>
    </row>
    <row r="40" customFormat="false" ht="15" hidden="false" customHeight="false" outlineLevel="0" collapsed="false">
      <c r="A40" s="7" t="s">
        <v>145</v>
      </c>
      <c r="B40" s="8" t="n">
        <f aca="false">SUMIF('Plant x size'!$B$5:$B$171,A40,'Plant x size'!$C$5:$C$171)</f>
        <v>2.66855360000001</v>
      </c>
      <c r="C40" s="8" t="n">
        <f aca="false">SUMIF('Plant x size'!$B$5:$B$171,A40,'Plant x size'!$D$5:$D$171)</f>
        <v>3</v>
      </c>
      <c r="D40" s="8" t="n">
        <f aca="false">SUMIF('Plant x size'!$B$5:$B$171,A40,'Plant x size'!$K$5:$K$171)</f>
        <v>3</v>
      </c>
      <c r="E40" s="8" t="n">
        <f aca="false">SUMIF('Plant x size'!$B$5:$B$171,A40,'Plant x size'!$L$5:$L$171)</f>
        <v>0</v>
      </c>
      <c r="F40" s="8" t="n">
        <f aca="false">SUMIF('Plant x size'!$B$5:$B$171,A40,'Plant x size'!$M$5:$M$171)</f>
        <v>0</v>
      </c>
      <c r="G40" s="8" t="n">
        <f aca="false">SUMIF('Plant x size'!$B$5:$B$171,A40,'Plant x size'!$N$5:$N$171)</f>
        <v>0</v>
      </c>
      <c r="H40" s="8" t="n">
        <f aca="false">SUMIF('Plant x size'!$B$5:$B$171,A40,'Plant x size'!$O$5:$O$171)</f>
        <v>0</v>
      </c>
      <c r="I40" s="7" t="n">
        <f aca="false">SUMIF('Plant x size'!$B$5:$B$171,A40,'Plant x size'!$P$5:$P$171)</f>
        <v>3</v>
      </c>
      <c r="J40" s="8" t="n">
        <f aca="false">SUMIF('Plant x size'!$B$5:$B$171,A40,'Plant x size'!$Q$5:$Q$171)</f>
        <v>0</v>
      </c>
      <c r="K40" s="8" t="n">
        <f aca="false">SUMIFS('Plant x size'!$P$5:$P$171,'Plant x size'!$B$5:$B$171,A40,'Plant x size'!$A$5:$A$171,"Hyderabad")</f>
        <v>0</v>
      </c>
      <c r="L40" s="8" t="n">
        <f aca="false">SUMIFS('Plant x size'!$P$5:$P$171,'Plant x size'!$B$5:$B$171,A40,'Plant x size'!$A$5:$A$171,"Lepakshi")</f>
        <v>0</v>
      </c>
      <c r="M40" s="8" t="n">
        <f aca="false">SUMIFS('Plant x size'!$P$5:$P$171,'Plant x size'!$B$5:$B$171,A40,'Plant x size'!$A$5:$A$171,"NPMD")</f>
        <v>0</v>
      </c>
      <c r="N40" s="8" t="n">
        <f aca="false">SUMIFS('Plant x size'!$P$5:$P$171,'Plant x size'!$B$5:$B$171,A40,'Plant x size'!$A$5:$A$171,"Tapi")</f>
        <v>3</v>
      </c>
    </row>
    <row r="41" customFormat="false" ht="15" hidden="false" customHeight="false" outlineLevel="0" collapsed="false">
      <c r="A41" s="7" t="s">
        <v>146</v>
      </c>
      <c r="B41" s="8" t="n">
        <f aca="false">SUMIF('Plant x size'!$B$5:$B$171,A41,'Plant x size'!$C$5:$C$171)</f>
        <v>0.762212000000002</v>
      </c>
      <c r="C41" s="8" t="n">
        <f aca="false">SUMIF('Plant x size'!$B$5:$B$171,A41,'Plant x size'!$D$5:$D$171)</f>
        <v>0</v>
      </c>
      <c r="D41" s="8" t="n">
        <f aca="false">SUMIF('Plant x size'!$B$5:$B$171,A41,'Plant x size'!$K$5:$K$171)</f>
        <v>0</v>
      </c>
      <c r="E41" s="8" t="n">
        <f aca="false">SUMIF('Plant x size'!$B$5:$B$171,A41,'Plant x size'!$L$5:$L$171)</f>
        <v>0</v>
      </c>
      <c r="F41" s="8" t="n">
        <f aca="false">SUMIF('Plant x size'!$B$5:$B$171,A41,'Plant x size'!$M$5:$M$171)</f>
        <v>0</v>
      </c>
      <c r="G41" s="8" t="n">
        <f aca="false">SUMIF('Plant x size'!$B$5:$B$171,A41,'Plant x size'!$N$5:$N$171)</f>
        <v>0</v>
      </c>
      <c r="H41" s="8" t="n">
        <f aca="false">SUMIF('Plant x size'!$B$5:$B$171,A41,'Plant x size'!$O$5:$O$171)</f>
        <v>0</v>
      </c>
      <c r="I41" s="7" t="n">
        <f aca="false">SUMIF('Plant x size'!$B$5:$B$171,A41,'Plant x size'!$P$5:$P$171)</f>
        <v>0</v>
      </c>
      <c r="J41" s="8" t="n">
        <f aca="false">SUMIF('Plant x size'!$B$5:$B$171,A41,'Plant x size'!$Q$5:$Q$171)</f>
        <v>0</v>
      </c>
      <c r="K41" s="8" t="n">
        <f aca="false">SUMIFS('Plant x size'!$P$5:$P$171,'Plant x size'!$B$5:$B$171,A41,'Plant x size'!$A$5:$A$171,"Hyderabad")</f>
        <v>0</v>
      </c>
      <c r="L41" s="8" t="n">
        <f aca="false">SUMIFS('Plant x size'!$P$5:$P$171,'Plant x size'!$B$5:$B$171,A41,'Plant x size'!$A$5:$A$171,"Lepakshi")</f>
        <v>0</v>
      </c>
      <c r="M41" s="8" t="n">
        <f aca="false">SUMIFS('Plant x size'!$P$5:$P$171,'Plant x size'!$B$5:$B$171,A41,'Plant x size'!$A$5:$A$171,"NPMD")</f>
        <v>0</v>
      </c>
      <c r="N41" s="8" t="n">
        <f aca="false">SUMIFS('Plant x size'!$P$5:$P$171,'Plant x size'!$B$5:$B$171,A41,'Plant x size'!$A$5:$A$171,"Tapi")</f>
        <v>0</v>
      </c>
    </row>
    <row r="42" customFormat="false" ht="15" hidden="false" customHeight="false" outlineLevel="0" collapsed="false">
      <c r="A42" s="7" t="s">
        <v>147</v>
      </c>
      <c r="B42" s="8" t="n">
        <f aca="false">SUMIF('Plant x size'!$B$5:$B$171,A42,'Plant x size'!$C$5:$C$171)</f>
        <v>0.0340639999999972</v>
      </c>
      <c r="C42" s="8" t="n">
        <f aca="false">SUMIF('Plant x size'!$B$5:$B$171,A42,'Plant x size'!$D$5:$D$171)</f>
        <v>0</v>
      </c>
      <c r="D42" s="8" t="n">
        <f aca="false">SUMIF('Plant x size'!$B$5:$B$171,A42,'Plant x size'!$K$5:$K$171)</f>
        <v>0</v>
      </c>
      <c r="E42" s="8" t="n">
        <f aca="false">SUMIF('Plant x size'!$B$5:$B$171,A42,'Plant x size'!$L$5:$L$171)</f>
        <v>0</v>
      </c>
      <c r="F42" s="8" t="n">
        <f aca="false">SUMIF('Plant x size'!$B$5:$B$171,A42,'Plant x size'!$M$5:$M$171)</f>
        <v>0</v>
      </c>
      <c r="G42" s="8" t="n">
        <f aca="false">SUMIF('Plant x size'!$B$5:$B$171,A42,'Plant x size'!$N$5:$N$171)</f>
        <v>0</v>
      </c>
      <c r="H42" s="8" t="n">
        <f aca="false">SUMIF('Plant x size'!$B$5:$B$171,A42,'Plant x size'!$O$5:$O$171)</f>
        <v>0</v>
      </c>
      <c r="I42" s="7" t="n">
        <f aca="false">SUMIF('Plant x size'!$B$5:$B$171,A42,'Plant x size'!$P$5:$P$171)</f>
        <v>0</v>
      </c>
      <c r="J42" s="8" t="n">
        <f aca="false">SUMIF('Plant x size'!$B$5:$B$171,A42,'Plant x size'!$Q$5:$Q$171)</f>
        <v>0</v>
      </c>
      <c r="K42" s="8" t="n">
        <f aca="false">SUMIFS('Plant x size'!$P$5:$P$171,'Plant x size'!$B$5:$B$171,A42,'Plant x size'!$A$5:$A$171,"Hyderabad")</f>
        <v>0</v>
      </c>
      <c r="L42" s="8" t="n">
        <f aca="false">SUMIFS('Plant x size'!$P$5:$P$171,'Plant x size'!$B$5:$B$171,A42,'Plant x size'!$A$5:$A$171,"Lepakshi")</f>
        <v>0</v>
      </c>
      <c r="M42" s="8" t="n">
        <f aca="false">SUMIFS('Plant x size'!$P$5:$P$171,'Plant x size'!$B$5:$B$171,A42,'Plant x size'!$A$5:$A$171,"NPMD")</f>
        <v>0</v>
      </c>
      <c r="N42" s="8" t="n">
        <f aca="false">SUMIFS('Plant x size'!$P$5:$P$171,'Plant x size'!$B$5:$B$171,A42,'Plant x size'!$A$5:$A$171,"Tapi")</f>
        <v>0</v>
      </c>
    </row>
    <row r="43" customFormat="false" ht="15" hidden="false" customHeight="false" outlineLevel="0" collapsed="false">
      <c r="A43" s="7" t="s">
        <v>148</v>
      </c>
      <c r="B43" s="8" t="n">
        <f aca="false">SUMIF('Plant x size'!$B$5:$B$171,A43,'Plant x size'!$C$5:$C$171)</f>
        <v>63.6940375</v>
      </c>
      <c r="C43" s="8" t="n">
        <f aca="false">SUMIF('Plant x size'!$B$5:$B$171,A43,'Plant x size'!$D$5:$D$171)</f>
        <v>59</v>
      </c>
      <c r="D43" s="8" t="n">
        <f aca="false">SUMIF('Plant x size'!$B$5:$B$171,A43,'Plant x size'!$K$5:$K$171)</f>
        <v>56.3085330004398</v>
      </c>
      <c r="E43" s="8" t="n">
        <f aca="false">SUMIF('Plant x size'!$B$5:$B$171,A43,'Plant x size'!$L$5:$L$171)</f>
        <v>2.6914669995602</v>
      </c>
      <c r="F43" s="8" t="n">
        <f aca="false">SUMIF('Plant x size'!$B$5:$B$171,A43,'Plant x size'!$M$5:$M$171)</f>
        <v>0</v>
      </c>
      <c r="G43" s="8" t="n">
        <f aca="false">SUMIF('Plant x size'!$B$5:$B$171,A43,'Plant x size'!$N$5:$N$171)</f>
        <v>0</v>
      </c>
      <c r="H43" s="8" t="n">
        <f aca="false">SUMIF('Plant x size'!$B$5:$B$171,A43,'Plant x size'!$O$5:$O$171)</f>
        <v>0</v>
      </c>
      <c r="I43" s="7" t="n">
        <f aca="false">SUMIF('Plant x size'!$B$5:$B$171,A43,'Plant x size'!$P$5:$P$171)</f>
        <v>59</v>
      </c>
      <c r="J43" s="8" t="n">
        <f aca="false">SUMIF('Plant x size'!$B$5:$B$171,A43,'Plant x size'!$Q$5:$Q$171)</f>
        <v>0</v>
      </c>
      <c r="K43" s="8" t="n">
        <f aca="false">SUMIFS('Plant x size'!$P$5:$P$171,'Plant x size'!$B$5:$B$171,A43,'Plant x size'!$A$5:$A$171,"Hyderabad")</f>
        <v>0</v>
      </c>
      <c r="L43" s="8" t="n">
        <f aca="false">SUMIFS('Plant x size'!$P$5:$P$171,'Plant x size'!$B$5:$B$171,A43,'Plant x size'!$A$5:$A$171,"Lepakshi")</f>
        <v>0</v>
      </c>
      <c r="M43" s="8" t="n">
        <f aca="false">SUMIFS('Plant x size'!$P$5:$P$171,'Plant x size'!$B$5:$B$171,A43,'Plant x size'!$A$5:$A$171,"NPMD")</f>
        <v>0</v>
      </c>
      <c r="N43" s="8" t="n">
        <f aca="false">SUMIFS('Plant x size'!$P$5:$P$171,'Plant x size'!$B$5:$B$171,A43,'Plant x size'!$A$5:$A$171,"Tapi")</f>
        <v>59</v>
      </c>
    </row>
    <row r="44" customFormat="false" ht="15" hidden="false" customHeight="false" outlineLevel="0" collapsed="false">
      <c r="A44" s="7" t="s">
        <v>124</v>
      </c>
      <c r="B44" s="8" t="n">
        <f aca="false">SUMIF('Plant x size'!$B$5:$B$171,A44,'Plant x size'!$C$5:$C$171)</f>
        <v>82.3866032</v>
      </c>
      <c r="C44" s="8" t="n">
        <f aca="false">SUMIF('Plant x size'!$B$5:$B$171,A44,'Plant x size'!$D$5:$D$171)</f>
        <v>86.5</v>
      </c>
      <c r="D44" s="8" t="n">
        <f aca="false">SUMIF('Plant x size'!$B$5:$B$171,A44,'Plant x size'!$K$5:$K$171)</f>
        <v>86.5</v>
      </c>
      <c r="E44" s="8" t="n">
        <f aca="false">SUMIF('Plant x size'!$B$5:$B$171,A44,'Plant x size'!$L$5:$L$171)</f>
        <v>0</v>
      </c>
      <c r="F44" s="8" t="n">
        <f aca="false">SUMIF('Plant x size'!$B$5:$B$171,A44,'Plant x size'!$M$5:$M$171)</f>
        <v>0</v>
      </c>
      <c r="G44" s="8" t="n">
        <f aca="false">SUMIF('Plant x size'!$B$5:$B$171,A44,'Plant x size'!$N$5:$N$171)</f>
        <v>0</v>
      </c>
      <c r="H44" s="8" t="n">
        <f aca="false">SUMIF('Plant x size'!$B$5:$B$171,A44,'Plant x size'!$O$5:$O$171)</f>
        <v>0</v>
      </c>
      <c r="I44" s="7" t="n">
        <f aca="false">SUMIF('Plant x size'!$B$5:$B$171,A44,'Plant x size'!$P$5:$P$171)</f>
        <v>86.5</v>
      </c>
      <c r="J44" s="8" t="n">
        <f aca="false">SUMIF('Plant x size'!$B$5:$B$171,A44,'Plant x size'!$Q$5:$Q$171)</f>
        <v>0</v>
      </c>
      <c r="K44" s="8" t="n">
        <f aca="false">SUMIFS('Plant x size'!$P$5:$P$171,'Plant x size'!$B$5:$B$171,A44,'Plant x size'!$A$5:$A$171,"Hyderabad")</f>
        <v>0</v>
      </c>
      <c r="L44" s="8" t="n">
        <f aca="false">SUMIFS('Plant x size'!$P$5:$P$171,'Plant x size'!$B$5:$B$171,A44,'Plant x size'!$A$5:$A$171,"Lepakshi")</f>
        <v>43.5</v>
      </c>
      <c r="M44" s="8" t="n">
        <f aca="false">SUMIFS('Plant x size'!$P$5:$P$171,'Plant x size'!$B$5:$B$171,A44,'Plant x size'!$A$5:$A$171,"NPMD")</f>
        <v>0</v>
      </c>
      <c r="N44" s="8" t="n">
        <f aca="false">SUMIFS('Plant x size'!$P$5:$P$171,'Plant x size'!$B$5:$B$171,A44,'Plant x size'!$A$5:$A$171,"Tapi")</f>
        <v>43</v>
      </c>
    </row>
    <row r="45" customFormat="false" ht="15" hidden="false" customHeight="false" outlineLevel="0" collapsed="false">
      <c r="A45" s="7" t="s">
        <v>125</v>
      </c>
      <c r="B45" s="8" t="n">
        <f aca="false">SUMIF('Plant x size'!$B$5:$B$171,A45,'Plant x size'!$C$5:$C$171)</f>
        <v>37.4979664</v>
      </c>
      <c r="C45" s="8" t="n">
        <f aca="false">SUMIF('Plant x size'!$B$5:$B$171,A45,'Plant x size'!$D$5:$D$171)</f>
        <v>31</v>
      </c>
      <c r="D45" s="8" t="n">
        <f aca="false">SUMIF('Plant x size'!$B$5:$B$171,A45,'Plant x size'!$K$5:$K$171)</f>
        <v>31</v>
      </c>
      <c r="E45" s="8" t="n">
        <f aca="false">SUMIF('Plant x size'!$B$5:$B$171,A45,'Plant x size'!$L$5:$L$171)</f>
        <v>0</v>
      </c>
      <c r="F45" s="8" t="n">
        <f aca="false">SUMIF('Plant x size'!$B$5:$B$171,A45,'Plant x size'!$M$5:$M$171)</f>
        <v>0</v>
      </c>
      <c r="G45" s="8" t="n">
        <f aca="false">SUMIF('Plant x size'!$B$5:$B$171,A45,'Plant x size'!$N$5:$N$171)</f>
        <v>0</v>
      </c>
      <c r="H45" s="8" t="n">
        <f aca="false">SUMIF('Plant x size'!$B$5:$B$171,A45,'Plant x size'!$O$5:$O$171)</f>
        <v>0</v>
      </c>
      <c r="I45" s="7" t="n">
        <f aca="false">SUMIF('Plant x size'!$B$5:$B$171,A45,'Plant x size'!$P$5:$P$171)</f>
        <v>31</v>
      </c>
      <c r="J45" s="8" t="n">
        <f aca="false">SUMIF('Plant x size'!$B$5:$B$171,A45,'Plant x size'!$Q$5:$Q$171)</f>
        <v>0</v>
      </c>
      <c r="K45" s="8" t="n">
        <f aca="false">SUMIFS('Plant x size'!$P$5:$P$171,'Plant x size'!$B$5:$B$171,A45,'Plant x size'!$A$5:$A$171,"Hyderabad")</f>
        <v>0</v>
      </c>
      <c r="L45" s="8" t="n">
        <f aca="false">SUMIFS('Plant x size'!$P$5:$P$171,'Plant x size'!$B$5:$B$171,A45,'Plant x size'!$A$5:$A$171,"Lepakshi")</f>
        <v>31</v>
      </c>
      <c r="M45" s="8" t="n">
        <f aca="false">SUMIFS('Plant x size'!$P$5:$P$171,'Plant x size'!$B$5:$B$171,A45,'Plant x size'!$A$5:$A$171,"NPMD")</f>
        <v>0</v>
      </c>
      <c r="N45" s="8" t="n">
        <f aca="false">SUMIFS('Plant x size'!$P$5:$P$171,'Plant x size'!$B$5:$B$171,A45,'Plant x size'!$A$5:$A$171,"Tapi")</f>
        <v>0</v>
      </c>
    </row>
    <row r="46" customFormat="false" ht="15" hidden="false" customHeight="false" outlineLevel="0" collapsed="false">
      <c r="A46" s="7" t="s">
        <v>126</v>
      </c>
      <c r="B46" s="8" t="n">
        <f aca="false">SUMIF('Plant x size'!$B$5:$B$171,A46,'Plant x size'!$C$5:$C$171)</f>
        <v>46.6747</v>
      </c>
      <c r="C46" s="8" t="n">
        <f aca="false">SUMIF('Plant x size'!$B$5:$B$171,A46,'Plant x size'!$D$5:$D$171)</f>
        <v>39.4</v>
      </c>
      <c r="D46" s="8" t="n">
        <f aca="false">SUMIF('Plant x size'!$B$5:$B$171,A46,'Plant x size'!$K$5:$K$171)</f>
        <v>39.4</v>
      </c>
      <c r="E46" s="8" t="n">
        <f aca="false">SUMIF('Plant x size'!$B$5:$B$171,A46,'Plant x size'!$L$5:$L$171)</f>
        <v>0</v>
      </c>
      <c r="F46" s="8" t="n">
        <f aca="false">SUMIF('Plant x size'!$B$5:$B$171,A46,'Plant x size'!$M$5:$M$171)</f>
        <v>0</v>
      </c>
      <c r="G46" s="8" t="n">
        <f aca="false">SUMIF('Plant x size'!$B$5:$B$171,A46,'Plant x size'!$N$5:$N$171)</f>
        <v>0</v>
      </c>
      <c r="H46" s="8" t="n">
        <f aca="false">SUMIF('Plant x size'!$B$5:$B$171,A46,'Plant x size'!$O$5:$O$171)</f>
        <v>0</v>
      </c>
      <c r="I46" s="7" t="n">
        <f aca="false">SUMIF('Plant x size'!$B$5:$B$171,A46,'Plant x size'!$P$5:$P$171)</f>
        <v>39.4</v>
      </c>
      <c r="J46" s="8" t="n">
        <f aca="false">SUMIF('Plant x size'!$B$5:$B$171,A46,'Plant x size'!$Q$5:$Q$171)</f>
        <v>0</v>
      </c>
      <c r="K46" s="8" t="n">
        <f aca="false">SUMIFS('Plant x size'!$P$5:$P$171,'Plant x size'!$B$5:$B$171,A46,'Plant x size'!$A$5:$A$171,"Hyderabad")</f>
        <v>0</v>
      </c>
      <c r="L46" s="8" t="n">
        <f aca="false">SUMIFS('Plant x size'!$P$5:$P$171,'Plant x size'!$B$5:$B$171,A46,'Plant x size'!$A$5:$A$171,"Lepakshi")</f>
        <v>37.4</v>
      </c>
      <c r="M46" s="8" t="n">
        <f aca="false">SUMIFS('Plant x size'!$P$5:$P$171,'Plant x size'!$B$5:$B$171,A46,'Plant x size'!$A$5:$A$171,"NPMD")</f>
        <v>0</v>
      </c>
      <c r="N46" s="8" t="n">
        <f aca="false">SUMIFS('Plant x size'!$P$5:$P$171,'Plant x size'!$B$5:$B$171,A46,'Plant x size'!$A$5:$A$171,"Tapi")</f>
        <v>2</v>
      </c>
    </row>
    <row r="47" customFormat="false" ht="15" hidden="false" customHeight="false" outlineLevel="0" collapsed="false">
      <c r="A47" s="7" t="s">
        <v>60</v>
      </c>
      <c r="B47" s="8" t="n">
        <f aca="false">SUMIF('Plant x size'!$B$5:$B$171,A47,'Plant x size'!$C$5:$C$171)</f>
        <v>1.83006536000001</v>
      </c>
      <c r="C47" s="8" t="n">
        <f aca="false">SUMIF('Plant x size'!$B$5:$B$171,A47,'Plant x size'!$D$5:$D$171)</f>
        <v>0</v>
      </c>
      <c r="D47" s="8" t="n">
        <f aca="false">SUMIF('Plant x size'!$B$5:$B$171,A47,'Plant x size'!$K$5:$K$171)</f>
        <v>0</v>
      </c>
      <c r="E47" s="8" t="n">
        <f aca="false">SUMIF('Plant x size'!$B$5:$B$171,A47,'Plant x size'!$L$5:$L$171)</f>
        <v>0</v>
      </c>
      <c r="F47" s="8" t="n">
        <f aca="false">SUMIF('Plant x size'!$B$5:$B$171,A47,'Plant x size'!$M$5:$M$171)</f>
        <v>0</v>
      </c>
      <c r="G47" s="8" t="n">
        <f aca="false">SUMIF('Plant x size'!$B$5:$B$171,A47,'Plant x size'!$N$5:$N$171)</f>
        <v>0</v>
      </c>
      <c r="H47" s="8" t="n">
        <f aca="false">SUMIF('Plant x size'!$B$5:$B$171,A47,'Plant x size'!$O$5:$O$171)</f>
        <v>0</v>
      </c>
      <c r="I47" s="7" t="n">
        <f aca="false">SUMIF('Plant x size'!$B$5:$B$171,A47,'Plant x size'!$P$5:$P$171)</f>
        <v>0</v>
      </c>
      <c r="J47" s="8" t="n">
        <f aca="false">SUMIF('Plant x size'!$B$5:$B$171,A47,'Plant x size'!$Q$5:$Q$171)</f>
        <v>0</v>
      </c>
      <c r="K47" s="8" t="n">
        <f aca="false">SUMIFS('Plant x size'!$P$5:$P$171,'Plant x size'!$B$5:$B$171,A47,'Plant x size'!$A$5:$A$171,"Hyderabad")</f>
        <v>0</v>
      </c>
      <c r="L47" s="8" t="n">
        <f aca="false">SUMIFS('Plant x size'!$P$5:$P$171,'Plant x size'!$B$5:$B$171,A47,'Plant x size'!$A$5:$A$171,"Lepakshi")</f>
        <v>0</v>
      </c>
      <c r="M47" s="8" t="n">
        <f aca="false">SUMIFS('Plant x size'!$P$5:$P$171,'Plant x size'!$B$5:$B$171,A47,'Plant x size'!$A$5:$A$171,"NPMD")</f>
        <v>0</v>
      </c>
      <c r="N47" s="8" t="n">
        <f aca="false">SUMIFS('Plant x size'!$P$5:$P$171,'Plant x size'!$B$5:$B$171,A47,'Plant x size'!$A$5:$A$171,"Tapi")</f>
        <v>0</v>
      </c>
    </row>
    <row r="48" customFormat="false" ht="15" hidden="false" customHeight="false" outlineLevel="0" collapsed="false">
      <c r="A48" s="7" t="s">
        <v>61</v>
      </c>
      <c r="B48" s="8" t="n">
        <f aca="false">SUMIF('Plant x size'!$B$5:$B$171,A48,'Plant x size'!$C$5:$C$171)</f>
        <v>0</v>
      </c>
      <c r="C48" s="8" t="n">
        <f aca="false">SUMIF('Plant x size'!$B$5:$B$171,A48,'Plant x size'!$D$5:$D$171)</f>
        <v>1.693</v>
      </c>
      <c r="D48" s="8" t="n">
        <f aca="false">SUMIF('Plant x size'!$B$5:$B$171,A48,'Plant x size'!$K$5:$K$171)</f>
        <v>0</v>
      </c>
      <c r="E48" s="8" t="n">
        <f aca="false">SUMIF('Plant x size'!$B$5:$B$171,A48,'Plant x size'!$L$5:$L$171)</f>
        <v>0</v>
      </c>
      <c r="F48" s="8" t="n">
        <f aca="false">SUMIF('Plant x size'!$B$5:$B$171,A48,'Plant x size'!$M$5:$M$171)</f>
        <v>0</v>
      </c>
      <c r="G48" s="8" t="n">
        <f aca="false">SUMIF('Plant x size'!$B$5:$B$171,A48,'Plant x size'!$N$5:$N$171)</f>
        <v>0</v>
      </c>
      <c r="H48" s="8" t="n">
        <f aca="false">SUMIF('Plant x size'!$B$5:$B$171,A48,'Plant x size'!$O$5:$O$171)</f>
        <v>1.693</v>
      </c>
      <c r="I48" s="7" t="n">
        <f aca="false">SUMIF('Plant x size'!$B$5:$B$171,A48,'Plant x size'!$P$5:$P$171)</f>
        <v>1.693</v>
      </c>
      <c r="J48" s="8" t="n">
        <f aca="false">SUMIF('Plant x size'!$B$5:$B$171,A48,'Plant x size'!$Q$5:$Q$171)</f>
        <v>0</v>
      </c>
      <c r="K48" s="8" t="n">
        <f aca="false">SUMIFS('Plant x size'!$P$5:$P$171,'Plant x size'!$B$5:$B$171,A48,'Plant x size'!$A$5:$A$171,"Hyderabad")</f>
        <v>1.693</v>
      </c>
      <c r="L48" s="8" t="n">
        <f aca="false">SUMIFS('Plant x size'!$P$5:$P$171,'Plant x size'!$B$5:$B$171,A48,'Plant x size'!$A$5:$A$171,"Lepakshi")</f>
        <v>0</v>
      </c>
      <c r="M48" s="8" t="n">
        <f aca="false">SUMIFS('Plant x size'!$P$5:$P$171,'Plant x size'!$B$5:$B$171,A48,'Plant x size'!$A$5:$A$171,"NPMD")</f>
        <v>0</v>
      </c>
      <c r="N48" s="8" t="n">
        <f aca="false">SUMIFS('Plant x size'!$P$5:$P$171,'Plant x size'!$B$5:$B$171,A48,'Plant x size'!$A$5:$A$171,"Tapi")</f>
        <v>0</v>
      </c>
    </row>
    <row r="49" customFormat="false" ht="15" hidden="false" customHeight="false" outlineLevel="0" collapsed="false">
      <c r="A49" s="7" t="s">
        <v>62</v>
      </c>
      <c r="B49" s="8" t="n">
        <f aca="false">SUMIF('Plant x size'!$B$5:$B$171,A49,'Plant x size'!$C$5:$C$171)</f>
        <v>10.190473856</v>
      </c>
      <c r="C49" s="8" t="n">
        <f aca="false">SUMIF('Plant x size'!$B$5:$B$171,A49,'Plant x size'!$D$5:$D$171)</f>
        <v>10.988</v>
      </c>
      <c r="D49" s="8" t="n">
        <f aca="false">SUMIF('Plant x size'!$B$5:$B$171,A49,'Plant x size'!$K$5:$K$171)</f>
        <v>10.988</v>
      </c>
      <c r="E49" s="8" t="n">
        <f aca="false">SUMIF('Plant x size'!$B$5:$B$171,A49,'Plant x size'!$L$5:$L$171)</f>
        <v>0</v>
      </c>
      <c r="F49" s="8" t="n">
        <f aca="false">SUMIF('Plant x size'!$B$5:$B$171,A49,'Plant x size'!$M$5:$M$171)</f>
        <v>0</v>
      </c>
      <c r="G49" s="8" t="n">
        <f aca="false">SUMIF('Plant x size'!$B$5:$B$171,A49,'Plant x size'!$N$5:$N$171)</f>
        <v>0</v>
      </c>
      <c r="H49" s="8" t="n">
        <f aca="false">SUMIF('Plant x size'!$B$5:$B$171,A49,'Plant x size'!$O$5:$O$171)</f>
        <v>0</v>
      </c>
      <c r="I49" s="7" t="n">
        <f aca="false">SUMIF('Plant x size'!$B$5:$B$171,A49,'Plant x size'!$P$5:$P$171)</f>
        <v>10.988</v>
      </c>
      <c r="J49" s="8" t="n">
        <f aca="false">SUMIF('Plant x size'!$B$5:$B$171,A49,'Plant x size'!$Q$5:$Q$171)</f>
        <v>0</v>
      </c>
      <c r="K49" s="8" t="n">
        <f aca="false">SUMIFS('Plant x size'!$P$5:$P$171,'Plant x size'!$B$5:$B$171,A49,'Plant x size'!$A$5:$A$171,"Hyderabad")</f>
        <v>10.988</v>
      </c>
      <c r="L49" s="8" t="n">
        <f aca="false">SUMIFS('Plant x size'!$P$5:$P$171,'Plant x size'!$B$5:$B$171,A49,'Plant x size'!$A$5:$A$171,"Lepakshi")</f>
        <v>0</v>
      </c>
      <c r="M49" s="8" t="n">
        <f aca="false">SUMIFS('Plant x size'!$P$5:$P$171,'Plant x size'!$B$5:$B$171,A49,'Plant x size'!$A$5:$A$171,"NPMD")</f>
        <v>0</v>
      </c>
      <c r="N49" s="8" t="n">
        <f aca="false">SUMIFS('Plant x size'!$P$5:$P$171,'Plant x size'!$B$5:$B$171,A49,'Plant x size'!$A$5:$A$171,"Tapi")</f>
        <v>0</v>
      </c>
    </row>
    <row r="50" customFormat="false" ht="15" hidden="false" customHeight="false" outlineLevel="0" collapsed="false">
      <c r="A50" s="7" t="s">
        <v>136</v>
      </c>
      <c r="B50" s="8" t="n">
        <f aca="false">SUMIF('Plant x size'!$B$5:$B$171,A50,'Plant x size'!$C$5:$C$171)</f>
        <v>2.153178688</v>
      </c>
      <c r="C50" s="8" t="n">
        <f aca="false">SUMIF('Plant x size'!$B$5:$B$171,A50,'Plant x size'!$D$5:$D$171)</f>
        <v>1</v>
      </c>
      <c r="D50" s="8" t="n">
        <f aca="false">SUMIF('Plant x size'!$B$5:$B$171,A50,'Plant x size'!$K$5:$K$171)</f>
        <v>0</v>
      </c>
      <c r="E50" s="8" t="n">
        <f aca="false">SUMIF('Plant x size'!$B$5:$B$171,A50,'Plant x size'!$L$5:$L$171)</f>
        <v>1</v>
      </c>
      <c r="F50" s="8" t="n">
        <f aca="false">SUMIF('Plant x size'!$B$5:$B$171,A50,'Plant x size'!$M$5:$M$171)</f>
        <v>0</v>
      </c>
      <c r="G50" s="8" t="n">
        <f aca="false">SUMIF('Plant x size'!$B$5:$B$171,A50,'Plant x size'!$N$5:$N$171)</f>
        <v>0</v>
      </c>
      <c r="H50" s="8" t="n">
        <f aca="false">SUMIF('Plant x size'!$B$5:$B$171,A50,'Plant x size'!$O$5:$O$171)</f>
        <v>0</v>
      </c>
      <c r="I50" s="7" t="n">
        <f aca="false">SUMIF('Plant x size'!$B$5:$B$171,A50,'Plant x size'!$P$5:$P$171)</f>
        <v>1</v>
      </c>
      <c r="J50" s="8" t="n">
        <f aca="false">SUMIF('Plant x size'!$B$5:$B$171,A50,'Plant x size'!$Q$5:$Q$171)</f>
        <v>0</v>
      </c>
      <c r="K50" s="8" t="n">
        <f aca="false">SUMIFS('Plant x size'!$P$5:$P$171,'Plant x size'!$B$5:$B$171,A50,'Plant x size'!$A$5:$A$171,"Hyderabad")</f>
        <v>0</v>
      </c>
      <c r="L50" s="8" t="n">
        <f aca="false">SUMIFS('Plant x size'!$P$5:$P$171,'Plant x size'!$B$5:$B$171,A50,'Plant x size'!$A$5:$A$171,"Lepakshi")</f>
        <v>0</v>
      </c>
      <c r="M50" s="8" t="n">
        <f aca="false">SUMIFS('Plant x size'!$P$5:$P$171,'Plant x size'!$B$5:$B$171,A50,'Plant x size'!$A$5:$A$171,"NPMD")</f>
        <v>1</v>
      </c>
      <c r="N50" s="8" t="n">
        <f aca="false">SUMIFS('Plant x size'!$P$5:$P$171,'Plant x size'!$B$5:$B$171,A50,'Plant x size'!$A$5:$A$171,"Tapi")</f>
        <v>0</v>
      </c>
    </row>
    <row r="51" customFormat="false" ht="15" hidden="false" customHeight="false" outlineLevel="0" collapsed="false">
      <c r="A51" s="7" t="s">
        <v>63</v>
      </c>
      <c r="B51" s="8" t="n">
        <f aca="false">SUMIF('Plant x size'!$B$5:$B$171,A51,'Plant x size'!$C$5:$C$171)</f>
        <v>11.3509284</v>
      </c>
      <c r="C51" s="8" t="n">
        <f aca="false">SUMIF('Plant x size'!$B$5:$B$171,A51,'Plant x size'!$D$5:$D$171)</f>
        <v>25.766</v>
      </c>
      <c r="D51" s="8" t="n">
        <f aca="false">SUMIF('Plant x size'!$B$5:$B$171,A51,'Plant x size'!$K$5:$K$171)</f>
        <v>16.866</v>
      </c>
      <c r="E51" s="8" t="n">
        <f aca="false">SUMIF('Plant x size'!$B$5:$B$171,A51,'Plant x size'!$L$5:$L$171)</f>
        <v>0</v>
      </c>
      <c r="F51" s="8" t="n">
        <f aca="false">SUMIF('Plant x size'!$B$5:$B$171,A51,'Plant x size'!$M$5:$M$171)</f>
        <v>0</v>
      </c>
      <c r="G51" s="8" t="n">
        <f aca="false">SUMIF('Plant x size'!$B$5:$B$171,A51,'Plant x size'!$N$5:$N$171)</f>
        <v>0</v>
      </c>
      <c r="H51" s="8" t="n">
        <f aca="false">SUMIF('Plant x size'!$B$5:$B$171,A51,'Plant x size'!$O$5:$O$171)</f>
        <v>8.9</v>
      </c>
      <c r="I51" s="7" t="n">
        <f aca="false">SUMIF('Plant x size'!$B$5:$B$171,A51,'Plant x size'!$P$5:$P$171)</f>
        <v>25.766</v>
      </c>
      <c r="J51" s="8" t="n">
        <f aca="false">SUMIF('Plant x size'!$B$5:$B$171,A51,'Plant x size'!$Q$5:$Q$171)</f>
        <v>0</v>
      </c>
      <c r="K51" s="8" t="n">
        <f aca="false">SUMIFS('Plant x size'!$P$5:$P$171,'Plant x size'!$B$5:$B$171,A51,'Plant x size'!$A$5:$A$171,"Hyderabad")</f>
        <v>16.866</v>
      </c>
      <c r="L51" s="8" t="n">
        <f aca="false">SUMIFS('Plant x size'!$P$5:$P$171,'Plant x size'!$B$5:$B$171,A51,'Plant x size'!$A$5:$A$171,"Lepakshi")</f>
        <v>8.9</v>
      </c>
      <c r="M51" s="8" t="n">
        <f aca="false">SUMIFS('Plant x size'!$P$5:$P$171,'Plant x size'!$B$5:$B$171,A51,'Plant x size'!$A$5:$A$171,"NPMD")</f>
        <v>0</v>
      </c>
      <c r="N51" s="8" t="n">
        <f aca="false">SUMIFS('Plant x size'!$P$5:$P$171,'Plant x size'!$B$5:$B$171,A51,'Plant x size'!$A$5:$A$171,"Tapi")</f>
        <v>0</v>
      </c>
    </row>
    <row r="52" customFormat="false" ht="15" hidden="false" customHeight="false" outlineLevel="0" collapsed="false">
      <c r="A52" s="7" t="s">
        <v>64</v>
      </c>
      <c r="B52" s="8" t="n">
        <f aca="false">SUMIF('Plant x size'!$B$5:$B$171,A52,'Plant x size'!$C$5:$C$171)</f>
        <v>1.93852</v>
      </c>
      <c r="C52" s="8" t="n">
        <f aca="false">SUMIF('Plant x size'!$B$5:$B$171,A52,'Plant x size'!$D$5:$D$171)</f>
        <v>0.8</v>
      </c>
      <c r="D52" s="8" t="n">
        <f aca="false">SUMIF('Plant x size'!$B$5:$B$171,A52,'Plant x size'!$K$5:$K$171)</f>
        <v>0</v>
      </c>
      <c r="E52" s="8" t="n">
        <f aca="false">SUMIF('Plant x size'!$B$5:$B$171,A52,'Plant x size'!$L$5:$L$171)</f>
        <v>0</v>
      </c>
      <c r="F52" s="8" t="n">
        <f aca="false">SUMIF('Plant x size'!$B$5:$B$171,A52,'Plant x size'!$M$5:$M$171)</f>
        <v>0</v>
      </c>
      <c r="G52" s="8" t="n">
        <f aca="false">SUMIF('Plant x size'!$B$5:$B$171,A52,'Plant x size'!$N$5:$N$171)</f>
        <v>0</v>
      </c>
      <c r="H52" s="8" t="n">
        <f aca="false">SUMIF('Plant x size'!$B$5:$B$171,A52,'Plant x size'!$O$5:$O$171)</f>
        <v>0.8</v>
      </c>
      <c r="I52" s="7" t="n">
        <f aca="false">SUMIF('Plant x size'!$B$5:$B$171,A52,'Plant x size'!$P$5:$P$171)</f>
        <v>0.8</v>
      </c>
      <c r="J52" s="8" t="n">
        <f aca="false">SUMIF('Plant x size'!$B$5:$B$171,A52,'Plant x size'!$Q$5:$Q$171)</f>
        <v>0</v>
      </c>
      <c r="K52" s="8" t="n">
        <f aca="false">SUMIFS('Plant x size'!$P$5:$P$171,'Plant x size'!$B$5:$B$171,A52,'Plant x size'!$A$5:$A$171,"Hyderabad")</f>
        <v>0</v>
      </c>
      <c r="L52" s="8" t="n">
        <f aca="false">SUMIFS('Plant x size'!$P$5:$P$171,'Plant x size'!$B$5:$B$171,A52,'Plant x size'!$A$5:$A$171,"Lepakshi")</f>
        <v>0</v>
      </c>
      <c r="M52" s="8" t="n">
        <f aca="false">SUMIFS('Plant x size'!$P$5:$P$171,'Plant x size'!$B$5:$B$171,A52,'Plant x size'!$A$5:$A$171,"NPMD")</f>
        <v>0.8</v>
      </c>
      <c r="N52" s="8" t="n">
        <f aca="false">SUMIFS('Plant x size'!$P$5:$P$171,'Plant x size'!$B$5:$B$171,A52,'Plant x size'!$A$5:$A$171,"Tapi")</f>
        <v>0</v>
      </c>
    </row>
    <row r="53" customFormat="false" ht="15" hidden="false" customHeight="false" outlineLevel="0" collapsed="false">
      <c r="A53" s="7" t="s">
        <v>65</v>
      </c>
      <c r="B53" s="8" t="n">
        <f aca="false">SUMIF('Plant x size'!$B$5:$B$171,A53,'Plant x size'!$C$5:$C$171)</f>
        <v>7.61396176800001</v>
      </c>
      <c r="C53" s="8" t="n">
        <f aca="false">SUMIF('Plant x size'!$B$5:$B$171,A53,'Plant x size'!$D$5:$D$171)</f>
        <v>5.9</v>
      </c>
      <c r="D53" s="8" t="n">
        <f aca="false">SUMIF('Plant x size'!$B$5:$B$171,A53,'Plant x size'!$K$5:$K$171)</f>
        <v>5.8</v>
      </c>
      <c r="E53" s="8" t="n">
        <f aca="false">SUMIF('Plant x size'!$B$5:$B$171,A53,'Plant x size'!$L$5:$L$171)</f>
        <v>0</v>
      </c>
      <c r="F53" s="8" t="n">
        <f aca="false">SUMIF('Plant x size'!$B$5:$B$171,A53,'Plant x size'!$M$5:$M$171)</f>
        <v>0</v>
      </c>
      <c r="G53" s="8" t="n">
        <f aca="false">SUMIF('Plant x size'!$B$5:$B$171,A53,'Plant x size'!$N$5:$N$171)</f>
        <v>0</v>
      </c>
      <c r="H53" s="8" t="n">
        <f aca="false">SUMIF('Plant x size'!$B$5:$B$171,A53,'Plant x size'!$O$5:$O$171)</f>
        <v>0.1</v>
      </c>
      <c r="I53" s="7" t="n">
        <f aca="false">SUMIF('Plant x size'!$B$5:$B$171,A53,'Plant x size'!$P$5:$P$171)</f>
        <v>5.9</v>
      </c>
      <c r="J53" s="8" t="n">
        <f aca="false">SUMIF('Plant x size'!$B$5:$B$171,A53,'Plant x size'!$Q$5:$Q$171)</f>
        <v>0</v>
      </c>
      <c r="K53" s="8" t="n">
        <f aca="false">SUMIFS('Plant x size'!$P$5:$P$171,'Plant x size'!$B$5:$B$171,A53,'Plant x size'!$A$5:$A$171,"Hyderabad")</f>
        <v>0</v>
      </c>
      <c r="L53" s="8" t="n">
        <f aca="false">SUMIFS('Plant x size'!$P$5:$P$171,'Plant x size'!$B$5:$B$171,A53,'Plant x size'!$A$5:$A$171,"Lepakshi")</f>
        <v>5.8</v>
      </c>
      <c r="M53" s="8" t="n">
        <f aca="false">SUMIFS('Plant x size'!$P$5:$P$171,'Plant x size'!$B$5:$B$171,A53,'Plant x size'!$A$5:$A$171,"NPMD")</f>
        <v>0.1</v>
      </c>
      <c r="N53" s="8" t="n">
        <f aca="false">SUMIFS('Plant x size'!$P$5:$P$171,'Plant x size'!$B$5:$B$171,A53,'Plant x size'!$A$5:$A$171,"Tapi")</f>
        <v>0</v>
      </c>
    </row>
    <row r="54" customFormat="false" ht="15" hidden="false" customHeight="false" outlineLevel="0" collapsed="false">
      <c r="A54" s="7" t="s">
        <v>66</v>
      </c>
      <c r="B54" s="8" t="n">
        <f aca="false">SUMIF('Plant x size'!$B$5:$B$171,A54,'Plant x size'!$C$5:$C$171)</f>
        <v>103.008946816</v>
      </c>
      <c r="C54" s="8" t="n">
        <f aca="false">SUMIF('Plant x size'!$B$5:$B$171,A54,'Plant x size'!$D$5:$D$171)</f>
        <v>99</v>
      </c>
      <c r="D54" s="8" t="n">
        <f aca="false">SUMIF('Plant x size'!$B$5:$B$171,A54,'Plant x size'!$K$5:$K$171)</f>
        <v>99</v>
      </c>
      <c r="E54" s="8" t="n">
        <f aca="false">SUMIF('Plant x size'!$B$5:$B$171,A54,'Plant x size'!$L$5:$L$171)</f>
        <v>0</v>
      </c>
      <c r="F54" s="8" t="n">
        <f aca="false">SUMIF('Plant x size'!$B$5:$B$171,A54,'Plant x size'!$M$5:$M$171)</f>
        <v>0</v>
      </c>
      <c r="G54" s="8" t="n">
        <f aca="false">SUMIF('Plant x size'!$B$5:$B$171,A54,'Plant x size'!$N$5:$N$171)</f>
        <v>0</v>
      </c>
      <c r="H54" s="8" t="n">
        <f aca="false">SUMIF('Plant x size'!$B$5:$B$171,A54,'Plant x size'!$O$5:$O$171)</f>
        <v>0</v>
      </c>
      <c r="I54" s="7" t="n">
        <f aca="false">SUMIF('Plant x size'!$B$5:$B$171,A54,'Plant x size'!$P$5:$P$171)</f>
        <v>99</v>
      </c>
      <c r="J54" s="8" t="n">
        <f aca="false">SUMIF('Plant x size'!$B$5:$B$171,A54,'Plant x size'!$Q$5:$Q$171)</f>
        <v>0</v>
      </c>
      <c r="K54" s="8" t="n">
        <f aca="false">SUMIFS('Plant x size'!$P$5:$P$171,'Plant x size'!$B$5:$B$171,A54,'Plant x size'!$A$5:$A$171,"Hyderabad")</f>
        <v>0</v>
      </c>
      <c r="L54" s="8" t="n">
        <f aca="false">SUMIFS('Plant x size'!$P$5:$P$171,'Plant x size'!$B$5:$B$171,A54,'Plant x size'!$A$5:$A$171,"Lepakshi")</f>
        <v>0</v>
      </c>
      <c r="M54" s="8" t="n">
        <f aca="false">SUMIFS('Plant x size'!$P$5:$P$171,'Plant x size'!$B$5:$B$171,A54,'Plant x size'!$A$5:$A$171,"NPMD")</f>
        <v>99</v>
      </c>
      <c r="N54" s="8" t="n">
        <f aca="false">SUMIFS('Plant x size'!$P$5:$P$171,'Plant x size'!$B$5:$B$171,A54,'Plant x size'!$A$5:$A$171,"Tapi")</f>
        <v>0</v>
      </c>
    </row>
    <row r="55" customFormat="false" ht="15" hidden="false" customHeight="false" outlineLevel="0" collapsed="false">
      <c r="A55" s="7" t="s">
        <v>67</v>
      </c>
      <c r="B55" s="8" t="n">
        <f aca="false">SUMIF('Plant x size'!$B$5:$B$171,A55,'Plant x size'!$C$5:$C$171)</f>
        <v>63.6501984</v>
      </c>
      <c r="C55" s="8" t="n">
        <f aca="false">SUMIF('Plant x size'!$B$5:$B$171,A55,'Plant x size'!$D$5:$D$171)</f>
        <v>65.191</v>
      </c>
      <c r="D55" s="8" t="n">
        <f aca="false">SUMIF('Plant x size'!$B$5:$B$171,A55,'Plant x size'!$K$5:$K$171)</f>
        <v>65.191</v>
      </c>
      <c r="E55" s="8" t="n">
        <f aca="false">SUMIF('Plant x size'!$B$5:$B$171,A55,'Plant x size'!$L$5:$L$171)</f>
        <v>0</v>
      </c>
      <c r="F55" s="8" t="n">
        <f aca="false">SUMIF('Plant x size'!$B$5:$B$171,A55,'Plant x size'!$M$5:$M$171)</f>
        <v>0</v>
      </c>
      <c r="G55" s="8" t="n">
        <f aca="false">SUMIF('Plant x size'!$B$5:$B$171,A55,'Plant x size'!$N$5:$N$171)</f>
        <v>0</v>
      </c>
      <c r="H55" s="8" t="n">
        <f aca="false">SUMIF('Plant x size'!$B$5:$B$171,A55,'Plant x size'!$O$5:$O$171)</f>
        <v>0</v>
      </c>
      <c r="I55" s="7" t="n">
        <f aca="false">SUMIF('Plant x size'!$B$5:$B$171,A55,'Plant x size'!$P$5:$P$171)</f>
        <v>65.191</v>
      </c>
      <c r="J55" s="8" t="n">
        <f aca="false">SUMIF('Plant x size'!$B$5:$B$171,A55,'Plant x size'!$Q$5:$Q$171)</f>
        <v>0</v>
      </c>
      <c r="K55" s="8" t="n">
        <f aca="false">SUMIFS('Plant x size'!$P$5:$P$171,'Plant x size'!$B$5:$B$171,A55,'Plant x size'!$A$5:$A$171,"Hyderabad")</f>
        <v>22.891</v>
      </c>
      <c r="L55" s="8" t="n">
        <f aca="false">SUMIFS('Plant x size'!$P$5:$P$171,'Plant x size'!$B$5:$B$171,A55,'Plant x size'!$A$5:$A$171,"Lepakshi")</f>
        <v>0</v>
      </c>
      <c r="M55" s="8" t="n">
        <f aca="false">SUMIFS('Plant x size'!$P$5:$P$171,'Plant x size'!$B$5:$B$171,A55,'Plant x size'!$A$5:$A$171,"NPMD")</f>
        <v>41.3</v>
      </c>
      <c r="N55" s="8" t="n">
        <f aca="false">SUMIFS('Plant x size'!$P$5:$P$171,'Plant x size'!$B$5:$B$171,A55,'Plant x size'!$A$5:$A$171,"Tapi")</f>
        <v>1</v>
      </c>
    </row>
    <row r="56" customFormat="false" ht="15" hidden="false" customHeight="false" outlineLevel="0" collapsed="false">
      <c r="A56" s="7" t="s">
        <v>68</v>
      </c>
      <c r="B56" s="8" t="n">
        <f aca="false">SUMIF('Plant x size'!$B$5:$B$171,A56,'Plant x size'!$C$5:$C$171)</f>
        <v>54.925345</v>
      </c>
      <c r="C56" s="8" t="n">
        <f aca="false">SUMIF('Plant x size'!$B$5:$B$171,A56,'Plant x size'!$D$5:$D$171)</f>
        <v>53.674</v>
      </c>
      <c r="D56" s="8" t="n">
        <f aca="false">SUMIF('Plant x size'!$B$5:$B$171,A56,'Plant x size'!$K$5:$K$171)</f>
        <v>42</v>
      </c>
      <c r="E56" s="8" t="n">
        <f aca="false">SUMIF('Plant x size'!$B$5:$B$171,A56,'Plant x size'!$L$5:$L$171)</f>
        <v>11.674</v>
      </c>
      <c r="F56" s="8" t="n">
        <f aca="false">SUMIF('Plant x size'!$B$5:$B$171,A56,'Plant x size'!$M$5:$M$171)</f>
        <v>0</v>
      </c>
      <c r="G56" s="8" t="n">
        <f aca="false">SUMIF('Plant x size'!$B$5:$B$171,A56,'Plant x size'!$N$5:$N$171)</f>
        <v>0</v>
      </c>
      <c r="H56" s="8" t="n">
        <f aca="false">SUMIF('Plant x size'!$B$5:$B$171,A56,'Plant x size'!$O$5:$O$171)</f>
        <v>0</v>
      </c>
      <c r="I56" s="7" t="n">
        <f aca="false">SUMIF('Plant x size'!$B$5:$B$171,A56,'Plant x size'!$P$5:$P$171)</f>
        <v>53.674</v>
      </c>
      <c r="J56" s="8" t="n">
        <f aca="false">SUMIF('Plant x size'!$B$5:$B$171,A56,'Plant x size'!$Q$5:$Q$171)</f>
        <v>0</v>
      </c>
      <c r="K56" s="8" t="n">
        <f aca="false">SUMIFS('Plant x size'!$P$5:$P$171,'Plant x size'!$B$5:$B$171,A56,'Plant x size'!$A$5:$A$171,"Hyderabad")</f>
        <v>11.674</v>
      </c>
      <c r="L56" s="8" t="n">
        <f aca="false">SUMIFS('Plant x size'!$P$5:$P$171,'Plant x size'!$B$5:$B$171,A56,'Plant x size'!$A$5:$A$171,"Lepakshi")</f>
        <v>0</v>
      </c>
      <c r="M56" s="8" t="n">
        <f aca="false">SUMIFS('Plant x size'!$P$5:$P$171,'Plant x size'!$B$5:$B$171,A56,'Plant x size'!$A$5:$A$171,"NPMD")</f>
        <v>42</v>
      </c>
      <c r="N56" s="8" t="n">
        <f aca="false">SUMIFS('Plant x size'!$P$5:$P$171,'Plant x size'!$B$5:$B$171,A56,'Plant x size'!$A$5:$A$171,"Tapi")</f>
        <v>0</v>
      </c>
    </row>
    <row r="57" customFormat="false" ht="15" hidden="false" customHeight="false" outlineLevel="0" collapsed="false">
      <c r="A57" s="7" t="s">
        <v>69</v>
      </c>
      <c r="B57" s="8" t="n">
        <f aca="false">SUMIF('Plant x size'!$B$5:$B$171,A57,'Plant x size'!$C$5:$C$171)</f>
        <v>39.997080896</v>
      </c>
      <c r="C57" s="8" t="n">
        <f aca="false">SUMIF('Plant x size'!$B$5:$B$171,A57,'Plant x size'!$D$5:$D$171)</f>
        <v>34.366</v>
      </c>
      <c r="D57" s="8" t="n">
        <f aca="false">SUMIF('Plant x size'!$B$5:$B$171,A57,'Plant x size'!$K$5:$K$171)</f>
        <v>16.966</v>
      </c>
      <c r="E57" s="8" t="n">
        <f aca="false">SUMIF('Plant x size'!$B$5:$B$171,A57,'Plant x size'!$L$5:$L$171)</f>
        <v>17.4</v>
      </c>
      <c r="F57" s="8" t="n">
        <f aca="false">SUMIF('Plant x size'!$B$5:$B$171,A57,'Plant x size'!$M$5:$M$171)</f>
        <v>0</v>
      </c>
      <c r="G57" s="8" t="n">
        <f aca="false">SUMIF('Plant x size'!$B$5:$B$171,A57,'Plant x size'!$N$5:$N$171)</f>
        <v>0</v>
      </c>
      <c r="H57" s="8" t="n">
        <f aca="false">SUMIF('Plant x size'!$B$5:$B$171,A57,'Plant x size'!$O$5:$O$171)</f>
        <v>0</v>
      </c>
      <c r="I57" s="7" t="n">
        <f aca="false">SUMIF('Plant x size'!$B$5:$B$171,A57,'Plant x size'!$P$5:$P$171)</f>
        <v>34.366</v>
      </c>
      <c r="J57" s="8" t="n">
        <f aca="false">SUMIF('Plant x size'!$B$5:$B$171,A57,'Plant x size'!$Q$5:$Q$171)</f>
        <v>0</v>
      </c>
      <c r="K57" s="8" t="n">
        <f aca="false">SUMIFS('Plant x size'!$P$5:$P$171,'Plant x size'!$B$5:$B$171,A57,'Plant x size'!$A$5:$A$171,"Hyderabad")</f>
        <v>16.966</v>
      </c>
      <c r="L57" s="8" t="n">
        <f aca="false">SUMIFS('Plant x size'!$P$5:$P$171,'Plant x size'!$B$5:$B$171,A57,'Plant x size'!$A$5:$A$171,"Lepakshi")</f>
        <v>0</v>
      </c>
      <c r="M57" s="8" t="n">
        <f aca="false">SUMIFS('Plant x size'!$P$5:$P$171,'Plant x size'!$B$5:$B$171,A57,'Plant x size'!$A$5:$A$171,"NPMD")</f>
        <v>17.4</v>
      </c>
      <c r="N57" s="8" t="n">
        <f aca="false">SUMIFS('Plant x size'!$P$5:$P$171,'Plant x size'!$B$5:$B$171,A57,'Plant x size'!$A$5:$A$171,"Tapi")</f>
        <v>0</v>
      </c>
    </row>
    <row r="58" customFormat="false" ht="15" hidden="false" customHeight="false" outlineLevel="0" collapsed="false">
      <c r="A58" s="7" t="s">
        <v>149</v>
      </c>
      <c r="B58" s="8" t="n">
        <f aca="false">SUMIF('Plant x size'!$B$5:$B$171,A58,'Plant x size'!$C$5:$C$171)</f>
        <v>3.8724</v>
      </c>
      <c r="C58" s="8" t="n">
        <f aca="false">SUMIF('Plant x size'!$B$5:$B$171,A58,'Plant x size'!$D$5:$D$171)</f>
        <v>3</v>
      </c>
      <c r="D58" s="8" t="n">
        <f aca="false">SUMIF('Plant x size'!$B$5:$B$171,A58,'Plant x size'!$K$5:$K$171)</f>
        <v>3</v>
      </c>
      <c r="E58" s="8" t="n">
        <f aca="false">SUMIF('Plant x size'!$B$5:$B$171,A58,'Plant x size'!$L$5:$L$171)</f>
        <v>0</v>
      </c>
      <c r="F58" s="8" t="n">
        <f aca="false">SUMIF('Plant x size'!$B$5:$B$171,A58,'Plant x size'!$M$5:$M$171)</f>
        <v>0</v>
      </c>
      <c r="G58" s="8" t="n">
        <f aca="false">SUMIF('Plant x size'!$B$5:$B$171,A58,'Plant x size'!$N$5:$N$171)</f>
        <v>0</v>
      </c>
      <c r="H58" s="8" t="n">
        <f aca="false">SUMIF('Plant x size'!$B$5:$B$171,A58,'Plant x size'!$O$5:$O$171)</f>
        <v>0</v>
      </c>
      <c r="I58" s="7" t="n">
        <f aca="false">SUMIF('Plant x size'!$B$5:$B$171,A58,'Plant x size'!$P$5:$P$171)</f>
        <v>3</v>
      </c>
      <c r="J58" s="8" t="n">
        <f aca="false">SUMIF('Plant x size'!$B$5:$B$171,A58,'Plant x size'!$Q$5:$Q$171)</f>
        <v>0</v>
      </c>
      <c r="K58" s="8" t="n">
        <f aca="false">SUMIFS('Plant x size'!$P$5:$P$171,'Plant x size'!$B$5:$B$171,A58,'Plant x size'!$A$5:$A$171,"Hyderabad")</f>
        <v>0</v>
      </c>
      <c r="L58" s="8" t="n">
        <f aca="false">SUMIFS('Plant x size'!$P$5:$P$171,'Plant x size'!$B$5:$B$171,A58,'Plant x size'!$A$5:$A$171,"Lepakshi")</f>
        <v>0</v>
      </c>
      <c r="M58" s="8" t="n">
        <f aca="false">SUMIFS('Plant x size'!$P$5:$P$171,'Plant x size'!$B$5:$B$171,A58,'Plant x size'!$A$5:$A$171,"NPMD")</f>
        <v>0</v>
      </c>
      <c r="N58" s="8" t="n">
        <f aca="false">SUMIFS('Plant x size'!$P$5:$P$171,'Plant x size'!$B$5:$B$171,A58,'Plant x size'!$A$5:$A$171,"Tapi")</f>
        <v>3</v>
      </c>
    </row>
    <row r="59" customFormat="false" ht="15" hidden="false" customHeight="false" outlineLevel="0" collapsed="false">
      <c r="A59" s="7" t="s">
        <v>70</v>
      </c>
      <c r="B59" s="8" t="n">
        <f aca="false">SUMIF('Plant x size'!$B$5:$B$171,A59,'Plant x size'!$C$5:$C$171)</f>
        <v>9.59333920000001</v>
      </c>
      <c r="C59" s="8" t="n">
        <f aca="false">SUMIF('Plant x size'!$B$5:$B$171,A59,'Plant x size'!$D$5:$D$171)</f>
        <v>9.983</v>
      </c>
      <c r="D59" s="8" t="n">
        <f aca="false">SUMIF('Plant x size'!$B$5:$B$171,A59,'Plant x size'!$K$5:$K$171)</f>
        <v>0</v>
      </c>
      <c r="E59" s="8" t="n">
        <f aca="false">SUMIF('Plant x size'!$B$5:$B$171,A59,'Plant x size'!$L$5:$L$171)</f>
        <v>0</v>
      </c>
      <c r="F59" s="8" t="n">
        <f aca="false">SUMIF('Plant x size'!$B$5:$B$171,A59,'Plant x size'!$M$5:$M$171)</f>
        <v>0</v>
      </c>
      <c r="G59" s="8" t="n">
        <f aca="false">SUMIF('Plant x size'!$B$5:$B$171,A59,'Plant x size'!$N$5:$N$171)</f>
        <v>9.983</v>
      </c>
      <c r="H59" s="8" t="n">
        <f aca="false">SUMIF('Plant x size'!$B$5:$B$171,A59,'Plant x size'!$O$5:$O$171)</f>
        <v>0</v>
      </c>
      <c r="I59" s="7" t="n">
        <f aca="false">SUMIF('Plant x size'!$B$5:$B$171,A59,'Plant x size'!$P$5:$P$171)</f>
        <v>9.983</v>
      </c>
      <c r="J59" s="8" t="n">
        <f aca="false">SUMIF('Plant x size'!$B$5:$B$171,A59,'Plant x size'!$Q$5:$Q$171)</f>
        <v>9.983</v>
      </c>
      <c r="K59" s="8" t="n">
        <f aca="false">SUMIFS('Plant x size'!$P$5:$P$171,'Plant x size'!$B$5:$B$171,A59,'Plant x size'!$A$5:$A$171,"Hyderabad")</f>
        <v>9.983</v>
      </c>
      <c r="L59" s="8" t="n">
        <f aca="false">SUMIFS('Plant x size'!$P$5:$P$171,'Plant x size'!$B$5:$B$171,A59,'Plant x size'!$A$5:$A$171,"Lepakshi")</f>
        <v>0</v>
      </c>
      <c r="M59" s="8" t="n">
        <f aca="false">SUMIFS('Plant x size'!$P$5:$P$171,'Plant x size'!$B$5:$B$171,A59,'Plant x size'!$A$5:$A$171,"NPMD")</f>
        <v>0</v>
      </c>
      <c r="N59" s="8" t="n">
        <f aca="false">SUMIFS('Plant x size'!$P$5:$P$171,'Plant x size'!$B$5:$B$171,A59,'Plant x size'!$A$5:$A$171,"Tapi")</f>
        <v>0</v>
      </c>
    </row>
    <row r="60" customFormat="false" ht="15" hidden="false" customHeight="false" outlineLevel="0" collapsed="false">
      <c r="A60" s="7" t="s">
        <v>71</v>
      </c>
      <c r="B60" s="8" t="n">
        <f aca="false">SUMIF('Plant x size'!$B$5:$B$171,A60,'Plant x size'!$C$5:$C$171)</f>
        <v>1.095805</v>
      </c>
      <c r="C60" s="8" t="n">
        <f aca="false">SUMIF('Plant x size'!$B$5:$B$171,A60,'Plant x size'!$D$5:$D$171)</f>
        <v>0</v>
      </c>
      <c r="D60" s="8" t="n">
        <f aca="false">SUMIF('Plant x size'!$B$5:$B$171,A60,'Plant x size'!$K$5:$K$171)</f>
        <v>0</v>
      </c>
      <c r="E60" s="8" t="n">
        <f aca="false">SUMIF('Plant x size'!$B$5:$B$171,A60,'Plant x size'!$L$5:$L$171)</f>
        <v>0</v>
      </c>
      <c r="F60" s="8" t="n">
        <f aca="false">SUMIF('Plant x size'!$B$5:$B$171,A60,'Plant x size'!$M$5:$M$171)</f>
        <v>0</v>
      </c>
      <c r="G60" s="8" t="n">
        <f aca="false">SUMIF('Plant x size'!$B$5:$B$171,A60,'Plant x size'!$N$5:$N$171)</f>
        <v>0</v>
      </c>
      <c r="H60" s="8" t="n">
        <f aca="false">SUMIF('Plant x size'!$B$5:$B$171,A60,'Plant x size'!$O$5:$O$171)</f>
        <v>0</v>
      </c>
      <c r="I60" s="7" t="n">
        <f aca="false">SUMIF('Plant x size'!$B$5:$B$171,A60,'Plant x size'!$P$5:$P$171)</f>
        <v>0</v>
      </c>
      <c r="J60" s="8" t="n">
        <f aca="false">SUMIF('Plant x size'!$B$5:$B$171,A60,'Plant x size'!$Q$5:$Q$171)</f>
        <v>0</v>
      </c>
      <c r="K60" s="8" t="n">
        <f aca="false">SUMIFS('Plant x size'!$P$5:$P$171,'Plant x size'!$B$5:$B$171,A60,'Plant x size'!$A$5:$A$171,"Hyderabad")</f>
        <v>0</v>
      </c>
      <c r="L60" s="8" t="n">
        <f aca="false">SUMIFS('Plant x size'!$P$5:$P$171,'Plant x size'!$B$5:$B$171,A60,'Plant x size'!$A$5:$A$171,"Lepakshi")</f>
        <v>0</v>
      </c>
      <c r="M60" s="8" t="n">
        <f aca="false">SUMIFS('Plant x size'!$P$5:$P$171,'Plant x size'!$B$5:$B$171,A60,'Plant x size'!$A$5:$A$171,"NPMD")</f>
        <v>0</v>
      </c>
      <c r="N60" s="8" t="n">
        <f aca="false">SUMIFS('Plant x size'!$P$5:$P$171,'Plant x size'!$B$5:$B$171,A60,'Plant x size'!$A$5:$A$171,"Tapi")</f>
        <v>0</v>
      </c>
    </row>
    <row r="61" customFormat="false" ht="15" hidden="false" customHeight="false" outlineLevel="0" collapsed="false">
      <c r="A61" s="7" t="s">
        <v>72</v>
      </c>
      <c r="B61" s="8" t="n">
        <f aca="false">SUMIF('Plant x size'!$B$5:$B$171,A61,'Plant x size'!$C$5:$C$171)</f>
        <v>20.02434368</v>
      </c>
      <c r="C61" s="8" t="n">
        <f aca="false">SUMIF('Plant x size'!$B$5:$B$171,A61,'Plant x size'!$D$5:$D$171)</f>
        <v>18.573</v>
      </c>
      <c r="D61" s="8" t="n">
        <f aca="false">SUMIF('Plant x size'!$B$5:$B$171,A61,'Plant x size'!$K$5:$K$171)</f>
        <v>0</v>
      </c>
      <c r="E61" s="8" t="n">
        <f aca="false">SUMIF('Plant x size'!$B$5:$B$171,A61,'Plant x size'!$L$5:$L$171)</f>
        <v>0</v>
      </c>
      <c r="F61" s="8" t="n">
        <f aca="false">SUMIF('Plant x size'!$B$5:$B$171,A61,'Plant x size'!$M$5:$M$171)</f>
        <v>0</v>
      </c>
      <c r="G61" s="8" t="n">
        <f aca="false">SUMIF('Plant x size'!$B$5:$B$171,A61,'Plant x size'!$N$5:$N$171)</f>
        <v>18.573</v>
      </c>
      <c r="H61" s="8" t="n">
        <f aca="false">SUMIF('Plant x size'!$B$5:$B$171,A61,'Plant x size'!$O$5:$O$171)</f>
        <v>0</v>
      </c>
      <c r="I61" s="7" t="n">
        <f aca="false">SUMIF('Plant x size'!$B$5:$B$171,A61,'Plant x size'!$P$5:$P$171)</f>
        <v>18.573</v>
      </c>
      <c r="J61" s="8" t="n">
        <f aca="false">SUMIF('Plant x size'!$B$5:$B$171,A61,'Plant x size'!$Q$5:$Q$171)</f>
        <v>18.573</v>
      </c>
      <c r="K61" s="8" t="n">
        <f aca="false">SUMIFS('Plant x size'!$P$5:$P$171,'Plant x size'!$B$5:$B$171,A61,'Plant x size'!$A$5:$A$171,"Hyderabad")</f>
        <v>18.573</v>
      </c>
      <c r="L61" s="8" t="n">
        <f aca="false">SUMIFS('Plant x size'!$P$5:$P$171,'Plant x size'!$B$5:$B$171,A61,'Plant x size'!$A$5:$A$171,"Lepakshi")</f>
        <v>0</v>
      </c>
      <c r="M61" s="8" t="n">
        <f aca="false">SUMIFS('Plant x size'!$P$5:$P$171,'Plant x size'!$B$5:$B$171,A61,'Plant x size'!$A$5:$A$171,"NPMD")</f>
        <v>0</v>
      </c>
      <c r="N61" s="8" t="n">
        <f aca="false">SUMIFS('Plant x size'!$P$5:$P$171,'Plant x size'!$B$5:$B$171,A61,'Plant x size'!$A$5:$A$171,"Tapi")</f>
        <v>0</v>
      </c>
    </row>
    <row r="62" customFormat="false" ht="15" hidden="false" customHeight="false" outlineLevel="0" collapsed="false">
      <c r="A62" s="7" t="s">
        <v>137</v>
      </c>
      <c r="B62" s="8" t="n">
        <f aca="false">SUMIF('Plant x size'!$B$5:$B$171,A62,'Plant x size'!$C$5:$C$171)</f>
        <v>56.1601697920001</v>
      </c>
      <c r="C62" s="8" t="n">
        <f aca="false">SUMIF('Plant x size'!$B$5:$B$171,A62,'Plant x size'!$D$5:$D$171)</f>
        <v>56.6</v>
      </c>
      <c r="D62" s="8" t="n">
        <f aca="false">SUMIF('Plant x size'!$B$5:$B$171,A62,'Plant x size'!$K$5:$K$171)</f>
        <v>56.6</v>
      </c>
      <c r="E62" s="8" t="n">
        <f aca="false">SUMIF('Plant x size'!$B$5:$B$171,A62,'Plant x size'!$L$5:$L$171)</f>
        <v>0</v>
      </c>
      <c r="F62" s="8" t="n">
        <f aca="false">SUMIF('Plant x size'!$B$5:$B$171,A62,'Plant x size'!$M$5:$M$171)</f>
        <v>0</v>
      </c>
      <c r="G62" s="8" t="n">
        <f aca="false">SUMIF('Plant x size'!$B$5:$B$171,A62,'Plant x size'!$N$5:$N$171)</f>
        <v>0</v>
      </c>
      <c r="H62" s="8" t="n">
        <f aca="false">SUMIF('Plant x size'!$B$5:$B$171,A62,'Plant x size'!$O$5:$O$171)</f>
        <v>0</v>
      </c>
      <c r="I62" s="7" t="n">
        <f aca="false">SUMIF('Plant x size'!$B$5:$B$171,A62,'Plant x size'!$P$5:$P$171)</f>
        <v>56.6</v>
      </c>
      <c r="J62" s="8" t="n">
        <f aca="false">SUMIF('Plant x size'!$B$5:$B$171,A62,'Plant x size'!$Q$5:$Q$171)</f>
        <v>0</v>
      </c>
      <c r="K62" s="8" t="n">
        <f aca="false">SUMIFS('Plant x size'!$P$5:$P$171,'Plant x size'!$B$5:$B$171,A62,'Plant x size'!$A$5:$A$171,"Hyderabad")</f>
        <v>0</v>
      </c>
      <c r="L62" s="8" t="n">
        <f aca="false">SUMIFS('Plant x size'!$P$5:$P$171,'Plant x size'!$B$5:$B$171,A62,'Plant x size'!$A$5:$A$171,"Lepakshi")</f>
        <v>0</v>
      </c>
      <c r="M62" s="8" t="n">
        <f aca="false">SUMIFS('Plant x size'!$P$5:$P$171,'Plant x size'!$B$5:$B$171,A62,'Plant x size'!$A$5:$A$171,"NPMD")</f>
        <v>56.6</v>
      </c>
      <c r="N62" s="8" t="n">
        <f aca="false">SUMIFS('Plant x size'!$P$5:$P$171,'Plant x size'!$B$5:$B$171,A62,'Plant x size'!$A$5:$A$171,"Tapi")</f>
        <v>0</v>
      </c>
    </row>
    <row r="63" customFormat="false" ht="15" hidden="false" customHeight="false" outlineLevel="0" collapsed="false">
      <c r="A63" s="7" t="s">
        <v>73</v>
      </c>
      <c r="B63" s="8" t="n">
        <f aca="false">SUMIF('Plant x size'!$B$5:$B$171,A63,'Plant x size'!$C$5:$C$171)</f>
        <v>152.523296</v>
      </c>
      <c r="C63" s="8" t="n">
        <f aca="false">SUMIF('Plant x size'!$B$5:$B$171,A63,'Plant x size'!$D$5:$D$171)</f>
        <v>146.752</v>
      </c>
      <c r="D63" s="8" t="n">
        <f aca="false">SUMIF('Plant x size'!$B$5:$B$171,A63,'Plant x size'!$K$5:$K$171)</f>
        <v>93.6155678908216</v>
      </c>
      <c r="E63" s="8" t="n">
        <f aca="false">SUMIF('Plant x size'!$B$5:$B$171,A63,'Plant x size'!$L$5:$L$171)</f>
        <v>53.1364321091784</v>
      </c>
      <c r="F63" s="8" t="n">
        <f aca="false">SUMIF('Plant x size'!$B$5:$B$171,A63,'Plant x size'!$M$5:$M$171)</f>
        <v>0</v>
      </c>
      <c r="G63" s="8" t="n">
        <f aca="false">SUMIF('Plant x size'!$B$5:$B$171,A63,'Plant x size'!$N$5:$N$171)</f>
        <v>0</v>
      </c>
      <c r="H63" s="8" t="n">
        <f aca="false">SUMIF('Plant x size'!$B$5:$B$171,A63,'Plant x size'!$O$5:$O$171)</f>
        <v>0</v>
      </c>
      <c r="I63" s="7" t="n">
        <f aca="false">SUMIF('Plant x size'!$B$5:$B$171,A63,'Plant x size'!$P$5:$P$171)</f>
        <v>146.752</v>
      </c>
      <c r="J63" s="8" t="n">
        <f aca="false">SUMIF('Plant x size'!$B$5:$B$171,A63,'Plant x size'!$Q$5:$Q$171)</f>
        <v>0</v>
      </c>
      <c r="K63" s="8" t="n">
        <f aca="false">SUMIFS('Plant x size'!$P$5:$P$171,'Plant x size'!$B$5:$B$171,A63,'Plant x size'!$A$5:$A$171,"Hyderabad")</f>
        <v>28.752</v>
      </c>
      <c r="L63" s="8" t="n">
        <f aca="false">SUMIFS('Plant x size'!$P$5:$P$171,'Plant x size'!$B$5:$B$171,A63,'Plant x size'!$A$5:$A$171,"Lepakshi")</f>
        <v>0</v>
      </c>
      <c r="M63" s="8" t="n">
        <f aca="false">SUMIFS('Plant x size'!$P$5:$P$171,'Plant x size'!$B$5:$B$171,A63,'Plant x size'!$A$5:$A$171,"NPMD")</f>
        <v>104</v>
      </c>
      <c r="N63" s="8" t="n">
        <f aca="false">SUMIFS('Plant x size'!$P$5:$P$171,'Plant x size'!$B$5:$B$171,A63,'Plant x size'!$A$5:$A$171,"Tapi")</f>
        <v>14</v>
      </c>
    </row>
    <row r="64" customFormat="false" ht="15" hidden="false" customHeight="false" outlineLevel="0" collapsed="false">
      <c r="A64" s="7" t="s">
        <v>74</v>
      </c>
      <c r="B64" s="8" t="n">
        <f aca="false">SUMIF('Plant x size'!$B$5:$B$171,A64,'Plant x size'!$C$5:$C$171)</f>
        <v>102.231245</v>
      </c>
      <c r="C64" s="8" t="n">
        <f aca="false">SUMIF('Plant x size'!$B$5:$B$171,A64,'Plant x size'!$D$5:$D$171)</f>
        <v>97.884</v>
      </c>
      <c r="D64" s="8" t="n">
        <f aca="false">SUMIF('Plant x size'!$B$5:$B$171,A64,'Plant x size'!$K$5:$K$171)</f>
        <v>95.6622067871455</v>
      </c>
      <c r="E64" s="8" t="n">
        <f aca="false">SUMIF('Plant x size'!$B$5:$B$171,A64,'Plant x size'!$L$5:$L$171)</f>
        <v>2.22179321285452</v>
      </c>
      <c r="F64" s="8" t="n">
        <f aca="false">SUMIF('Plant x size'!$B$5:$B$171,A64,'Plant x size'!$M$5:$M$171)</f>
        <v>0</v>
      </c>
      <c r="G64" s="8" t="n">
        <f aca="false">SUMIF('Plant x size'!$B$5:$B$171,A64,'Plant x size'!$N$5:$N$171)</f>
        <v>0</v>
      </c>
      <c r="H64" s="8" t="n">
        <f aca="false">SUMIF('Plant x size'!$B$5:$B$171,A64,'Plant x size'!$O$5:$O$171)</f>
        <v>0</v>
      </c>
      <c r="I64" s="7" t="n">
        <f aca="false">SUMIF('Plant x size'!$B$5:$B$171,A64,'Plant x size'!$P$5:$P$171)</f>
        <v>97.884</v>
      </c>
      <c r="J64" s="8" t="n">
        <f aca="false">SUMIF('Plant x size'!$B$5:$B$171,A64,'Plant x size'!$Q$5:$Q$171)</f>
        <v>0</v>
      </c>
      <c r="K64" s="8" t="n">
        <f aca="false">SUMIFS('Plant x size'!$P$5:$P$171,'Plant x size'!$B$5:$B$171,A64,'Plant x size'!$A$5:$A$171,"Hyderabad")</f>
        <v>18.884</v>
      </c>
      <c r="L64" s="8" t="n">
        <f aca="false">SUMIFS('Plant x size'!$P$5:$P$171,'Plant x size'!$B$5:$B$171,A64,'Plant x size'!$A$5:$A$171,"Lepakshi")</f>
        <v>0</v>
      </c>
      <c r="M64" s="8" t="n">
        <f aca="false">SUMIFS('Plant x size'!$P$5:$P$171,'Plant x size'!$B$5:$B$171,A64,'Plant x size'!$A$5:$A$171,"NPMD")</f>
        <v>63</v>
      </c>
      <c r="N64" s="8" t="n">
        <f aca="false">SUMIFS('Plant x size'!$P$5:$P$171,'Plant x size'!$B$5:$B$171,A64,'Plant x size'!$A$5:$A$171,"Tapi")</f>
        <v>16</v>
      </c>
    </row>
    <row r="65" customFormat="false" ht="15" hidden="false" customHeight="false" outlineLevel="0" collapsed="false">
      <c r="A65" s="7" t="s">
        <v>75</v>
      </c>
      <c r="B65" s="8" t="n">
        <f aca="false">SUMIF('Plant x size'!$B$5:$B$171,A65,'Plant x size'!$C$5:$C$171)</f>
        <v>58.171747456</v>
      </c>
      <c r="C65" s="8" t="n">
        <f aca="false">SUMIF('Plant x size'!$B$5:$B$171,A65,'Plant x size'!$D$5:$D$171)</f>
        <v>54.304</v>
      </c>
      <c r="D65" s="8" t="n">
        <f aca="false">SUMIF('Plant x size'!$B$5:$B$171,A65,'Plant x size'!$K$5:$K$171)</f>
        <v>21.4031563931597</v>
      </c>
      <c r="E65" s="8" t="n">
        <f aca="false">SUMIF('Plant x size'!$B$5:$B$171,A65,'Plant x size'!$L$5:$L$171)</f>
        <v>32.9008436068403</v>
      </c>
      <c r="F65" s="8" t="n">
        <f aca="false">SUMIF('Plant x size'!$B$5:$B$171,A65,'Plant x size'!$M$5:$M$171)</f>
        <v>0</v>
      </c>
      <c r="G65" s="8" t="n">
        <f aca="false">SUMIF('Plant x size'!$B$5:$B$171,A65,'Plant x size'!$N$5:$N$171)</f>
        <v>0</v>
      </c>
      <c r="H65" s="8" t="n">
        <f aca="false">SUMIF('Plant x size'!$B$5:$B$171,A65,'Plant x size'!$O$5:$O$171)</f>
        <v>0</v>
      </c>
      <c r="I65" s="7" t="n">
        <f aca="false">SUMIF('Plant x size'!$B$5:$B$171,A65,'Plant x size'!$P$5:$P$171)</f>
        <v>54.304</v>
      </c>
      <c r="J65" s="8" t="n">
        <f aca="false">SUMIF('Plant x size'!$B$5:$B$171,A65,'Plant x size'!$Q$5:$Q$171)</f>
        <v>0</v>
      </c>
      <c r="K65" s="8" t="n">
        <f aca="false">SUMIFS('Plant x size'!$P$5:$P$171,'Plant x size'!$B$5:$B$171,A65,'Plant x size'!$A$5:$A$171,"Hyderabad")</f>
        <v>20.704</v>
      </c>
      <c r="L65" s="8" t="n">
        <f aca="false">SUMIFS('Plant x size'!$P$5:$P$171,'Plant x size'!$B$5:$B$171,A65,'Plant x size'!$A$5:$A$171,"Lepakshi")</f>
        <v>0</v>
      </c>
      <c r="M65" s="8" t="n">
        <f aca="false">SUMIFS('Plant x size'!$P$5:$P$171,'Plant x size'!$B$5:$B$171,A65,'Plant x size'!$A$5:$A$171,"NPMD")</f>
        <v>29.6</v>
      </c>
      <c r="N65" s="8" t="n">
        <f aca="false">SUMIFS('Plant x size'!$P$5:$P$171,'Plant x size'!$B$5:$B$171,A65,'Plant x size'!$A$5:$A$171,"Tapi")</f>
        <v>4</v>
      </c>
    </row>
    <row r="66" customFormat="false" ht="15" hidden="false" customHeight="false" outlineLevel="0" collapsed="false">
      <c r="A66" s="7" t="s">
        <v>76</v>
      </c>
      <c r="B66" s="8" t="n">
        <f aca="false">SUMIF('Plant x size'!$B$5:$B$171,A66,'Plant x size'!$C$5:$C$171)</f>
        <v>64.3631776</v>
      </c>
      <c r="C66" s="8" t="n">
        <f aca="false">SUMIF('Plant x size'!$B$5:$B$171,A66,'Plant x size'!$D$5:$D$171)</f>
        <v>64.77</v>
      </c>
      <c r="D66" s="8" t="n">
        <f aca="false">SUMIF('Plant x size'!$B$5:$B$171,A66,'Plant x size'!$K$5:$K$171)</f>
        <v>64.77</v>
      </c>
      <c r="E66" s="8" t="n">
        <f aca="false">SUMIF('Plant x size'!$B$5:$B$171,A66,'Plant x size'!$L$5:$L$171)</f>
        <v>0</v>
      </c>
      <c r="F66" s="8" t="n">
        <f aca="false">SUMIF('Plant x size'!$B$5:$B$171,A66,'Plant x size'!$M$5:$M$171)</f>
        <v>0</v>
      </c>
      <c r="G66" s="8" t="n">
        <f aca="false">SUMIF('Plant x size'!$B$5:$B$171,A66,'Plant x size'!$N$5:$N$171)</f>
        <v>0</v>
      </c>
      <c r="H66" s="8" t="n">
        <f aca="false">SUMIF('Plant x size'!$B$5:$B$171,A66,'Plant x size'!$O$5:$O$171)</f>
        <v>0</v>
      </c>
      <c r="I66" s="7" t="n">
        <f aca="false">SUMIF('Plant x size'!$B$5:$B$171,A66,'Plant x size'!$P$5:$P$171)</f>
        <v>64.77</v>
      </c>
      <c r="J66" s="8" t="n">
        <f aca="false">SUMIF('Plant x size'!$B$5:$B$171,A66,'Plant x size'!$Q$5:$Q$171)</f>
        <v>0</v>
      </c>
      <c r="K66" s="8" t="n">
        <f aca="false">SUMIFS('Plant x size'!$P$5:$P$171,'Plant x size'!$B$5:$B$171,A66,'Plant x size'!$A$5:$A$171,"Hyderabad")</f>
        <v>21.77</v>
      </c>
      <c r="L66" s="8" t="n">
        <f aca="false">SUMIFS('Plant x size'!$P$5:$P$171,'Plant x size'!$B$5:$B$171,A66,'Plant x size'!$A$5:$A$171,"Lepakshi")</f>
        <v>0</v>
      </c>
      <c r="M66" s="8" t="n">
        <f aca="false">SUMIFS('Plant x size'!$P$5:$P$171,'Plant x size'!$B$5:$B$171,A66,'Plant x size'!$A$5:$A$171,"NPMD")</f>
        <v>0</v>
      </c>
      <c r="N66" s="8" t="n">
        <f aca="false">SUMIFS('Plant x size'!$P$5:$P$171,'Plant x size'!$B$5:$B$171,A66,'Plant x size'!$A$5:$A$171,"Tapi")</f>
        <v>43</v>
      </c>
    </row>
    <row r="67" customFormat="false" ht="15" hidden="false" customHeight="false" outlineLevel="0" collapsed="false">
      <c r="A67" s="7" t="s">
        <v>150</v>
      </c>
      <c r="B67" s="8" t="n">
        <f aca="false">SUMIF('Plant x size'!$B$5:$B$171,A67,'Plant x size'!$C$5:$C$171)</f>
        <v>52.94524</v>
      </c>
      <c r="C67" s="8" t="n">
        <f aca="false">SUMIF('Plant x size'!$B$5:$B$171,A67,'Plant x size'!$D$5:$D$171)</f>
        <v>48</v>
      </c>
      <c r="D67" s="8" t="n">
        <f aca="false">SUMIF('Plant x size'!$B$5:$B$171,A67,'Plant x size'!$K$5:$K$171)</f>
        <v>48</v>
      </c>
      <c r="E67" s="8" t="n">
        <f aca="false">SUMIF('Plant x size'!$B$5:$B$171,A67,'Plant x size'!$L$5:$L$171)</f>
        <v>0</v>
      </c>
      <c r="F67" s="8" t="n">
        <f aca="false">SUMIF('Plant x size'!$B$5:$B$171,A67,'Plant x size'!$M$5:$M$171)</f>
        <v>0</v>
      </c>
      <c r="G67" s="8" t="n">
        <f aca="false">SUMIF('Plant x size'!$B$5:$B$171,A67,'Plant x size'!$N$5:$N$171)</f>
        <v>0</v>
      </c>
      <c r="H67" s="8" t="n">
        <f aca="false">SUMIF('Plant x size'!$B$5:$B$171,A67,'Plant x size'!$O$5:$O$171)</f>
        <v>0</v>
      </c>
      <c r="I67" s="7" t="n">
        <f aca="false">SUMIF('Plant x size'!$B$5:$B$171,A67,'Plant x size'!$P$5:$P$171)</f>
        <v>48</v>
      </c>
      <c r="J67" s="8" t="n">
        <f aca="false">SUMIF('Plant x size'!$B$5:$B$171,A67,'Plant x size'!$Q$5:$Q$171)</f>
        <v>0</v>
      </c>
      <c r="K67" s="8" t="n">
        <f aca="false">SUMIFS('Plant x size'!$P$5:$P$171,'Plant x size'!$B$5:$B$171,A67,'Plant x size'!$A$5:$A$171,"Hyderabad")</f>
        <v>0</v>
      </c>
      <c r="L67" s="8" t="n">
        <f aca="false">SUMIFS('Plant x size'!$P$5:$P$171,'Plant x size'!$B$5:$B$171,A67,'Plant x size'!$A$5:$A$171,"Lepakshi")</f>
        <v>0</v>
      </c>
      <c r="M67" s="8" t="n">
        <f aca="false">SUMIFS('Plant x size'!$P$5:$P$171,'Plant x size'!$B$5:$B$171,A67,'Plant x size'!$A$5:$A$171,"NPMD")</f>
        <v>0</v>
      </c>
      <c r="N67" s="8" t="n">
        <f aca="false">SUMIFS('Plant x size'!$P$5:$P$171,'Plant x size'!$B$5:$B$171,A67,'Plant x size'!$A$5:$A$171,"Tapi")</f>
        <v>48</v>
      </c>
    </row>
    <row r="68" customFormat="false" ht="15" hidden="false" customHeight="false" outlineLevel="0" collapsed="false">
      <c r="A68" s="7" t="s">
        <v>138</v>
      </c>
      <c r="B68" s="8" t="n">
        <f aca="false">SUMIF('Plant x size'!$B$5:$B$171,A68,'Plant x size'!$C$5:$C$171)</f>
        <v>19.777918528</v>
      </c>
      <c r="C68" s="8" t="n">
        <f aca="false">SUMIF('Plant x size'!$B$5:$B$171,A68,'Plant x size'!$D$5:$D$171)</f>
        <v>20</v>
      </c>
      <c r="D68" s="8" t="n">
        <f aca="false">SUMIF('Plant x size'!$B$5:$B$171,A68,'Plant x size'!$K$5:$K$171)</f>
        <v>20</v>
      </c>
      <c r="E68" s="8" t="n">
        <f aca="false">SUMIF('Plant x size'!$B$5:$B$171,A68,'Plant x size'!$L$5:$L$171)</f>
        <v>0</v>
      </c>
      <c r="F68" s="8" t="n">
        <f aca="false">SUMIF('Plant x size'!$B$5:$B$171,A68,'Plant x size'!$M$5:$M$171)</f>
        <v>0</v>
      </c>
      <c r="G68" s="8" t="n">
        <f aca="false">SUMIF('Plant x size'!$B$5:$B$171,A68,'Plant x size'!$N$5:$N$171)</f>
        <v>0</v>
      </c>
      <c r="H68" s="8" t="n">
        <f aca="false">SUMIF('Plant x size'!$B$5:$B$171,A68,'Plant x size'!$O$5:$O$171)</f>
        <v>0</v>
      </c>
      <c r="I68" s="7" t="n">
        <f aca="false">SUMIF('Plant x size'!$B$5:$B$171,A68,'Plant x size'!$P$5:$P$171)</f>
        <v>20</v>
      </c>
      <c r="J68" s="8" t="n">
        <f aca="false">SUMIF('Plant x size'!$B$5:$B$171,A68,'Plant x size'!$Q$5:$Q$171)</f>
        <v>0</v>
      </c>
      <c r="K68" s="8" t="n">
        <f aca="false">SUMIFS('Plant x size'!$P$5:$P$171,'Plant x size'!$B$5:$B$171,A68,'Plant x size'!$A$5:$A$171,"Hyderabad")</f>
        <v>0</v>
      </c>
      <c r="L68" s="8" t="n">
        <f aca="false">SUMIFS('Plant x size'!$P$5:$P$171,'Plant x size'!$B$5:$B$171,A68,'Plant x size'!$A$5:$A$171,"Lepakshi")</f>
        <v>0</v>
      </c>
      <c r="M68" s="8" t="n">
        <f aca="false">SUMIFS('Plant x size'!$P$5:$P$171,'Plant x size'!$B$5:$B$171,A68,'Plant x size'!$A$5:$A$171,"NPMD")</f>
        <v>20</v>
      </c>
      <c r="N68" s="8" t="n">
        <f aca="false">SUMIFS('Plant x size'!$P$5:$P$171,'Plant x size'!$B$5:$B$171,A68,'Plant x size'!$A$5:$A$171,"Tapi")</f>
        <v>0</v>
      </c>
    </row>
    <row r="69" customFormat="false" ht="15" hidden="false" customHeight="false" outlineLevel="0" collapsed="false">
      <c r="A69" s="7" t="s">
        <v>139</v>
      </c>
      <c r="B69" s="8" t="n">
        <f aca="false">SUMIF('Plant x size'!$B$5:$B$171,A69,'Plant x size'!$C$5:$C$171)</f>
        <v>82.955216</v>
      </c>
      <c r="C69" s="8" t="n">
        <f aca="false">SUMIF('Plant x size'!$B$5:$B$171,A69,'Plant x size'!$D$5:$D$171)</f>
        <v>89.8</v>
      </c>
      <c r="D69" s="8" t="n">
        <f aca="false">SUMIF('Plant x size'!$B$5:$B$171,A69,'Plant x size'!$K$5:$K$171)</f>
        <v>89.8</v>
      </c>
      <c r="E69" s="8" t="n">
        <f aca="false">SUMIF('Plant x size'!$B$5:$B$171,A69,'Plant x size'!$L$5:$L$171)</f>
        <v>0</v>
      </c>
      <c r="F69" s="8" t="n">
        <f aca="false">SUMIF('Plant x size'!$B$5:$B$171,A69,'Plant x size'!$M$5:$M$171)</f>
        <v>0</v>
      </c>
      <c r="G69" s="8" t="n">
        <f aca="false">SUMIF('Plant x size'!$B$5:$B$171,A69,'Plant x size'!$N$5:$N$171)</f>
        <v>0</v>
      </c>
      <c r="H69" s="8" t="n">
        <f aca="false">SUMIF('Plant x size'!$B$5:$B$171,A69,'Plant x size'!$O$5:$O$171)</f>
        <v>0</v>
      </c>
      <c r="I69" s="7" t="n">
        <f aca="false">SUMIF('Plant x size'!$B$5:$B$171,A69,'Plant x size'!$P$5:$P$171)</f>
        <v>89.8</v>
      </c>
      <c r="J69" s="8" t="n">
        <f aca="false">SUMIF('Plant x size'!$B$5:$B$171,A69,'Plant x size'!$Q$5:$Q$171)</f>
        <v>0</v>
      </c>
      <c r="K69" s="8" t="n">
        <f aca="false">SUMIFS('Plant x size'!$P$5:$P$171,'Plant x size'!$B$5:$B$171,A69,'Plant x size'!$A$5:$A$171,"Hyderabad")</f>
        <v>0</v>
      </c>
      <c r="L69" s="8" t="n">
        <f aca="false">SUMIFS('Plant x size'!$P$5:$P$171,'Plant x size'!$B$5:$B$171,A69,'Plant x size'!$A$5:$A$171,"Lepakshi")</f>
        <v>0</v>
      </c>
      <c r="M69" s="8" t="n">
        <f aca="false">SUMIFS('Plant x size'!$P$5:$P$171,'Plant x size'!$B$5:$B$171,A69,'Plant x size'!$A$5:$A$171,"NPMD")</f>
        <v>39.8</v>
      </c>
      <c r="N69" s="8" t="n">
        <f aca="false">SUMIFS('Plant x size'!$P$5:$P$171,'Plant x size'!$B$5:$B$171,A69,'Plant x size'!$A$5:$A$171,"Tapi")</f>
        <v>50</v>
      </c>
    </row>
    <row r="70" customFormat="false" ht="15" hidden="false" customHeight="false" outlineLevel="0" collapsed="false">
      <c r="A70" s="7" t="s">
        <v>127</v>
      </c>
      <c r="B70" s="8" t="n">
        <f aca="false">SUMIF('Plant x size'!$B$5:$B$171,A70,'Plant x size'!$C$5:$C$171)</f>
        <v>44.145204</v>
      </c>
      <c r="C70" s="8" t="n">
        <f aca="false">SUMIF('Plant x size'!$B$5:$B$171,A70,'Plant x size'!$D$5:$D$171)</f>
        <v>61</v>
      </c>
      <c r="D70" s="8" t="n">
        <f aca="false">SUMIF('Plant x size'!$B$5:$B$171,A70,'Plant x size'!$K$5:$K$171)</f>
        <v>58</v>
      </c>
      <c r="E70" s="8" t="n">
        <f aca="false">SUMIF('Plant x size'!$B$5:$B$171,A70,'Plant x size'!$L$5:$L$171)</f>
        <v>3</v>
      </c>
      <c r="F70" s="8" t="n">
        <f aca="false">SUMIF('Plant x size'!$B$5:$B$171,A70,'Plant x size'!$M$5:$M$171)</f>
        <v>0</v>
      </c>
      <c r="G70" s="8" t="n">
        <f aca="false">SUMIF('Plant x size'!$B$5:$B$171,A70,'Plant x size'!$N$5:$N$171)</f>
        <v>0</v>
      </c>
      <c r="H70" s="8" t="n">
        <f aca="false">SUMIF('Plant x size'!$B$5:$B$171,A70,'Plant x size'!$O$5:$O$171)</f>
        <v>0</v>
      </c>
      <c r="I70" s="7" t="n">
        <f aca="false">SUMIF('Plant x size'!$B$5:$B$171,A70,'Plant x size'!$P$5:$P$171)</f>
        <v>61</v>
      </c>
      <c r="J70" s="8" t="n">
        <f aca="false">SUMIF('Plant x size'!$B$5:$B$171,A70,'Plant x size'!$Q$5:$Q$171)</f>
        <v>0</v>
      </c>
      <c r="K70" s="8" t="n">
        <f aca="false">SUMIFS('Plant x size'!$P$5:$P$171,'Plant x size'!$B$5:$B$171,A70,'Plant x size'!$A$5:$A$171,"Hyderabad")</f>
        <v>0</v>
      </c>
      <c r="L70" s="8" t="n">
        <f aca="false">SUMIFS('Plant x size'!$P$5:$P$171,'Plant x size'!$B$5:$B$171,A70,'Plant x size'!$A$5:$A$171,"Lepakshi")</f>
        <v>3</v>
      </c>
      <c r="M70" s="8" t="n">
        <f aca="false">SUMIFS('Plant x size'!$P$5:$P$171,'Plant x size'!$B$5:$B$171,A70,'Plant x size'!$A$5:$A$171,"NPMD")</f>
        <v>0</v>
      </c>
      <c r="N70" s="8" t="n">
        <f aca="false">SUMIFS('Plant x size'!$P$5:$P$171,'Plant x size'!$B$5:$B$171,A70,'Plant x size'!$A$5:$A$171,"Tapi")</f>
        <v>58</v>
      </c>
    </row>
    <row r="71" customFormat="false" ht="15" hidden="false" customHeight="false" outlineLevel="0" collapsed="false">
      <c r="A71" s="7" t="s">
        <v>128</v>
      </c>
      <c r="B71" s="8" t="n">
        <f aca="false">SUMIF('Plant x size'!$B$5:$B$171,A71,'Plant x size'!$C$5:$C$171)</f>
        <v>73.3346844</v>
      </c>
      <c r="C71" s="8" t="n">
        <f aca="false">SUMIF('Plant x size'!$B$5:$B$171,A71,'Plant x size'!$D$5:$D$171)</f>
        <v>68.9</v>
      </c>
      <c r="D71" s="8" t="n">
        <f aca="false">SUMIF('Plant x size'!$B$5:$B$171,A71,'Plant x size'!$K$5:$K$171)</f>
        <v>68.9</v>
      </c>
      <c r="E71" s="8" t="n">
        <f aca="false">SUMIF('Plant x size'!$B$5:$B$171,A71,'Plant x size'!$L$5:$L$171)</f>
        <v>0</v>
      </c>
      <c r="F71" s="8" t="n">
        <f aca="false">SUMIF('Plant x size'!$B$5:$B$171,A71,'Plant x size'!$M$5:$M$171)</f>
        <v>0</v>
      </c>
      <c r="G71" s="8" t="n">
        <f aca="false">SUMIF('Plant x size'!$B$5:$B$171,A71,'Plant x size'!$N$5:$N$171)</f>
        <v>0</v>
      </c>
      <c r="H71" s="8" t="n">
        <f aca="false">SUMIF('Plant x size'!$B$5:$B$171,A71,'Plant x size'!$O$5:$O$171)</f>
        <v>0</v>
      </c>
      <c r="I71" s="7" t="n">
        <f aca="false">SUMIF('Plant x size'!$B$5:$B$171,A71,'Plant x size'!$P$5:$P$171)</f>
        <v>68.9</v>
      </c>
      <c r="J71" s="8" t="n">
        <f aca="false">SUMIF('Plant x size'!$B$5:$B$171,A71,'Plant x size'!$Q$5:$Q$171)</f>
        <v>0</v>
      </c>
      <c r="K71" s="8" t="n">
        <f aca="false">SUMIFS('Plant x size'!$P$5:$P$171,'Plant x size'!$B$5:$B$171,A71,'Plant x size'!$A$5:$A$171,"Hyderabad")</f>
        <v>0</v>
      </c>
      <c r="L71" s="8" t="n">
        <f aca="false">SUMIFS('Plant x size'!$P$5:$P$171,'Plant x size'!$B$5:$B$171,A71,'Plant x size'!$A$5:$A$171,"Lepakshi")</f>
        <v>7.5</v>
      </c>
      <c r="M71" s="8" t="n">
        <f aca="false">SUMIFS('Plant x size'!$P$5:$P$171,'Plant x size'!$B$5:$B$171,A71,'Plant x size'!$A$5:$A$171,"NPMD")</f>
        <v>17.4</v>
      </c>
      <c r="N71" s="8" t="n">
        <f aca="false">SUMIFS('Plant x size'!$P$5:$P$171,'Plant x size'!$B$5:$B$171,A71,'Plant x size'!$A$5:$A$171,"Tapi")</f>
        <v>44</v>
      </c>
    </row>
    <row r="72" customFormat="false" ht="15" hidden="false" customHeight="false" outlineLevel="0" collapsed="false">
      <c r="A72" s="7" t="s">
        <v>129</v>
      </c>
      <c r="B72" s="8" t="n">
        <f aca="false">SUMIF('Plant x size'!$B$5:$B$171,A72,'Plant x size'!$C$5:$C$171)</f>
        <v>10.6625504</v>
      </c>
      <c r="C72" s="8" t="n">
        <f aca="false">SUMIF('Plant x size'!$B$5:$B$171,A72,'Plant x size'!$D$5:$D$171)</f>
        <v>17</v>
      </c>
      <c r="D72" s="8" t="n">
        <f aca="false">SUMIF('Plant x size'!$B$5:$B$171,A72,'Plant x size'!$K$5:$K$171)</f>
        <v>17</v>
      </c>
      <c r="E72" s="8" t="n">
        <f aca="false">SUMIF('Plant x size'!$B$5:$B$171,A72,'Plant x size'!$L$5:$L$171)</f>
        <v>0</v>
      </c>
      <c r="F72" s="8" t="n">
        <f aca="false">SUMIF('Plant x size'!$B$5:$B$171,A72,'Plant x size'!$M$5:$M$171)</f>
        <v>0</v>
      </c>
      <c r="G72" s="8" t="n">
        <f aca="false">SUMIF('Plant x size'!$B$5:$B$171,A72,'Plant x size'!$N$5:$N$171)</f>
        <v>0</v>
      </c>
      <c r="H72" s="8" t="n">
        <f aca="false">SUMIF('Plant x size'!$B$5:$B$171,A72,'Plant x size'!$O$5:$O$171)</f>
        <v>0</v>
      </c>
      <c r="I72" s="7" t="n">
        <f aca="false">SUMIF('Plant x size'!$B$5:$B$171,A72,'Plant x size'!$P$5:$P$171)</f>
        <v>17</v>
      </c>
      <c r="J72" s="8" t="n">
        <f aca="false">SUMIF('Plant x size'!$B$5:$B$171,A72,'Plant x size'!$Q$5:$Q$171)</f>
        <v>0</v>
      </c>
      <c r="K72" s="8" t="n">
        <f aca="false">SUMIFS('Plant x size'!$P$5:$P$171,'Plant x size'!$B$5:$B$171,A72,'Plant x size'!$A$5:$A$171,"Hyderabad")</f>
        <v>0</v>
      </c>
      <c r="L72" s="8" t="n">
        <f aca="false">SUMIFS('Plant x size'!$P$5:$P$171,'Plant x size'!$B$5:$B$171,A72,'Plant x size'!$A$5:$A$171,"Lepakshi")</f>
        <v>4</v>
      </c>
      <c r="M72" s="8" t="n">
        <f aca="false">SUMIFS('Plant x size'!$P$5:$P$171,'Plant x size'!$B$5:$B$171,A72,'Plant x size'!$A$5:$A$171,"NPMD")</f>
        <v>0</v>
      </c>
      <c r="N72" s="8" t="n">
        <f aca="false">SUMIFS('Plant x size'!$P$5:$P$171,'Plant x size'!$B$5:$B$171,A72,'Plant x size'!$A$5:$A$171,"Tapi")</f>
        <v>13</v>
      </c>
    </row>
    <row r="73" customFormat="false" ht="15" hidden="false" customHeight="false" outlineLevel="0" collapsed="false">
      <c r="A73" s="7" t="s">
        <v>130</v>
      </c>
      <c r="B73" s="8" t="n">
        <f aca="false">SUMIF('Plant x size'!$B$5:$B$171,A73,'Plant x size'!$C$5:$C$171)</f>
        <v>22.771162</v>
      </c>
      <c r="C73" s="8" t="n">
        <f aca="false">SUMIF('Plant x size'!$B$5:$B$171,A73,'Plant x size'!$D$5:$D$171)</f>
        <v>26.8</v>
      </c>
      <c r="D73" s="8" t="n">
        <f aca="false">SUMIF('Plant x size'!$B$5:$B$171,A73,'Plant x size'!$K$5:$K$171)</f>
        <v>20.8</v>
      </c>
      <c r="E73" s="8" t="n">
        <f aca="false">SUMIF('Plant x size'!$B$5:$B$171,A73,'Plant x size'!$L$5:$L$171)</f>
        <v>0</v>
      </c>
      <c r="F73" s="8" t="n">
        <f aca="false">SUMIF('Plant x size'!$B$5:$B$171,A73,'Plant x size'!$M$5:$M$171)</f>
        <v>0</v>
      </c>
      <c r="G73" s="8" t="n">
        <f aca="false">SUMIF('Plant x size'!$B$5:$B$171,A73,'Plant x size'!$N$5:$N$171)</f>
        <v>0</v>
      </c>
      <c r="H73" s="8" t="n">
        <f aca="false">SUMIF('Plant x size'!$B$5:$B$171,A73,'Plant x size'!$O$5:$O$171)</f>
        <v>6</v>
      </c>
      <c r="I73" s="7" t="n">
        <f aca="false">SUMIF('Plant x size'!$B$5:$B$171,A73,'Plant x size'!$P$5:$P$171)</f>
        <v>26.8</v>
      </c>
      <c r="J73" s="8" t="n">
        <f aca="false">SUMIF('Plant x size'!$B$5:$B$171,A73,'Plant x size'!$Q$5:$Q$171)</f>
        <v>0</v>
      </c>
      <c r="K73" s="8" t="n">
        <f aca="false">SUMIFS('Plant x size'!$P$5:$P$171,'Plant x size'!$B$5:$B$171,A73,'Plant x size'!$A$5:$A$171,"Hyderabad")</f>
        <v>0</v>
      </c>
      <c r="L73" s="8" t="n">
        <f aca="false">SUMIFS('Plant x size'!$P$5:$P$171,'Plant x size'!$B$5:$B$171,A73,'Plant x size'!$A$5:$A$171,"Lepakshi")</f>
        <v>20.8</v>
      </c>
      <c r="M73" s="8" t="n">
        <f aca="false">SUMIFS('Plant x size'!$P$5:$P$171,'Plant x size'!$B$5:$B$171,A73,'Plant x size'!$A$5:$A$171,"NPMD")</f>
        <v>0</v>
      </c>
      <c r="N73" s="8" t="n">
        <f aca="false">SUMIFS('Plant x size'!$P$5:$P$171,'Plant x size'!$B$5:$B$171,A73,'Plant x size'!$A$5:$A$171,"Tapi")</f>
        <v>6</v>
      </c>
    </row>
    <row r="74" customFormat="false" ht="15" hidden="false" customHeight="false" outlineLevel="0" collapsed="false">
      <c r="A74" s="7" t="s">
        <v>77</v>
      </c>
      <c r="B74" s="8" t="n">
        <f aca="false">SUMIF('Plant x size'!$B$5:$B$171,A74,'Plant x size'!$C$5:$C$171)</f>
        <v>3.09150749999996</v>
      </c>
      <c r="C74" s="8" t="n">
        <f aca="false">SUMIF('Plant x size'!$B$5:$B$171,A74,'Plant x size'!$D$5:$D$171)</f>
        <v>0</v>
      </c>
      <c r="D74" s="8" t="n">
        <f aca="false">SUMIF('Plant x size'!$B$5:$B$171,A74,'Plant x size'!$K$5:$K$171)</f>
        <v>0</v>
      </c>
      <c r="E74" s="8" t="n">
        <f aca="false">SUMIF('Plant x size'!$B$5:$B$171,A74,'Plant x size'!$L$5:$L$171)</f>
        <v>0</v>
      </c>
      <c r="F74" s="8" t="n">
        <f aca="false">SUMIF('Plant x size'!$B$5:$B$171,A74,'Plant x size'!$M$5:$M$171)</f>
        <v>0</v>
      </c>
      <c r="G74" s="8" t="n">
        <f aca="false">SUMIF('Plant x size'!$B$5:$B$171,A74,'Plant x size'!$N$5:$N$171)</f>
        <v>0</v>
      </c>
      <c r="H74" s="8" t="n">
        <f aca="false">SUMIF('Plant x size'!$B$5:$B$171,A74,'Plant x size'!$O$5:$O$171)</f>
        <v>0</v>
      </c>
      <c r="I74" s="7" t="n">
        <f aca="false">SUMIF('Plant x size'!$B$5:$B$171,A74,'Plant x size'!$P$5:$P$171)</f>
        <v>0</v>
      </c>
      <c r="J74" s="8" t="n">
        <f aca="false">SUMIF('Plant x size'!$B$5:$B$171,A74,'Plant x size'!$Q$5:$Q$171)</f>
        <v>0</v>
      </c>
      <c r="K74" s="8" t="n">
        <f aca="false">SUMIFS('Plant x size'!$P$5:$P$171,'Plant x size'!$B$5:$B$171,A74,'Plant x size'!$A$5:$A$171,"Hyderabad")</f>
        <v>0</v>
      </c>
      <c r="L74" s="8" t="n">
        <f aca="false">SUMIFS('Plant x size'!$P$5:$P$171,'Plant x size'!$B$5:$B$171,A74,'Plant x size'!$A$5:$A$171,"Lepakshi")</f>
        <v>0</v>
      </c>
      <c r="M74" s="8" t="n">
        <f aca="false">SUMIFS('Plant x size'!$P$5:$P$171,'Plant x size'!$B$5:$B$171,A74,'Plant x size'!$A$5:$A$171,"NPMD")</f>
        <v>0</v>
      </c>
      <c r="N74" s="8" t="n">
        <f aca="false">SUMIFS('Plant x size'!$P$5:$P$171,'Plant x size'!$B$5:$B$171,A74,'Plant x size'!$A$5:$A$171,"Tapi")</f>
        <v>0</v>
      </c>
    </row>
    <row r="75" customFormat="false" ht="15" hidden="false" customHeight="false" outlineLevel="0" collapsed="false">
      <c r="A75" s="7" t="s">
        <v>78</v>
      </c>
      <c r="B75" s="8" t="n">
        <f aca="false">SUMIF('Plant x size'!$B$5:$B$171,A75,'Plant x size'!$C$5:$C$171)</f>
        <v>12.3371932480001</v>
      </c>
      <c r="C75" s="8" t="n">
        <f aca="false">SUMIF('Plant x size'!$B$5:$B$171,A75,'Plant x size'!$D$5:$D$171)</f>
        <v>8.726</v>
      </c>
      <c r="D75" s="8" t="n">
        <f aca="false">SUMIF('Plant x size'!$B$5:$B$171,A75,'Plant x size'!$K$5:$K$171)</f>
        <v>8.726</v>
      </c>
      <c r="E75" s="8" t="n">
        <f aca="false">SUMIF('Plant x size'!$B$5:$B$171,A75,'Plant x size'!$L$5:$L$171)</f>
        <v>0</v>
      </c>
      <c r="F75" s="8" t="n">
        <f aca="false">SUMIF('Plant x size'!$B$5:$B$171,A75,'Plant x size'!$M$5:$M$171)</f>
        <v>0</v>
      </c>
      <c r="G75" s="8" t="n">
        <f aca="false">SUMIF('Plant x size'!$B$5:$B$171,A75,'Plant x size'!$N$5:$N$171)</f>
        <v>0</v>
      </c>
      <c r="H75" s="8" t="n">
        <f aca="false">SUMIF('Plant x size'!$B$5:$B$171,A75,'Plant x size'!$O$5:$O$171)</f>
        <v>0</v>
      </c>
      <c r="I75" s="7" t="n">
        <f aca="false">SUMIF('Plant x size'!$B$5:$B$171,A75,'Plant x size'!$P$5:$P$171)</f>
        <v>8.726</v>
      </c>
      <c r="J75" s="8" t="n">
        <f aca="false">SUMIF('Plant x size'!$B$5:$B$171,A75,'Plant x size'!$Q$5:$Q$171)</f>
        <v>0</v>
      </c>
      <c r="K75" s="8" t="n">
        <f aca="false">SUMIFS('Plant x size'!$P$5:$P$171,'Plant x size'!$B$5:$B$171,A75,'Plant x size'!$A$5:$A$171,"Hyderabad")</f>
        <v>8.726</v>
      </c>
      <c r="L75" s="8" t="n">
        <f aca="false">SUMIFS('Plant x size'!$P$5:$P$171,'Plant x size'!$B$5:$B$171,A75,'Plant x size'!$A$5:$A$171,"Lepakshi")</f>
        <v>0</v>
      </c>
      <c r="M75" s="8" t="n">
        <f aca="false">SUMIFS('Plant x size'!$P$5:$P$171,'Plant x size'!$B$5:$B$171,A75,'Plant x size'!$A$5:$A$171,"NPMD")</f>
        <v>0</v>
      </c>
      <c r="N75" s="8" t="n">
        <f aca="false">SUMIFS('Plant x size'!$P$5:$P$171,'Plant x size'!$B$5:$B$171,A75,'Plant x size'!$A$5:$A$171,"Tapi")</f>
        <v>0</v>
      </c>
    </row>
    <row r="76" customFormat="false" ht="15" hidden="false" customHeight="false" outlineLevel="0" collapsed="false">
      <c r="A76" s="7" t="s">
        <v>79</v>
      </c>
      <c r="B76" s="8" t="n">
        <f aca="false">SUMIF('Plant x size'!$B$5:$B$171,A76,'Plant x size'!$C$5:$C$171)</f>
        <v>14.6710672</v>
      </c>
      <c r="C76" s="8" t="n">
        <f aca="false">SUMIF('Plant x size'!$B$5:$B$171,A76,'Plant x size'!$D$5:$D$171)</f>
        <v>14.408</v>
      </c>
      <c r="D76" s="8" t="n">
        <f aca="false">SUMIF('Plant x size'!$B$5:$B$171,A76,'Plant x size'!$K$5:$K$171)</f>
        <v>10.1414146727104</v>
      </c>
      <c r="E76" s="8" t="n">
        <f aca="false">SUMIF('Plant x size'!$B$5:$B$171,A76,'Plant x size'!$L$5:$L$171)</f>
        <v>4.26658532728962</v>
      </c>
      <c r="F76" s="8" t="n">
        <f aca="false">SUMIF('Plant x size'!$B$5:$B$171,A76,'Plant x size'!$M$5:$M$171)</f>
        <v>0</v>
      </c>
      <c r="G76" s="8" t="n">
        <f aca="false">SUMIF('Plant x size'!$B$5:$B$171,A76,'Plant x size'!$N$5:$N$171)</f>
        <v>0</v>
      </c>
      <c r="H76" s="8" t="n">
        <f aca="false">SUMIF('Plant x size'!$B$5:$B$171,A76,'Plant x size'!$O$5:$O$171)</f>
        <v>0</v>
      </c>
      <c r="I76" s="7" t="n">
        <f aca="false">SUMIF('Plant x size'!$B$5:$B$171,A76,'Plant x size'!$P$5:$P$171)</f>
        <v>14.408</v>
      </c>
      <c r="J76" s="8" t="n">
        <f aca="false">SUMIF('Plant x size'!$B$5:$B$171,A76,'Plant x size'!$Q$5:$Q$171)</f>
        <v>0</v>
      </c>
      <c r="K76" s="8" t="n">
        <f aca="false">SUMIFS('Plant x size'!$P$5:$P$171,'Plant x size'!$B$5:$B$171,A76,'Plant x size'!$A$5:$A$171,"Hyderabad")</f>
        <v>14.408</v>
      </c>
      <c r="L76" s="8" t="n">
        <f aca="false">SUMIFS('Plant x size'!$P$5:$P$171,'Plant x size'!$B$5:$B$171,A76,'Plant x size'!$A$5:$A$171,"Lepakshi")</f>
        <v>0</v>
      </c>
      <c r="M76" s="8" t="n">
        <f aca="false">SUMIFS('Plant x size'!$P$5:$P$171,'Plant x size'!$B$5:$B$171,A76,'Plant x size'!$A$5:$A$171,"NPMD")</f>
        <v>0</v>
      </c>
      <c r="N76" s="8" t="n">
        <f aca="false">SUMIFS('Plant x size'!$P$5:$P$171,'Plant x size'!$B$5:$B$171,A76,'Plant x size'!$A$5:$A$171,"Tapi")</f>
        <v>0</v>
      </c>
    </row>
    <row r="77" customFormat="false" ht="15" hidden="false" customHeight="false" outlineLevel="0" collapsed="false">
      <c r="A77" s="7" t="s">
        <v>131</v>
      </c>
      <c r="B77" s="8" t="n">
        <f aca="false">SUMIF('Plant x size'!$B$5:$B$171,A77,'Plant x size'!$C$5:$C$171)</f>
        <v>22.5846756</v>
      </c>
      <c r="C77" s="8" t="n">
        <f aca="false">SUMIF('Plant x size'!$B$5:$B$171,A77,'Plant x size'!$D$5:$D$171)</f>
        <v>27.2</v>
      </c>
      <c r="D77" s="8" t="n">
        <f aca="false">SUMIF('Plant x size'!$B$5:$B$171,A77,'Plant x size'!$K$5:$K$171)</f>
        <v>27.2</v>
      </c>
      <c r="E77" s="8" t="n">
        <f aca="false">SUMIF('Plant x size'!$B$5:$B$171,A77,'Plant x size'!$L$5:$L$171)</f>
        <v>0</v>
      </c>
      <c r="F77" s="8" t="n">
        <f aca="false">SUMIF('Plant x size'!$B$5:$B$171,A77,'Plant x size'!$M$5:$M$171)</f>
        <v>0</v>
      </c>
      <c r="G77" s="8" t="n">
        <f aca="false">SUMIF('Plant x size'!$B$5:$B$171,A77,'Plant x size'!$N$5:$N$171)</f>
        <v>0</v>
      </c>
      <c r="H77" s="8" t="n">
        <f aca="false">SUMIF('Plant x size'!$B$5:$B$171,A77,'Plant x size'!$O$5:$O$171)</f>
        <v>0</v>
      </c>
      <c r="I77" s="7" t="n">
        <f aca="false">SUMIF('Plant x size'!$B$5:$B$171,A77,'Plant x size'!$P$5:$P$171)</f>
        <v>27.2</v>
      </c>
      <c r="J77" s="8" t="n">
        <f aca="false">SUMIF('Plant x size'!$B$5:$B$171,A77,'Plant x size'!$Q$5:$Q$171)</f>
        <v>0</v>
      </c>
      <c r="K77" s="8" t="n">
        <f aca="false">SUMIFS('Plant x size'!$P$5:$P$171,'Plant x size'!$B$5:$B$171,A77,'Plant x size'!$A$5:$A$171,"Hyderabad")</f>
        <v>0</v>
      </c>
      <c r="L77" s="8" t="n">
        <f aca="false">SUMIFS('Plant x size'!$P$5:$P$171,'Plant x size'!$B$5:$B$171,A77,'Plant x size'!$A$5:$A$171,"Lepakshi")</f>
        <v>2.2</v>
      </c>
      <c r="M77" s="8" t="n">
        <f aca="false">SUMIFS('Plant x size'!$P$5:$P$171,'Plant x size'!$B$5:$B$171,A77,'Plant x size'!$A$5:$A$171,"NPMD")</f>
        <v>0</v>
      </c>
      <c r="N77" s="8" t="n">
        <f aca="false">SUMIFS('Plant x size'!$P$5:$P$171,'Plant x size'!$B$5:$B$171,A77,'Plant x size'!$A$5:$A$171,"Tapi")</f>
        <v>25</v>
      </c>
    </row>
    <row r="78" customFormat="false" ht="15" hidden="false" customHeight="false" outlineLevel="0" collapsed="false">
      <c r="A78" s="7" t="s">
        <v>132</v>
      </c>
      <c r="B78" s="8" t="n">
        <f aca="false">SUMIF('Plant x size'!$B$5:$B$171,A78,'Plant x size'!$C$5:$C$171)</f>
        <v>47.161967</v>
      </c>
      <c r="C78" s="8" t="n">
        <f aca="false">SUMIF('Plant x size'!$B$5:$B$171,A78,'Plant x size'!$D$5:$D$171)</f>
        <v>44.5</v>
      </c>
      <c r="D78" s="8" t="n">
        <f aca="false">SUMIF('Plant x size'!$B$5:$B$171,A78,'Plant x size'!$K$5:$K$171)</f>
        <v>44.5</v>
      </c>
      <c r="E78" s="8" t="n">
        <f aca="false">SUMIF('Plant x size'!$B$5:$B$171,A78,'Plant x size'!$L$5:$L$171)</f>
        <v>0</v>
      </c>
      <c r="F78" s="8" t="n">
        <f aca="false">SUMIF('Plant x size'!$B$5:$B$171,A78,'Plant x size'!$M$5:$M$171)</f>
        <v>0</v>
      </c>
      <c r="G78" s="8" t="n">
        <f aca="false">SUMIF('Plant x size'!$B$5:$B$171,A78,'Plant x size'!$N$5:$N$171)</f>
        <v>0</v>
      </c>
      <c r="H78" s="8" t="n">
        <f aca="false">SUMIF('Plant x size'!$B$5:$B$171,A78,'Plant x size'!$O$5:$O$171)</f>
        <v>0</v>
      </c>
      <c r="I78" s="7" t="n">
        <f aca="false">SUMIF('Plant x size'!$B$5:$B$171,A78,'Plant x size'!$P$5:$P$171)</f>
        <v>44.5</v>
      </c>
      <c r="J78" s="8" t="n">
        <f aca="false">SUMIF('Plant x size'!$B$5:$B$171,A78,'Plant x size'!$Q$5:$Q$171)</f>
        <v>0</v>
      </c>
      <c r="K78" s="8" t="n">
        <f aca="false">SUMIFS('Plant x size'!$P$5:$P$171,'Plant x size'!$B$5:$B$171,A78,'Plant x size'!$A$5:$A$171,"Hyderabad")</f>
        <v>0</v>
      </c>
      <c r="L78" s="8" t="n">
        <f aca="false">SUMIFS('Plant x size'!$P$5:$P$171,'Plant x size'!$B$5:$B$171,A78,'Plant x size'!$A$5:$A$171,"Lepakshi")</f>
        <v>22.5</v>
      </c>
      <c r="M78" s="8" t="n">
        <f aca="false">SUMIFS('Plant x size'!$P$5:$P$171,'Plant x size'!$B$5:$B$171,A78,'Plant x size'!$A$5:$A$171,"NPMD")</f>
        <v>0</v>
      </c>
      <c r="N78" s="8" t="n">
        <f aca="false">SUMIFS('Plant x size'!$P$5:$P$171,'Plant x size'!$B$5:$B$171,A78,'Plant x size'!$A$5:$A$171,"Tapi")</f>
        <v>22</v>
      </c>
    </row>
    <row r="79" customFormat="false" ht="15" hidden="false" customHeight="false" outlineLevel="0" collapsed="false">
      <c r="A79" s="7" t="s">
        <v>133</v>
      </c>
      <c r="B79" s="8" t="n">
        <f aca="false">SUMIF('Plant x size'!$B$5:$B$171,A79,'Plant x size'!$C$5:$C$171)</f>
        <v>58.8083268</v>
      </c>
      <c r="C79" s="8" t="n">
        <f aca="false">SUMIF('Plant x size'!$B$5:$B$171,A79,'Plant x size'!$D$5:$D$171)</f>
        <v>29.5</v>
      </c>
      <c r="D79" s="8" t="n">
        <f aca="false">SUMIF('Plant x size'!$B$5:$B$171,A79,'Plant x size'!$K$5:$K$171)</f>
        <v>29.5</v>
      </c>
      <c r="E79" s="8" t="n">
        <f aca="false">SUMIF('Plant x size'!$B$5:$B$171,A79,'Plant x size'!$L$5:$L$171)</f>
        <v>0</v>
      </c>
      <c r="F79" s="8" t="n">
        <f aca="false">SUMIF('Plant x size'!$B$5:$B$171,A79,'Plant x size'!$M$5:$M$171)</f>
        <v>0</v>
      </c>
      <c r="G79" s="8" t="n">
        <f aca="false">SUMIF('Plant x size'!$B$5:$B$171,A79,'Plant x size'!$N$5:$N$171)</f>
        <v>0</v>
      </c>
      <c r="H79" s="8" t="n">
        <f aca="false">SUMIF('Plant x size'!$B$5:$B$171,A79,'Plant x size'!$O$5:$O$171)</f>
        <v>0</v>
      </c>
      <c r="I79" s="7" t="n">
        <f aca="false">SUMIF('Plant x size'!$B$5:$B$171,A79,'Plant x size'!$P$5:$P$171)</f>
        <v>29.5</v>
      </c>
      <c r="J79" s="8" t="n">
        <f aca="false">SUMIF('Plant x size'!$B$5:$B$171,A79,'Plant x size'!$Q$5:$Q$171)</f>
        <v>0</v>
      </c>
      <c r="K79" s="8" t="n">
        <f aca="false">SUMIFS('Plant x size'!$P$5:$P$171,'Plant x size'!$B$5:$B$171,A79,'Plant x size'!$A$5:$A$171,"Hyderabad")</f>
        <v>0</v>
      </c>
      <c r="L79" s="8" t="n">
        <f aca="false">SUMIFS('Plant x size'!$P$5:$P$171,'Plant x size'!$B$5:$B$171,A79,'Plant x size'!$A$5:$A$171,"Lepakshi")</f>
        <v>8.5</v>
      </c>
      <c r="M79" s="8" t="n">
        <f aca="false">SUMIFS('Plant x size'!$P$5:$P$171,'Plant x size'!$B$5:$B$171,A79,'Plant x size'!$A$5:$A$171,"NPMD")</f>
        <v>0</v>
      </c>
      <c r="N79" s="8" t="n">
        <f aca="false">SUMIFS('Plant x size'!$P$5:$P$171,'Plant x size'!$B$5:$B$171,A79,'Plant x size'!$A$5:$A$171,"Tapi")</f>
        <v>21</v>
      </c>
    </row>
    <row r="80" customFormat="false" ht="15" hidden="false" customHeight="false" outlineLevel="0" collapsed="false">
      <c r="A80" s="7" t="s">
        <v>134</v>
      </c>
      <c r="B80" s="8" t="n">
        <f aca="false">SUMIF('Plant x size'!$B$5:$B$171,A80,'Plant x size'!$C$5:$C$171)</f>
        <v>30.45868</v>
      </c>
      <c r="C80" s="8" t="n">
        <f aca="false">SUMIF('Plant x size'!$B$5:$B$171,A80,'Plant x size'!$D$5:$D$171)</f>
        <v>43.5</v>
      </c>
      <c r="D80" s="8" t="n">
        <f aca="false">SUMIF('Plant x size'!$B$5:$B$171,A80,'Plant x size'!$K$5:$K$171)</f>
        <v>39.5</v>
      </c>
      <c r="E80" s="8" t="n">
        <f aca="false">SUMIF('Plant x size'!$B$5:$B$171,A80,'Plant x size'!$L$5:$L$171)</f>
        <v>0</v>
      </c>
      <c r="F80" s="8" t="n">
        <f aca="false">SUMIF('Plant x size'!$B$5:$B$171,A80,'Plant x size'!$M$5:$M$171)</f>
        <v>0</v>
      </c>
      <c r="G80" s="8" t="n">
        <f aca="false">SUMIF('Plant x size'!$B$5:$B$171,A80,'Plant x size'!$N$5:$N$171)</f>
        <v>0</v>
      </c>
      <c r="H80" s="8" t="n">
        <f aca="false">SUMIF('Plant x size'!$B$5:$B$171,A80,'Plant x size'!$O$5:$O$171)</f>
        <v>4</v>
      </c>
      <c r="I80" s="7" t="n">
        <f aca="false">SUMIF('Plant x size'!$B$5:$B$171,A80,'Plant x size'!$P$5:$P$171)</f>
        <v>43.5</v>
      </c>
      <c r="J80" s="8" t="n">
        <f aca="false">SUMIF('Plant x size'!$B$5:$B$171,A80,'Plant x size'!$Q$5:$Q$171)</f>
        <v>0</v>
      </c>
      <c r="K80" s="8" t="n">
        <f aca="false">SUMIFS('Plant x size'!$P$5:$P$171,'Plant x size'!$B$5:$B$171,A80,'Plant x size'!$A$5:$A$171,"Hyderabad")</f>
        <v>0</v>
      </c>
      <c r="L80" s="8" t="n">
        <f aca="false">SUMIFS('Plant x size'!$P$5:$P$171,'Plant x size'!$B$5:$B$171,A80,'Plant x size'!$A$5:$A$171,"Lepakshi")</f>
        <v>39.5</v>
      </c>
      <c r="M80" s="8" t="n">
        <f aca="false">SUMIFS('Plant x size'!$P$5:$P$171,'Plant x size'!$B$5:$B$171,A80,'Plant x size'!$A$5:$A$171,"NPMD")</f>
        <v>0</v>
      </c>
      <c r="N80" s="8" t="n">
        <f aca="false">SUMIFS('Plant x size'!$P$5:$P$171,'Plant x size'!$B$5:$B$171,A80,'Plant x size'!$A$5:$A$171,"Tapi")</f>
        <v>4</v>
      </c>
    </row>
    <row r="81" customFormat="false" ht="15" hidden="false" customHeight="false" outlineLevel="0" collapsed="false">
      <c r="A81" s="7" t="s">
        <v>135</v>
      </c>
      <c r="B81" s="8" t="n">
        <f aca="false">SUMIF('Plant x size'!$B$5:$B$171,A81,'Plant x size'!$C$5:$C$171)</f>
        <v>23.196887</v>
      </c>
      <c r="C81" s="8" t="n">
        <f aca="false">SUMIF('Plant x size'!$B$5:$B$171,A81,'Plant x size'!$D$5:$D$171)</f>
        <v>28.2</v>
      </c>
      <c r="D81" s="8" t="n">
        <f aca="false">SUMIF('Plant x size'!$B$5:$B$171,A81,'Plant x size'!$K$5:$K$171)</f>
        <v>28.2</v>
      </c>
      <c r="E81" s="8" t="n">
        <f aca="false">SUMIF('Plant x size'!$B$5:$B$171,A81,'Plant x size'!$L$5:$L$171)</f>
        <v>0</v>
      </c>
      <c r="F81" s="8" t="n">
        <f aca="false">SUMIF('Plant x size'!$B$5:$B$171,A81,'Plant x size'!$M$5:$M$171)</f>
        <v>0</v>
      </c>
      <c r="G81" s="8" t="n">
        <f aca="false">SUMIF('Plant x size'!$B$5:$B$171,A81,'Plant x size'!$N$5:$N$171)</f>
        <v>0</v>
      </c>
      <c r="H81" s="8" t="n">
        <f aca="false">SUMIF('Plant x size'!$B$5:$B$171,A81,'Plant x size'!$O$5:$O$171)</f>
        <v>0</v>
      </c>
      <c r="I81" s="7" t="n">
        <f aca="false">SUMIF('Plant x size'!$B$5:$B$171,A81,'Plant x size'!$P$5:$P$171)</f>
        <v>28.2</v>
      </c>
      <c r="J81" s="8" t="n">
        <f aca="false">SUMIF('Plant x size'!$B$5:$B$171,A81,'Plant x size'!$Q$5:$Q$171)</f>
        <v>0</v>
      </c>
      <c r="K81" s="8" t="n">
        <f aca="false">SUMIFS('Plant x size'!$P$5:$P$171,'Plant x size'!$B$5:$B$171,A81,'Plant x size'!$A$5:$A$171,"Hyderabad")</f>
        <v>0</v>
      </c>
      <c r="L81" s="8" t="n">
        <f aca="false">SUMIFS('Plant x size'!$P$5:$P$171,'Plant x size'!$B$5:$B$171,A81,'Plant x size'!$A$5:$A$171,"Lepakshi")</f>
        <v>28.2</v>
      </c>
      <c r="M81" s="8" t="n">
        <f aca="false">SUMIFS('Plant x size'!$P$5:$P$171,'Plant x size'!$B$5:$B$171,A81,'Plant x size'!$A$5:$A$171,"NPMD")</f>
        <v>0</v>
      </c>
      <c r="N81" s="8" t="n">
        <f aca="false">SUMIFS('Plant x size'!$P$5:$P$171,'Plant x size'!$B$5:$B$171,A81,'Plant x size'!$A$5:$A$171,"Tapi")</f>
        <v>0</v>
      </c>
    </row>
    <row r="82" customFormat="false" ht="15" hidden="false" customHeight="false" outlineLevel="0" collapsed="false">
      <c r="A82" s="7" t="s">
        <v>151</v>
      </c>
      <c r="B82" s="8" t="n">
        <f aca="false">SUMIF('Plant x size'!$B$5:$B$171,A82,'Plant x size'!$C$5:$C$171)</f>
        <v>0</v>
      </c>
      <c r="C82" s="8" t="n">
        <f aca="false">SUMIF('Plant x size'!$B$5:$B$171,A82,'Plant x size'!$D$5:$D$171)</f>
        <v>14</v>
      </c>
      <c r="D82" s="8" t="n">
        <f aca="false">SUMIF('Plant x size'!$B$5:$B$171,A82,'Plant x size'!$K$5:$K$171)</f>
        <v>0</v>
      </c>
      <c r="E82" s="8" t="n">
        <f aca="false">SUMIF('Plant x size'!$B$5:$B$171,A82,'Plant x size'!$L$5:$L$171)</f>
        <v>0</v>
      </c>
      <c r="F82" s="8" t="n">
        <f aca="false">SUMIF('Plant x size'!$B$5:$B$171,A82,'Plant x size'!$M$5:$M$171)</f>
        <v>0</v>
      </c>
      <c r="G82" s="8" t="n">
        <f aca="false">SUMIF('Plant x size'!$B$5:$B$171,A82,'Plant x size'!$N$5:$N$171)</f>
        <v>0</v>
      </c>
      <c r="H82" s="8" t="n">
        <f aca="false">SUMIF('Plant x size'!$B$5:$B$171,A82,'Plant x size'!$O$5:$O$171)</f>
        <v>14</v>
      </c>
      <c r="I82" s="7" t="n">
        <f aca="false">SUMIF('Plant x size'!$B$5:$B$171,A82,'Plant x size'!$P$5:$P$171)</f>
        <v>14</v>
      </c>
      <c r="J82" s="8" t="n">
        <f aca="false">SUMIF('Plant x size'!$B$5:$B$171,A82,'Plant x size'!$Q$5:$Q$171)</f>
        <v>0</v>
      </c>
      <c r="K82" s="8" t="n">
        <f aca="false">SUMIFS('Plant x size'!$P$5:$P$171,'Plant x size'!$B$5:$B$171,A82,'Plant x size'!$A$5:$A$171,"Hyderabad")</f>
        <v>0</v>
      </c>
      <c r="L82" s="8" t="n">
        <f aca="false">SUMIFS('Plant x size'!$P$5:$P$171,'Plant x size'!$B$5:$B$171,A82,'Plant x size'!$A$5:$A$171,"Lepakshi")</f>
        <v>0</v>
      </c>
      <c r="M82" s="8" t="n">
        <f aca="false">SUMIFS('Plant x size'!$P$5:$P$171,'Plant x size'!$B$5:$B$171,A82,'Plant x size'!$A$5:$A$171,"NPMD")</f>
        <v>0</v>
      </c>
      <c r="N82" s="8" t="n">
        <f aca="false">SUMIFS('Plant x size'!$P$5:$P$171,'Plant x size'!$B$5:$B$171,A82,'Plant x size'!$A$5:$A$171,"Tapi")</f>
        <v>14</v>
      </c>
    </row>
    <row r="83" customFormat="false" ht="15" hidden="false" customHeight="false" outlineLevel="0" collapsed="false">
      <c r="A83" s="7" t="s">
        <v>152</v>
      </c>
      <c r="B83" s="8" t="n">
        <f aca="false">SUMIF('Plant x size'!$B$5:$B$171,A83,'Plant x size'!$C$5:$C$171)</f>
        <v>17.5263252</v>
      </c>
      <c r="C83" s="8" t="n">
        <f aca="false">SUMIF('Plant x size'!$B$5:$B$171,A83,'Plant x size'!$D$5:$D$171)</f>
        <v>16</v>
      </c>
      <c r="D83" s="8" t="n">
        <f aca="false">SUMIF('Plant x size'!$B$5:$B$171,A83,'Plant x size'!$K$5:$K$171)</f>
        <v>15.0521131720185</v>
      </c>
      <c r="E83" s="8" t="n">
        <f aca="false">SUMIF('Plant x size'!$B$5:$B$171,A83,'Plant x size'!$L$5:$L$171)</f>
        <v>0.947886827981485</v>
      </c>
      <c r="F83" s="8" t="n">
        <f aca="false">SUMIF('Plant x size'!$B$5:$B$171,A83,'Plant x size'!$M$5:$M$171)</f>
        <v>0</v>
      </c>
      <c r="G83" s="8" t="n">
        <f aca="false">SUMIF('Plant x size'!$B$5:$B$171,A83,'Plant x size'!$N$5:$N$171)</f>
        <v>0</v>
      </c>
      <c r="H83" s="8" t="n">
        <f aca="false">SUMIF('Plant x size'!$B$5:$B$171,A83,'Plant x size'!$O$5:$O$171)</f>
        <v>0</v>
      </c>
      <c r="I83" s="7" t="n">
        <f aca="false">SUMIF('Plant x size'!$B$5:$B$171,A83,'Plant x size'!$P$5:$P$171)</f>
        <v>16</v>
      </c>
      <c r="J83" s="8" t="n">
        <f aca="false">SUMIF('Plant x size'!$B$5:$B$171,A83,'Plant x size'!$Q$5:$Q$171)</f>
        <v>0</v>
      </c>
      <c r="K83" s="8" t="n">
        <f aca="false">SUMIFS('Plant x size'!$P$5:$P$171,'Plant x size'!$B$5:$B$171,A83,'Plant x size'!$A$5:$A$171,"Hyderabad")</f>
        <v>0</v>
      </c>
      <c r="L83" s="8" t="n">
        <f aca="false">SUMIFS('Plant x size'!$P$5:$P$171,'Plant x size'!$B$5:$B$171,A83,'Plant x size'!$A$5:$A$171,"Lepakshi")</f>
        <v>0</v>
      </c>
      <c r="M83" s="8" t="n">
        <f aca="false">SUMIFS('Plant x size'!$P$5:$P$171,'Plant x size'!$B$5:$B$171,A83,'Plant x size'!$A$5:$A$171,"NPMD")</f>
        <v>0</v>
      </c>
      <c r="N83" s="8" t="n">
        <f aca="false">SUMIFS('Plant x size'!$P$5:$P$171,'Plant x size'!$B$5:$B$171,A83,'Plant x size'!$A$5:$A$171,"Tapi")</f>
        <v>16</v>
      </c>
    </row>
    <row r="84" customFormat="false" ht="15" hidden="false" customHeight="false" outlineLevel="0" collapsed="false">
      <c r="A84" s="7" t="s">
        <v>153</v>
      </c>
      <c r="B84" s="8" t="n">
        <f aca="false">SUMIF('Plant x size'!$B$5:$B$171,A84,'Plant x size'!$C$5:$C$171)</f>
        <v>45.282544</v>
      </c>
      <c r="C84" s="8" t="n">
        <f aca="false">SUMIF('Plant x size'!$B$5:$B$171,A84,'Plant x size'!$D$5:$D$171)</f>
        <v>44</v>
      </c>
      <c r="D84" s="8" t="n">
        <f aca="false">SUMIF('Plant x size'!$B$5:$B$171,A84,'Plant x size'!$K$5:$K$171)</f>
        <v>43.2982782946117</v>
      </c>
      <c r="E84" s="8" t="n">
        <f aca="false">SUMIF('Plant x size'!$B$5:$B$171,A84,'Plant x size'!$L$5:$L$171)</f>
        <v>0.701721705388288</v>
      </c>
      <c r="F84" s="8" t="n">
        <f aca="false">SUMIF('Plant x size'!$B$5:$B$171,A84,'Plant x size'!$M$5:$M$171)</f>
        <v>0</v>
      </c>
      <c r="G84" s="8" t="n">
        <f aca="false">SUMIF('Plant x size'!$B$5:$B$171,A84,'Plant x size'!$N$5:$N$171)</f>
        <v>0</v>
      </c>
      <c r="H84" s="8" t="n">
        <f aca="false">SUMIF('Plant x size'!$B$5:$B$171,A84,'Plant x size'!$O$5:$O$171)</f>
        <v>0</v>
      </c>
      <c r="I84" s="7" t="n">
        <f aca="false">SUMIF('Plant x size'!$B$5:$B$171,A84,'Plant x size'!$P$5:$P$171)</f>
        <v>44</v>
      </c>
      <c r="J84" s="8" t="n">
        <f aca="false">SUMIF('Plant x size'!$B$5:$B$171,A84,'Plant x size'!$Q$5:$Q$171)</f>
        <v>0</v>
      </c>
      <c r="K84" s="8" t="n">
        <f aca="false">SUMIFS('Plant x size'!$P$5:$P$171,'Plant x size'!$B$5:$B$171,A84,'Plant x size'!$A$5:$A$171,"Hyderabad")</f>
        <v>0</v>
      </c>
      <c r="L84" s="8" t="n">
        <f aca="false">SUMIFS('Plant x size'!$P$5:$P$171,'Plant x size'!$B$5:$B$171,A84,'Plant x size'!$A$5:$A$171,"Lepakshi")</f>
        <v>0</v>
      </c>
      <c r="M84" s="8" t="n">
        <f aca="false">SUMIFS('Plant x size'!$P$5:$P$171,'Plant x size'!$B$5:$B$171,A84,'Plant x size'!$A$5:$A$171,"NPMD")</f>
        <v>0</v>
      </c>
      <c r="N84" s="8" t="n">
        <f aca="false">SUMIFS('Plant x size'!$P$5:$P$171,'Plant x size'!$B$5:$B$171,A84,'Plant x size'!$A$5:$A$171,"Tapi")</f>
        <v>44</v>
      </c>
    </row>
    <row r="85" customFormat="false" ht="15" hidden="false" customHeight="false" outlineLevel="0" collapsed="false">
      <c r="A85" s="7" t="s">
        <v>154</v>
      </c>
      <c r="B85" s="8" t="n">
        <f aca="false">SUMIF('Plant x size'!$B$5:$B$171,A85,'Plant x size'!$C$5:$C$171)</f>
        <v>3.092136</v>
      </c>
      <c r="C85" s="8" t="n">
        <f aca="false">SUMIF('Plant x size'!$B$5:$B$171,A85,'Plant x size'!$D$5:$D$171)</f>
        <v>0</v>
      </c>
      <c r="D85" s="8" t="n">
        <f aca="false">SUMIF('Plant x size'!$B$5:$B$171,A85,'Plant x size'!$K$5:$K$171)</f>
        <v>0</v>
      </c>
      <c r="E85" s="8" t="n">
        <f aca="false">SUMIF('Plant x size'!$B$5:$B$171,A85,'Plant x size'!$L$5:$L$171)</f>
        <v>0</v>
      </c>
      <c r="F85" s="8" t="n">
        <f aca="false">SUMIF('Plant x size'!$B$5:$B$171,A85,'Plant x size'!$M$5:$M$171)</f>
        <v>0</v>
      </c>
      <c r="G85" s="8" t="n">
        <f aca="false">SUMIF('Plant x size'!$B$5:$B$171,A85,'Plant x size'!$N$5:$N$171)</f>
        <v>0</v>
      </c>
      <c r="H85" s="8" t="n">
        <f aca="false">SUMIF('Plant x size'!$B$5:$B$171,A85,'Plant x size'!$O$5:$O$171)</f>
        <v>0</v>
      </c>
      <c r="I85" s="7" t="n">
        <f aca="false">SUMIF('Plant x size'!$B$5:$B$171,A85,'Plant x size'!$P$5:$P$171)</f>
        <v>0</v>
      </c>
      <c r="J85" s="8" t="n">
        <f aca="false">SUMIF('Plant x size'!$B$5:$B$171,A85,'Plant x size'!$Q$5:$Q$171)</f>
        <v>0</v>
      </c>
      <c r="K85" s="8" t="n">
        <f aca="false">SUMIFS('Plant x size'!$P$5:$P$171,'Plant x size'!$B$5:$B$171,A85,'Plant x size'!$A$5:$A$171,"Hyderabad")</f>
        <v>0</v>
      </c>
      <c r="L85" s="8" t="n">
        <f aca="false">SUMIFS('Plant x size'!$P$5:$P$171,'Plant x size'!$B$5:$B$171,A85,'Plant x size'!$A$5:$A$171,"Lepakshi")</f>
        <v>0</v>
      </c>
      <c r="M85" s="8" t="n">
        <f aca="false">SUMIFS('Plant x size'!$P$5:$P$171,'Plant x size'!$B$5:$B$171,A85,'Plant x size'!$A$5:$A$171,"NPMD")</f>
        <v>0</v>
      </c>
      <c r="N85" s="8" t="n">
        <f aca="false">SUMIFS('Plant x size'!$P$5:$P$171,'Plant x size'!$B$5:$B$171,A85,'Plant x size'!$A$5:$A$171,"Tapi")</f>
        <v>0</v>
      </c>
    </row>
    <row r="86" customFormat="false" ht="15" hidden="false" customHeight="false" outlineLevel="0" collapsed="false">
      <c r="A86" s="7" t="s">
        <v>155</v>
      </c>
      <c r="B86" s="8" t="n">
        <f aca="false">SUMIF('Plant x size'!$B$5:$B$171,A86,'Plant x size'!$C$5:$C$171)</f>
        <v>0.00544800000000123</v>
      </c>
      <c r="C86" s="8" t="n">
        <f aca="false">SUMIF('Plant x size'!$B$5:$B$171,A86,'Plant x size'!$D$5:$D$171)</f>
        <v>0</v>
      </c>
      <c r="D86" s="8" t="n">
        <f aca="false">SUMIF('Plant x size'!$B$5:$B$171,A86,'Plant x size'!$K$5:$K$171)</f>
        <v>0</v>
      </c>
      <c r="E86" s="8" t="n">
        <f aca="false">SUMIF('Plant x size'!$B$5:$B$171,A86,'Plant x size'!$L$5:$L$171)</f>
        <v>0</v>
      </c>
      <c r="F86" s="8" t="n">
        <f aca="false">SUMIF('Plant x size'!$B$5:$B$171,A86,'Plant x size'!$M$5:$M$171)</f>
        <v>0</v>
      </c>
      <c r="G86" s="8" t="n">
        <f aca="false">SUMIF('Plant x size'!$B$5:$B$171,A86,'Plant x size'!$N$5:$N$171)</f>
        <v>0</v>
      </c>
      <c r="H86" s="8" t="n">
        <f aca="false">SUMIF('Plant x size'!$B$5:$B$171,A86,'Plant x size'!$O$5:$O$171)</f>
        <v>0</v>
      </c>
      <c r="I86" s="7" t="n">
        <f aca="false">SUMIF('Plant x size'!$B$5:$B$171,A86,'Plant x size'!$P$5:$P$171)</f>
        <v>0</v>
      </c>
      <c r="J86" s="8" t="n">
        <f aca="false">SUMIF('Plant x size'!$B$5:$B$171,A86,'Plant x size'!$Q$5:$Q$171)</f>
        <v>0</v>
      </c>
      <c r="K86" s="8" t="n">
        <f aca="false">SUMIFS('Plant x size'!$P$5:$P$171,'Plant x size'!$B$5:$B$171,A86,'Plant x size'!$A$5:$A$171,"Hyderabad")</f>
        <v>0</v>
      </c>
      <c r="L86" s="8" t="n">
        <f aca="false">SUMIFS('Plant x size'!$P$5:$P$171,'Plant x size'!$B$5:$B$171,A86,'Plant x size'!$A$5:$A$171,"Lepakshi")</f>
        <v>0</v>
      </c>
      <c r="M86" s="8" t="n">
        <f aca="false">SUMIFS('Plant x size'!$P$5:$P$171,'Plant x size'!$B$5:$B$171,A86,'Plant x size'!$A$5:$A$171,"NPMD")</f>
        <v>0</v>
      </c>
      <c r="N86" s="8" t="n">
        <f aca="false">SUMIFS('Plant x size'!$P$5:$P$171,'Plant x size'!$B$5:$B$171,A86,'Plant x size'!$A$5:$A$171,"Tapi")</f>
        <v>0</v>
      </c>
    </row>
    <row r="87" customFormat="false" ht="15" hidden="false" customHeight="false" outlineLevel="0" collapsed="false">
      <c r="A87" s="7" t="s">
        <v>156</v>
      </c>
      <c r="B87" s="8" t="n">
        <f aca="false">SUMIF('Plant x size'!$B$5:$B$171,A87,'Plant x size'!$C$5:$C$171)</f>
        <v>1.46430000000001</v>
      </c>
      <c r="C87" s="8" t="n">
        <f aca="false">SUMIF('Plant x size'!$B$5:$B$171,A87,'Plant x size'!$D$5:$D$171)</f>
        <v>0</v>
      </c>
      <c r="D87" s="8" t="n">
        <f aca="false">SUMIF('Plant x size'!$B$5:$B$171,A87,'Plant x size'!$K$5:$K$171)</f>
        <v>0</v>
      </c>
      <c r="E87" s="8" t="n">
        <f aca="false">SUMIF('Plant x size'!$B$5:$B$171,A87,'Plant x size'!$L$5:$L$171)</f>
        <v>0</v>
      </c>
      <c r="F87" s="8" t="n">
        <f aca="false">SUMIF('Plant x size'!$B$5:$B$171,A87,'Plant x size'!$M$5:$M$171)</f>
        <v>0</v>
      </c>
      <c r="G87" s="8" t="n">
        <f aca="false">SUMIF('Plant x size'!$B$5:$B$171,A87,'Plant x size'!$N$5:$N$171)</f>
        <v>0</v>
      </c>
      <c r="H87" s="8" t="n">
        <f aca="false">SUMIF('Plant x size'!$B$5:$B$171,A87,'Plant x size'!$O$5:$O$171)</f>
        <v>0</v>
      </c>
      <c r="I87" s="7" t="n">
        <f aca="false">SUMIF('Plant x size'!$B$5:$B$171,A87,'Plant x size'!$P$5:$P$171)</f>
        <v>0</v>
      </c>
      <c r="J87" s="8" t="n">
        <f aca="false">SUMIF('Plant x size'!$B$5:$B$171,A87,'Plant x size'!$Q$5:$Q$171)</f>
        <v>0</v>
      </c>
      <c r="K87" s="8" t="n">
        <f aca="false">SUMIFS('Plant x size'!$P$5:$P$171,'Plant x size'!$B$5:$B$171,A87,'Plant x size'!$A$5:$A$171,"Hyderabad")</f>
        <v>0</v>
      </c>
      <c r="L87" s="8" t="n">
        <f aca="false">SUMIFS('Plant x size'!$P$5:$P$171,'Plant x size'!$B$5:$B$171,A87,'Plant x size'!$A$5:$A$171,"Lepakshi")</f>
        <v>0</v>
      </c>
      <c r="M87" s="8" t="n">
        <f aca="false">SUMIFS('Plant x size'!$P$5:$P$171,'Plant x size'!$B$5:$B$171,A87,'Plant x size'!$A$5:$A$171,"NPMD")</f>
        <v>0</v>
      </c>
      <c r="N87" s="8" t="n">
        <f aca="false">SUMIFS('Plant x size'!$P$5:$P$171,'Plant x size'!$B$5:$B$171,A87,'Plant x size'!$A$5:$A$171,"Tapi")</f>
        <v>0</v>
      </c>
    </row>
    <row r="88" customFormat="false" ht="15" hidden="false" customHeight="false" outlineLevel="0" collapsed="false">
      <c r="A88" s="7" t="s">
        <v>80</v>
      </c>
      <c r="B88" s="8" t="n">
        <f aca="false">SUMIF('Plant x size'!$B$5:$B$171,A88,'Plant x size'!$C$5:$C$171)</f>
        <v>3.38020000000001</v>
      </c>
      <c r="C88" s="8" t="n">
        <f aca="false">SUMIF('Plant x size'!$B$5:$B$171,A88,'Plant x size'!$D$5:$D$171)</f>
        <v>4.761</v>
      </c>
      <c r="D88" s="8" t="n">
        <f aca="false">SUMIF('Plant x size'!$B$5:$B$171,A88,'Plant x size'!$K$5:$K$171)</f>
        <v>0</v>
      </c>
      <c r="E88" s="8" t="n">
        <f aca="false">SUMIF('Plant x size'!$B$5:$B$171,A88,'Plant x size'!$L$5:$L$171)</f>
        <v>4.761</v>
      </c>
      <c r="F88" s="8" t="n">
        <f aca="false">SUMIF('Plant x size'!$B$5:$B$171,A88,'Plant x size'!$M$5:$M$171)</f>
        <v>0</v>
      </c>
      <c r="G88" s="8" t="n">
        <f aca="false">SUMIF('Plant x size'!$B$5:$B$171,A88,'Plant x size'!$N$5:$N$171)</f>
        <v>0</v>
      </c>
      <c r="H88" s="8" t="n">
        <f aca="false">SUMIF('Plant x size'!$B$5:$B$171,A88,'Plant x size'!$O$5:$O$171)</f>
        <v>0</v>
      </c>
      <c r="I88" s="7" t="n">
        <f aca="false">SUMIF('Plant x size'!$B$5:$B$171,A88,'Plant x size'!$P$5:$P$171)</f>
        <v>4.761</v>
      </c>
      <c r="J88" s="8" t="n">
        <f aca="false">SUMIF('Plant x size'!$B$5:$B$171,A88,'Plant x size'!$Q$5:$Q$171)</f>
        <v>0</v>
      </c>
      <c r="K88" s="8" t="n">
        <f aca="false">SUMIFS('Plant x size'!$P$5:$P$171,'Plant x size'!$B$5:$B$171,A88,'Plant x size'!$A$5:$A$171,"Hyderabad")</f>
        <v>4.761</v>
      </c>
      <c r="L88" s="8" t="n">
        <f aca="false">SUMIFS('Plant x size'!$P$5:$P$171,'Plant x size'!$B$5:$B$171,A88,'Plant x size'!$A$5:$A$171,"Lepakshi")</f>
        <v>0</v>
      </c>
      <c r="M88" s="8" t="n">
        <f aca="false">SUMIFS('Plant x size'!$P$5:$P$171,'Plant x size'!$B$5:$B$171,A88,'Plant x size'!$A$5:$A$171,"NPMD")</f>
        <v>0</v>
      </c>
      <c r="N88" s="8" t="n">
        <f aca="false">SUMIFS('Plant x size'!$P$5:$P$171,'Plant x size'!$B$5:$B$171,A88,'Plant x size'!$A$5:$A$171,"Tapi")</f>
        <v>0</v>
      </c>
    </row>
    <row r="89" customFormat="false" ht="15" hidden="false" customHeight="false" outlineLevel="0" collapsed="false">
      <c r="A89" s="7" t="s">
        <v>81</v>
      </c>
      <c r="B89" s="8" t="n">
        <f aca="false">SUMIF('Plant x size'!$B$5:$B$171,A89,'Plant x size'!$C$5:$C$171)</f>
        <v>5.2602</v>
      </c>
      <c r="C89" s="8" t="n">
        <f aca="false">SUMIF('Plant x size'!$B$5:$B$171,A89,'Plant x size'!$D$5:$D$171)</f>
        <v>5.21</v>
      </c>
      <c r="D89" s="8" t="n">
        <f aca="false">SUMIF('Plant x size'!$B$5:$B$171,A89,'Plant x size'!$K$5:$K$171)</f>
        <v>0</v>
      </c>
      <c r="E89" s="8" t="n">
        <f aca="false">SUMIF('Plant x size'!$B$5:$B$171,A89,'Plant x size'!$L$5:$L$171)</f>
        <v>5.21</v>
      </c>
      <c r="F89" s="8" t="n">
        <f aca="false">SUMIF('Plant x size'!$B$5:$B$171,A89,'Plant x size'!$M$5:$M$171)</f>
        <v>0</v>
      </c>
      <c r="G89" s="8" t="n">
        <f aca="false">SUMIF('Plant x size'!$B$5:$B$171,A89,'Plant x size'!$N$5:$N$171)</f>
        <v>0</v>
      </c>
      <c r="H89" s="8" t="n">
        <f aca="false">SUMIF('Plant x size'!$B$5:$B$171,A89,'Plant x size'!$O$5:$O$171)</f>
        <v>0</v>
      </c>
      <c r="I89" s="7" t="n">
        <f aca="false">SUMIF('Plant x size'!$B$5:$B$171,A89,'Plant x size'!$P$5:$P$171)</f>
        <v>5.21</v>
      </c>
      <c r="J89" s="8" t="n">
        <f aca="false">SUMIF('Plant x size'!$B$5:$B$171,A89,'Plant x size'!$Q$5:$Q$171)</f>
        <v>0</v>
      </c>
      <c r="K89" s="8" t="n">
        <f aca="false">SUMIFS('Plant x size'!$P$5:$P$171,'Plant x size'!$B$5:$B$171,A89,'Plant x size'!$A$5:$A$171,"Hyderabad")</f>
        <v>5.21</v>
      </c>
      <c r="L89" s="8" t="n">
        <f aca="false">SUMIFS('Plant x size'!$P$5:$P$171,'Plant x size'!$B$5:$B$171,A89,'Plant x size'!$A$5:$A$171,"Lepakshi")</f>
        <v>0</v>
      </c>
      <c r="M89" s="8" t="n">
        <f aca="false">SUMIFS('Plant x size'!$P$5:$P$171,'Plant x size'!$B$5:$B$171,A89,'Plant x size'!$A$5:$A$171,"NPMD")</f>
        <v>0</v>
      </c>
      <c r="N89" s="8" t="n">
        <f aca="false">SUMIFS('Plant x size'!$P$5:$P$171,'Plant x size'!$B$5:$B$171,A89,'Plant x size'!$A$5:$A$171,"Tapi")</f>
        <v>0</v>
      </c>
    </row>
    <row r="90" customFormat="false" ht="15" hidden="false" customHeight="false" outlineLevel="0" collapsed="false">
      <c r="A90" s="7" t="s">
        <v>82</v>
      </c>
      <c r="B90" s="8" t="n">
        <f aca="false">SUMIF('Plant x size'!$B$5:$B$171,A90,'Plant x size'!$C$5:$C$171)</f>
        <v>20.3448108030086</v>
      </c>
      <c r="C90" s="8" t="n">
        <f aca="false">SUMIF('Plant x size'!$B$5:$B$171,A90,'Plant x size'!$D$5:$D$171)</f>
        <v>18.327</v>
      </c>
      <c r="D90" s="8" t="n">
        <f aca="false">SUMIF('Plant x size'!$B$5:$B$171,A90,'Plant x size'!$K$5:$K$171)</f>
        <v>8.62235268363621</v>
      </c>
      <c r="E90" s="8" t="n">
        <f aca="false">SUMIF('Plant x size'!$B$5:$B$171,A90,'Plant x size'!$L$5:$L$171)</f>
        <v>0</v>
      </c>
      <c r="F90" s="8" t="n">
        <f aca="false">SUMIF('Plant x size'!$B$5:$B$171,A90,'Plant x size'!$M$5:$M$171)</f>
        <v>0</v>
      </c>
      <c r="G90" s="8" t="n">
        <f aca="false">SUMIF('Plant x size'!$B$5:$B$171,A90,'Plant x size'!$N$5:$N$171)</f>
        <v>9.70464731636379</v>
      </c>
      <c r="H90" s="8" t="n">
        <f aca="false">SUMIF('Plant x size'!$B$5:$B$171,A90,'Plant x size'!$O$5:$O$171)</f>
        <v>0</v>
      </c>
      <c r="I90" s="7" t="n">
        <f aca="false">SUMIF('Plant x size'!$B$5:$B$171,A90,'Plant x size'!$P$5:$P$171)</f>
        <v>18.327</v>
      </c>
      <c r="J90" s="8" t="n">
        <f aca="false">SUMIF('Plant x size'!$B$5:$B$171,A90,'Plant x size'!$Q$5:$Q$171)</f>
        <v>9.70464731636379</v>
      </c>
      <c r="K90" s="8" t="n">
        <f aca="false">SUMIFS('Plant x size'!$P$5:$P$171,'Plant x size'!$B$5:$B$171,A90,'Plant x size'!$A$5:$A$171,"Hyderabad")</f>
        <v>18.327</v>
      </c>
      <c r="L90" s="8" t="n">
        <f aca="false">SUMIFS('Plant x size'!$P$5:$P$171,'Plant x size'!$B$5:$B$171,A90,'Plant x size'!$A$5:$A$171,"Lepakshi")</f>
        <v>0</v>
      </c>
      <c r="M90" s="8" t="n">
        <f aca="false">SUMIFS('Plant x size'!$P$5:$P$171,'Plant x size'!$B$5:$B$171,A90,'Plant x size'!$A$5:$A$171,"NPMD")</f>
        <v>0</v>
      </c>
      <c r="N90" s="8" t="n">
        <f aca="false">SUMIFS('Plant x size'!$P$5:$P$171,'Plant x size'!$B$5:$B$171,A90,'Plant x size'!$A$5:$A$171,"Tapi")</f>
        <v>0</v>
      </c>
    </row>
    <row r="91" customFormat="false" ht="15" hidden="false" customHeight="false" outlineLevel="0" collapsed="false">
      <c r="A91" s="7" t="s">
        <v>83</v>
      </c>
      <c r="B91" s="8" t="n">
        <f aca="false">SUMIF('Plant x size'!$B$5:$B$171,A91,'Plant x size'!$C$5:$C$171)</f>
        <v>14.6224114638618</v>
      </c>
      <c r="C91" s="8" t="n">
        <f aca="false">SUMIF('Plant x size'!$B$5:$B$171,A91,'Plant x size'!$D$5:$D$171)</f>
        <v>11.431</v>
      </c>
      <c r="D91" s="8" t="n">
        <f aca="false">SUMIF('Plant x size'!$B$5:$B$171,A91,'Plant x size'!$K$5:$K$171)</f>
        <v>6.12348433804096</v>
      </c>
      <c r="E91" s="8" t="n">
        <f aca="false">SUMIF('Plant x size'!$B$5:$B$171,A91,'Plant x size'!$L$5:$L$171)</f>
        <v>5.30751566195904</v>
      </c>
      <c r="F91" s="8" t="n">
        <f aca="false">SUMIF('Plant x size'!$B$5:$B$171,A91,'Plant x size'!$M$5:$M$171)</f>
        <v>0</v>
      </c>
      <c r="G91" s="8" t="n">
        <f aca="false">SUMIF('Plant x size'!$B$5:$B$171,A91,'Plant x size'!$N$5:$N$171)</f>
        <v>0</v>
      </c>
      <c r="H91" s="8" t="n">
        <f aca="false">SUMIF('Plant x size'!$B$5:$B$171,A91,'Plant x size'!$O$5:$O$171)</f>
        <v>0</v>
      </c>
      <c r="I91" s="7" t="n">
        <f aca="false">SUMIF('Plant x size'!$B$5:$B$171,A91,'Plant x size'!$P$5:$P$171)</f>
        <v>11.431</v>
      </c>
      <c r="J91" s="8" t="n">
        <f aca="false">SUMIF('Plant x size'!$B$5:$B$171,A91,'Plant x size'!$Q$5:$Q$171)</f>
        <v>0</v>
      </c>
      <c r="K91" s="8" t="n">
        <f aca="false">SUMIFS('Plant x size'!$P$5:$P$171,'Plant x size'!$B$5:$B$171,A91,'Plant x size'!$A$5:$A$171,"Hyderabad")</f>
        <v>11.431</v>
      </c>
      <c r="L91" s="8" t="n">
        <f aca="false">SUMIFS('Plant x size'!$P$5:$P$171,'Plant x size'!$B$5:$B$171,A91,'Plant x size'!$A$5:$A$171,"Lepakshi")</f>
        <v>0</v>
      </c>
      <c r="M91" s="8" t="n">
        <f aca="false">SUMIFS('Plant x size'!$P$5:$P$171,'Plant x size'!$B$5:$B$171,A91,'Plant x size'!$A$5:$A$171,"NPMD")</f>
        <v>0</v>
      </c>
      <c r="N91" s="8" t="n">
        <f aca="false">SUMIFS('Plant x size'!$P$5:$P$171,'Plant x size'!$B$5:$B$171,A91,'Plant x size'!$A$5:$A$171,"Tapi")</f>
        <v>0</v>
      </c>
    </row>
    <row r="92" customFormat="false" ht="15" hidden="false" customHeight="false" outlineLevel="0" collapsed="false">
      <c r="A92" s="7" t="s">
        <v>84</v>
      </c>
      <c r="B92" s="8" t="n">
        <f aca="false">SUMIF('Plant x size'!$B$5:$B$171,A92,'Plant x size'!$C$5:$C$171)</f>
        <v>10.6181676337717</v>
      </c>
      <c r="C92" s="8" t="n">
        <f aca="false">SUMIF('Plant x size'!$B$5:$B$171,A92,'Plant x size'!$D$5:$D$171)</f>
        <v>8.571</v>
      </c>
      <c r="D92" s="8" t="n">
        <f aca="false">SUMIF('Plant x size'!$B$5:$B$171,A92,'Plant x size'!$K$5:$K$171)</f>
        <v>6.25129250239461</v>
      </c>
      <c r="E92" s="8" t="n">
        <f aca="false">SUMIF('Plant x size'!$B$5:$B$171,A92,'Plant x size'!$L$5:$L$171)</f>
        <v>0</v>
      </c>
      <c r="F92" s="8" t="n">
        <f aca="false">SUMIF('Plant x size'!$B$5:$B$171,A92,'Plant x size'!$M$5:$M$171)</f>
        <v>0</v>
      </c>
      <c r="G92" s="8" t="n">
        <f aca="false">SUMIF('Plant x size'!$B$5:$B$171,A92,'Plant x size'!$N$5:$N$171)</f>
        <v>2.31970749760539</v>
      </c>
      <c r="H92" s="8" t="n">
        <f aca="false">SUMIF('Plant x size'!$B$5:$B$171,A92,'Plant x size'!$O$5:$O$171)</f>
        <v>0</v>
      </c>
      <c r="I92" s="7" t="n">
        <f aca="false">SUMIF('Plant x size'!$B$5:$B$171,A92,'Plant x size'!$P$5:$P$171)</f>
        <v>8.571</v>
      </c>
      <c r="J92" s="8" t="n">
        <f aca="false">SUMIF('Plant x size'!$B$5:$B$171,A92,'Plant x size'!$Q$5:$Q$171)</f>
        <v>2.31970749760539</v>
      </c>
      <c r="K92" s="8" t="n">
        <f aca="false">SUMIFS('Plant x size'!$P$5:$P$171,'Plant x size'!$B$5:$B$171,A92,'Plant x size'!$A$5:$A$171,"Hyderabad")</f>
        <v>8.571</v>
      </c>
      <c r="L92" s="8" t="n">
        <f aca="false">SUMIFS('Plant x size'!$P$5:$P$171,'Plant x size'!$B$5:$B$171,A92,'Plant x size'!$A$5:$A$171,"Lepakshi")</f>
        <v>0</v>
      </c>
      <c r="M92" s="8" t="n">
        <f aca="false">SUMIFS('Plant x size'!$P$5:$P$171,'Plant x size'!$B$5:$B$171,A92,'Plant x size'!$A$5:$A$171,"NPMD")</f>
        <v>0</v>
      </c>
      <c r="N92" s="8" t="n">
        <f aca="false">SUMIFS('Plant x size'!$P$5:$P$171,'Plant x size'!$B$5:$B$171,A92,'Plant x size'!$A$5:$A$171,"Tapi")</f>
        <v>0</v>
      </c>
    </row>
    <row r="93" customFormat="false" ht="15" hidden="false" customHeight="false" outlineLevel="0" collapsed="false">
      <c r="A93" s="7" t="s">
        <v>85</v>
      </c>
      <c r="B93" s="8" t="n">
        <f aca="false">SUMIF('Plant x size'!$B$5:$B$171,A93,'Plant x size'!$C$5:$C$171)</f>
        <v>9.69094282016051</v>
      </c>
      <c r="C93" s="8" t="n">
        <f aca="false">SUMIF('Plant x size'!$B$5:$B$171,A93,'Plant x size'!$D$5:$D$171)</f>
        <v>10.119</v>
      </c>
      <c r="D93" s="8" t="n">
        <f aca="false">SUMIF('Plant x size'!$B$5:$B$171,A93,'Plant x size'!$K$5:$K$171)</f>
        <v>1.35537905738427</v>
      </c>
      <c r="E93" s="8" t="n">
        <f aca="false">SUMIF('Plant x size'!$B$5:$B$171,A93,'Plant x size'!$L$5:$L$171)</f>
        <v>0</v>
      </c>
      <c r="F93" s="8" t="n">
        <f aca="false">SUMIF('Plant x size'!$B$5:$B$171,A93,'Plant x size'!$M$5:$M$171)</f>
        <v>0</v>
      </c>
      <c r="G93" s="8" t="n">
        <f aca="false">SUMIF('Plant x size'!$B$5:$B$171,A93,'Plant x size'!$N$5:$N$171)</f>
        <v>8.76362094261573</v>
      </c>
      <c r="H93" s="8" t="n">
        <f aca="false">SUMIF('Plant x size'!$B$5:$B$171,A93,'Plant x size'!$O$5:$O$171)</f>
        <v>0</v>
      </c>
      <c r="I93" s="7" t="n">
        <f aca="false">SUMIF('Plant x size'!$B$5:$B$171,A93,'Plant x size'!$P$5:$P$171)</f>
        <v>10.119</v>
      </c>
      <c r="J93" s="8" t="n">
        <f aca="false">SUMIF('Plant x size'!$B$5:$B$171,A93,'Plant x size'!$Q$5:$Q$171)</f>
        <v>8.76362094261573</v>
      </c>
      <c r="K93" s="8" t="n">
        <f aca="false">SUMIFS('Plant x size'!$P$5:$P$171,'Plant x size'!$B$5:$B$171,A93,'Plant x size'!$A$5:$A$171,"Hyderabad")</f>
        <v>10.119</v>
      </c>
      <c r="L93" s="8" t="n">
        <f aca="false">SUMIFS('Plant x size'!$P$5:$P$171,'Plant x size'!$B$5:$B$171,A93,'Plant x size'!$A$5:$A$171,"Lepakshi")</f>
        <v>0</v>
      </c>
      <c r="M93" s="8" t="n">
        <f aca="false">SUMIFS('Plant x size'!$P$5:$P$171,'Plant x size'!$B$5:$B$171,A93,'Plant x size'!$A$5:$A$171,"NPMD")</f>
        <v>0</v>
      </c>
      <c r="N93" s="8" t="n">
        <f aca="false">SUMIFS('Plant x size'!$P$5:$P$171,'Plant x size'!$B$5:$B$171,A93,'Plant x size'!$A$5:$A$171,"Tapi")</f>
        <v>0</v>
      </c>
    </row>
    <row r="94" customFormat="false" ht="15" hidden="false" customHeight="false" outlineLevel="0" collapsed="false">
      <c r="A94" s="7" t="s">
        <v>86</v>
      </c>
      <c r="B94" s="8" t="n">
        <f aca="false">SUMIF('Plant x size'!$B$5:$B$171,A94,'Plant x size'!$C$5:$C$171)</f>
        <v>9.04905037447167</v>
      </c>
      <c r="C94" s="8" t="n">
        <f aca="false">SUMIF('Plant x size'!$B$5:$B$171,A94,'Plant x size'!$D$5:$D$171)</f>
        <v>6.762</v>
      </c>
      <c r="D94" s="8" t="n">
        <f aca="false">SUMIF('Plant x size'!$B$5:$B$171,A94,'Plant x size'!$K$5:$K$171)</f>
        <v>0</v>
      </c>
      <c r="E94" s="8" t="n">
        <f aca="false">SUMIF('Plant x size'!$B$5:$B$171,A94,'Plant x size'!$L$5:$L$171)</f>
        <v>0</v>
      </c>
      <c r="F94" s="8" t="n">
        <f aca="false">SUMIF('Plant x size'!$B$5:$B$171,A94,'Plant x size'!$M$5:$M$171)</f>
        <v>6.762</v>
      </c>
      <c r="G94" s="8" t="n">
        <f aca="false">SUMIF('Plant x size'!$B$5:$B$171,A94,'Plant x size'!$N$5:$N$171)</f>
        <v>0</v>
      </c>
      <c r="H94" s="8" t="n">
        <f aca="false">SUMIF('Plant x size'!$B$5:$B$171,A94,'Plant x size'!$O$5:$O$171)</f>
        <v>0</v>
      </c>
      <c r="I94" s="7" t="n">
        <f aca="false">SUMIF('Plant x size'!$B$5:$B$171,A94,'Plant x size'!$P$5:$P$171)</f>
        <v>6.762</v>
      </c>
      <c r="J94" s="8" t="n">
        <f aca="false">SUMIF('Plant x size'!$B$5:$B$171,A94,'Plant x size'!$Q$5:$Q$171)</f>
        <v>6.762</v>
      </c>
      <c r="K94" s="8" t="n">
        <f aca="false">SUMIFS('Plant x size'!$P$5:$P$171,'Plant x size'!$B$5:$B$171,A94,'Plant x size'!$A$5:$A$171,"Hyderabad")</f>
        <v>6.762</v>
      </c>
      <c r="L94" s="8" t="n">
        <f aca="false">SUMIFS('Plant x size'!$P$5:$P$171,'Plant x size'!$B$5:$B$171,A94,'Plant x size'!$A$5:$A$171,"Lepakshi")</f>
        <v>0</v>
      </c>
      <c r="M94" s="8" t="n">
        <f aca="false">SUMIFS('Plant x size'!$P$5:$P$171,'Plant x size'!$B$5:$B$171,A94,'Plant x size'!$A$5:$A$171,"NPMD")</f>
        <v>0</v>
      </c>
      <c r="N94" s="8" t="n">
        <f aca="false">SUMIFS('Plant x size'!$P$5:$P$171,'Plant x size'!$B$5:$B$171,A94,'Plant x size'!$A$5:$A$171,"Tapi")</f>
        <v>0</v>
      </c>
    </row>
    <row r="95" customFormat="false" ht="15" hidden="false" customHeight="false" outlineLevel="0" collapsed="false">
      <c r="A95" s="7" t="s">
        <v>87</v>
      </c>
      <c r="B95" s="8" t="n">
        <f aca="false">SUMIF('Plant x size'!$B$5:$B$171,A95,'Plant x size'!$C$5:$C$171)</f>
        <v>0.884169445298547</v>
      </c>
      <c r="C95" s="8" t="n">
        <f aca="false">SUMIF('Plant x size'!$B$5:$B$171,A95,'Plant x size'!$D$5:$D$171)</f>
        <v>0</v>
      </c>
      <c r="D95" s="8" t="n">
        <f aca="false">SUMIF('Plant x size'!$B$5:$B$171,A95,'Plant x size'!$K$5:$K$171)</f>
        <v>0</v>
      </c>
      <c r="E95" s="8" t="n">
        <f aca="false">SUMIF('Plant x size'!$B$5:$B$171,A95,'Plant x size'!$L$5:$L$171)</f>
        <v>0</v>
      </c>
      <c r="F95" s="8" t="n">
        <f aca="false">SUMIF('Plant x size'!$B$5:$B$171,A95,'Plant x size'!$M$5:$M$171)</f>
        <v>0</v>
      </c>
      <c r="G95" s="8" t="n">
        <f aca="false">SUMIF('Plant x size'!$B$5:$B$171,A95,'Plant x size'!$N$5:$N$171)</f>
        <v>0</v>
      </c>
      <c r="H95" s="8" t="n">
        <f aca="false">SUMIF('Plant x size'!$B$5:$B$171,A95,'Plant x size'!$O$5:$O$171)</f>
        <v>0</v>
      </c>
      <c r="I95" s="7" t="n">
        <f aca="false">SUMIF('Plant x size'!$B$5:$B$171,A95,'Plant x size'!$P$5:$P$171)</f>
        <v>0</v>
      </c>
      <c r="J95" s="8" t="n">
        <f aca="false">SUMIF('Plant x size'!$B$5:$B$171,A95,'Plant x size'!$Q$5:$Q$171)</f>
        <v>0</v>
      </c>
      <c r="K95" s="8" t="n">
        <f aca="false">SUMIFS('Plant x size'!$P$5:$P$171,'Plant x size'!$B$5:$B$171,A95,'Plant x size'!$A$5:$A$171,"Hyderabad")</f>
        <v>0</v>
      </c>
      <c r="L95" s="8" t="n">
        <f aca="false">SUMIFS('Plant x size'!$P$5:$P$171,'Plant x size'!$B$5:$B$171,A95,'Plant x size'!$A$5:$A$171,"Lepakshi")</f>
        <v>0</v>
      </c>
      <c r="M95" s="8" t="n">
        <f aca="false">SUMIFS('Plant x size'!$P$5:$P$171,'Plant x size'!$B$5:$B$171,A95,'Plant x size'!$A$5:$A$171,"NPMD")</f>
        <v>0</v>
      </c>
      <c r="N95" s="8" t="n">
        <f aca="false">SUMIFS('Plant x size'!$P$5:$P$171,'Plant x size'!$B$5:$B$171,A95,'Plant x size'!$A$5:$A$171,"Tapi")</f>
        <v>0</v>
      </c>
    </row>
    <row r="96" customFormat="false" ht="15" hidden="false" customHeight="false" outlineLevel="0" collapsed="false">
      <c r="A96" s="7" t="s">
        <v>88</v>
      </c>
      <c r="B96" s="8" t="n">
        <f aca="false">SUMIF('Plant x size'!$B$5:$B$171,A96,'Plant x size'!$C$5:$C$171)</f>
        <v>0.27654390180969</v>
      </c>
      <c r="C96" s="8" t="n">
        <f aca="false">SUMIF('Plant x size'!$B$5:$B$171,A96,'Plant x size'!$D$5:$D$171)</f>
        <v>1.04</v>
      </c>
      <c r="D96" s="8" t="n">
        <f aca="false">SUMIF('Plant x size'!$B$5:$B$171,A96,'Plant x size'!$K$5:$K$171)</f>
        <v>1.04</v>
      </c>
      <c r="E96" s="8" t="n">
        <f aca="false">SUMIF('Plant x size'!$B$5:$B$171,A96,'Plant x size'!$L$5:$L$171)</f>
        <v>0</v>
      </c>
      <c r="F96" s="8" t="n">
        <f aca="false">SUMIF('Plant x size'!$B$5:$B$171,A96,'Plant x size'!$M$5:$M$171)</f>
        <v>0</v>
      </c>
      <c r="G96" s="8" t="n">
        <f aca="false">SUMIF('Plant x size'!$B$5:$B$171,A96,'Plant x size'!$N$5:$N$171)</f>
        <v>0</v>
      </c>
      <c r="H96" s="8" t="n">
        <f aca="false">SUMIF('Plant x size'!$B$5:$B$171,A96,'Plant x size'!$O$5:$O$171)</f>
        <v>0</v>
      </c>
      <c r="I96" s="7" t="n">
        <f aca="false">SUMIF('Plant x size'!$B$5:$B$171,A96,'Plant x size'!$P$5:$P$171)</f>
        <v>1.04</v>
      </c>
      <c r="J96" s="8" t="n">
        <f aca="false">SUMIF('Plant x size'!$B$5:$B$171,A96,'Plant x size'!$Q$5:$Q$171)</f>
        <v>0</v>
      </c>
      <c r="K96" s="8" t="n">
        <f aca="false">SUMIFS('Plant x size'!$P$5:$P$171,'Plant x size'!$B$5:$B$171,A96,'Plant x size'!$A$5:$A$171,"Hyderabad")</f>
        <v>1.04</v>
      </c>
      <c r="L96" s="8" t="n">
        <f aca="false">SUMIFS('Plant x size'!$P$5:$P$171,'Plant x size'!$B$5:$B$171,A96,'Plant x size'!$A$5:$A$171,"Lepakshi")</f>
        <v>0</v>
      </c>
      <c r="M96" s="8" t="n">
        <f aca="false">SUMIFS('Plant x size'!$P$5:$P$171,'Plant x size'!$B$5:$B$171,A96,'Plant x size'!$A$5:$A$171,"NPMD")</f>
        <v>0</v>
      </c>
      <c r="N96" s="8" t="n">
        <f aca="false">SUMIFS('Plant x size'!$P$5:$P$171,'Plant x size'!$B$5:$B$171,A96,'Plant x size'!$A$5:$A$171,"Tapi")</f>
        <v>0</v>
      </c>
    </row>
    <row r="97" customFormat="false" ht="15" hidden="false" customHeight="false" outlineLevel="0" collapsed="false">
      <c r="A97" s="7" t="s">
        <v>89</v>
      </c>
      <c r="B97" s="8" t="n">
        <f aca="false">SUMIF('Plant x size'!$B$5:$B$171,A97,'Plant x size'!$C$5:$C$171)</f>
        <v>0</v>
      </c>
      <c r="C97" s="8" t="n">
        <f aca="false">SUMIF('Plant x size'!$B$5:$B$171,A97,'Plant x size'!$D$5:$D$171)</f>
        <v>3.449</v>
      </c>
      <c r="D97" s="8" t="n">
        <f aca="false">SUMIF('Plant x size'!$B$5:$B$171,A97,'Plant x size'!$K$5:$K$171)</f>
        <v>0</v>
      </c>
      <c r="E97" s="8" t="n">
        <f aca="false">SUMIF('Plant x size'!$B$5:$B$171,A97,'Plant x size'!$L$5:$L$171)</f>
        <v>0</v>
      </c>
      <c r="F97" s="8" t="n">
        <f aca="false">SUMIF('Plant x size'!$B$5:$B$171,A97,'Plant x size'!$M$5:$M$171)</f>
        <v>0</v>
      </c>
      <c r="G97" s="8" t="n">
        <f aca="false">SUMIF('Plant x size'!$B$5:$B$171,A97,'Plant x size'!$N$5:$N$171)</f>
        <v>0</v>
      </c>
      <c r="H97" s="8" t="n">
        <f aca="false">SUMIF('Plant x size'!$B$5:$B$171,A97,'Plant x size'!$O$5:$O$171)</f>
        <v>3.449</v>
      </c>
      <c r="I97" s="7" t="n">
        <f aca="false">SUMIF('Plant x size'!$B$5:$B$171,A97,'Plant x size'!$P$5:$P$171)</f>
        <v>3.449</v>
      </c>
      <c r="J97" s="8" t="n">
        <f aca="false">SUMIF('Plant x size'!$B$5:$B$171,A97,'Plant x size'!$Q$5:$Q$171)</f>
        <v>0</v>
      </c>
      <c r="K97" s="8" t="n">
        <f aca="false">SUMIFS('Plant x size'!$P$5:$P$171,'Plant x size'!$B$5:$B$171,A97,'Plant x size'!$A$5:$A$171,"Hyderabad")</f>
        <v>3.449</v>
      </c>
      <c r="L97" s="8" t="n">
        <f aca="false">SUMIFS('Plant x size'!$P$5:$P$171,'Plant x size'!$B$5:$B$171,A97,'Plant x size'!$A$5:$A$171,"Lepakshi")</f>
        <v>0</v>
      </c>
      <c r="M97" s="8" t="n">
        <f aca="false">SUMIFS('Plant x size'!$P$5:$P$171,'Plant x size'!$B$5:$B$171,A97,'Plant x size'!$A$5:$A$171,"NPMD")</f>
        <v>0</v>
      </c>
      <c r="N97" s="8" t="n">
        <f aca="false">SUMIFS('Plant x size'!$P$5:$P$171,'Plant x size'!$B$5:$B$171,A97,'Plant x size'!$A$5:$A$171,"Tapi")</f>
        <v>0</v>
      </c>
    </row>
    <row r="98" customFormat="false" ht="15" hidden="false" customHeight="false" outlineLevel="0" collapsed="false">
      <c r="A98" s="7" t="s">
        <v>90</v>
      </c>
      <c r="B98" s="8" t="n">
        <f aca="false">SUMIF('Plant x size'!$B$5:$B$171,A98,'Plant x size'!$C$5:$C$171)</f>
        <v>1.35044088702466</v>
      </c>
      <c r="C98" s="8" t="n">
        <f aca="false">SUMIF('Plant x size'!$B$5:$B$171,A98,'Plant x size'!$D$5:$D$171)</f>
        <v>0</v>
      </c>
      <c r="D98" s="8" t="n">
        <f aca="false">SUMIF('Plant x size'!$B$5:$B$171,A98,'Plant x size'!$K$5:$K$171)</f>
        <v>0</v>
      </c>
      <c r="E98" s="8" t="n">
        <f aca="false">SUMIF('Plant x size'!$B$5:$B$171,A98,'Plant x size'!$L$5:$L$171)</f>
        <v>0</v>
      </c>
      <c r="F98" s="8" t="n">
        <f aca="false">SUMIF('Plant x size'!$B$5:$B$171,A98,'Plant x size'!$M$5:$M$171)</f>
        <v>0</v>
      </c>
      <c r="G98" s="8" t="n">
        <f aca="false">SUMIF('Plant x size'!$B$5:$B$171,A98,'Plant x size'!$N$5:$N$171)</f>
        <v>0</v>
      </c>
      <c r="H98" s="8" t="n">
        <f aca="false">SUMIF('Plant x size'!$B$5:$B$171,A98,'Plant x size'!$O$5:$O$171)</f>
        <v>0</v>
      </c>
      <c r="I98" s="7" t="n">
        <f aca="false">SUMIF('Plant x size'!$B$5:$B$171,A98,'Plant x size'!$P$5:$P$171)</f>
        <v>0</v>
      </c>
      <c r="J98" s="8" t="n">
        <f aca="false">SUMIF('Plant x size'!$B$5:$B$171,A98,'Plant x size'!$Q$5:$Q$171)</f>
        <v>0</v>
      </c>
      <c r="K98" s="8" t="n">
        <f aca="false">SUMIFS('Plant x size'!$P$5:$P$171,'Plant x size'!$B$5:$B$171,A98,'Plant x size'!$A$5:$A$171,"Hyderabad")</f>
        <v>0</v>
      </c>
      <c r="L98" s="8" t="n">
        <f aca="false">SUMIFS('Plant x size'!$P$5:$P$171,'Plant x size'!$B$5:$B$171,A98,'Plant x size'!$A$5:$A$171,"Lepakshi")</f>
        <v>0</v>
      </c>
      <c r="M98" s="8" t="n">
        <f aca="false">SUMIFS('Plant x size'!$P$5:$P$171,'Plant x size'!$B$5:$B$171,A98,'Plant x size'!$A$5:$A$171,"NPMD")</f>
        <v>0</v>
      </c>
      <c r="N98" s="8" t="n">
        <f aca="false">SUMIFS('Plant x size'!$P$5:$P$171,'Plant x size'!$B$5:$B$171,A98,'Plant x size'!$A$5:$A$171,"Tapi")</f>
        <v>0</v>
      </c>
    </row>
    <row r="99" customFormat="false" ht="15" hidden="false" customHeight="false" outlineLevel="0" collapsed="false">
      <c r="A99" s="7" t="s">
        <v>91</v>
      </c>
      <c r="B99" s="8" t="n">
        <f aca="false">SUMIF('Plant x size'!$B$5:$B$171,A99,'Plant x size'!$C$5:$C$171)</f>
        <v>7.39196666203889</v>
      </c>
      <c r="C99" s="8" t="n">
        <f aca="false">SUMIF('Plant x size'!$B$5:$B$171,A99,'Plant x size'!$D$5:$D$171)</f>
        <v>7.702</v>
      </c>
      <c r="D99" s="8" t="n">
        <f aca="false">SUMIF('Plant x size'!$B$5:$B$171,A99,'Plant x size'!$K$5:$K$171)</f>
        <v>0</v>
      </c>
      <c r="E99" s="8" t="n">
        <f aca="false">SUMIF('Plant x size'!$B$5:$B$171,A99,'Plant x size'!$L$5:$L$171)</f>
        <v>0</v>
      </c>
      <c r="F99" s="8" t="n">
        <f aca="false">SUMIF('Plant x size'!$B$5:$B$171,A99,'Plant x size'!$M$5:$M$171)</f>
        <v>7.702</v>
      </c>
      <c r="G99" s="8" t="n">
        <f aca="false">SUMIF('Plant x size'!$B$5:$B$171,A99,'Plant x size'!$N$5:$N$171)</f>
        <v>0</v>
      </c>
      <c r="H99" s="8" t="n">
        <f aca="false">SUMIF('Plant x size'!$B$5:$B$171,A99,'Plant x size'!$O$5:$O$171)</f>
        <v>0</v>
      </c>
      <c r="I99" s="7" t="n">
        <f aca="false">SUMIF('Plant x size'!$B$5:$B$171,A99,'Plant x size'!$P$5:$P$171)</f>
        <v>7.702</v>
      </c>
      <c r="J99" s="8" t="n">
        <f aca="false">SUMIF('Plant x size'!$B$5:$B$171,A99,'Plant x size'!$Q$5:$Q$171)</f>
        <v>7.702</v>
      </c>
      <c r="K99" s="8" t="n">
        <f aca="false">SUMIFS('Plant x size'!$P$5:$P$171,'Plant x size'!$B$5:$B$171,A99,'Plant x size'!$A$5:$A$171,"Hyderabad")</f>
        <v>7.702</v>
      </c>
      <c r="L99" s="8" t="n">
        <f aca="false">SUMIFS('Plant x size'!$P$5:$P$171,'Plant x size'!$B$5:$B$171,A99,'Plant x size'!$A$5:$A$171,"Lepakshi")</f>
        <v>0</v>
      </c>
      <c r="M99" s="8" t="n">
        <f aca="false">SUMIFS('Plant x size'!$P$5:$P$171,'Plant x size'!$B$5:$B$171,A99,'Plant x size'!$A$5:$A$171,"NPMD")</f>
        <v>0</v>
      </c>
      <c r="N99" s="8" t="n">
        <f aca="false">SUMIFS('Plant x size'!$P$5:$P$171,'Plant x size'!$B$5:$B$171,A99,'Plant x size'!$A$5:$A$171,"Tapi")</f>
        <v>0</v>
      </c>
    </row>
    <row r="100" customFormat="false" ht="15" hidden="false" customHeight="false" outlineLevel="0" collapsed="false">
      <c r="A100" s="7" t="s">
        <v>92</v>
      </c>
      <c r="B100" s="8" t="n">
        <f aca="false">SUMIF('Plant x size'!$B$5:$B$171,A100,'Plant x size'!$C$5:$C$171)</f>
        <v>25.7355663919971</v>
      </c>
      <c r="C100" s="8" t="n">
        <f aca="false">SUMIF('Plant x size'!$B$5:$B$171,A100,'Plant x size'!$D$5:$D$171)</f>
        <v>25.051</v>
      </c>
      <c r="D100" s="8" t="n">
        <f aca="false">SUMIF('Plant x size'!$B$5:$B$171,A100,'Plant x size'!$K$5:$K$171)</f>
        <v>4.18088295403954</v>
      </c>
      <c r="E100" s="8" t="n">
        <f aca="false">SUMIF('Plant x size'!$B$5:$B$171,A100,'Plant x size'!$L$5:$L$171)</f>
        <v>0</v>
      </c>
      <c r="F100" s="8" t="n">
        <f aca="false">SUMIF('Plant x size'!$B$5:$B$171,A100,'Plant x size'!$M$5:$M$171)</f>
        <v>0</v>
      </c>
      <c r="G100" s="8" t="n">
        <f aca="false">SUMIF('Plant x size'!$B$5:$B$171,A100,'Plant x size'!$N$5:$N$171)</f>
        <v>20.8701170459605</v>
      </c>
      <c r="H100" s="8" t="n">
        <f aca="false">SUMIF('Plant x size'!$B$5:$B$171,A100,'Plant x size'!$O$5:$O$171)</f>
        <v>0</v>
      </c>
      <c r="I100" s="7" t="n">
        <f aca="false">SUMIF('Plant x size'!$B$5:$B$171,A100,'Plant x size'!$P$5:$P$171)</f>
        <v>25.051</v>
      </c>
      <c r="J100" s="8" t="n">
        <f aca="false">SUMIF('Plant x size'!$B$5:$B$171,A100,'Plant x size'!$Q$5:$Q$171)</f>
        <v>20.8701170459605</v>
      </c>
      <c r="K100" s="8" t="n">
        <f aca="false">SUMIFS('Plant x size'!$P$5:$P$171,'Plant x size'!$B$5:$B$171,A100,'Plant x size'!$A$5:$A$171,"Hyderabad")</f>
        <v>25.051</v>
      </c>
      <c r="L100" s="8" t="n">
        <f aca="false">SUMIFS('Plant x size'!$P$5:$P$171,'Plant x size'!$B$5:$B$171,A100,'Plant x size'!$A$5:$A$171,"Lepakshi")</f>
        <v>0</v>
      </c>
      <c r="M100" s="8" t="n">
        <f aca="false">SUMIFS('Plant x size'!$P$5:$P$171,'Plant x size'!$B$5:$B$171,A100,'Plant x size'!$A$5:$A$171,"NPMD")</f>
        <v>0</v>
      </c>
      <c r="N100" s="8" t="n">
        <f aca="false">SUMIFS('Plant x size'!$P$5:$P$171,'Plant x size'!$B$5:$B$171,A100,'Plant x size'!$A$5:$A$171,"Tapi")</f>
        <v>0</v>
      </c>
    </row>
    <row r="101" customFormat="false" ht="15" hidden="false" customHeight="false" outlineLevel="0" collapsed="false">
      <c r="A101" s="7" t="s">
        <v>93</v>
      </c>
      <c r="B101" s="8" t="n">
        <f aca="false">SUMIF('Plant x size'!$B$5:$B$171,A101,'Plant x size'!$C$5:$C$171)</f>
        <v>2.36277335267008</v>
      </c>
      <c r="C101" s="8" t="n">
        <f aca="false">SUMIF('Plant x size'!$B$5:$B$171,A101,'Plant x size'!$D$5:$D$171)</f>
        <v>2.434</v>
      </c>
      <c r="D101" s="8" t="n">
        <f aca="false">SUMIF('Plant x size'!$B$5:$B$171,A101,'Plant x size'!$K$5:$K$171)</f>
        <v>2.434</v>
      </c>
      <c r="E101" s="8" t="n">
        <f aca="false">SUMIF('Plant x size'!$B$5:$B$171,A101,'Plant x size'!$L$5:$L$171)</f>
        <v>0</v>
      </c>
      <c r="F101" s="8" t="n">
        <f aca="false">SUMIF('Plant x size'!$B$5:$B$171,A101,'Plant x size'!$M$5:$M$171)</f>
        <v>0</v>
      </c>
      <c r="G101" s="8" t="n">
        <f aca="false">SUMIF('Plant x size'!$B$5:$B$171,A101,'Plant x size'!$N$5:$N$171)</f>
        <v>0</v>
      </c>
      <c r="H101" s="8" t="n">
        <f aca="false">SUMIF('Plant x size'!$B$5:$B$171,A101,'Plant x size'!$O$5:$O$171)</f>
        <v>0</v>
      </c>
      <c r="I101" s="7" t="n">
        <f aca="false">SUMIF('Plant x size'!$B$5:$B$171,A101,'Plant x size'!$P$5:$P$171)</f>
        <v>2.434</v>
      </c>
      <c r="J101" s="8" t="n">
        <f aca="false">SUMIF('Plant x size'!$B$5:$B$171,A101,'Plant x size'!$Q$5:$Q$171)</f>
        <v>0</v>
      </c>
      <c r="K101" s="8" t="n">
        <f aca="false">SUMIFS('Plant x size'!$P$5:$P$171,'Plant x size'!$B$5:$B$171,A101,'Plant x size'!$A$5:$A$171,"Hyderabad")</f>
        <v>2.434</v>
      </c>
      <c r="L101" s="8" t="n">
        <f aca="false">SUMIFS('Plant x size'!$P$5:$P$171,'Plant x size'!$B$5:$B$171,A101,'Plant x size'!$A$5:$A$171,"Lepakshi")</f>
        <v>0</v>
      </c>
      <c r="M101" s="8" t="n">
        <f aca="false">SUMIFS('Plant x size'!$P$5:$P$171,'Plant x size'!$B$5:$B$171,A101,'Plant x size'!$A$5:$A$171,"NPMD")</f>
        <v>0</v>
      </c>
      <c r="N101" s="8" t="n">
        <f aca="false">SUMIFS('Plant x size'!$P$5:$P$171,'Plant x size'!$B$5:$B$171,A101,'Plant x size'!$A$5:$A$171,"Tapi")</f>
        <v>0</v>
      </c>
    </row>
    <row r="102" customFormat="false" ht="15" hidden="false" customHeight="false" outlineLevel="0" collapsed="false">
      <c r="A102" s="7" t="s">
        <v>94</v>
      </c>
      <c r="B102" s="8" t="n">
        <f aca="false">SUMIF('Plant x size'!$B$5:$B$171,A102,'Plant x size'!$C$5:$C$171)</f>
        <v>24.6311525361491</v>
      </c>
      <c r="C102" s="8" t="n">
        <f aca="false">SUMIF('Plant x size'!$B$5:$B$171,A102,'Plant x size'!$D$5:$D$171)</f>
        <v>25.549</v>
      </c>
      <c r="D102" s="8" t="n">
        <f aca="false">SUMIF('Plant x size'!$B$5:$B$171,A102,'Plant x size'!$K$5:$K$171)</f>
        <v>0</v>
      </c>
      <c r="E102" s="8" t="n">
        <f aca="false">SUMIF('Plant x size'!$B$5:$B$171,A102,'Plant x size'!$L$5:$L$171)</f>
        <v>21.290347618233</v>
      </c>
      <c r="F102" s="8" t="n">
        <f aca="false">SUMIF('Plant x size'!$B$5:$B$171,A102,'Plant x size'!$M$5:$M$171)</f>
        <v>0</v>
      </c>
      <c r="G102" s="8" t="n">
        <f aca="false">SUMIF('Plant x size'!$B$5:$B$171,A102,'Plant x size'!$N$5:$N$171)</f>
        <v>4.25865238176696</v>
      </c>
      <c r="H102" s="8" t="n">
        <f aca="false">SUMIF('Plant x size'!$B$5:$B$171,A102,'Plant x size'!$O$5:$O$171)</f>
        <v>0</v>
      </c>
      <c r="I102" s="7" t="n">
        <f aca="false">SUMIF('Plant x size'!$B$5:$B$171,A102,'Plant x size'!$P$5:$P$171)</f>
        <v>25.549</v>
      </c>
      <c r="J102" s="8" t="n">
        <f aca="false">SUMIF('Plant x size'!$B$5:$B$171,A102,'Plant x size'!$Q$5:$Q$171)</f>
        <v>4.25865238176696</v>
      </c>
      <c r="K102" s="8" t="n">
        <f aca="false">SUMIFS('Plant x size'!$P$5:$P$171,'Plant x size'!$B$5:$B$171,A102,'Plant x size'!$A$5:$A$171,"Hyderabad")</f>
        <v>25.549</v>
      </c>
      <c r="L102" s="8" t="n">
        <f aca="false">SUMIFS('Plant x size'!$P$5:$P$171,'Plant x size'!$B$5:$B$171,A102,'Plant x size'!$A$5:$A$171,"Lepakshi")</f>
        <v>0</v>
      </c>
      <c r="M102" s="8" t="n">
        <f aca="false">SUMIFS('Plant x size'!$P$5:$P$171,'Plant x size'!$B$5:$B$171,A102,'Plant x size'!$A$5:$A$171,"NPMD")</f>
        <v>0</v>
      </c>
      <c r="N102" s="8" t="n">
        <f aca="false">SUMIFS('Plant x size'!$P$5:$P$171,'Plant x size'!$B$5:$B$171,A102,'Plant x size'!$A$5:$A$171,"Tapi")</f>
        <v>0</v>
      </c>
    </row>
    <row r="103" customFormat="false" ht="15" hidden="false" customHeight="false" outlineLevel="0" collapsed="false">
      <c r="A103" s="7" t="s">
        <v>95</v>
      </c>
      <c r="B103" s="8" t="n">
        <f aca="false">SUMIF('Plant x size'!$B$5:$B$171,A103,'Plant x size'!$C$5:$C$171)</f>
        <v>1.10166481737043</v>
      </c>
      <c r="C103" s="8" t="n">
        <f aca="false">SUMIF('Plant x size'!$B$5:$B$171,A103,'Plant x size'!$D$5:$D$171)</f>
        <v>0</v>
      </c>
      <c r="D103" s="8" t="n">
        <f aca="false">SUMIF('Plant x size'!$B$5:$B$171,A103,'Plant x size'!$K$5:$K$171)</f>
        <v>0</v>
      </c>
      <c r="E103" s="8" t="n">
        <f aca="false">SUMIF('Plant x size'!$B$5:$B$171,A103,'Plant x size'!$L$5:$L$171)</f>
        <v>0</v>
      </c>
      <c r="F103" s="8" t="n">
        <f aca="false">SUMIF('Plant x size'!$B$5:$B$171,A103,'Plant x size'!$M$5:$M$171)</f>
        <v>0</v>
      </c>
      <c r="G103" s="8" t="n">
        <f aca="false">SUMIF('Plant x size'!$B$5:$B$171,A103,'Plant x size'!$N$5:$N$171)</f>
        <v>0</v>
      </c>
      <c r="H103" s="8" t="n">
        <f aca="false">SUMIF('Plant x size'!$B$5:$B$171,A103,'Plant x size'!$O$5:$O$171)</f>
        <v>0</v>
      </c>
      <c r="I103" s="7" t="n">
        <f aca="false">SUMIF('Plant x size'!$B$5:$B$171,A103,'Plant x size'!$P$5:$P$171)</f>
        <v>0</v>
      </c>
      <c r="J103" s="8" t="n">
        <f aca="false">SUMIF('Plant x size'!$B$5:$B$171,A103,'Plant x size'!$Q$5:$Q$171)</f>
        <v>0</v>
      </c>
      <c r="K103" s="8" t="n">
        <f aca="false">SUMIFS('Plant x size'!$P$5:$P$171,'Plant x size'!$B$5:$B$171,A103,'Plant x size'!$A$5:$A$171,"Hyderabad")</f>
        <v>0</v>
      </c>
      <c r="L103" s="8" t="n">
        <f aca="false">SUMIFS('Plant x size'!$P$5:$P$171,'Plant x size'!$B$5:$B$171,A103,'Plant x size'!$A$5:$A$171,"Lepakshi")</f>
        <v>0</v>
      </c>
      <c r="M103" s="8" t="n">
        <f aca="false">SUMIFS('Plant x size'!$P$5:$P$171,'Plant x size'!$B$5:$B$171,A103,'Plant x size'!$A$5:$A$171,"NPMD")</f>
        <v>0</v>
      </c>
      <c r="N103" s="8" t="n">
        <f aca="false">SUMIFS('Plant x size'!$P$5:$P$171,'Plant x size'!$B$5:$B$171,A103,'Plant x size'!$A$5:$A$171,"Tapi")</f>
        <v>0</v>
      </c>
    </row>
    <row r="104" customFormat="false" ht="15" hidden="false" customHeight="false" outlineLevel="0" collapsed="false">
      <c r="A104" s="7" t="s">
        <v>96</v>
      </c>
      <c r="B104" s="8" t="n">
        <f aca="false">SUMIF('Plant x size'!$B$5:$B$171,A104,'Plant x size'!$C$5:$C$171)</f>
        <v>0.243142977051814</v>
      </c>
      <c r="C104" s="8" t="n">
        <f aca="false">SUMIF('Plant x size'!$B$5:$B$171,A104,'Plant x size'!$D$5:$D$171)</f>
        <v>0</v>
      </c>
      <c r="D104" s="8" t="n">
        <f aca="false">SUMIF('Plant x size'!$B$5:$B$171,A104,'Plant x size'!$K$5:$K$171)</f>
        <v>0</v>
      </c>
      <c r="E104" s="8" t="n">
        <f aca="false">SUMIF('Plant x size'!$B$5:$B$171,A104,'Plant x size'!$L$5:$L$171)</f>
        <v>0</v>
      </c>
      <c r="F104" s="8" t="n">
        <f aca="false">SUMIF('Plant x size'!$B$5:$B$171,A104,'Plant x size'!$M$5:$M$171)</f>
        <v>0</v>
      </c>
      <c r="G104" s="8" t="n">
        <f aca="false">SUMIF('Plant x size'!$B$5:$B$171,A104,'Plant x size'!$N$5:$N$171)</f>
        <v>0</v>
      </c>
      <c r="H104" s="8" t="n">
        <f aca="false">SUMIF('Plant x size'!$B$5:$B$171,A104,'Plant x size'!$O$5:$O$171)</f>
        <v>0</v>
      </c>
      <c r="I104" s="7" t="n">
        <f aca="false">SUMIF('Plant x size'!$B$5:$B$171,A104,'Plant x size'!$P$5:$P$171)</f>
        <v>0</v>
      </c>
      <c r="J104" s="8" t="n">
        <f aca="false">SUMIF('Plant x size'!$B$5:$B$171,A104,'Plant x size'!$Q$5:$Q$171)</f>
        <v>0</v>
      </c>
      <c r="K104" s="8" t="n">
        <f aca="false">SUMIFS('Plant x size'!$P$5:$P$171,'Plant x size'!$B$5:$B$171,A104,'Plant x size'!$A$5:$A$171,"Hyderabad")</f>
        <v>0</v>
      </c>
      <c r="L104" s="8" t="n">
        <f aca="false">SUMIFS('Plant x size'!$P$5:$P$171,'Plant x size'!$B$5:$B$171,A104,'Plant x size'!$A$5:$A$171,"Lepakshi")</f>
        <v>0</v>
      </c>
      <c r="M104" s="8" t="n">
        <f aca="false">SUMIFS('Plant x size'!$P$5:$P$171,'Plant x size'!$B$5:$B$171,A104,'Plant x size'!$A$5:$A$171,"NPMD")</f>
        <v>0</v>
      </c>
      <c r="N104" s="8" t="n">
        <f aca="false">SUMIFS('Plant x size'!$P$5:$P$171,'Plant x size'!$B$5:$B$171,A104,'Plant x size'!$A$5:$A$171,"Tapi")</f>
        <v>0</v>
      </c>
    </row>
    <row r="105" customFormat="false" ht="15" hidden="false" customHeight="false" outlineLevel="0" collapsed="false">
      <c r="A105" s="7" t="s">
        <v>97</v>
      </c>
      <c r="B105" s="8" t="n">
        <f aca="false">SUMIF('Plant x size'!$B$5:$B$171,A105,'Plant x size'!$C$5:$C$171)</f>
        <v>6.987</v>
      </c>
      <c r="C105" s="8" t="n">
        <f aca="false">SUMIF('Plant x size'!$B$5:$B$171,A105,'Plant x size'!$D$5:$D$171)</f>
        <v>5.509</v>
      </c>
      <c r="D105" s="8" t="n">
        <f aca="false">SUMIF('Plant x size'!$B$5:$B$171,A105,'Plant x size'!$K$5:$K$171)</f>
        <v>0</v>
      </c>
      <c r="E105" s="8" t="n">
        <f aca="false">SUMIF('Plant x size'!$B$5:$B$171,A105,'Plant x size'!$L$5:$L$171)</f>
        <v>0</v>
      </c>
      <c r="F105" s="8" t="n">
        <f aca="false">SUMIF('Plant x size'!$B$5:$B$171,A105,'Plant x size'!$M$5:$M$171)</f>
        <v>0</v>
      </c>
      <c r="G105" s="8" t="n">
        <f aca="false">SUMIF('Plant x size'!$B$5:$B$171,A105,'Plant x size'!$N$5:$N$171)</f>
        <v>5.509</v>
      </c>
      <c r="H105" s="8" t="n">
        <f aca="false">SUMIF('Plant x size'!$B$5:$B$171,A105,'Plant x size'!$O$5:$O$171)</f>
        <v>0</v>
      </c>
      <c r="I105" s="7" t="n">
        <f aca="false">SUMIF('Plant x size'!$B$5:$B$171,A105,'Plant x size'!$P$5:$P$171)</f>
        <v>5.509</v>
      </c>
      <c r="J105" s="8" t="n">
        <f aca="false">SUMIF('Plant x size'!$B$5:$B$171,A105,'Plant x size'!$Q$5:$Q$171)</f>
        <v>5.509</v>
      </c>
      <c r="K105" s="8" t="n">
        <f aca="false">SUMIFS('Plant x size'!$P$5:$P$171,'Plant x size'!$B$5:$B$171,A105,'Plant x size'!$A$5:$A$171,"Hyderabad")</f>
        <v>5.509</v>
      </c>
      <c r="L105" s="8" t="n">
        <f aca="false">SUMIFS('Plant x size'!$P$5:$P$171,'Plant x size'!$B$5:$B$171,A105,'Plant x size'!$A$5:$A$171,"Lepakshi")</f>
        <v>0</v>
      </c>
      <c r="M105" s="8" t="n">
        <f aca="false">SUMIFS('Plant x size'!$P$5:$P$171,'Plant x size'!$B$5:$B$171,A105,'Plant x size'!$A$5:$A$171,"NPMD")</f>
        <v>0</v>
      </c>
      <c r="N105" s="8" t="n">
        <f aca="false">SUMIFS('Plant x size'!$P$5:$P$171,'Plant x size'!$B$5:$B$171,A105,'Plant x size'!$A$5:$A$171,"Tapi")</f>
        <v>0</v>
      </c>
    </row>
    <row r="106" customFormat="false" ht="15" hidden="false" customHeight="false" outlineLevel="0" collapsed="false">
      <c r="A106" s="7" t="s">
        <v>98</v>
      </c>
      <c r="B106" s="8" t="n">
        <f aca="false">SUMIF('Plant x size'!$B$5:$B$171,A106,'Plant x size'!$C$5:$C$171)</f>
        <v>1.6796943760219</v>
      </c>
      <c r="C106" s="8" t="n">
        <f aca="false">SUMIF('Plant x size'!$B$5:$B$171,A106,'Plant x size'!$D$5:$D$171)</f>
        <v>1.749</v>
      </c>
      <c r="D106" s="8" t="n">
        <f aca="false">SUMIF('Plant x size'!$B$5:$B$171,A106,'Plant x size'!$K$5:$K$171)</f>
        <v>0</v>
      </c>
      <c r="E106" s="8" t="n">
        <f aca="false">SUMIF('Plant x size'!$B$5:$B$171,A106,'Plant x size'!$L$5:$L$171)</f>
        <v>0</v>
      </c>
      <c r="F106" s="8" t="n">
        <f aca="false">SUMIF('Plant x size'!$B$5:$B$171,A106,'Plant x size'!$M$5:$M$171)</f>
        <v>0</v>
      </c>
      <c r="G106" s="8" t="n">
        <f aca="false">SUMIF('Plant x size'!$B$5:$B$171,A106,'Plant x size'!$N$5:$N$171)</f>
        <v>1.749</v>
      </c>
      <c r="H106" s="8" t="n">
        <f aca="false">SUMIF('Plant x size'!$B$5:$B$171,A106,'Plant x size'!$O$5:$O$171)</f>
        <v>0</v>
      </c>
      <c r="I106" s="7" t="n">
        <f aca="false">SUMIF('Plant x size'!$B$5:$B$171,A106,'Plant x size'!$P$5:$P$171)</f>
        <v>1.749</v>
      </c>
      <c r="J106" s="8" t="n">
        <f aca="false">SUMIF('Plant x size'!$B$5:$B$171,A106,'Plant x size'!$Q$5:$Q$171)</f>
        <v>1.749</v>
      </c>
      <c r="K106" s="8" t="n">
        <f aca="false">SUMIFS('Plant x size'!$P$5:$P$171,'Plant x size'!$B$5:$B$171,A106,'Plant x size'!$A$5:$A$171,"Hyderabad")</f>
        <v>1.749</v>
      </c>
      <c r="L106" s="8" t="n">
        <f aca="false">SUMIFS('Plant x size'!$P$5:$P$171,'Plant x size'!$B$5:$B$171,A106,'Plant x size'!$A$5:$A$171,"Lepakshi")</f>
        <v>0</v>
      </c>
      <c r="M106" s="8" t="n">
        <f aca="false">SUMIFS('Plant x size'!$P$5:$P$171,'Plant x size'!$B$5:$B$171,A106,'Plant x size'!$A$5:$A$171,"NPMD")</f>
        <v>0</v>
      </c>
      <c r="N106" s="8" t="n">
        <f aca="false">SUMIFS('Plant x size'!$P$5:$P$171,'Plant x size'!$B$5:$B$171,A106,'Plant x size'!$A$5:$A$171,"Tapi")</f>
        <v>0</v>
      </c>
    </row>
    <row r="107" customFormat="false" ht="15" hidden="false" customHeight="false" outlineLevel="0" collapsed="false">
      <c r="A107" s="7" t="s">
        <v>99</v>
      </c>
      <c r="B107" s="8" t="n">
        <f aca="false">SUMIF('Plant x size'!$B$5:$B$171,A107,'Plant x size'!$C$5:$C$171)</f>
        <v>32.8148270267837</v>
      </c>
      <c r="C107" s="8" t="n">
        <f aca="false">SUMIF('Plant x size'!$B$5:$B$171,A107,'Plant x size'!$D$5:$D$171)</f>
        <v>27.325</v>
      </c>
      <c r="D107" s="8" t="n">
        <f aca="false">SUMIF('Plant x size'!$B$5:$B$171,A107,'Plant x size'!$K$5:$K$171)</f>
        <v>0</v>
      </c>
      <c r="E107" s="8" t="n">
        <f aca="false">SUMIF('Plant x size'!$B$5:$B$171,A107,'Plant x size'!$L$5:$L$171)</f>
        <v>0</v>
      </c>
      <c r="F107" s="8" t="n">
        <f aca="false">SUMIF('Plant x size'!$B$5:$B$171,A107,'Plant x size'!$M$5:$M$171)</f>
        <v>0</v>
      </c>
      <c r="G107" s="8" t="n">
        <f aca="false">SUMIF('Plant x size'!$B$5:$B$171,A107,'Plant x size'!$N$5:$N$171)</f>
        <v>27.325</v>
      </c>
      <c r="H107" s="8" t="n">
        <f aca="false">SUMIF('Plant x size'!$B$5:$B$171,A107,'Plant x size'!$O$5:$O$171)</f>
        <v>0</v>
      </c>
      <c r="I107" s="7" t="n">
        <f aca="false">SUMIF('Plant x size'!$B$5:$B$171,A107,'Plant x size'!$P$5:$P$171)</f>
        <v>27.325</v>
      </c>
      <c r="J107" s="8" t="n">
        <f aca="false">SUMIF('Plant x size'!$B$5:$B$171,A107,'Plant x size'!$Q$5:$Q$171)</f>
        <v>27.325</v>
      </c>
      <c r="K107" s="8" t="n">
        <f aca="false">SUMIFS('Plant x size'!$P$5:$P$171,'Plant x size'!$B$5:$B$171,A107,'Plant x size'!$A$5:$A$171,"Hyderabad")</f>
        <v>27.325</v>
      </c>
      <c r="L107" s="8" t="n">
        <f aca="false">SUMIFS('Plant x size'!$P$5:$P$171,'Plant x size'!$B$5:$B$171,A107,'Plant x size'!$A$5:$A$171,"Lepakshi")</f>
        <v>0</v>
      </c>
      <c r="M107" s="8" t="n">
        <f aca="false">SUMIFS('Plant x size'!$P$5:$P$171,'Plant x size'!$B$5:$B$171,A107,'Plant x size'!$A$5:$A$171,"NPMD")</f>
        <v>0</v>
      </c>
      <c r="N107" s="8" t="n">
        <f aca="false">SUMIFS('Plant x size'!$P$5:$P$171,'Plant x size'!$B$5:$B$171,A107,'Plant x size'!$A$5:$A$171,"Tapi")</f>
        <v>0</v>
      </c>
    </row>
    <row r="108" customFormat="false" ht="15" hidden="false" customHeight="false" outlineLevel="0" collapsed="false">
      <c r="A108" s="7" t="s">
        <v>100</v>
      </c>
      <c r="B108" s="8" t="n">
        <f aca="false">SUMIF('Plant x size'!$B$5:$B$171,A108,'Plant x size'!$C$5:$C$171)</f>
        <v>14.0415575471577</v>
      </c>
      <c r="C108" s="8" t="n">
        <f aca="false">SUMIF('Plant x size'!$B$5:$B$171,A108,'Plant x size'!$D$5:$D$171)</f>
        <v>12.48</v>
      </c>
      <c r="D108" s="8" t="n">
        <f aca="false">SUMIF('Plant x size'!$B$5:$B$171,A108,'Plant x size'!$K$5:$K$171)</f>
        <v>0</v>
      </c>
      <c r="E108" s="8" t="n">
        <f aca="false">SUMIF('Plant x size'!$B$5:$B$171,A108,'Plant x size'!$L$5:$L$171)</f>
        <v>0</v>
      </c>
      <c r="F108" s="8" t="n">
        <f aca="false">SUMIF('Plant x size'!$B$5:$B$171,A108,'Plant x size'!$M$5:$M$171)</f>
        <v>0</v>
      </c>
      <c r="G108" s="8" t="n">
        <f aca="false">SUMIF('Plant x size'!$B$5:$B$171,A108,'Plant x size'!$N$5:$N$171)</f>
        <v>12.48</v>
      </c>
      <c r="H108" s="8" t="n">
        <f aca="false">SUMIF('Plant x size'!$B$5:$B$171,A108,'Plant x size'!$O$5:$O$171)</f>
        <v>0</v>
      </c>
      <c r="I108" s="7" t="n">
        <f aca="false">SUMIF('Plant x size'!$B$5:$B$171,A108,'Plant x size'!$P$5:$P$171)</f>
        <v>12.48</v>
      </c>
      <c r="J108" s="8" t="n">
        <f aca="false">SUMIF('Plant x size'!$B$5:$B$171,A108,'Plant x size'!$Q$5:$Q$171)</f>
        <v>12.48</v>
      </c>
      <c r="K108" s="8" t="n">
        <f aca="false">SUMIFS('Plant x size'!$P$5:$P$171,'Plant x size'!$B$5:$B$171,A108,'Plant x size'!$A$5:$A$171,"Hyderabad")</f>
        <v>12.48</v>
      </c>
      <c r="L108" s="8" t="n">
        <f aca="false">SUMIFS('Plant x size'!$P$5:$P$171,'Plant x size'!$B$5:$B$171,A108,'Plant x size'!$A$5:$A$171,"Lepakshi")</f>
        <v>0</v>
      </c>
      <c r="M108" s="8" t="n">
        <f aca="false">SUMIFS('Plant x size'!$P$5:$P$171,'Plant x size'!$B$5:$B$171,A108,'Plant x size'!$A$5:$A$171,"NPMD")</f>
        <v>0</v>
      </c>
      <c r="N108" s="8" t="n">
        <f aca="false">SUMIFS('Plant x size'!$P$5:$P$171,'Plant x size'!$B$5:$B$171,A108,'Plant x size'!$A$5:$A$171,"Tapi")</f>
        <v>0</v>
      </c>
    </row>
    <row r="109" customFormat="false" ht="15" hidden="false" customHeight="false" outlineLevel="0" collapsed="false">
      <c r="A109" s="7" t="s">
        <v>101</v>
      </c>
      <c r="B109" s="8" t="n">
        <f aca="false">SUMIF('Plant x size'!$B$5:$B$171,A109,'Plant x size'!$C$5:$C$171)</f>
        <v>18.6965553667495</v>
      </c>
      <c r="C109" s="8" t="n">
        <f aca="false">SUMIF('Plant x size'!$B$5:$B$171,A109,'Plant x size'!$D$5:$D$171)</f>
        <v>15.655</v>
      </c>
      <c r="D109" s="8" t="n">
        <f aca="false">SUMIF('Plant x size'!$B$5:$B$171,A109,'Plant x size'!$K$5:$K$171)</f>
        <v>15.655</v>
      </c>
      <c r="E109" s="8" t="n">
        <f aca="false">SUMIF('Plant x size'!$B$5:$B$171,A109,'Plant x size'!$L$5:$L$171)</f>
        <v>0</v>
      </c>
      <c r="F109" s="8" t="n">
        <f aca="false">SUMIF('Plant x size'!$B$5:$B$171,A109,'Plant x size'!$M$5:$M$171)</f>
        <v>0</v>
      </c>
      <c r="G109" s="8" t="n">
        <f aca="false">SUMIF('Plant x size'!$B$5:$B$171,A109,'Plant x size'!$N$5:$N$171)</f>
        <v>0</v>
      </c>
      <c r="H109" s="8" t="n">
        <f aca="false">SUMIF('Plant x size'!$B$5:$B$171,A109,'Plant x size'!$O$5:$O$171)</f>
        <v>0</v>
      </c>
      <c r="I109" s="7" t="n">
        <f aca="false">SUMIF('Plant x size'!$B$5:$B$171,A109,'Plant x size'!$P$5:$P$171)</f>
        <v>15.655</v>
      </c>
      <c r="J109" s="8" t="n">
        <f aca="false">SUMIF('Plant x size'!$B$5:$B$171,A109,'Plant x size'!$Q$5:$Q$171)</f>
        <v>0</v>
      </c>
      <c r="K109" s="8" t="n">
        <f aca="false">SUMIFS('Plant x size'!$P$5:$P$171,'Plant x size'!$B$5:$B$171,A109,'Plant x size'!$A$5:$A$171,"Hyderabad")</f>
        <v>15.655</v>
      </c>
      <c r="L109" s="8" t="n">
        <f aca="false">SUMIFS('Plant x size'!$P$5:$P$171,'Plant x size'!$B$5:$B$171,A109,'Plant x size'!$A$5:$A$171,"Lepakshi")</f>
        <v>0</v>
      </c>
      <c r="M109" s="8" t="n">
        <f aca="false">SUMIFS('Plant x size'!$P$5:$P$171,'Plant x size'!$B$5:$B$171,A109,'Plant x size'!$A$5:$A$171,"NPMD")</f>
        <v>0</v>
      </c>
      <c r="N109" s="8" t="n">
        <f aca="false">SUMIFS('Plant x size'!$P$5:$P$171,'Plant x size'!$B$5:$B$171,A109,'Plant x size'!$A$5:$A$171,"Tapi")</f>
        <v>0</v>
      </c>
    </row>
    <row r="110" customFormat="false" ht="15" hidden="false" customHeight="false" outlineLevel="0" collapsed="false">
      <c r="A110" s="7" t="s">
        <v>102</v>
      </c>
      <c r="B110" s="8" t="n">
        <f aca="false">SUMIF('Plant x size'!$B$5:$B$171,A110,'Plant x size'!$C$5:$C$171)</f>
        <v>10.1022607216639</v>
      </c>
      <c r="C110" s="8" t="n">
        <f aca="false">SUMIF('Plant x size'!$B$5:$B$171,A110,'Plant x size'!$D$5:$D$171)</f>
        <v>10.076</v>
      </c>
      <c r="D110" s="8" t="n">
        <f aca="false">SUMIF('Plant x size'!$B$5:$B$171,A110,'Plant x size'!$K$5:$K$171)</f>
        <v>0</v>
      </c>
      <c r="E110" s="8" t="n">
        <f aca="false">SUMIF('Plant x size'!$B$5:$B$171,A110,'Plant x size'!$L$5:$L$171)</f>
        <v>10.076</v>
      </c>
      <c r="F110" s="8" t="n">
        <f aca="false">SUMIF('Plant x size'!$B$5:$B$171,A110,'Plant x size'!$M$5:$M$171)</f>
        <v>0</v>
      </c>
      <c r="G110" s="8" t="n">
        <f aca="false">SUMIF('Plant x size'!$B$5:$B$171,A110,'Plant x size'!$N$5:$N$171)</f>
        <v>0</v>
      </c>
      <c r="H110" s="8" t="n">
        <f aca="false">SUMIF('Plant x size'!$B$5:$B$171,A110,'Plant x size'!$O$5:$O$171)</f>
        <v>0</v>
      </c>
      <c r="I110" s="7" t="n">
        <f aca="false">SUMIF('Plant x size'!$B$5:$B$171,A110,'Plant x size'!$P$5:$P$171)</f>
        <v>10.076</v>
      </c>
      <c r="J110" s="8" t="n">
        <f aca="false">SUMIF('Plant x size'!$B$5:$B$171,A110,'Plant x size'!$Q$5:$Q$171)</f>
        <v>0</v>
      </c>
      <c r="K110" s="8" t="n">
        <f aca="false">SUMIFS('Plant x size'!$P$5:$P$171,'Plant x size'!$B$5:$B$171,A110,'Plant x size'!$A$5:$A$171,"Hyderabad")</f>
        <v>10.076</v>
      </c>
      <c r="L110" s="8" t="n">
        <f aca="false">SUMIFS('Plant x size'!$P$5:$P$171,'Plant x size'!$B$5:$B$171,A110,'Plant x size'!$A$5:$A$171,"Lepakshi")</f>
        <v>0</v>
      </c>
      <c r="M110" s="8" t="n">
        <f aca="false">SUMIFS('Plant x size'!$P$5:$P$171,'Plant x size'!$B$5:$B$171,A110,'Plant x size'!$A$5:$A$171,"NPMD")</f>
        <v>0</v>
      </c>
      <c r="N110" s="8" t="n">
        <f aca="false">SUMIFS('Plant x size'!$P$5:$P$171,'Plant x size'!$B$5:$B$171,A110,'Plant x size'!$A$5:$A$171,"Tapi")</f>
        <v>0</v>
      </c>
    </row>
    <row r="111" customFormat="false" ht="15" hidden="false" customHeight="false" outlineLevel="0" collapsed="false">
      <c r="A111" s="7" t="s">
        <v>103</v>
      </c>
      <c r="B111" s="8" t="n">
        <f aca="false">SUMIF('Plant x size'!$B$5:$B$171,A111,'Plant x size'!$C$5:$C$171)</f>
        <v>5.43362912409522</v>
      </c>
      <c r="C111" s="8" t="n">
        <f aca="false">SUMIF('Plant x size'!$B$5:$B$171,A111,'Plant x size'!$D$5:$D$171)</f>
        <v>9.126</v>
      </c>
      <c r="D111" s="8" t="n">
        <f aca="false">SUMIF('Plant x size'!$B$5:$B$171,A111,'Plant x size'!$K$5:$K$171)</f>
        <v>0</v>
      </c>
      <c r="E111" s="8" t="n">
        <f aca="false">SUMIF('Plant x size'!$B$5:$B$171,A111,'Plant x size'!$L$5:$L$171)</f>
        <v>0</v>
      </c>
      <c r="F111" s="8" t="n">
        <f aca="false">SUMIF('Plant x size'!$B$5:$B$171,A111,'Plant x size'!$M$5:$M$171)</f>
        <v>0</v>
      </c>
      <c r="G111" s="8" t="n">
        <f aca="false">SUMIF('Plant x size'!$B$5:$B$171,A111,'Plant x size'!$N$5:$N$171)</f>
        <v>9.126</v>
      </c>
      <c r="H111" s="8" t="n">
        <f aca="false">SUMIF('Plant x size'!$B$5:$B$171,A111,'Plant x size'!$O$5:$O$171)</f>
        <v>0</v>
      </c>
      <c r="I111" s="7" t="n">
        <f aca="false">SUMIF('Plant x size'!$B$5:$B$171,A111,'Plant x size'!$P$5:$P$171)</f>
        <v>9.126</v>
      </c>
      <c r="J111" s="8" t="n">
        <f aca="false">SUMIF('Plant x size'!$B$5:$B$171,A111,'Plant x size'!$Q$5:$Q$171)</f>
        <v>9.126</v>
      </c>
      <c r="K111" s="8" t="n">
        <f aca="false">SUMIFS('Plant x size'!$P$5:$P$171,'Plant x size'!$B$5:$B$171,A111,'Plant x size'!$A$5:$A$171,"Hyderabad")</f>
        <v>9.126</v>
      </c>
      <c r="L111" s="8" t="n">
        <f aca="false">SUMIFS('Plant x size'!$P$5:$P$171,'Plant x size'!$B$5:$B$171,A111,'Plant x size'!$A$5:$A$171,"Lepakshi")</f>
        <v>0</v>
      </c>
      <c r="M111" s="8" t="n">
        <f aca="false">SUMIFS('Plant x size'!$P$5:$P$171,'Plant x size'!$B$5:$B$171,A111,'Plant x size'!$A$5:$A$171,"NPMD")</f>
        <v>0</v>
      </c>
      <c r="N111" s="8" t="n">
        <f aca="false">SUMIFS('Plant x size'!$P$5:$P$171,'Plant x size'!$B$5:$B$171,A111,'Plant x size'!$A$5:$A$171,"Tapi")</f>
        <v>0</v>
      </c>
    </row>
    <row r="112" customFormat="false" ht="15" hidden="false" customHeight="false" outlineLevel="0" collapsed="false">
      <c r="A112" s="7" t="s">
        <v>104</v>
      </c>
      <c r="B112" s="8" t="n">
        <f aca="false">SUMIF('Plant x size'!$B$5:$B$171,A112,'Plant x size'!$C$5:$C$171)</f>
        <v>5.38384355438487</v>
      </c>
      <c r="C112" s="8" t="n">
        <f aca="false">SUMIF('Plant x size'!$B$5:$B$171,A112,'Plant x size'!$D$5:$D$171)</f>
        <v>0</v>
      </c>
      <c r="D112" s="8" t="n">
        <f aca="false">SUMIF('Plant x size'!$B$5:$B$171,A112,'Plant x size'!$K$5:$K$171)</f>
        <v>0</v>
      </c>
      <c r="E112" s="8" t="n">
        <f aca="false">SUMIF('Plant x size'!$B$5:$B$171,A112,'Plant x size'!$L$5:$L$171)</f>
        <v>0</v>
      </c>
      <c r="F112" s="8" t="n">
        <f aca="false">SUMIF('Plant x size'!$B$5:$B$171,A112,'Plant x size'!$M$5:$M$171)</f>
        <v>0</v>
      </c>
      <c r="G112" s="8" t="n">
        <f aca="false">SUMIF('Plant x size'!$B$5:$B$171,A112,'Plant x size'!$N$5:$N$171)</f>
        <v>0</v>
      </c>
      <c r="H112" s="8" t="n">
        <f aca="false">SUMIF('Plant x size'!$B$5:$B$171,A112,'Plant x size'!$O$5:$O$171)</f>
        <v>0</v>
      </c>
      <c r="I112" s="7" t="n">
        <f aca="false">SUMIF('Plant x size'!$B$5:$B$171,A112,'Plant x size'!$P$5:$P$171)</f>
        <v>0</v>
      </c>
      <c r="J112" s="8" t="n">
        <f aca="false">SUMIF('Plant x size'!$B$5:$B$171,A112,'Plant x size'!$Q$5:$Q$171)</f>
        <v>0</v>
      </c>
      <c r="K112" s="8" t="n">
        <f aca="false">SUMIFS('Plant x size'!$P$5:$P$171,'Plant x size'!$B$5:$B$171,A112,'Plant x size'!$A$5:$A$171,"Hyderabad")</f>
        <v>0</v>
      </c>
      <c r="L112" s="8" t="n">
        <f aca="false">SUMIFS('Plant x size'!$P$5:$P$171,'Plant x size'!$B$5:$B$171,A112,'Plant x size'!$A$5:$A$171,"Lepakshi")</f>
        <v>0</v>
      </c>
      <c r="M112" s="8" t="n">
        <f aca="false">SUMIFS('Plant x size'!$P$5:$P$171,'Plant x size'!$B$5:$B$171,A112,'Plant x size'!$A$5:$A$171,"NPMD")</f>
        <v>0</v>
      </c>
      <c r="N112" s="8" t="n">
        <f aca="false">SUMIFS('Plant x size'!$P$5:$P$171,'Plant x size'!$B$5:$B$171,A112,'Plant x size'!$A$5:$A$171,"Tapi")</f>
        <v>0</v>
      </c>
    </row>
    <row r="113" customFormat="false" ht="15" hidden="false" customHeight="false" outlineLevel="0" collapsed="false">
      <c r="A113" s="7" t="s">
        <v>105</v>
      </c>
      <c r="B113" s="8" t="n">
        <f aca="false">SUMIF('Plant x size'!$B$5:$B$171,A113,'Plant x size'!$C$5:$C$171)</f>
        <v>0.0172000000000008</v>
      </c>
      <c r="C113" s="8" t="n">
        <f aca="false">SUMIF('Plant x size'!$B$5:$B$171,A113,'Plant x size'!$D$5:$D$171)</f>
        <v>0</v>
      </c>
      <c r="D113" s="8" t="n">
        <f aca="false">SUMIF('Plant x size'!$B$5:$B$171,A113,'Plant x size'!$K$5:$K$171)</f>
        <v>0</v>
      </c>
      <c r="E113" s="8" t="n">
        <f aca="false">SUMIF('Plant x size'!$B$5:$B$171,A113,'Plant x size'!$L$5:$L$171)</f>
        <v>0</v>
      </c>
      <c r="F113" s="8" t="n">
        <f aca="false">SUMIF('Plant x size'!$B$5:$B$171,A113,'Plant x size'!$M$5:$M$171)</f>
        <v>0</v>
      </c>
      <c r="G113" s="8" t="n">
        <f aca="false">SUMIF('Plant x size'!$B$5:$B$171,A113,'Plant x size'!$N$5:$N$171)</f>
        <v>0</v>
      </c>
      <c r="H113" s="8" t="n">
        <f aca="false">SUMIF('Plant x size'!$B$5:$B$171,A113,'Plant x size'!$O$5:$O$171)</f>
        <v>0</v>
      </c>
      <c r="I113" s="7" t="n">
        <f aca="false">SUMIF('Plant x size'!$B$5:$B$171,A113,'Plant x size'!$P$5:$P$171)</f>
        <v>0</v>
      </c>
      <c r="J113" s="8" t="n">
        <f aca="false">SUMIF('Plant x size'!$B$5:$B$171,A113,'Plant x size'!$Q$5:$Q$171)</f>
        <v>0</v>
      </c>
      <c r="K113" s="8" t="n">
        <f aca="false">SUMIFS('Plant x size'!$P$5:$P$171,'Plant x size'!$B$5:$B$171,A113,'Plant x size'!$A$5:$A$171,"Hyderabad")</f>
        <v>0</v>
      </c>
      <c r="L113" s="8" t="n">
        <f aca="false">SUMIFS('Plant x size'!$P$5:$P$171,'Plant x size'!$B$5:$B$171,A113,'Plant x size'!$A$5:$A$171,"Lepakshi")</f>
        <v>0</v>
      </c>
      <c r="M113" s="8" t="n">
        <f aca="false">SUMIFS('Plant x size'!$P$5:$P$171,'Plant x size'!$B$5:$B$171,A113,'Plant x size'!$A$5:$A$171,"NPMD")</f>
        <v>0</v>
      </c>
      <c r="N113" s="8" t="n">
        <f aca="false">SUMIFS('Plant x size'!$P$5:$P$171,'Plant x size'!$B$5:$B$171,A113,'Plant x size'!$A$5:$A$171,"Tapi")</f>
        <v>0</v>
      </c>
    </row>
    <row r="114" customFormat="false" ht="15" hidden="false" customHeight="false" outlineLevel="0" collapsed="false">
      <c r="A114" s="7" t="s">
        <v>106</v>
      </c>
      <c r="B114" s="8" t="n">
        <f aca="false">SUMIF('Plant x size'!$B$5:$B$171,A114,'Plant x size'!$C$5:$C$171)</f>
        <v>15.21</v>
      </c>
      <c r="C114" s="8" t="n">
        <f aca="false">SUMIF('Plant x size'!$B$5:$B$171,A114,'Plant x size'!$D$5:$D$171)</f>
        <v>15.096</v>
      </c>
      <c r="D114" s="8" t="n">
        <f aca="false">SUMIF('Plant x size'!$B$5:$B$171,A114,'Plant x size'!$K$5:$K$171)</f>
        <v>0</v>
      </c>
      <c r="E114" s="8" t="n">
        <f aca="false">SUMIF('Plant x size'!$B$5:$B$171,A114,'Plant x size'!$L$5:$L$171)</f>
        <v>0</v>
      </c>
      <c r="F114" s="8" t="n">
        <f aca="false">SUMIF('Plant x size'!$B$5:$B$171,A114,'Plant x size'!$M$5:$M$171)</f>
        <v>0</v>
      </c>
      <c r="G114" s="8" t="n">
        <f aca="false">SUMIF('Plant x size'!$B$5:$B$171,A114,'Plant x size'!$N$5:$N$171)</f>
        <v>15.096</v>
      </c>
      <c r="H114" s="8" t="n">
        <f aca="false">SUMIF('Plant x size'!$B$5:$B$171,A114,'Plant x size'!$O$5:$O$171)</f>
        <v>0</v>
      </c>
      <c r="I114" s="7" t="n">
        <f aca="false">SUMIF('Plant x size'!$B$5:$B$171,A114,'Plant x size'!$P$5:$P$171)</f>
        <v>15.096</v>
      </c>
      <c r="J114" s="8" t="n">
        <f aca="false">SUMIF('Plant x size'!$B$5:$B$171,A114,'Plant x size'!$Q$5:$Q$171)</f>
        <v>15.096</v>
      </c>
      <c r="K114" s="8" t="n">
        <f aca="false">SUMIFS('Plant x size'!$P$5:$P$171,'Plant x size'!$B$5:$B$171,A114,'Plant x size'!$A$5:$A$171,"Hyderabad")</f>
        <v>15.096</v>
      </c>
      <c r="L114" s="8" t="n">
        <f aca="false">SUMIFS('Plant x size'!$P$5:$P$171,'Plant x size'!$B$5:$B$171,A114,'Plant x size'!$A$5:$A$171,"Lepakshi")</f>
        <v>0</v>
      </c>
      <c r="M114" s="8" t="n">
        <f aca="false">SUMIFS('Plant x size'!$P$5:$P$171,'Plant x size'!$B$5:$B$171,A114,'Plant x size'!$A$5:$A$171,"NPMD")</f>
        <v>0</v>
      </c>
      <c r="N114" s="8" t="n">
        <f aca="false">SUMIFS('Plant x size'!$P$5:$P$171,'Plant x size'!$B$5:$B$171,A114,'Plant x size'!$A$5:$A$171,"Tapi")</f>
        <v>0</v>
      </c>
    </row>
    <row r="115" customFormat="false" ht="15" hidden="false" customHeight="false" outlineLevel="0" collapsed="false">
      <c r="A115" s="7" t="s">
        <v>107</v>
      </c>
      <c r="B115" s="8" t="n">
        <f aca="false">SUMIF('Plant x size'!$B$5:$B$171,A115,'Plant x size'!$C$5:$C$171)</f>
        <v>16.9689453224326</v>
      </c>
      <c r="C115" s="8" t="n">
        <f aca="false">SUMIF('Plant x size'!$B$5:$B$171,A115,'Plant x size'!$D$5:$D$171)</f>
        <v>17.065</v>
      </c>
      <c r="D115" s="8" t="n">
        <f aca="false">SUMIF('Plant x size'!$B$5:$B$171,A115,'Plant x size'!$K$5:$K$171)</f>
        <v>0</v>
      </c>
      <c r="E115" s="8" t="n">
        <f aca="false">SUMIF('Plant x size'!$B$5:$B$171,A115,'Plant x size'!$L$5:$L$171)</f>
        <v>0</v>
      </c>
      <c r="F115" s="8" t="n">
        <f aca="false">SUMIF('Plant x size'!$B$5:$B$171,A115,'Plant x size'!$M$5:$M$171)</f>
        <v>0</v>
      </c>
      <c r="G115" s="8" t="n">
        <f aca="false">SUMIF('Plant x size'!$B$5:$B$171,A115,'Plant x size'!$N$5:$N$171)</f>
        <v>17.065</v>
      </c>
      <c r="H115" s="8" t="n">
        <f aca="false">SUMIF('Plant x size'!$B$5:$B$171,A115,'Plant x size'!$O$5:$O$171)</f>
        <v>0</v>
      </c>
      <c r="I115" s="7" t="n">
        <f aca="false">SUMIF('Plant x size'!$B$5:$B$171,A115,'Plant x size'!$P$5:$P$171)</f>
        <v>17.065</v>
      </c>
      <c r="J115" s="8" t="n">
        <f aca="false">SUMIF('Plant x size'!$B$5:$B$171,A115,'Plant x size'!$Q$5:$Q$171)</f>
        <v>17.065</v>
      </c>
      <c r="K115" s="8" t="n">
        <f aca="false">SUMIFS('Plant x size'!$P$5:$P$171,'Plant x size'!$B$5:$B$171,A115,'Plant x size'!$A$5:$A$171,"Hyderabad")</f>
        <v>17.065</v>
      </c>
      <c r="L115" s="8" t="n">
        <f aca="false">SUMIFS('Plant x size'!$P$5:$P$171,'Plant x size'!$B$5:$B$171,A115,'Plant x size'!$A$5:$A$171,"Lepakshi")</f>
        <v>0</v>
      </c>
      <c r="M115" s="8" t="n">
        <f aca="false">SUMIFS('Plant x size'!$P$5:$P$171,'Plant x size'!$B$5:$B$171,A115,'Plant x size'!$A$5:$A$171,"NPMD")</f>
        <v>0</v>
      </c>
      <c r="N115" s="8" t="n">
        <f aca="false">SUMIFS('Plant x size'!$P$5:$P$171,'Plant x size'!$B$5:$B$171,A115,'Plant x size'!$A$5:$A$171,"Tapi")</f>
        <v>0</v>
      </c>
    </row>
    <row r="116" customFormat="false" ht="15" hidden="false" customHeight="false" outlineLevel="0" collapsed="false">
      <c r="A116" s="7" t="s">
        <v>108</v>
      </c>
      <c r="B116" s="8" t="n">
        <f aca="false">SUMIF('Plant x size'!$B$5:$B$171,A116,'Plant x size'!$C$5:$C$171)</f>
        <v>34.3465701717689</v>
      </c>
      <c r="C116" s="8" t="n">
        <f aca="false">SUMIF('Plant x size'!$B$5:$B$171,A116,'Plant x size'!$D$5:$D$171)</f>
        <v>33.383</v>
      </c>
      <c r="D116" s="8" t="n">
        <f aca="false">SUMIF('Plant x size'!$B$5:$B$171,A116,'Plant x size'!$K$5:$K$171)</f>
        <v>4.31798688088714</v>
      </c>
      <c r="E116" s="8" t="n">
        <f aca="false">SUMIF('Plant x size'!$B$5:$B$171,A116,'Plant x size'!$L$5:$L$171)</f>
        <v>0</v>
      </c>
      <c r="F116" s="8" t="n">
        <f aca="false">SUMIF('Plant x size'!$B$5:$B$171,A116,'Plant x size'!$M$5:$M$171)</f>
        <v>0</v>
      </c>
      <c r="G116" s="8" t="n">
        <f aca="false">SUMIF('Plant x size'!$B$5:$B$171,A116,'Plant x size'!$N$5:$N$171)</f>
        <v>29.0650131191129</v>
      </c>
      <c r="H116" s="8" t="n">
        <f aca="false">SUMIF('Plant x size'!$B$5:$B$171,A116,'Plant x size'!$O$5:$O$171)</f>
        <v>0</v>
      </c>
      <c r="I116" s="7" t="n">
        <f aca="false">SUMIF('Plant x size'!$B$5:$B$171,A116,'Plant x size'!$P$5:$P$171)</f>
        <v>33.383</v>
      </c>
      <c r="J116" s="8" t="n">
        <f aca="false">SUMIF('Plant x size'!$B$5:$B$171,A116,'Plant x size'!$Q$5:$Q$171)</f>
        <v>29.0650131191129</v>
      </c>
      <c r="K116" s="8" t="n">
        <f aca="false">SUMIFS('Plant x size'!$P$5:$P$171,'Plant x size'!$B$5:$B$171,A116,'Plant x size'!$A$5:$A$171,"Hyderabad")</f>
        <v>33.383</v>
      </c>
      <c r="L116" s="8" t="n">
        <f aca="false">SUMIFS('Plant x size'!$P$5:$P$171,'Plant x size'!$B$5:$B$171,A116,'Plant x size'!$A$5:$A$171,"Lepakshi")</f>
        <v>0</v>
      </c>
      <c r="M116" s="8" t="n">
        <f aca="false">SUMIFS('Plant x size'!$P$5:$P$171,'Plant x size'!$B$5:$B$171,A116,'Plant x size'!$A$5:$A$171,"NPMD")</f>
        <v>0</v>
      </c>
      <c r="N116" s="8" t="n">
        <f aca="false">SUMIFS('Plant x size'!$P$5:$P$171,'Plant x size'!$B$5:$B$171,A116,'Plant x size'!$A$5:$A$171,"Tapi")</f>
        <v>0</v>
      </c>
    </row>
    <row r="117" customFormat="false" ht="15" hidden="false" customHeight="false" outlineLevel="0" collapsed="false">
      <c r="A117" s="7" t="s">
        <v>109</v>
      </c>
      <c r="B117" s="8" t="n">
        <f aca="false">SUMIF('Plant x size'!$B$5:$B$171,A117,'Plant x size'!$C$5:$C$171)</f>
        <v>13.3602673449761</v>
      </c>
      <c r="C117" s="8" t="n">
        <f aca="false">SUMIF('Plant x size'!$B$5:$B$171,A117,'Plant x size'!$D$5:$D$171)</f>
        <v>12.496</v>
      </c>
      <c r="D117" s="8" t="n">
        <f aca="false">SUMIF('Plant x size'!$B$5:$B$171,A117,'Plant x size'!$K$5:$K$171)</f>
        <v>2.97325894567052</v>
      </c>
      <c r="E117" s="8" t="n">
        <f aca="false">SUMIF('Plant x size'!$B$5:$B$171,A117,'Plant x size'!$L$5:$L$171)</f>
        <v>0</v>
      </c>
      <c r="F117" s="8" t="n">
        <f aca="false">SUMIF('Plant x size'!$B$5:$B$171,A117,'Plant x size'!$M$5:$M$171)</f>
        <v>0</v>
      </c>
      <c r="G117" s="8" t="n">
        <f aca="false">SUMIF('Plant x size'!$B$5:$B$171,A117,'Plant x size'!$N$5:$N$171)</f>
        <v>9.52274105432948</v>
      </c>
      <c r="H117" s="8" t="n">
        <f aca="false">SUMIF('Plant x size'!$B$5:$B$171,A117,'Plant x size'!$O$5:$O$171)</f>
        <v>0</v>
      </c>
      <c r="I117" s="7" t="n">
        <f aca="false">SUMIF('Plant x size'!$B$5:$B$171,A117,'Plant x size'!$P$5:$P$171)</f>
        <v>12.496</v>
      </c>
      <c r="J117" s="8" t="n">
        <f aca="false">SUMIF('Plant x size'!$B$5:$B$171,A117,'Plant x size'!$Q$5:$Q$171)</f>
        <v>9.52274105432948</v>
      </c>
      <c r="K117" s="8" t="n">
        <f aca="false">SUMIFS('Plant x size'!$P$5:$P$171,'Plant x size'!$B$5:$B$171,A117,'Plant x size'!$A$5:$A$171,"Hyderabad")</f>
        <v>12.496</v>
      </c>
      <c r="L117" s="8" t="n">
        <f aca="false">SUMIFS('Plant x size'!$P$5:$P$171,'Plant x size'!$B$5:$B$171,A117,'Plant x size'!$A$5:$A$171,"Lepakshi")</f>
        <v>0</v>
      </c>
      <c r="M117" s="8" t="n">
        <f aca="false">SUMIFS('Plant x size'!$P$5:$P$171,'Plant x size'!$B$5:$B$171,A117,'Plant x size'!$A$5:$A$171,"NPMD")</f>
        <v>0</v>
      </c>
      <c r="N117" s="8" t="n">
        <f aca="false">SUMIFS('Plant x size'!$P$5:$P$171,'Plant x size'!$B$5:$B$171,A117,'Plant x size'!$A$5:$A$171,"Tapi")</f>
        <v>0</v>
      </c>
    </row>
    <row r="118" customFormat="false" ht="15" hidden="false" customHeight="false" outlineLevel="0" collapsed="false">
      <c r="A118" s="7" t="s">
        <v>110</v>
      </c>
      <c r="B118" s="8" t="n">
        <f aca="false">SUMIF('Plant x size'!$B$5:$B$171,A118,'Plant x size'!$C$5:$C$171)</f>
        <v>19.5961</v>
      </c>
      <c r="C118" s="8" t="n">
        <f aca="false">SUMIF('Plant x size'!$B$5:$B$171,A118,'Plant x size'!$D$5:$D$171)</f>
        <v>19.762</v>
      </c>
      <c r="D118" s="8" t="n">
        <f aca="false">SUMIF('Plant x size'!$B$5:$B$171,A118,'Plant x size'!$K$5:$K$171)</f>
        <v>19.762</v>
      </c>
      <c r="E118" s="8" t="n">
        <f aca="false">SUMIF('Plant x size'!$B$5:$B$171,A118,'Plant x size'!$L$5:$L$171)</f>
        <v>0</v>
      </c>
      <c r="F118" s="8" t="n">
        <f aca="false">SUMIF('Plant x size'!$B$5:$B$171,A118,'Plant x size'!$M$5:$M$171)</f>
        <v>0</v>
      </c>
      <c r="G118" s="8" t="n">
        <f aca="false">SUMIF('Plant x size'!$B$5:$B$171,A118,'Plant x size'!$N$5:$N$171)</f>
        <v>0</v>
      </c>
      <c r="H118" s="8" t="n">
        <f aca="false">SUMIF('Plant x size'!$B$5:$B$171,A118,'Plant x size'!$O$5:$O$171)</f>
        <v>0</v>
      </c>
      <c r="I118" s="7" t="n">
        <f aca="false">SUMIF('Plant x size'!$B$5:$B$171,A118,'Plant x size'!$P$5:$P$171)</f>
        <v>19.762</v>
      </c>
      <c r="J118" s="8" t="n">
        <f aca="false">SUMIF('Plant x size'!$B$5:$B$171,A118,'Plant x size'!$Q$5:$Q$171)</f>
        <v>0</v>
      </c>
      <c r="K118" s="8" t="n">
        <f aca="false">SUMIFS('Plant x size'!$P$5:$P$171,'Plant x size'!$B$5:$B$171,A118,'Plant x size'!$A$5:$A$171,"Hyderabad")</f>
        <v>19.762</v>
      </c>
      <c r="L118" s="8" t="n">
        <f aca="false">SUMIFS('Plant x size'!$P$5:$P$171,'Plant x size'!$B$5:$B$171,A118,'Plant x size'!$A$5:$A$171,"Lepakshi")</f>
        <v>0</v>
      </c>
      <c r="M118" s="8" t="n">
        <f aca="false">SUMIFS('Plant x size'!$P$5:$P$171,'Plant x size'!$B$5:$B$171,A118,'Plant x size'!$A$5:$A$171,"NPMD")</f>
        <v>0</v>
      </c>
      <c r="N118" s="8" t="n">
        <f aca="false">SUMIFS('Plant x size'!$P$5:$P$171,'Plant x size'!$B$5:$B$171,A118,'Plant x size'!$A$5:$A$171,"Tapi")</f>
        <v>0</v>
      </c>
    </row>
    <row r="119" customFormat="false" ht="15" hidden="false" customHeight="false" outlineLevel="0" collapsed="false">
      <c r="A119" s="11" t="s">
        <v>157</v>
      </c>
      <c r="B119" s="12" t="n">
        <f aca="false">SUBTOTAL(9,B4:B118)</f>
        <v>2573.49662731872</v>
      </c>
      <c r="C119" s="12" t="n">
        <f aca="false">SUBTOTAL(9,C4:C118)</f>
        <v>2630.732</v>
      </c>
      <c r="D119" s="12" t="n">
        <f aca="false">SUBTOTAL(9,D4:D118)</f>
        <v>1997.16039909105</v>
      </c>
      <c r="E119" s="12" t="n">
        <f aca="false">SUBTOTAL(9,E4:E118)</f>
        <v>315.051592890545</v>
      </c>
      <c r="F119" s="12" t="n">
        <f aca="false">SUBTOTAL(9,F4:F118)</f>
        <v>14.464</v>
      </c>
      <c r="G119" s="12" t="n">
        <f aca="false">SUBTOTAL(9,G4:G118)</f>
        <v>205.725008018403</v>
      </c>
      <c r="H119" s="12" t="n">
        <f aca="false">SUBTOTAL(9,H4:H118)</f>
        <v>98.331</v>
      </c>
      <c r="I119" s="12" t="n">
        <f aca="false">SUBTOTAL(9,I4:I118)</f>
        <v>2630.732</v>
      </c>
      <c r="J119" s="12" t="n">
        <f aca="false">SUBTOTAL(9,J4:J118)</f>
        <v>220.189008018403</v>
      </c>
      <c r="K119" s="12" t="n">
        <f aca="false">SUBTOTAL(9,K4:K118)</f>
        <v>643.432</v>
      </c>
      <c r="L119" s="12" t="n">
        <f aca="false">SUBTOTAL(9,L4:L118)</f>
        <v>385.1</v>
      </c>
      <c r="M119" s="12" t="n">
        <f aca="false">SUBTOTAL(9,M4:M118)</f>
        <v>775.2</v>
      </c>
      <c r="N119" s="12" t="n">
        <f aca="false">SUBTOTAL(9,N4:N118)</f>
        <v>827</v>
      </c>
    </row>
  </sheetData>
  <autoFilter ref="A3:N11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2026-10-29T12:34:37Z</dcterms:created>
  <dc:creator>openpyxl</dc:creator>
  <dc:description/>
  <dc:language>en-US</dc:language>
  <cp:lastModifiedBy/>
  <dcterms:modified xsi:type="dcterms:W3CDTF">2026-10-29T12:34:37Z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