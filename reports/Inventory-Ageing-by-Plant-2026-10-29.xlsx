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plant" sheetId="1" state="visible" r:id="rId3"/>
    <sheet name="All sizes" sheetId="2" state="visible" r:id="rId4"/>
  </sheets>
  <definedNames>
    <definedName function="false" hidden="false" localSheetId="1" name="_xlnm.Print_Titles" vbProcedure="false">'All sizes'!$4:$4</definedName>
    <definedName function="false" hidden="true" localSheetId="1" name="_xlnm._FilterDatabase" vbProcedure="false">'All sizes'!$A$4:$L$172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<sst xmlns="http://schemas.openxmlformats.org/spreadsheetml/2006/main" count="570" uniqueCount="181">
  <si>
    <t xml:space="preserve">Finished inventory ageing by plant (MT) - as of 29-Oct-2026</t>
  </si>
  <si>
    <t xml:space="preserve">Data up to 28-Oct. Current inventory and Over 60 days equal the Inventory Snapshot for the same date.</t>
  </si>
  <si>
    <t xml:space="preserve">Plant</t>
  </si>
  <si>
    <t xml:space="preserve">Sells to</t>
  </si>
  <si>
    <t xml:space="preserve">Sizes in stock</t>
  </si>
  <si>
    <t xml:space="preserve">Current inventory</t>
  </si>
  <si>
    <t xml:space="preserve">0-30 days</t>
  </si>
  <si>
    <t xml:space="preserve">31-60 days</t>
  </si>
  <si>
    <t xml:space="preserve">61-90 days</t>
  </si>
  <si>
    <t xml:space="preserve">90+ days</t>
  </si>
  <si>
    <t xml:space="preserve">Over 60 days</t>
  </si>
  <si>
    <t xml:space="preserve">% over 60 days</t>
  </si>
  <si>
    <t xml:space="preserve">Avg age (days)</t>
  </si>
  <si>
    <t xml:space="preserve">% 0-30</t>
  </si>
  <si>
    <t xml:space="preserve">% 31-60</t>
  </si>
  <si>
    <t xml:space="preserve">% 61-90</t>
  </si>
  <si>
    <t xml:space="preserve">% 90+</t>
  </si>
  <si>
    <t xml:space="preserve">Hyderabad</t>
  </si>
  <si>
    <t xml:space="preserve">South</t>
  </si>
  <si>
    <t xml:space="preserve">Lepakshi</t>
  </si>
  <si>
    <t xml:space="preserve">NPMD</t>
  </si>
  <si>
    <t xml:space="preserve">West</t>
  </si>
  <si>
    <t xml:space="preserve">Tapi</t>
  </si>
  <si>
    <t xml:space="preserve">All plants</t>
  </si>
  <si>
    <t xml:space="preserve">Reconciliation (MT)</t>
  </si>
  <si>
    <t xml:space="preserve">Produced</t>
  </si>
  <si>
    <t xml:space="preserve">Invoiced</t>
  </si>
  <si>
    <t xml:space="preserve">Produced - invoiced</t>
  </si>
  <si>
    <t xml:space="preserve">Over-invoiced sizes (MT)</t>
  </si>
  <si>
    <t xml:space="preserve">Over-invoiced sizes (count)</t>
  </si>
  <si>
    <t xml:space="preserve">Current inventory - over-invoiced</t>
  </si>
  <si>
    <t xml:space="preserve">Check (should be 0)</t>
  </si>
  <si>
    <t xml:space="preserve">Over-invoiced = a size invoiced from a plant beyond what that plant recorded producing (e.g. stock made before tracking began, or an invoice booked to another plant). It shows no stock and is not aged.</t>
  </si>
  <si>
    <t xml:space="preserve">Produced, Invoiced and Over-invoiced are read from the database; every other figure on this sheet is a formula over the All sizes sheet.</t>
  </si>
  <si>
    <t xml:space="preserve">Over 60 days = 61 days or more, as in the Inventory Snapshot. Hyderabad is the plant the Snapshot shows as Nippon.</t>
  </si>
  <si>
    <t xml:space="preserve">JSW Pipes &amp; Tubes - finished inventory ageing, by plant and size</t>
  </si>
  <si>
    <t xml:space="preserve">As of 29-Oct-2026 · data up to 28-Oct · stock = produced minus invoiced at each plant, aged first-in-first-out from the production date · MT</t>
  </si>
  <si>
    <t xml:space="preserve">Size</t>
  </si>
  <si>
    <t xml:space="preserve">On hand (MT)</t>
  </si>
  <si>
    <t xml:space="preserve">0-30 days (MT)</t>
  </si>
  <si>
    <t xml:space="preserve">31-60 days (MT)</t>
  </si>
  <si>
    <t xml:space="preserve">61-90 days (MT)</t>
  </si>
  <si>
    <t xml:space="preserve">90+ days (MT)</t>
  </si>
  <si>
    <t xml:space="preserve">Over 60 days (MT)</t>
  </si>
  <si>
    <t xml:space="preserve">Oldest batch (days)</t>
  </si>
  <si>
    <t xml:space="preserve">Last produced</t>
  </si>
  <si>
    <t xml:space="preserve">RHS 60x40 x 2.0</t>
  </si>
  <si>
    <t xml:space="preserve">RHS 80x40 x 2.0</t>
  </si>
  <si>
    <t xml:space="preserve">SHS 38x38 x 2.0</t>
  </si>
  <si>
    <t xml:space="preserve">CHS 80 NB x 2.5</t>
  </si>
  <si>
    <t xml:space="preserve">CHS 50 NB x 2.0</t>
  </si>
  <si>
    <t xml:space="preserve">CHS 32 NB x 2.5</t>
  </si>
  <si>
    <t xml:space="preserve">CHS 40 NB x 2.0</t>
  </si>
  <si>
    <t xml:space="preserve">SHS 50x50 x 2.8</t>
  </si>
  <si>
    <t xml:space="preserve">SHS 38x38 x 2.5</t>
  </si>
  <si>
    <t xml:space="preserve">RHS 60x40 x 2.8</t>
  </si>
  <si>
    <t xml:space="preserve">RHS 80x40 x 4.0</t>
  </si>
  <si>
    <t xml:space="preserve">RHS 80x40 x 2.5</t>
  </si>
  <si>
    <t xml:space="preserve">CHS 80 NB x 4.0</t>
  </si>
  <si>
    <t xml:space="preserve">RHS 50x25 x 2.0</t>
  </si>
  <si>
    <t xml:space="preserve">SHS 38x38 x 2.8</t>
  </si>
  <si>
    <t xml:space="preserve">RHS 80x40 x 3.0</t>
  </si>
  <si>
    <t xml:space="preserve">CHS 20 NB x 1.6</t>
  </si>
  <si>
    <t xml:space="preserve">RHS 75x25 x 2.8</t>
  </si>
  <si>
    <t xml:space="preserve">CHS 50 NB x 3.2</t>
  </si>
  <si>
    <t xml:space="preserve">SHS 50x50 x 1.6</t>
  </si>
  <si>
    <t xml:space="preserve">CHS 80 NB x 2.0</t>
  </si>
  <si>
    <t xml:space="preserve">CHS 40 NB x 4.0</t>
  </si>
  <si>
    <t xml:space="preserve">CHS 80 NB x 1.6</t>
  </si>
  <si>
    <t xml:space="preserve">CHS 65 NB x 2.0</t>
  </si>
  <si>
    <t xml:space="preserve">RHS 100x50 x 4.0</t>
  </si>
  <si>
    <t xml:space="preserve">CHS 20 NB x 2.0</t>
  </si>
  <si>
    <t xml:space="preserve">SHS 50x50 x 2.0</t>
  </si>
  <si>
    <t xml:space="preserve">CHS 50 NB x 2.5</t>
  </si>
  <si>
    <t xml:space="preserve">CHS 40 NB x 2.8</t>
  </si>
  <si>
    <t xml:space="preserve">RHS 60x40 x 2.5</t>
  </si>
  <si>
    <t xml:space="preserve">RHS 40x20 x 2.8</t>
  </si>
  <si>
    <t xml:space="preserve">SHS 25x25 x 2.0</t>
  </si>
  <si>
    <t xml:space="preserve">CHS 20 NB x 2.5</t>
  </si>
  <si>
    <t xml:space="preserve">CHS 80 NB x 3.2</t>
  </si>
  <si>
    <t xml:space="preserve">SHS 60x60 x 4.0</t>
  </si>
  <si>
    <t xml:space="preserve">CHS 20 NB x 2.8</t>
  </si>
  <si>
    <t xml:space="preserve">RHS 75x25 x 2.0</t>
  </si>
  <si>
    <t xml:space="preserve">CHS 65 NB x 2.8</t>
  </si>
  <si>
    <t xml:space="preserve">CHS 25 NB x 1.6</t>
  </si>
  <si>
    <t xml:space="preserve">RHS 40x20 x 2.0</t>
  </si>
  <si>
    <t xml:space="preserve">RHS 100x50 x 3.0</t>
  </si>
  <si>
    <t xml:space="preserve">CHS 32 NB x 2.0</t>
  </si>
  <si>
    <t xml:space="preserve">RHS 80x40 x 2.8</t>
  </si>
  <si>
    <t xml:space="preserve">SHS 38x38 x 2.2</t>
  </si>
  <si>
    <t xml:space="preserve">CHS 40 NB x 2.5</t>
  </si>
  <si>
    <t xml:space="preserve">SHS 50x50 x 4.0</t>
  </si>
  <si>
    <t xml:space="preserve">CHS 15 NB x 2.0</t>
  </si>
  <si>
    <t xml:space="preserve">CHS 65 NB x 2.5</t>
  </si>
  <si>
    <t xml:space="preserve">CHS 15 NB x 2.5</t>
  </si>
  <si>
    <t xml:space="preserve">CHS 32 NB x 4.0</t>
  </si>
  <si>
    <t xml:space="preserve">RHS 50x25 x 2.5</t>
  </si>
  <si>
    <t xml:space="preserve">RHS 40x20 x 3.0</t>
  </si>
  <si>
    <t xml:space="preserve">SHS 30x30 x 2.5</t>
  </si>
  <si>
    <t xml:space="preserve">CHS 80 NB x 2.8</t>
  </si>
  <si>
    <t xml:space="preserve">CHS 25 NB x 2.5</t>
  </si>
  <si>
    <t xml:space="preserve">CHS 50 NB x 2.8</t>
  </si>
  <si>
    <t xml:space="preserve">SHS 25x25 x 3.2</t>
  </si>
  <si>
    <t xml:space="preserve">RHS 100x50 x 2.5</t>
  </si>
  <si>
    <t xml:space="preserve">SHS 50x50 x 2.5</t>
  </si>
  <si>
    <t xml:space="preserve">SHS 60x60 x 2.5</t>
  </si>
  <si>
    <t xml:space="preserve">CHS 32 NB x 2.8</t>
  </si>
  <si>
    <t xml:space="preserve">RHS 100x50 x 2.8</t>
  </si>
  <si>
    <t xml:space="preserve">SHS 50x50 x 2.2</t>
  </si>
  <si>
    <t xml:space="preserve">CHS 50 NB x 1.6</t>
  </si>
  <si>
    <t xml:space="preserve">RHS 100x50 x 2.0</t>
  </si>
  <si>
    <t xml:space="preserve">RHS 100x50 x 3.2</t>
  </si>
  <si>
    <t xml:space="preserve">RHS 50x25 x 2.8</t>
  </si>
  <si>
    <t xml:space="preserve">CHS 32 NB x 1.6</t>
  </si>
  <si>
    <t xml:space="preserve">SHS 38x38 x 1.6</t>
  </si>
  <si>
    <t xml:space="preserve">RHS 75x25 x 2.5</t>
  </si>
  <si>
    <t xml:space="preserve">CHS 25 NB x 2.0</t>
  </si>
  <si>
    <t xml:space="preserve">SHS 75x75 x 2.0</t>
  </si>
  <si>
    <t xml:space="preserve">RHS 60x40 x 1.6</t>
  </si>
  <si>
    <t xml:space="preserve">SHS 30x30 x 1.6</t>
  </si>
  <si>
    <t xml:space="preserve">SHS 75x75 x 2.5</t>
  </si>
  <si>
    <t xml:space="preserve">RHS 40x20 x 2.2</t>
  </si>
  <si>
    <t xml:space="preserve">SHS 20x20 x 1.2</t>
  </si>
  <si>
    <t xml:space="preserve">SHS 38x38 x 4.0</t>
  </si>
  <si>
    <t xml:space="preserve">SHS 25x25 x 1.6</t>
  </si>
  <si>
    <t xml:space="preserve">RHS 40x20 x 1.2</t>
  </si>
  <si>
    <t xml:space="preserve">CHS 65 NB x 4.0</t>
  </si>
  <si>
    <t xml:space="preserve">SHS 72x72 x 5.0</t>
  </si>
  <si>
    <t xml:space="preserve">SHS 150x150 x 5.0</t>
  </si>
  <si>
    <t xml:space="preserve">SHS 150x150 x 3.0</t>
  </si>
  <si>
    <t xml:space="preserve">SHS 150x150 x 4.0</t>
  </si>
  <si>
    <t xml:space="preserve">RHS 122x61 x 4.0</t>
  </si>
  <si>
    <t xml:space="preserve">RHS 122x61 x 2.5</t>
  </si>
  <si>
    <t xml:space="preserve">RHS 122x61 x 5.0</t>
  </si>
  <si>
    <t xml:space="preserve">RHS 96x48 x 5.0</t>
  </si>
  <si>
    <t xml:space="preserve">SHS 72x72 x 2.0</t>
  </si>
  <si>
    <t xml:space="preserve">RHS 122x61 x 3.0</t>
  </si>
  <si>
    <t xml:space="preserve">RHS 96x48 x 2.0</t>
  </si>
  <si>
    <t xml:space="preserve">RHS 96x48 x 3.0</t>
  </si>
  <si>
    <t xml:space="preserve">SHS 40x40 x 2.5</t>
  </si>
  <si>
    <t xml:space="preserve">RHS 50x25 x 3.0</t>
  </si>
  <si>
    <t xml:space="preserve">SHS 40x40 x 2.0</t>
  </si>
  <si>
    <t xml:space="preserve">SHS 72x72 x 2.5</t>
  </si>
  <si>
    <t xml:space="preserve">SHS 40x40 x 3.0</t>
  </si>
  <si>
    <t xml:space="preserve">RHS 96x48 x 4.0</t>
  </si>
  <si>
    <t xml:space="preserve">RHS 96x48 x 2.5</t>
  </si>
  <si>
    <t xml:space="preserve">RHS 122x61 x 2.0</t>
  </si>
  <si>
    <t xml:space="preserve">SHS 100x100 x 5.0</t>
  </si>
  <si>
    <t xml:space="preserve">SHS 100x100 x 3.0</t>
  </si>
  <si>
    <t xml:space="preserve">SHS 100x100 x 2.0</t>
  </si>
  <si>
    <t xml:space="preserve">SHS 100x100 x 2.5</t>
  </si>
  <si>
    <t xml:space="preserve">RHS 80x40 x 1.6</t>
  </si>
  <si>
    <t xml:space="preserve">RHS 60x40 x 3.0</t>
  </si>
  <si>
    <t xml:space="preserve">RHS 96x48 x 1.6</t>
  </si>
  <si>
    <t xml:space="preserve">RHS 50x25 x 1.6</t>
  </si>
  <si>
    <t xml:space="preserve">SHS 50x50 x 1.2</t>
  </si>
  <si>
    <t xml:space="preserve">SHS 150x150 x 2.5</t>
  </si>
  <si>
    <t xml:space="preserve">RHS 80x40 x 5.0</t>
  </si>
  <si>
    <t xml:space="preserve">SHS 50x50 x 5.0</t>
  </si>
  <si>
    <t xml:space="preserve">SHS 50x50 x 3.0</t>
  </si>
  <si>
    <t xml:space="preserve">SHS 60x60 x 5.0</t>
  </si>
  <si>
    <t xml:space="preserve">SHS 132x132 x 3.0</t>
  </si>
  <si>
    <t xml:space="preserve">SHS 100x100 x 4.0</t>
  </si>
  <si>
    <t xml:space="preserve">SHS 80x80 x 5.0</t>
  </si>
  <si>
    <t xml:space="preserve">RHS 200x100 x 5.0</t>
  </si>
  <si>
    <t xml:space="preserve">RHS 60x40 x 4.0</t>
  </si>
  <si>
    <t xml:space="preserve">SHS 132x132 x 4.0</t>
  </si>
  <si>
    <t xml:space="preserve">RHS 200x100 x 3.0</t>
  </si>
  <si>
    <t xml:space="preserve">SHS 100x100 x 6.0</t>
  </si>
  <si>
    <t xml:space="preserve">RHS 145x82 x 3.0</t>
  </si>
  <si>
    <t xml:space="preserve">RHS 145x82 x 4.0</t>
  </si>
  <si>
    <t xml:space="preserve">RHS 200x100 x 4.0</t>
  </si>
  <si>
    <t xml:space="preserve">Total (follows the filter)</t>
  </si>
  <si>
    <t xml:space="preserve">How to read this sheet</t>
  </si>
  <si>
    <t xml:space="preserve">One row per size per plant with stock on hand. A size = section + size + thickness (IS standard and length not split).</t>
  </si>
  <si>
    <t xml:space="preserve">On hand = produced minus invoiced at that plant; production tonnage = tubes x SKU master weight per tube. Same rules as the Inventory Snapshot.</t>
  </si>
  <si>
    <t xml:space="preserve">Invoices use up the oldest production first; what is left is aged from its production date. The four brackets add up to On hand.</t>
  </si>
  <si>
    <t xml:space="preserve">Over 60 days = 61 days or more. Avg age = tonnage-weighted average age of the stock on hand. Oldest batch is shaded by its bracket.</t>
  </si>
  <si>
    <t xml:space="preserve">Use the filter arrows on the header row to pick a plant, region or size; the Total row (and its average age) follows the filter.</t>
  </si>
  <si>
    <t xml:space="preserve">Sizes invoiced beyond what the plant recorded producing show no stock and are not listed; see the Summary sheet's reconciliation.</t>
  </si>
  <si>
    <t xml:space="preserve">Hyderabad is the plant the Inventory Snapshot shows as Nippon.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</si>
</sst>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-#,##0.00;\-"/>
    <numFmt numFmtId="166" formatCode="0"/>
    <numFmt numFmtId="167" formatCode="0.0%"/>
    <numFmt numFmtId="168" formatCode="0.0"/>
    <numFmt numFmtId="169" formatCode="0.000"/>
    <numFmt numFmtId="170" formatCode="dd\-mmm\-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9B1C1C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7D32"/>
        <bgColor rgb="FF008000"/>
      </patternFill>
    </fill>
    <fill>
      <patternFill patternType="solid">
        <fgColor rgb="FF8A6D00"/>
        <bgColor rgb="FFB45309"/>
      </patternFill>
    </fill>
    <fill>
      <patternFill patternType="solid">
        <fgColor rgb="FFB45309"/>
        <bgColor rgb="FF8A6D00"/>
      </patternFill>
    </fill>
    <fill>
      <patternFill patternType="solid">
        <fgColor rgb="FF9B1C1C"/>
        <bgColor rgb="FF800000"/>
      </patternFill>
    </fill>
    <fill>
      <patternFill patternType="solid">
        <fgColor rgb="FFEEF2F6"/>
        <bgColor rgb="FFE8F5E9"/>
      </patternFill>
    </fill>
    <fill>
      <patternFill patternType="solid">
        <fgColor rgb="FFFFF9DB"/>
        <bgColor rgb="FFFFF1D6"/>
      </patternFill>
    </fill>
    <fill>
      <patternFill patternType="solid">
        <fgColor rgb="FFE8F5E9"/>
        <bgColor rgb="FFEEF2F6"/>
      </patternFill>
    </fill>
    <fill>
      <patternFill patternType="solid">
        <fgColor rgb="FFFBE3E1"/>
        <bgColor rgb="FFFFF1D6"/>
      </patternFill>
    </fill>
    <fill>
      <patternFill patternType="solid">
        <fgColor rgb="FFFFF1D6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BE3E1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F9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808080"/>
      <rgbColor rgb="FF9999FF"/>
      <rgbColor rgb="FFB45309"/>
      <rgbColor rgb="FFFFF9DB"/>
      <rgbColor rgb="FFE8F5E9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CCFFCC"/>
      <rgbColor rgb="FFFFF1D6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2E7D32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1" min="10" style="0" width="10"/>
    <col collapsed="false" customWidth="true" hidden="false" outlineLevel="0" max="15" min="12" style="0" width="9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5" t="s">
        <v>7</v>
      </c>
      <c r="G4" s="6" t="s">
        <v>8</v>
      </c>
      <c r="H4" s="7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8" t="s">
        <v>17</v>
      </c>
      <c r="B5" s="9" t="s">
        <v>18</v>
      </c>
      <c r="C5" s="10" t="n">
        <f aca="false">COUNTIF('All sizes'!$A$5:$A$172,A5)</f>
        <v>81</v>
      </c>
      <c r="D5" s="8" t="n">
        <f aca="false">SUMIF('All sizes'!$A$5:$A$172,A5,'All sizes'!$D$5:$D$172)</f>
        <v>895.247198917836</v>
      </c>
      <c r="E5" s="9" t="n">
        <f aca="false">SUMIF('All sizes'!$A$5:$A$172,A5,'All sizes'!$E$5:$E$172)</f>
        <v>406.082629322577</v>
      </c>
      <c r="F5" s="9" t="n">
        <f aca="false">SUMIF('All sizes'!$A$5:$A$172,A5,'All sizes'!$F$5:$F$172)</f>
        <v>198.918742271222</v>
      </c>
      <c r="G5" s="9" t="n">
        <f aca="false">SUMIF('All sizes'!$A$5:$A$172,A5,'All sizes'!$G$5:$G$172)</f>
        <v>28.6116667098091</v>
      </c>
      <c r="H5" s="9" t="n">
        <f aca="false">SUMIF('All sizes'!$A$5:$A$172,A5,'All sizes'!$H$5:$H$172)</f>
        <v>261.634160614229</v>
      </c>
      <c r="I5" s="9" t="n">
        <f aca="false">G5+H5</f>
        <v>290.245827324038</v>
      </c>
      <c r="J5" s="11" t="n">
        <f aca="false">IF(D5&gt;0,I5/D5,0)</f>
        <v>0.32420746769706</v>
      </c>
      <c r="K5" s="12" t="n">
        <f aca="false">IF(D5&gt;0,SUMPRODUCT(('All sizes'!$A$5:$A$172=A5)*'All sizes'!$D$5:$D$172*'All sizes'!$J$5:$J$172)/D5,0)</f>
        <v>54.0363618458042</v>
      </c>
      <c r="L5" s="11" t="n">
        <f aca="false">IF($D5&gt;0,E5/$D5,0)</f>
        <v>0.453598324366102</v>
      </c>
      <c r="M5" s="11" t="n">
        <f aca="false">IF($D5&gt;0,F5/$D5,0)</f>
        <v>0.222194207936838</v>
      </c>
      <c r="N5" s="11" t="n">
        <f aca="false">IF($D5&gt;0,G5/$D5,0)</f>
        <v>0.0319595154772833</v>
      </c>
      <c r="O5" s="11" t="n">
        <f aca="false">IF($D5&gt;0,H5/$D5,0)</f>
        <v>0.292247952219777</v>
      </c>
    </row>
    <row r="6" customFormat="false" ht="15" hidden="false" customHeight="false" outlineLevel="0" collapsed="false">
      <c r="A6" s="8" t="s">
        <v>19</v>
      </c>
      <c r="B6" s="9" t="s">
        <v>18</v>
      </c>
      <c r="C6" s="10" t="n">
        <f aca="false">COUNTIF('All sizes'!$A$5:$A$172,A6)</f>
        <v>24</v>
      </c>
      <c r="D6" s="8" t="n">
        <f aca="false">SUMIF('All sizes'!$A$5:$A$172,A6,'All sizes'!$D$5:$D$172)</f>
        <v>350.187164</v>
      </c>
      <c r="E6" s="9" t="n">
        <f aca="false">SUMIF('All sizes'!$A$5:$A$172,A6,'All sizes'!$E$5:$E$172)</f>
        <v>261.4962659</v>
      </c>
      <c r="F6" s="9" t="n">
        <f aca="false">SUMIF('All sizes'!$A$5:$A$172,A6,'All sizes'!$F$5:$F$172)</f>
        <v>88.6908981</v>
      </c>
      <c r="G6" s="9" t="n">
        <f aca="false">SUMIF('All sizes'!$A$5:$A$172,A6,'All sizes'!$G$5:$G$172)</f>
        <v>0</v>
      </c>
      <c r="H6" s="9" t="n">
        <f aca="false">SUMIF('All sizes'!$A$5:$A$172,A6,'All sizes'!$H$5:$H$172)</f>
        <v>0</v>
      </c>
      <c r="I6" s="9" t="n">
        <f aca="false">G6+H6</f>
        <v>0</v>
      </c>
      <c r="J6" s="11" t="n">
        <f aca="false">IF(D6&gt;0,I6/D6,0)</f>
        <v>0</v>
      </c>
      <c r="K6" s="12" t="n">
        <f aca="false">IF(D6&gt;0,SUMPRODUCT(('All sizes'!$A$5:$A$172=A6)*'All sizes'!$D$5:$D$172*'All sizes'!$J$5:$J$172)/D6,0)</f>
        <v>22.2621159906364</v>
      </c>
      <c r="L6" s="11" t="n">
        <f aca="false">IF($D6&gt;0,E6/$D6,0)</f>
        <v>0.746732869683368</v>
      </c>
      <c r="M6" s="11" t="n">
        <f aca="false">IF($D6&gt;0,F6/$D6,0)</f>
        <v>0.253267130316633</v>
      </c>
      <c r="N6" s="11" t="n">
        <f aca="false">IF($D6&gt;0,G6/$D6,0)</f>
        <v>0</v>
      </c>
      <c r="O6" s="11" t="n">
        <f aca="false">IF($D6&gt;0,H6/$D6,0)</f>
        <v>0</v>
      </c>
    </row>
    <row r="7" customFormat="false" ht="15" hidden="false" customHeight="false" outlineLevel="0" collapsed="false">
      <c r="A7" s="8" t="s">
        <v>20</v>
      </c>
      <c r="B7" s="9" t="s">
        <v>21</v>
      </c>
      <c r="C7" s="10" t="n">
        <f aca="false">COUNTIF('All sizes'!$A$5:$A$172,A7)</f>
        <v>19</v>
      </c>
      <c r="D7" s="8" t="n">
        <f aca="false">SUMIF('All sizes'!$A$5:$A$172,A7,'All sizes'!$D$5:$D$172)</f>
        <v>826.192144496</v>
      </c>
      <c r="E7" s="9" t="n">
        <f aca="false">SUMIF('All sizes'!$A$5:$A$172,A7,'All sizes'!$E$5:$E$172)</f>
        <v>678.406431808</v>
      </c>
      <c r="F7" s="9" t="n">
        <f aca="false">SUMIF('All sizes'!$A$5:$A$172,A7,'All sizes'!$F$5:$F$172)</f>
        <v>147.785712688</v>
      </c>
      <c r="G7" s="9" t="n">
        <f aca="false">SUMIF('All sizes'!$A$5:$A$172,A7,'All sizes'!$G$5:$G$172)</f>
        <v>0</v>
      </c>
      <c r="H7" s="9" t="n">
        <f aca="false">SUMIF('All sizes'!$A$5:$A$172,A7,'All sizes'!$H$5:$H$172)</f>
        <v>0</v>
      </c>
      <c r="I7" s="9" t="n">
        <f aca="false">G7+H7</f>
        <v>0</v>
      </c>
      <c r="J7" s="11" t="n">
        <f aca="false">IF(D7&gt;0,I7/D7,0)</f>
        <v>0</v>
      </c>
      <c r="K7" s="12" t="n">
        <f aca="false">IF(D7&gt;0,SUMPRODUCT(('All sizes'!$A$5:$A$172=A7)*'All sizes'!$D$5:$D$172*'All sizes'!$J$5:$J$172)/D7,0)</f>
        <v>20.7843165816582</v>
      </c>
      <c r="L7" s="11" t="n">
        <f aca="false">IF($D7&gt;0,E7/$D7,0)</f>
        <v>0.821124282441401</v>
      </c>
      <c r="M7" s="11" t="n">
        <f aca="false">IF($D7&gt;0,F7/$D7,0)</f>
        <v>0.178875717558599</v>
      </c>
      <c r="N7" s="11" t="n">
        <f aca="false">IF($D7&gt;0,G7/$D7,0)</f>
        <v>0</v>
      </c>
      <c r="O7" s="11" t="n">
        <f aca="false">IF($D7&gt;0,H7/$D7,0)</f>
        <v>0</v>
      </c>
    </row>
    <row r="8" customFormat="false" ht="15" hidden="false" customHeight="false" outlineLevel="0" collapsed="false">
      <c r="A8" s="8" t="s">
        <v>22</v>
      </c>
      <c r="B8" s="9" t="s">
        <v>21</v>
      </c>
      <c r="C8" s="10" t="n">
        <f aca="false">COUNTIF('All sizes'!$A$5:$A$172,A8)</f>
        <v>44</v>
      </c>
      <c r="D8" s="8" t="n">
        <f aca="false">SUMIF('All sizes'!$A$5:$A$172,A8,'All sizes'!$D$5:$D$172)</f>
        <v>742.1965613</v>
      </c>
      <c r="E8" s="9" t="n">
        <f aca="false">SUMIF('All sizes'!$A$5:$A$172,A8,'All sizes'!$E$5:$E$172)</f>
        <v>675.6688026</v>
      </c>
      <c r="F8" s="9" t="n">
        <f aca="false">SUMIF('All sizes'!$A$5:$A$172,A8,'All sizes'!$F$5:$F$172)</f>
        <v>62.0335107</v>
      </c>
      <c r="G8" s="9" t="n">
        <f aca="false">SUMIF('All sizes'!$A$5:$A$172,A8,'All sizes'!$G$5:$G$172)</f>
        <v>4.494248</v>
      </c>
      <c r="H8" s="9" t="n">
        <f aca="false">SUMIF('All sizes'!$A$5:$A$172,A8,'All sizes'!$H$5:$H$172)</f>
        <v>0</v>
      </c>
      <c r="I8" s="9" t="n">
        <f aca="false">G8+H8</f>
        <v>4.494248</v>
      </c>
      <c r="J8" s="11" t="n">
        <f aca="false">IF(D8&gt;0,I8/D8,0)</f>
        <v>0.0060553339025555</v>
      </c>
      <c r="K8" s="12" t="n">
        <f aca="false">IF(D8&gt;0,SUMPRODUCT(('All sizes'!$A$5:$A$172=A8)*'All sizes'!$D$5:$D$172*'All sizes'!$J$5:$J$172)/D8,0)</f>
        <v>18.7896584489336</v>
      </c>
      <c r="L8" s="11" t="n">
        <f aca="false">IF($D8&gt;0,E8/$D8,0)</f>
        <v>0.910363693165766</v>
      </c>
      <c r="M8" s="11" t="n">
        <f aca="false">IF($D8&gt;0,F8/$D8,0)</f>
        <v>0.0835809729316783</v>
      </c>
      <c r="N8" s="11" t="n">
        <f aca="false">IF($D8&gt;0,G8/$D8,0)</f>
        <v>0.0060553339025555</v>
      </c>
      <c r="O8" s="11" t="n">
        <f aca="false">IF($D8&gt;0,H8/$D8,0)</f>
        <v>0</v>
      </c>
    </row>
    <row r="9" customFormat="false" ht="15" hidden="false" customHeight="false" outlineLevel="0" collapsed="false">
      <c r="A9" s="13" t="s">
        <v>23</v>
      </c>
      <c r="B9" s="13"/>
      <c r="C9" s="14" t="n">
        <f aca="false">SUM(C5:C8)</f>
        <v>168</v>
      </c>
      <c r="D9" s="15" t="n">
        <f aca="false">SUM(D5:D8)</f>
        <v>2813.82306871384</v>
      </c>
      <c r="E9" s="15" t="n">
        <f aca="false">SUM(E5:E8)</f>
        <v>2021.65412963058</v>
      </c>
      <c r="F9" s="15" t="n">
        <f aca="false">SUM(F5:F8)</f>
        <v>497.428863759222</v>
      </c>
      <c r="G9" s="15" t="n">
        <f aca="false">SUM(G5:G8)</f>
        <v>33.1059147098091</v>
      </c>
      <c r="H9" s="15" t="n">
        <f aca="false">SUM(H5:H8)</f>
        <v>261.634160614229</v>
      </c>
      <c r="I9" s="15" t="n">
        <f aca="false">SUM(I5:I8)</f>
        <v>294.740075324038</v>
      </c>
      <c r="J9" s="16" t="n">
        <f aca="false">IF(D9&gt;0,I9/D9,0)</f>
        <v>0.104747195586381</v>
      </c>
      <c r="K9" s="17" t="n">
        <f aca="false">IF(D9&gt;0,SUMPRODUCT(D5:D8,K5:K8)/D9,0)</f>
        <v>31.0215908005722</v>
      </c>
      <c r="L9" s="16" t="n">
        <f aca="false">IF($D9&gt;0,E9/$D9,0)</f>
        <v>0.7184723702456</v>
      </c>
      <c r="M9" s="16" t="n">
        <f aca="false">IF($D9&gt;0,F9/$D9,0)</f>
        <v>0.17678043416802</v>
      </c>
      <c r="N9" s="16" t="n">
        <f aca="false">IF($D9&gt;0,G9/$D9,0)</f>
        <v>0.0117654571383344</v>
      </c>
      <c r="O9" s="16" t="n">
        <f aca="false">IF($D9&gt;0,H9/$D9,0)</f>
        <v>0.0929817384480462</v>
      </c>
    </row>
    <row r="12" customFormat="false" ht="15" hidden="false" customHeight="false" outlineLevel="0" collapsed="false">
      <c r="A12" s="18" t="s">
        <v>24</v>
      </c>
    </row>
    <row r="13" customFormat="false" ht="36" hidden="false" customHeight="true" outlineLevel="0" collapsed="false">
      <c r="A13" s="3" t="s">
        <v>2</v>
      </c>
      <c r="B13" s="3" t="s">
        <v>25</v>
      </c>
      <c r="C13" s="3" t="s">
        <v>26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31</v>
      </c>
    </row>
    <row r="14" customFormat="false" ht="15" hidden="false" customHeight="false" outlineLevel="0" collapsed="false">
      <c r="A14" s="8" t="s">
        <v>17</v>
      </c>
      <c r="B14" s="9" t="n">
        <v>6960.10004706745</v>
      </c>
      <c r="C14" s="9" t="n">
        <v>6133.589</v>
      </c>
      <c r="D14" s="9" t="n">
        <f aca="false">B14-C14</f>
        <v>826.511047067451</v>
      </c>
      <c r="E14" s="9" t="n">
        <v>68.7361518503915</v>
      </c>
      <c r="F14" s="10" t="n">
        <v>26</v>
      </c>
      <c r="G14" s="9" t="n">
        <f aca="false">D5-E14</f>
        <v>826.511047067445</v>
      </c>
      <c r="H14" s="19" t="n">
        <f aca="false">ROUND(D14-G14,6)</f>
        <v>0</v>
      </c>
    </row>
    <row r="15" customFormat="false" ht="15" hidden="false" customHeight="false" outlineLevel="0" collapsed="false">
      <c r="A15" s="8" t="s">
        <v>19</v>
      </c>
      <c r="B15" s="9" t="n">
        <v>1115.6927424</v>
      </c>
      <c r="C15" s="9" t="n">
        <v>787.15</v>
      </c>
      <c r="D15" s="9" t="n">
        <f aca="false">B15-C15</f>
        <v>328.5427424</v>
      </c>
      <c r="E15" s="9" t="n">
        <v>21.6444216</v>
      </c>
      <c r="F15" s="10" t="n">
        <v>5</v>
      </c>
      <c r="G15" s="9" t="n">
        <f aca="false">D6-E15</f>
        <v>328.5427424</v>
      </c>
      <c r="H15" s="19" t="n">
        <f aca="false">ROUND(D15-G15,6)</f>
        <v>0</v>
      </c>
    </row>
    <row r="16" customFormat="false" ht="15" hidden="false" customHeight="false" outlineLevel="0" collapsed="false">
      <c r="A16" s="8" t="s">
        <v>20</v>
      </c>
      <c r="B16" s="9" t="n">
        <v>1601.904712296</v>
      </c>
      <c r="C16" s="9" t="n">
        <v>777.52</v>
      </c>
      <c r="D16" s="9" t="n">
        <f aca="false">B16-C16</f>
        <v>824.384712296</v>
      </c>
      <c r="E16" s="9" t="n">
        <v>1.8074322</v>
      </c>
      <c r="F16" s="10" t="n">
        <v>2</v>
      </c>
      <c r="G16" s="9" t="n">
        <f aca="false">D7-E16</f>
        <v>824.384712296</v>
      </c>
      <c r="H16" s="19" t="n">
        <f aca="false">ROUND(D16-G16,6)</f>
        <v>0</v>
      </c>
    </row>
    <row r="17" customFormat="false" ht="15" hidden="false" customHeight="false" outlineLevel="0" collapsed="false">
      <c r="A17" s="8" t="s">
        <v>22</v>
      </c>
      <c r="B17" s="9" t="n">
        <v>2717.7768148</v>
      </c>
      <c r="C17" s="9" t="n">
        <v>2000.821</v>
      </c>
      <c r="D17" s="9" t="n">
        <f aca="false">B17-C17</f>
        <v>716.955814799999</v>
      </c>
      <c r="E17" s="9" t="n">
        <v>25.2407465</v>
      </c>
      <c r="F17" s="10" t="n">
        <v>9</v>
      </c>
      <c r="G17" s="9" t="n">
        <f aca="false">D8-E17</f>
        <v>716.9558148</v>
      </c>
      <c r="H17" s="19" t="n">
        <f aca="false">ROUND(D17-G17,6)</f>
        <v>0</v>
      </c>
    </row>
    <row r="18" customFormat="false" ht="15" hidden="false" customHeight="false" outlineLevel="0" collapsed="false">
      <c r="A18" s="13" t="s">
        <v>23</v>
      </c>
      <c r="B18" s="15" t="n">
        <f aca="false">SUM(B14:B17)</f>
        <v>12395.4743165635</v>
      </c>
      <c r="C18" s="15" t="n">
        <f aca="false">SUM(C14:C17)</f>
        <v>9699.08</v>
      </c>
      <c r="D18" s="15" t="n">
        <f aca="false">SUM(D14:D17)</f>
        <v>2696.39431656345</v>
      </c>
      <c r="E18" s="15" t="n">
        <f aca="false">SUM(E14:E17)</f>
        <v>117.428752150392</v>
      </c>
      <c r="F18" s="14" t="n">
        <f aca="false">SUM(F14:F17)</f>
        <v>42</v>
      </c>
      <c r="G18" s="15" t="n">
        <f aca="false">SUM(G14:G17)</f>
        <v>2696.39431656345</v>
      </c>
      <c r="H18" s="20" t="n">
        <f aca="false">SUM(H14:H17)</f>
        <v>0</v>
      </c>
    </row>
    <row r="20" customFormat="false" ht="15" hidden="false" customHeight="false" outlineLevel="0" collapsed="false">
      <c r="A20" s="21" t="s">
        <v>32</v>
      </c>
    </row>
    <row r="21" customFormat="false" ht="15" hidden="false" customHeight="false" outlineLevel="0" collapsed="false">
      <c r="A21" s="21" t="s">
        <v>33</v>
      </c>
    </row>
    <row r="22" customFormat="false" ht="15" hidden="false" customHeight="false" outlineLevel="0" collapsed="false">
      <c r="A22" s="2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9" min="4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37</v>
      </c>
      <c r="D4" s="3" t="s">
        <v>38</v>
      </c>
      <c r="E4" s="4" t="s">
        <v>39</v>
      </c>
      <c r="F4" s="5" t="s">
        <v>40</v>
      </c>
      <c r="G4" s="6" t="s">
        <v>41</v>
      </c>
      <c r="H4" s="7" t="s">
        <v>42</v>
      </c>
      <c r="I4" s="3" t="s">
        <v>43</v>
      </c>
      <c r="J4" s="3" t="s">
        <v>12</v>
      </c>
      <c r="K4" s="3" t="s">
        <v>44</v>
      </c>
      <c r="L4" s="3" t="s">
        <v>45</v>
      </c>
    </row>
    <row r="5" customFormat="false" ht="15" hidden="false" customHeight="false" outlineLevel="0" collapsed="false">
      <c r="A5" s="22" t="s">
        <v>17</v>
      </c>
      <c r="B5" s="22" t="s">
        <v>18</v>
      </c>
      <c r="C5" s="22" t="s">
        <v>46</v>
      </c>
      <c r="D5" s="8" t="n">
        <f aca="false">SUM(E5:H5)</f>
        <v>49.0019648000001</v>
      </c>
      <c r="E5" s="9" t="n">
        <v>45.5234688</v>
      </c>
      <c r="F5" s="9" t="n">
        <v>3.47849600000006</v>
      </c>
      <c r="G5" s="9" t="n">
        <v>0</v>
      </c>
      <c r="H5" s="9" t="n">
        <v>0</v>
      </c>
      <c r="I5" s="9" t="n">
        <f aca="false">G5+H5</f>
        <v>0</v>
      </c>
      <c r="J5" s="12" t="n">
        <v>16.1858514212067</v>
      </c>
      <c r="K5" s="23" t="n">
        <v>36</v>
      </c>
      <c r="L5" s="24" t="n">
        <v>46314</v>
      </c>
    </row>
    <row r="6" customFormat="false" ht="15" hidden="false" customHeight="false" outlineLevel="0" collapsed="false">
      <c r="A6" s="22" t="s">
        <v>17</v>
      </c>
      <c r="B6" s="22" t="s">
        <v>18</v>
      </c>
      <c r="C6" s="22" t="s">
        <v>47</v>
      </c>
      <c r="D6" s="8" t="n">
        <f aca="false">SUM(E6:H6)</f>
        <v>47.8587936</v>
      </c>
      <c r="E6" s="9" t="n">
        <v>38.682288</v>
      </c>
      <c r="F6" s="9" t="n">
        <v>9.17650559999998</v>
      </c>
      <c r="G6" s="9" t="n">
        <v>0</v>
      </c>
      <c r="H6" s="9" t="n">
        <v>0</v>
      </c>
      <c r="I6" s="9" t="n">
        <f aca="false">G6+H6</f>
        <v>0</v>
      </c>
      <c r="J6" s="12" t="n">
        <v>18.8348252890353</v>
      </c>
      <c r="K6" s="23" t="n">
        <v>35</v>
      </c>
      <c r="L6" s="24" t="n">
        <v>46309</v>
      </c>
    </row>
    <row r="7" customFormat="false" ht="15" hidden="false" customHeight="false" outlineLevel="0" collapsed="false">
      <c r="A7" s="22" t="s">
        <v>17</v>
      </c>
      <c r="B7" s="22" t="s">
        <v>18</v>
      </c>
      <c r="C7" s="22" t="s">
        <v>48</v>
      </c>
      <c r="D7" s="8" t="n">
        <f aca="false">SUM(E7:H7)</f>
        <v>37.045768</v>
      </c>
      <c r="E7" s="9" t="n">
        <v>37.045768</v>
      </c>
      <c r="F7" s="9" t="n">
        <v>0</v>
      </c>
      <c r="G7" s="9" t="n">
        <v>0</v>
      </c>
      <c r="H7" s="9" t="n">
        <v>0</v>
      </c>
      <c r="I7" s="9" t="n">
        <f aca="false">G7+H7</f>
        <v>0</v>
      </c>
      <c r="J7" s="12" t="n">
        <v>7.70206423578531</v>
      </c>
      <c r="K7" s="25" t="n">
        <v>23</v>
      </c>
      <c r="L7" s="24" t="n">
        <v>46323</v>
      </c>
    </row>
    <row r="8" customFormat="false" ht="15" hidden="false" customHeight="false" outlineLevel="0" collapsed="false">
      <c r="A8" s="22" t="s">
        <v>17</v>
      </c>
      <c r="B8" s="22" t="s">
        <v>18</v>
      </c>
      <c r="C8" s="22" t="s">
        <v>49</v>
      </c>
      <c r="D8" s="8" t="n">
        <f aca="false">SUM(E8:H8)</f>
        <v>34.3465701717689</v>
      </c>
      <c r="E8" s="9" t="n">
        <v>4.442621675858</v>
      </c>
      <c r="F8" s="9" t="n">
        <v>0</v>
      </c>
      <c r="G8" s="9" t="n">
        <v>0</v>
      </c>
      <c r="H8" s="9" t="n">
        <v>29.9039484959109</v>
      </c>
      <c r="I8" s="26" t="n">
        <f aca="false">G8+H8</f>
        <v>29.9039484959109</v>
      </c>
      <c r="J8" s="12" t="n">
        <v>94.8138563805834</v>
      </c>
      <c r="K8" s="27" t="n">
        <v>114</v>
      </c>
      <c r="L8" s="24" t="n">
        <v>46312</v>
      </c>
    </row>
    <row r="9" customFormat="false" ht="15" hidden="false" customHeight="false" outlineLevel="0" collapsed="false">
      <c r="A9" s="22" t="s">
        <v>17</v>
      </c>
      <c r="B9" s="22" t="s">
        <v>18</v>
      </c>
      <c r="C9" s="22" t="s">
        <v>50</v>
      </c>
      <c r="D9" s="8" t="n">
        <f aca="false">SUM(E9:H9)</f>
        <v>32.8148270267837</v>
      </c>
      <c r="E9" s="9" t="n">
        <v>0</v>
      </c>
      <c r="F9" s="9" t="n">
        <v>0</v>
      </c>
      <c r="G9" s="9" t="n">
        <v>0</v>
      </c>
      <c r="H9" s="9" t="n">
        <v>32.8148270267837</v>
      </c>
      <c r="I9" s="26" t="n">
        <f aca="false">G9+H9</f>
        <v>32.8148270267837</v>
      </c>
      <c r="J9" s="12" t="n">
        <v>115.009698645807</v>
      </c>
      <c r="K9" s="27" t="n">
        <v>128</v>
      </c>
      <c r="L9" s="24" t="n">
        <v>46227</v>
      </c>
    </row>
    <row r="10" customFormat="false" ht="15" hidden="false" customHeight="false" outlineLevel="0" collapsed="false">
      <c r="A10" s="22" t="s">
        <v>17</v>
      </c>
      <c r="B10" s="22" t="s">
        <v>18</v>
      </c>
      <c r="C10" s="22" t="s">
        <v>51</v>
      </c>
      <c r="D10" s="8" t="n">
        <f aca="false">SUM(E10:H10)</f>
        <v>29.8355663919971</v>
      </c>
      <c r="E10" s="9" t="n">
        <v>4.29513356116937</v>
      </c>
      <c r="F10" s="9" t="n">
        <v>0</v>
      </c>
      <c r="G10" s="9" t="n">
        <v>0</v>
      </c>
      <c r="H10" s="9" t="n">
        <v>25.5404328308278</v>
      </c>
      <c r="I10" s="26" t="n">
        <f aca="false">G10+H10</f>
        <v>25.5404328308278</v>
      </c>
      <c r="J10" s="12" t="n">
        <v>97.7556632766464</v>
      </c>
      <c r="K10" s="27" t="n">
        <v>111</v>
      </c>
      <c r="L10" s="24" t="n">
        <v>46305</v>
      </c>
    </row>
    <row r="11" customFormat="false" ht="15" hidden="false" customHeight="false" outlineLevel="0" collapsed="false">
      <c r="A11" s="22" t="s">
        <v>17</v>
      </c>
      <c r="B11" s="22" t="s">
        <v>18</v>
      </c>
      <c r="C11" s="22" t="s">
        <v>52</v>
      </c>
      <c r="D11" s="8" t="n">
        <f aca="false">SUM(E11:H11)</f>
        <v>24.6311525361491</v>
      </c>
      <c r="E11" s="9" t="n">
        <v>0</v>
      </c>
      <c r="F11" s="9" t="n">
        <v>20.5254921809988</v>
      </c>
      <c r="G11" s="9" t="n">
        <v>0</v>
      </c>
      <c r="H11" s="9" t="n">
        <v>4.10566035515037</v>
      </c>
      <c r="I11" s="26" t="n">
        <f aca="false">G11+H11</f>
        <v>4.10566035515037</v>
      </c>
      <c r="J11" s="12" t="n">
        <v>49.0012547339082</v>
      </c>
      <c r="K11" s="27" t="n">
        <v>104</v>
      </c>
      <c r="L11" s="24" t="n">
        <v>46286</v>
      </c>
    </row>
    <row r="12" customFormat="false" ht="15" hidden="false" customHeight="false" outlineLevel="0" collapsed="false">
      <c r="A12" s="22" t="s">
        <v>17</v>
      </c>
      <c r="B12" s="22" t="s">
        <v>18</v>
      </c>
      <c r="C12" s="22" t="s">
        <v>53</v>
      </c>
      <c r="D12" s="8" t="n">
        <f aca="false">SUM(E12:H12)</f>
        <v>23.918199616</v>
      </c>
      <c r="E12" s="9" t="n">
        <v>0</v>
      </c>
      <c r="F12" s="9" t="n">
        <v>23.918199616</v>
      </c>
      <c r="G12" s="9" t="n">
        <v>0</v>
      </c>
      <c r="H12" s="9" t="n">
        <v>0</v>
      </c>
      <c r="I12" s="9" t="n">
        <f aca="false">G12+H12</f>
        <v>0</v>
      </c>
      <c r="J12" s="12" t="n">
        <v>50</v>
      </c>
      <c r="K12" s="23" t="n">
        <v>50</v>
      </c>
      <c r="L12" s="24" t="n">
        <v>46274</v>
      </c>
    </row>
    <row r="13" customFormat="false" ht="15" hidden="false" customHeight="false" outlineLevel="0" collapsed="false">
      <c r="A13" s="22" t="s">
        <v>17</v>
      </c>
      <c r="B13" s="22" t="s">
        <v>18</v>
      </c>
      <c r="C13" s="22" t="s">
        <v>54</v>
      </c>
      <c r="D13" s="8" t="n">
        <f aca="false">SUM(E13:H13)</f>
        <v>23.161798</v>
      </c>
      <c r="E13" s="9" t="n">
        <v>20.131482</v>
      </c>
      <c r="F13" s="9" t="n">
        <v>3.03031600000001</v>
      </c>
      <c r="G13" s="9" t="n">
        <v>0</v>
      </c>
      <c r="H13" s="9" t="n">
        <v>0</v>
      </c>
      <c r="I13" s="9" t="n">
        <f aca="false">G13+H13</f>
        <v>0</v>
      </c>
      <c r="J13" s="12" t="n">
        <v>6.97163510363057</v>
      </c>
      <c r="K13" s="23" t="n">
        <v>40</v>
      </c>
      <c r="L13" s="24" t="n">
        <v>46322</v>
      </c>
    </row>
    <row r="14" customFormat="false" ht="15" hidden="false" customHeight="false" outlineLevel="0" collapsed="false">
      <c r="A14" s="22" t="s">
        <v>17</v>
      </c>
      <c r="B14" s="22" t="s">
        <v>18</v>
      </c>
      <c r="C14" s="22" t="s">
        <v>55</v>
      </c>
      <c r="D14" s="8" t="n">
        <f aca="false">SUM(E14:H14)</f>
        <v>22.624130496</v>
      </c>
      <c r="E14" s="9" t="n">
        <v>22.624130496</v>
      </c>
      <c r="F14" s="9" t="n">
        <v>0</v>
      </c>
      <c r="G14" s="9" t="n">
        <v>0</v>
      </c>
      <c r="H14" s="9" t="n">
        <v>0</v>
      </c>
      <c r="I14" s="9" t="n">
        <f aca="false">G14+H14</f>
        <v>0</v>
      </c>
      <c r="J14" s="12" t="n">
        <v>18.1019527443235</v>
      </c>
      <c r="K14" s="25" t="n">
        <v>19</v>
      </c>
      <c r="L14" s="24" t="n">
        <v>46307</v>
      </c>
    </row>
    <row r="15" customFormat="false" ht="15" hidden="false" customHeight="false" outlineLevel="0" collapsed="false">
      <c r="A15" s="22" t="s">
        <v>17</v>
      </c>
      <c r="B15" s="22" t="s">
        <v>18</v>
      </c>
      <c r="C15" s="22" t="s">
        <v>56</v>
      </c>
      <c r="D15" s="8" t="n">
        <f aca="false">SUM(E15:H15)</f>
        <v>22.1014464</v>
      </c>
      <c r="E15" s="9" t="n">
        <v>22.1014464</v>
      </c>
      <c r="F15" s="9" t="n">
        <v>0</v>
      </c>
      <c r="G15" s="9" t="n">
        <v>0</v>
      </c>
      <c r="H15" s="9" t="n">
        <v>0</v>
      </c>
      <c r="I15" s="9" t="n">
        <f aca="false">G15+H15</f>
        <v>0</v>
      </c>
      <c r="J15" s="12" t="n">
        <v>14</v>
      </c>
      <c r="K15" s="25" t="n">
        <v>14</v>
      </c>
      <c r="L15" s="24" t="n">
        <v>46310</v>
      </c>
    </row>
    <row r="16" customFormat="false" ht="15" hidden="false" customHeight="false" outlineLevel="0" collapsed="false">
      <c r="A16" s="22" t="s">
        <v>17</v>
      </c>
      <c r="B16" s="22" t="s">
        <v>18</v>
      </c>
      <c r="C16" s="22" t="s">
        <v>57</v>
      </c>
      <c r="D16" s="8" t="n">
        <f aca="false">SUM(E16:H16)</f>
        <v>21.946045</v>
      </c>
      <c r="E16" s="9" t="n">
        <v>19.3639875</v>
      </c>
      <c r="F16" s="9" t="n">
        <v>2.58205749999999</v>
      </c>
      <c r="G16" s="9" t="n">
        <v>0</v>
      </c>
      <c r="H16" s="9" t="n">
        <v>0</v>
      </c>
      <c r="I16" s="9" t="n">
        <f aca="false">G16+H16</f>
        <v>0</v>
      </c>
      <c r="J16" s="12" t="n">
        <v>8.77532500730769</v>
      </c>
      <c r="K16" s="23" t="n">
        <v>47</v>
      </c>
      <c r="L16" s="24" t="n">
        <v>46322</v>
      </c>
    </row>
    <row r="17" customFormat="false" ht="15" hidden="false" customHeight="false" outlineLevel="0" collapsed="false">
      <c r="A17" s="22" t="s">
        <v>17</v>
      </c>
      <c r="B17" s="22" t="s">
        <v>18</v>
      </c>
      <c r="C17" s="22" t="s">
        <v>58</v>
      </c>
      <c r="D17" s="8" t="n">
        <f aca="false">SUM(E17:H17)</f>
        <v>21.8961</v>
      </c>
      <c r="E17" s="9" t="n">
        <v>19.7679</v>
      </c>
      <c r="F17" s="9" t="n">
        <v>0</v>
      </c>
      <c r="G17" s="9" t="n">
        <v>0</v>
      </c>
      <c r="H17" s="9" t="n">
        <v>2.1282</v>
      </c>
      <c r="I17" s="26" t="n">
        <f aca="false">G17+H17</f>
        <v>2.1282</v>
      </c>
      <c r="J17" s="12" t="n">
        <v>19.6784358858427</v>
      </c>
      <c r="K17" s="27" t="n">
        <v>91</v>
      </c>
      <c r="L17" s="24" t="n">
        <v>46312</v>
      </c>
    </row>
    <row r="18" customFormat="false" ht="15" hidden="false" customHeight="false" outlineLevel="0" collapsed="false">
      <c r="A18" s="22" t="s">
        <v>17</v>
      </c>
      <c r="B18" s="22" t="s">
        <v>18</v>
      </c>
      <c r="C18" s="22" t="s">
        <v>59</v>
      </c>
      <c r="D18" s="8" t="n">
        <f aca="false">SUM(E18:H18)</f>
        <v>21.6809284</v>
      </c>
      <c r="E18" s="9" t="n">
        <v>16.787382</v>
      </c>
      <c r="F18" s="9" t="n">
        <v>4.8935464</v>
      </c>
      <c r="G18" s="9" t="n">
        <v>0</v>
      </c>
      <c r="H18" s="9" t="n">
        <v>0</v>
      </c>
      <c r="I18" s="9" t="n">
        <f aca="false">G18+H18</f>
        <v>0</v>
      </c>
      <c r="J18" s="12" t="n">
        <v>13.7712225828853</v>
      </c>
      <c r="K18" s="23" t="n">
        <v>37</v>
      </c>
      <c r="L18" s="24" t="n">
        <v>46317</v>
      </c>
    </row>
    <row r="19" customFormat="false" ht="15" hidden="false" customHeight="false" outlineLevel="0" collapsed="false">
      <c r="A19" s="22" t="s">
        <v>17</v>
      </c>
      <c r="B19" s="22" t="s">
        <v>18</v>
      </c>
      <c r="C19" s="22" t="s">
        <v>60</v>
      </c>
      <c r="D19" s="8" t="n">
        <f aca="false">SUM(E19:H19)</f>
        <v>21.377012416</v>
      </c>
      <c r="E19" s="9" t="n">
        <v>0</v>
      </c>
      <c r="F19" s="9" t="n">
        <v>15.579142656</v>
      </c>
      <c r="G19" s="9" t="n">
        <v>5.79786976000001</v>
      </c>
      <c r="H19" s="9" t="n">
        <v>0</v>
      </c>
      <c r="I19" s="26" t="n">
        <f aca="false">G19+H19</f>
        <v>5.79786976000001</v>
      </c>
      <c r="J19" s="12" t="n">
        <v>48.1365950215669</v>
      </c>
      <c r="K19" s="28" t="n">
        <v>70</v>
      </c>
      <c r="L19" s="24" t="n">
        <v>46284</v>
      </c>
    </row>
    <row r="20" customFormat="false" ht="15" hidden="false" customHeight="false" outlineLevel="0" collapsed="false">
      <c r="A20" s="22" t="s">
        <v>17</v>
      </c>
      <c r="B20" s="22" t="s">
        <v>18</v>
      </c>
      <c r="C20" s="22" t="s">
        <v>61</v>
      </c>
      <c r="D20" s="8" t="n">
        <f aca="false">SUM(E20:H20)</f>
        <v>20.618496</v>
      </c>
      <c r="E20" s="9" t="n">
        <v>20.618496</v>
      </c>
      <c r="F20" s="9" t="n">
        <v>0</v>
      </c>
      <c r="G20" s="9" t="n">
        <v>0</v>
      </c>
      <c r="H20" s="9" t="n">
        <v>0</v>
      </c>
      <c r="I20" s="9" t="n">
        <f aca="false">G20+H20</f>
        <v>0</v>
      </c>
      <c r="J20" s="12" t="n">
        <v>2.59375</v>
      </c>
      <c r="K20" s="25" t="n">
        <v>3</v>
      </c>
      <c r="L20" s="24" t="n">
        <v>46322</v>
      </c>
    </row>
    <row r="21" customFormat="false" ht="15" hidden="false" customHeight="false" outlineLevel="0" collapsed="false">
      <c r="A21" s="22" t="s">
        <v>17</v>
      </c>
      <c r="B21" s="22" t="s">
        <v>18</v>
      </c>
      <c r="C21" s="22" t="s">
        <v>62</v>
      </c>
      <c r="D21" s="8" t="n">
        <f aca="false">SUM(E21:H21)</f>
        <v>20.3448108030086</v>
      </c>
      <c r="E21" s="9" t="n">
        <v>9.57167752634869</v>
      </c>
      <c r="F21" s="9" t="n">
        <v>0</v>
      </c>
      <c r="G21" s="9" t="n">
        <v>0</v>
      </c>
      <c r="H21" s="9" t="n">
        <v>10.7731332766599</v>
      </c>
      <c r="I21" s="26" t="n">
        <f aca="false">G21+H21</f>
        <v>10.7731332766599</v>
      </c>
      <c r="J21" s="12" t="n">
        <v>60.4212407890997</v>
      </c>
      <c r="K21" s="27" t="n">
        <v>99</v>
      </c>
      <c r="L21" s="24" t="n">
        <v>46307</v>
      </c>
    </row>
    <row r="22" customFormat="false" ht="15" hidden="false" customHeight="false" outlineLevel="0" collapsed="false">
      <c r="A22" s="22" t="s">
        <v>17</v>
      </c>
      <c r="B22" s="22" t="s">
        <v>18</v>
      </c>
      <c r="C22" s="22" t="s">
        <v>63</v>
      </c>
      <c r="D22" s="8" t="n">
        <f aca="false">SUM(E22:H22)</f>
        <v>20.02434368</v>
      </c>
      <c r="E22" s="9" t="n">
        <v>0</v>
      </c>
      <c r="F22" s="9" t="n">
        <v>0</v>
      </c>
      <c r="G22" s="9" t="n">
        <v>0</v>
      </c>
      <c r="H22" s="9" t="n">
        <v>20.02434368</v>
      </c>
      <c r="I22" s="26" t="n">
        <f aca="false">G22+H22</f>
        <v>20.02434368</v>
      </c>
      <c r="J22" s="12" t="n">
        <v>188.054990378591</v>
      </c>
      <c r="K22" s="27" t="n">
        <v>189</v>
      </c>
      <c r="L22" s="24" t="n">
        <v>46139</v>
      </c>
    </row>
    <row r="23" customFormat="false" ht="15" hidden="false" customHeight="false" outlineLevel="0" collapsed="false">
      <c r="A23" s="22" t="s">
        <v>17</v>
      </c>
      <c r="B23" s="22" t="s">
        <v>18</v>
      </c>
      <c r="C23" s="22" t="s">
        <v>64</v>
      </c>
      <c r="D23" s="8" t="n">
        <f aca="false">SUM(E23:H23)</f>
        <v>18.0739322420628</v>
      </c>
      <c r="E23" s="9" t="n">
        <v>18.0739322420628</v>
      </c>
      <c r="F23" s="9" t="n">
        <v>0</v>
      </c>
      <c r="G23" s="9" t="n">
        <v>0</v>
      </c>
      <c r="H23" s="9" t="n">
        <v>0</v>
      </c>
      <c r="I23" s="9" t="n">
        <f aca="false">G23+H23</f>
        <v>0</v>
      </c>
      <c r="J23" s="12" t="n">
        <v>6</v>
      </c>
      <c r="K23" s="25" t="n">
        <v>6</v>
      </c>
      <c r="L23" s="24" t="n">
        <v>46318</v>
      </c>
    </row>
    <row r="24" customFormat="false" ht="15" hidden="false" customHeight="false" outlineLevel="0" collapsed="false">
      <c r="A24" s="22" t="s">
        <v>17</v>
      </c>
      <c r="B24" s="22" t="s">
        <v>18</v>
      </c>
      <c r="C24" s="22" t="s">
        <v>65</v>
      </c>
      <c r="D24" s="8" t="n">
        <f aca="false">SUM(E24:H24)</f>
        <v>17.1933387520001</v>
      </c>
      <c r="E24" s="9" t="n">
        <v>17.1933387520001</v>
      </c>
      <c r="F24" s="9" t="n">
        <v>0</v>
      </c>
      <c r="G24" s="9" t="n">
        <v>0</v>
      </c>
      <c r="H24" s="9" t="n">
        <v>0</v>
      </c>
      <c r="I24" s="9" t="n">
        <f aca="false">G24+H24</f>
        <v>0</v>
      </c>
      <c r="J24" s="12" t="n">
        <v>22</v>
      </c>
      <c r="K24" s="25" t="n">
        <v>22</v>
      </c>
      <c r="L24" s="24" t="n">
        <v>46302</v>
      </c>
    </row>
    <row r="25" customFormat="false" ht="15" hidden="false" customHeight="false" outlineLevel="0" collapsed="false">
      <c r="A25" s="22" t="s">
        <v>17</v>
      </c>
      <c r="B25" s="22" t="s">
        <v>18</v>
      </c>
      <c r="C25" s="22" t="s">
        <v>66</v>
      </c>
      <c r="D25" s="8" t="n">
        <f aca="false">SUM(E25:H25)</f>
        <v>16.9689453224326</v>
      </c>
      <c r="E25" s="9" t="n">
        <v>0</v>
      </c>
      <c r="F25" s="9" t="n">
        <v>0</v>
      </c>
      <c r="G25" s="9" t="n">
        <v>0</v>
      </c>
      <c r="H25" s="9" t="n">
        <v>16.9689453224326</v>
      </c>
      <c r="I25" s="26" t="n">
        <f aca="false">G25+H25</f>
        <v>16.9689453224326</v>
      </c>
      <c r="J25" s="12" t="n">
        <v>114</v>
      </c>
      <c r="K25" s="27" t="n">
        <v>114</v>
      </c>
      <c r="L25" s="24" t="n">
        <v>46210</v>
      </c>
    </row>
    <row r="26" customFormat="false" ht="15" hidden="false" customHeight="false" outlineLevel="0" collapsed="false">
      <c r="A26" s="22" t="s">
        <v>17</v>
      </c>
      <c r="B26" s="22" t="s">
        <v>18</v>
      </c>
      <c r="C26" s="22" t="s">
        <v>67</v>
      </c>
      <c r="D26" s="8" t="n">
        <f aca="false">SUM(E26:H26)</f>
        <v>15.987</v>
      </c>
      <c r="E26" s="9" t="n">
        <v>0</v>
      </c>
      <c r="F26" s="9" t="n">
        <v>0</v>
      </c>
      <c r="G26" s="9" t="n">
        <v>0</v>
      </c>
      <c r="H26" s="9" t="n">
        <v>15.987</v>
      </c>
      <c r="I26" s="26" t="n">
        <f aca="false">G26+H26</f>
        <v>15.987</v>
      </c>
      <c r="J26" s="12" t="n">
        <v>128</v>
      </c>
      <c r="K26" s="27" t="n">
        <v>128</v>
      </c>
      <c r="L26" s="24" t="n">
        <v>46196</v>
      </c>
    </row>
    <row r="27" customFormat="false" ht="15" hidden="false" customHeight="false" outlineLevel="0" collapsed="false">
      <c r="A27" s="22" t="s">
        <v>17</v>
      </c>
      <c r="B27" s="22" t="s">
        <v>18</v>
      </c>
      <c r="C27" s="22" t="s">
        <v>68</v>
      </c>
      <c r="D27" s="8" t="n">
        <f aca="false">SUM(E27:H27)</f>
        <v>15.21</v>
      </c>
      <c r="E27" s="9" t="n">
        <v>0</v>
      </c>
      <c r="F27" s="9" t="n">
        <v>0</v>
      </c>
      <c r="G27" s="9" t="n">
        <v>0</v>
      </c>
      <c r="H27" s="9" t="n">
        <v>15.21</v>
      </c>
      <c r="I27" s="26" t="n">
        <f aca="false">G27+H27</f>
        <v>15.21</v>
      </c>
      <c r="J27" s="12" t="n">
        <v>113</v>
      </c>
      <c r="K27" s="27" t="n">
        <v>113</v>
      </c>
      <c r="L27" s="24" t="n">
        <v>46211</v>
      </c>
    </row>
    <row r="28" customFormat="false" ht="15" hidden="false" customHeight="false" outlineLevel="0" collapsed="false">
      <c r="A28" s="22" t="s">
        <v>17</v>
      </c>
      <c r="B28" s="22" t="s">
        <v>18</v>
      </c>
      <c r="C28" s="22" t="s">
        <v>69</v>
      </c>
      <c r="D28" s="8" t="n">
        <f aca="false">SUM(E28:H28)</f>
        <v>15.1022607216639</v>
      </c>
      <c r="E28" s="9" t="n">
        <v>0</v>
      </c>
      <c r="F28" s="9" t="n">
        <v>15.1022607216639</v>
      </c>
      <c r="G28" s="9" t="n">
        <v>0</v>
      </c>
      <c r="H28" s="9" t="n">
        <v>0</v>
      </c>
      <c r="I28" s="9" t="n">
        <f aca="false">G28+H28</f>
        <v>0</v>
      </c>
      <c r="J28" s="12" t="n">
        <v>45</v>
      </c>
      <c r="K28" s="23" t="n">
        <v>45</v>
      </c>
      <c r="L28" s="24" t="n">
        <v>46279</v>
      </c>
    </row>
    <row r="29" customFormat="false" ht="15" hidden="false" customHeight="false" outlineLevel="0" collapsed="false">
      <c r="A29" s="22" t="s">
        <v>17</v>
      </c>
      <c r="B29" s="22" t="s">
        <v>18</v>
      </c>
      <c r="C29" s="22" t="s">
        <v>70</v>
      </c>
      <c r="D29" s="8" t="n">
        <f aca="false">SUM(E29:H29)</f>
        <v>14.6710672</v>
      </c>
      <c r="E29" s="9" t="n">
        <v>10.3265808</v>
      </c>
      <c r="F29" s="9" t="n">
        <v>4.34448640000001</v>
      </c>
      <c r="G29" s="9" t="n">
        <v>0</v>
      </c>
      <c r="H29" s="9" t="n">
        <v>0</v>
      </c>
      <c r="I29" s="9" t="n">
        <f aca="false">G29+H29</f>
        <v>0</v>
      </c>
      <c r="J29" s="12" t="n">
        <v>18.3302703977799</v>
      </c>
      <c r="K29" s="23" t="n">
        <v>31</v>
      </c>
      <c r="L29" s="24" t="n">
        <v>46311</v>
      </c>
    </row>
    <row r="30" customFormat="false" ht="15" hidden="false" customHeight="false" outlineLevel="0" collapsed="false">
      <c r="A30" s="22" t="s">
        <v>17</v>
      </c>
      <c r="B30" s="22" t="s">
        <v>18</v>
      </c>
      <c r="C30" s="22" t="s">
        <v>71</v>
      </c>
      <c r="D30" s="8" t="n">
        <f aca="false">SUM(E30:H30)</f>
        <v>14.6224114638618</v>
      </c>
      <c r="E30" s="9" t="n">
        <v>7.8330948808808</v>
      </c>
      <c r="F30" s="9" t="n">
        <v>6.78931658298102</v>
      </c>
      <c r="G30" s="9" t="n">
        <v>0</v>
      </c>
      <c r="H30" s="9" t="n">
        <v>0</v>
      </c>
      <c r="I30" s="9" t="n">
        <f aca="false">G30+H30</f>
        <v>0</v>
      </c>
      <c r="J30" s="12" t="n">
        <v>27.8753174205</v>
      </c>
      <c r="K30" s="23" t="n">
        <v>41</v>
      </c>
      <c r="L30" s="24" t="n">
        <v>46308</v>
      </c>
    </row>
    <row r="31" customFormat="false" ht="15" hidden="false" customHeight="false" outlineLevel="0" collapsed="false">
      <c r="A31" s="22" t="s">
        <v>17</v>
      </c>
      <c r="B31" s="22" t="s">
        <v>18</v>
      </c>
      <c r="C31" s="22" t="s">
        <v>72</v>
      </c>
      <c r="D31" s="8" t="n">
        <f aca="false">SUM(E31:H31)</f>
        <v>14.0964688</v>
      </c>
      <c r="E31" s="9" t="n">
        <v>14.0964688</v>
      </c>
      <c r="F31" s="9" t="n">
        <v>0</v>
      </c>
      <c r="G31" s="9" t="n">
        <v>0</v>
      </c>
      <c r="H31" s="9" t="n">
        <v>0</v>
      </c>
      <c r="I31" s="9" t="n">
        <f aca="false">G31+H31</f>
        <v>0</v>
      </c>
      <c r="J31" s="12" t="n">
        <v>22</v>
      </c>
      <c r="K31" s="25" t="n">
        <v>22</v>
      </c>
      <c r="L31" s="24" t="n">
        <v>46302</v>
      </c>
    </row>
    <row r="32" customFormat="false" ht="15" hidden="false" customHeight="false" outlineLevel="0" collapsed="false">
      <c r="A32" s="22" t="s">
        <v>17</v>
      </c>
      <c r="B32" s="22" t="s">
        <v>18</v>
      </c>
      <c r="C32" s="22" t="s">
        <v>73</v>
      </c>
      <c r="D32" s="8" t="n">
        <f aca="false">SUM(E32:H32)</f>
        <v>14.0415575471577</v>
      </c>
      <c r="E32" s="9" t="n">
        <v>0</v>
      </c>
      <c r="F32" s="9" t="n">
        <v>0</v>
      </c>
      <c r="G32" s="9" t="n">
        <v>0</v>
      </c>
      <c r="H32" s="9" t="n">
        <v>14.0415575471577</v>
      </c>
      <c r="I32" s="26" t="n">
        <f aca="false">G32+H32</f>
        <v>14.0415575471577</v>
      </c>
      <c r="J32" s="12" t="n">
        <v>111.358501640932</v>
      </c>
      <c r="K32" s="27" t="n">
        <v>127</v>
      </c>
      <c r="L32" s="24" t="n">
        <v>46221</v>
      </c>
    </row>
    <row r="33" customFormat="false" ht="15" hidden="false" customHeight="false" outlineLevel="0" collapsed="false">
      <c r="A33" s="22" t="s">
        <v>17</v>
      </c>
      <c r="B33" s="22" t="s">
        <v>18</v>
      </c>
      <c r="C33" s="22" t="s">
        <v>74</v>
      </c>
      <c r="D33" s="8" t="n">
        <f aca="false">SUM(E33:H33)</f>
        <v>13.193</v>
      </c>
      <c r="E33" s="9" t="n">
        <v>0</v>
      </c>
      <c r="F33" s="9" t="n">
        <v>13.193</v>
      </c>
      <c r="G33" s="9" t="n">
        <v>0</v>
      </c>
      <c r="H33" s="9" t="n">
        <v>0</v>
      </c>
      <c r="I33" s="9" t="n">
        <f aca="false">G33+H33</f>
        <v>0</v>
      </c>
      <c r="J33" s="12" t="n">
        <v>38</v>
      </c>
      <c r="K33" s="23" t="n">
        <v>38</v>
      </c>
      <c r="L33" s="24" t="n">
        <v>46286</v>
      </c>
    </row>
    <row r="34" customFormat="false" ht="15" hidden="false" customHeight="false" outlineLevel="0" collapsed="false">
      <c r="A34" s="22" t="s">
        <v>17</v>
      </c>
      <c r="B34" s="22" t="s">
        <v>18</v>
      </c>
      <c r="C34" s="22" t="s">
        <v>75</v>
      </c>
      <c r="D34" s="8" t="n">
        <f aca="false">SUM(E34:H34)</f>
        <v>13.0084675</v>
      </c>
      <c r="E34" s="9" t="n">
        <v>0</v>
      </c>
      <c r="F34" s="9" t="n">
        <v>13.0084675</v>
      </c>
      <c r="G34" s="9" t="n">
        <v>0</v>
      </c>
      <c r="H34" s="9" t="n">
        <v>0</v>
      </c>
      <c r="I34" s="9" t="n">
        <f aca="false">G34+H34</f>
        <v>0</v>
      </c>
      <c r="J34" s="12" t="n">
        <v>48</v>
      </c>
      <c r="K34" s="23" t="n">
        <v>48</v>
      </c>
      <c r="L34" s="24" t="n">
        <v>46276</v>
      </c>
    </row>
    <row r="35" customFormat="false" ht="15" hidden="false" customHeight="false" outlineLevel="0" collapsed="false">
      <c r="A35" s="22" t="s">
        <v>17</v>
      </c>
      <c r="B35" s="22" t="s">
        <v>18</v>
      </c>
      <c r="C35" s="22" t="s">
        <v>76</v>
      </c>
      <c r="D35" s="8" t="n">
        <f aca="false">SUM(E35:H35)</f>
        <v>12.385894656</v>
      </c>
      <c r="E35" s="9" t="n">
        <v>11.33534976</v>
      </c>
      <c r="F35" s="9" t="n">
        <v>0</v>
      </c>
      <c r="G35" s="9" t="n">
        <v>0</v>
      </c>
      <c r="H35" s="9" t="n">
        <v>1.050544896</v>
      </c>
      <c r="I35" s="26" t="n">
        <f aca="false">G35+H35</f>
        <v>1.050544896</v>
      </c>
      <c r="J35" s="12" t="n">
        <v>25.7718663445413</v>
      </c>
      <c r="K35" s="27" t="n">
        <v>142</v>
      </c>
      <c r="L35" s="24" t="n">
        <v>46309</v>
      </c>
    </row>
    <row r="36" customFormat="false" ht="15" hidden="false" customHeight="false" outlineLevel="0" collapsed="false">
      <c r="A36" s="22" t="s">
        <v>17</v>
      </c>
      <c r="B36" s="22" t="s">
        <v>18</v>
      </c>
      <c r="C36" s="22" t="s">
        <v>77</v>
      </c>
      <c r="D36" s="8" t="n">
        <f aca="false">SUM(E36:H36)</f>
        <v>12.3127576</v>
      </c>
      <c r="E36" s="9" t="n">
        <v>12.3127576</v>
      </c>
      <c r="F36" s="9" t="n">
        <v>0</v>
      </c>
      <c r="G36" s="9" t="n">
        <v>0</v>
      </c>
      <c r="H36" s="9" t="n">
        <v>0</v>
      </c>
      <c r="I36" s="9" t="n">
        <f aca="false">G36+H36</f>
        <v>0</v>
      </c>
      <c r="J36" s="12" t="n">
        <v>11.4840348030566</v>
      </c>
      <c r="K36" s="25" t="n">
        <v>28</v>
      </c>
      <c r="L36" s="24" t="n">
        <v>46315</v>
      </c>
    </row>
    <row r="37" customFormat="false" ht="15" hidden="false" customHeight="false" outlineLevel="0" collapsed="false">
      <c r="A37" s="22" t="s">
        <v>17</v>
      </c>
      <c r="B37" s="22" t="s">
        <v>18</v>
      </c>
      <c r="C37" s="22" t="s">
        <v>78</v>
      </c>
      <c r="D37" s="8" t="n">
        <f aca="false">SUM(E37:H37)</f>
        <v>10.6181676337717</v>
      </c>
      <c r="E37" s="9" t="n">
        <v>7.74440225389874</v>
      </c>
      <c r="F37" s="9" t="n">
        <v>0</v>
      </c>
      <c r="G37" s="9" t="n">
        <v>0</v>
      </c>
      <c r="H37" s="9" t="n">
        <v>2.87376537987296</v>
      </c>
      <c r="I37" s="26" t="n">
        <f aca="false">G37+H37</f>
        <v>2.87376537987296</v>
      </c>
      <c r="J37" s="12" t="n">
        <v>38.4636241163514</v>
      </c>
      <c r="K37" s="27" t="n">
        <v>99</v>
      </c>
      <c r="L37" s="24" t="n">
        <v>46308</v>
      </c>
    </row>
    <row r="38" customFormat="false" ht="15" hidden="false" customHeight="false" outlineLevel="0" collapsed="false">
      <c r="A38" s="22" t="s">
        <v>17</v>
      </c>
      <c r="B38" s="22" t="s">
        <v>18</v>
      </c>
      <c r="C38" s="22" t="s">
        <v>79</v>
      </c>
      <c r="D38" s="8" t="n">
        <f aca="false">SUM(E38:H38)</f>
        <v>9.9489</v>
      </c>
      <c r="E38" s="9" t="n">
        <v>3.1789</v>
      </c>
      <c r="F38" s="9" t="n">
        <v>0</v>
      </c>
      <c r="G38" s="9" t="n">
        <v>0</v>
      </c>
      <c r="H38" s="9" t="n">
        <v>6.77</v>
      </c>
      <c r="I38" s="26" t="n">
        <f aca="false">G38+H38</f>
        <v>6.77</v>
      </c>
      <c r="J38" s="12" t="n">
        <v>65.7577018564866</v>
      </c>
      <c r="K38" s="27" t="n">
        <v>91</v>
      </c>
      <c r="L38" s="24" t="n">
        <v>46312</v>
      </c>
    </row>
    <row r="39" customFormat="false" ht="15" hidden="false" customHeight="false" outlineLevel="0" collapsed="false">
      <c r="A39" s="22" t="s">
        <v>17</v>
      </c>
      <c r="B39" s="22" t="s">
        <v>18</v>
      </c>
      <c r="C39" s="22" t="s">
        <v>80</v>
      </c>
      <c r="D39" s="8" t="n">
        <f aca="false">SUM(E39:H39)</f>
        <v>9.8822976</v>
      </c>
      <c r="E39" s="9" t="n">
        <v>0</v>
      </c>
      <c r="F39" s="9" t="n">
        <v>9.8822976</v>
      </c>
      <c r="G39" s="9" t="n">
        <v>0</v>
      </c>
      <c r="H39" s="9" t="n">
        <v>0</v>
      </c>
      <c r="I39" s="9" t="n">
        <f aca="false">G39+H39</f>
        <v>0</v>
      </c>
      <c r="J39" s="12" t="n">
        <v>35</v>
      </c>
      <c r="K39" s="23" t="n">
        <v>35</v>
      </c>
      <c r="L39" s="24" t="n">
        <v>46289</v>
      </c>
    </row>
    <row r="40" customFormat="false" ht="15" hidden="false" customHeight="false" outlineLevel="0" collapsed="false">
      <c r="A40" s="22" t="s">
        <v>17</v>
      </c>
      <c r="B40" s="22" t="s">
        <v>18</v>
      </c>
      <c r="C40" s="22" t="s">
        <v>81</v>
      </c>
      <c r="D40" s="8" t="n">
        <f aca="false">SUM(E40:H40)</f>
        <v>9.69094282016051</v>
      </c>
      <c r="E40" s="9" t="n">
        <v>1.29804337827394</v>
      </c>
      <c r="F40" s="9" t="n">
        <v>0</v>
      </c>
      <c r="G40" s="9" t="n">
        <v>0</v>
      </c>
      <c r="H40" s="9" t="n">
        <v>8.39289944188657</v>
      </c>
      <c r="I40" s="26" t="n">
        <f aca="false">G40+H40</f>
        <v>8.39289944188657</v>
      </c>
      <c r="J40" s="12" t="n">
        <v>119.92672330407</v>
      </c>
      <c r="K40" s="27" t="n">
        <v>136</v>
      </c>
      <c r="L40" s="24" t="n">
        <v>46308</v>
      </c>
    </row>
    <row r="41" customFormat="false" ht="15" hidden="false" customHeight="false" outlineLevel="0" collapsed="false">
      <c r="A41" s="22" t="s">
        <v>17</v>
      </c>
      <c r="B41" s="22" t="s">
        <v>18</v>
      </c>
      <c r="C41" s="22" t="s">
        <v>82</v>
      </c>
      <c r="D41" s="8" t="n">
        <f aca="false">SUM(E41:H41)</f>
        <v>9.59333920000001</v>
      </c>
      <c r="E41" s="9" t="n">
        <v>0</v>
      </c>
      <c r="F41" s="9" t="n">
        <v>0</v>
      </c>
      <c r="G41" s="9" t="n">
        <v>0</v>
      </c>
      <c r="H41" s="9" t="n">
        <v>9.59333920000001</v>
      </c>
      <c r="I41" s="26" t="n">
        <f aca="false">G41+H41</f>
        <v>9.59333920000001</v>
      </c>
      <c r="J41" s="12" t="n">
        <v>187</v>
      </c>
      <c r="K41" s="27" t="n">
        <v>187</v>
      </c>
      <c r="L41" s="24" t="n">
        <v>46137</v>
      </c>
    </row>
    <row r="42" customFormat="false" ht="15" hidden="false" customHeight="false" outlineLevel="0" collapsed="false">
      <c r="A42" s="22" t="s">
        <v>17</v>
      </c>
      <c r="B42" s="22" t="s">
        <v>18</v>
      </c>
      <c r="C42" s="22" t="s">
        <v>83</v>
      </c>
      <c r="D42" s="8" t="n">
        <f aca="false">SUM(E42:H42)</f>
        <v>9.48384355438487</v>
      </c>
      <c r="E42" s="9" t="n">
        <v>0</v>
      </c>
      <c r="F42" s="9" t="n">
        <v>9.48384355438487</v>
      </c>
      <c r="G42" s="9" t="n">
        <v>0</v>
      </c>
      <c r="H42" s="9" t="n">
        <v>0</v>
      </c>
      <c r="I42" s="9" t="n">
        <f aca="false">G42+H42</f>
        <v>0</v>
      </c>
      <c r="J42" s="12" t="n">
        <v>45</v>
      </c>
      <c r="K42" s="23" t="n">
        <v>45</v>
      </c>
      <c r="L42" s="24" t="n">
        <v>46279</v>
      </c>
    </row>
    <row r="43" customFormat="false" ht="15" hidden="false" customHeight="false" outlineLevel="0" collapsed="false">
      <c r="A43" s="22" t="s">
        <v>17</v>
      </c>
      <c r="B43" s="22" t="s">
        <v>18</v>
      </c>
      <c r="C43" s="22" t="s">
        <v>84</v>
      </c>
      <c r="D43" s="8" t="n">
        <f aca="false">SUM(E43:H43)</f>
        <v>9.04905037447167</v>
      </c>
      <c r="E43" s="9" t="n">
        <v>0</v>
      </c>
      <c r="F43" s="9" t="n">
        <v>0</v>
      </c>
      <c r="G43" s="9" t="n">
        <v>9.04905037447167</v>
      </c>
      <c r="H43" s="9" t="n">
        <v>0</v>
      </c>
      <c r="I43" s="26" t="n">
        <f aca="false">G43+H43</f>
        <v>9.04905037447167</v>
      </c>
      <c r="J43" s="12" t="n">
        <v>68</v>
      </c>
      <c r="K43" s="28" t="n">
        <v>68</v>
      </c>
      <c r="L43" s="24" t="n">
        <v>46256</v>
      </c>
    </row>
    <row r="44" customFormat="false" ht="15" hidden="false" customHeight="false" outlineLevel="0" collapsed="false">
      <c r="A44" s="22" t="s">
        <v>17</v>
      </c>
      <c r="B44" s="22" t="s">
        <v>18</v>
      </c>
      <c r="C44" s="22" t="s">
        <v>85</v>
      </c>
      <c r="D44" s="8" t="n">
        <f aca="false">SUM(E44:H44)</f>
        <v>8.83271839999999</v>
      </c>
      <c r="E44" s="9" t="n">
        <v>0</v>
      </c>
      <c r="F44" s="9" t="n">
        <v>8.83271839999999</v>
      </c>
      <c r="G44" s="9" t="n">
        <v>0</v>
      </c>
      <c r="H44" s="9" t="n">
        <v>0</v>
      </c>
      <c r="I44" s="9" t="n">
        <f aca="false">G44+H44</f>
        <v>0</v>
      </c>
      <c r="J44" s="12" t="n">
        <v>37</v>
      </c>
      <c r="K44" s="23" t="n">
        <v>37</v>
      </c>
      <c r="L44" s="24" t="n">
        <v>46287</v>
      </c>
    </row>
    <row r="45" customFormat="false" ht="15" hidden="false" customHeight="false" outlineLevel="0" collapsed="false">
      <c r="A45" s="22" t="s">
        <v>17</v>
      </c>
      <c r="B45" s="22" t="s">
        <v>18</v>
      </c>
      <c r="C45" s="22" t="s">
        <v>86</v>
      </c>
      <c r="D45" s="8" t="n">
        <f aca="false">SUM(E45:H45)</f>
        <v>8.6096</v>
      </c>
      <c r="E45" s="9" t="n">
        <v>8.6096</v>
      </c>
      <c r="F45" s="9" t="n">
        <v>0</v>
      </c>
      <c r="G45" s="9" t="n">
        <v>0</v>
      </c>
      <c r="H45" s="9" t="n">
        <v>0</v>
      </c>
      <c r="I45" s="9" t="n">
        <f aca="false">G45+H45</f>
        <v>0</v>
      </c>
      <c r="J45" s="12" t="n">
        <v>28</v>
      </c>
      <c r="K45" s="25" t="n">
        <v>28</v>
      </c>
      <c r="L45" s="24" t="n">
        <v>46296</v>
      </c>
    </row>
    <row r="46" customFormat="false" ht="15" hidden="false" customHeight="false" outlineLevel="0" collapsed="false">
      <c r="A46" s="22" t="s">
        <v>17</v>
      </c>
      <c r="B46" s="22" t="s">
        <v>18</v>
      </c>
      <c r="C46" s="22" t="s">
        <v>87</v>
      </c>
      <c r="D46" s="8" t="n">
        <f aca="false">SUM(E46:H46)</f>
        <v>7.39196666203889</v>
      </c>
      <c r="E46" s="9" t="n">
        <v>0</v>
      </c>
      <c r="F46" s="9" t="n">
        <v>0</v>
      </c>
      <c r="G46" s="9" t="n">
        <v>7.39196666203889</v>
      </c>
      <c r="H46" s="9" t="n">
        <v>0</v>
      </c>
      <c r="I46" s="26" t="n">
        <f aca="false">G46+H46</f>
        <v>7.39196666203889</v>
      </c>
      <c r="J46" s="12" t="n">
        <v>71</v>
      </c>
      <c r="K46" s="28" t="n">
        <v>71</v>
      </c>
      <c r="L46" s="24" t="n">
        <v>46253</v>
      </c>
    </row>
    <row r="47" customFormat="false" ht="15" hidden="false" customHeight="false" outlineLevel="0" collapsed="false">
      <c r="A47" s="22" t="s">
        <v>17</v>
      </c>
      <c r="B47" s="22" t="s">
        <v>18</v>
      </c>
      <c r="C47" s="22" t="s">
        <v>88</v>
      </c>
      <c r="D47" s="8" t="n">
        <f aca="false">SUM(E47:H47)</f>
        <v>7.15569465599997</v>
      </c>
      <c r="E47" s="9" t="n">
        <v>0</v>
      </c>
      <c r="F47" s="9" t="n">
        <v>7.15569465599997</v>
      </c>
      <c r="G47" s="9" t="n">
        <v>0</v>
      </c>
      <c r="H47" s="9" t="n">
        <v>0</v>
      </c>
      <c r="I47" s="9" t="n">
        <f aca="false">G47+H47</f>
        <v>0</v>
      </c>
      <c r="J47" s="12" t="n">
        <v>47</v>
      </c>
      <c r="K47" s="23" t="n">
        <v>47</v>
      </c>
      <c r="L47" s="24" t="n">
        <v>46277</v>
      </c>
    </row>
    <row r="48" customFormat="false" ht="15" hidden="false" customHeight="false" outlineLevel="0" collapsed="false">
      <c r="A48" s="22" t="s">
        <v>17</v>
      </c>
      <c r="B48" s="22" t="s">
        <v>18</v>
      </c>
      <c r="C48" s="22" t="s">
        <v>89</v>
      </c>
      <c r="D48" s="8" t="n">
        <f aca="false">SUM(E48:H48)</f>
        <v>6.791192096</v>
      </c>
      <c r="E48" s="9" t="n">
        <v>0</v>
      </c>
      <c r="F48" s="9" t="n">
        <v>0</v>
      </c>
      <c r="G48" s="9" t="n">
        <v>0</v>
      </c>
      <c r="H48" s="9" t="n">
        <v>6.791192096</v>
      </c>
      <c r="I48" s="26" t="n">
        <f aca="false">G48+H48</f>
        <v>6.791192096</v>
      </c>
      <c r="J48" s="12" t="n">
        <v>211</v>
      </c>
      <c r="K48" s="27" t="n">
        <v>211</v>
      </c>
      <c r="L48" s="24" t="n">
        <v>46113</v>
      </c>
    </row>
    <row r="49" customFormat="false" ht="15" hidden="false" customHeight="false" outlineLevel="0" collapsed="false">
      <c r="A49" s="22" t="s">
        <v>17</v>
      </c>
      <c r="B49" s="22" t="s">
        <v>18</v>
      </c>
      <c r="C49" s="22" t="s">
        <v>90</v>
      </c>
      <c r="D49" s="8" t="n">
        <f aca="false">SUM(E49:H49)</f>
        <v>6.11666481737043</v>
      </c>
      <c r="E49" s="9" t="n">
        <v>0</v>
      </c>
      <c r="F49" s="9" t="n">
        <v>0</v>
      </c>
      <c r="G49" s="9" t="n">
        <v>0</v>
      </c>
      <c r="H49" s="9" t="n">
        <v>6.11666481737043</v>
      </c>
      <c r="I49" s="26" t="n">
        <f aca="false">G49+H49</f>
        <v>6.11666481737043</v>
      </c>
      <c r="J49" s="12" t="n">
        <v>131</v>
      </c>
      <c r="K49" s="27" t="n">
        <v>131</v>
      </c>
      <c r="L49" s="24" t="n">
        <v>46193</v>
      </c>
    </row>
    <row r="50" customFormat="false" ht="15" hidden="false" customHeight="false" outlineLevel="0" collapsed="false">
      <c r="A50" s="22" t="s">
        <v>17</v>
      </c>
      <c r="B50" s="22" t="s">
        <v>18</v>
      </c>
      <c r="C50" s="22" t="s">
        <v>91</v>
      </c>
      <c r="D50" s="8" t="n">
        <f aca="false">SUM(E50:H50)</f>
        <v>5.8923136</v>
      </c>
      <c r="E50" s="9" t="n">
        <v>0</v>
      </c>
      <c r="F50" s="9" t="n">
        <v>5.8923136</v>
      </c>
      <c r="G50" s="9" t="n">
        <v>0</v>
      </c>
      <c r="H50" s="9" t="n">
        <v>0</v>
      </c>
      <c r="I50" s="9" t="n">
        <f aca="false">G50+H50</f>
        <v>0</v>
      </c>
      <c r="J50" s="12" t="n">
        <v>36</v>
      </c>
      <c r="K50" s="23" t="n">
        <v>36</v>
      </c>
      <c r="L50" s="24" t="n">
        <v>46288</v>
      </c>
    </row>
    <row r="51" customFormat="false" ht="15" hidden="false" customHeight="false" outlineLevel="0" collapsed="false">
      <c r="A51" s="22" t="s">
        <v>17</v>
      </c>
      <c r="B51" s="22" t="s">
        <v>18</v>
      </c>
      <c r="C51" s="22" t="s">
        <v>92</v>
      </c>
      <c r="D51" s="8" t="n">
        <f aca="false">SUM(E51:H51)</f>
        <v>5.4802</v>
      </c>
      <c r="E51" s="9" t="n">
        <v>0</v>
      </c>
      <c r="F51" s="9" t="n">
        <v>5.4802</v>
      </c>
      <c r="G51" s="9" t="n">
        <v>0</v>
      </c>
      <c r="H51" s="9" t="n">
        <v>0</v>
      </c>
      <c r="I51" s="9" t="n">
        <f aca="false">G51+H51</f>
        <v>0</v>
      </c>
      <c r="J51" s="12" t="n">
        <v>33</v>
      </c>
      <c r="K51" s="23" t="n">
        <v>33</v>
      </c>
      <c r="L51" s="24" t="n">
        <v>46291</v>
      </c>
    </row>
    <row r="52" customFormat="false" ht="15" hidden="false" customHeight="false" outlineLevel="0" collapsed="false">
      <c r="A52" s="22" t="s">
        <v>17</v>
      </c>
      <c r="B52" s="22" t="s">
        <v>18</v>
      </c>
      <c r="C52" s="22" t="s">
        <v>93</v>
      </c>
      <c r="D52" s="8" t="n">
        <f aca="false">SUM(E52:H52)</f>
        <v>5.43362912409522</v>
      </c>
      <c r="E52" s="9" t="n">
        <v>0</v>
      </c>
      <c r="F52" s="9" t="n">
        <v>0</v>
      </c>
      <c r="G52" s="9" t="n">
        <v>0</v>
      </c>
      <c r="H52" s="9" t="n">
        <v>5.43362912409522</v>
      </c>
      <c r="I52" s="26" t="n">
        <f aca="false">G52+H52</f>
        <v>5.43362912409522</v>
      </c>
      <c r="J52" s="12" t="n">
        <v>123</v>
      </c>
      <c r="K52" s="27" t="n">
        <v>123</v>
      </c>
      <c r="L52" s="24" t="n">
        <v>46201</v>
      </c>
    </row>
    <row r="53" customFormat="false" ht="15" hidden="false" customHeight="false" outlineLevel="0" collapsed="false">
      <c r="A53" s="22" t="s">
        <v>17</v>
      </c>
      <c r="B53" s="22" t="s">
        <v>18</v>
      </c>
      <c r="C53" s="22" t="s">
        <v>94</v>
      </c>
      <c r="D53" s="8" t="n">
        <f aca="false">SUM(E53:H53)</f>
        <v>5.2602</v>
      </c>
      <c r="E53" s="9" t="n">
        <v>0</v>
      </c>
      <c r="F53" s="9" t="n">
        <v>5.2602</v>
      </c>
      <c r="G53" s="9" t="n">
        <v>0</v>
      </c>
      <c r="H53" s="9" t="n">
        <v>0</v>
      </c>
      <c r="I53" s="9" t="n">
        <f aca="false">G53+H53</f>
        <v>0</v>
      </c>
      <c r="J53" s="12" t="n">
        <v>31</v>
      </c>
      <c r="K53" s="23" t="n">
        <v>31</v>
      </c>
      <c r="L53" s="24" t="n">
        <v>46293</v>
      </c>
    </row>
    <row r="54" customFormat="false" ht="15" hidden="false" customHeight="false" outlineLevel="0" collapsed="false">
      <c r="A54" s="22" t="s">
        <v>17</v>
      </c>
      <c r="B54" s="22" t="s">
        <v>18</v>
      </c>
      <c r="C54" s="22" t="s">
        <v>95</v>
      </c>
      <c r="D54" s="8" t="n">
        <f aca="false">SUM(E54:H54)</f>
        <v>4.63078547616842</v>
      </c>
      <c r="E54" s="9" t="n">
        <v>0</v>
      </c>
      <c r="F54" s="9" t="n">
        <v>4.63078547616842</v>
      </c>
      <c r="G54" s="9" t="n">
        <v>0</v>
      </c>
      <c r="H54" s="9" t="n">
        <v>0</v>
      </c>
      <c r="I54" s="9" t="n">
        <f aca="false">G54+H54</f>
        <v>0</v>
      </c>
      <c r="J54" s="12" t="n">
        <v>52</v>
      </c>
      <c r="K54" s="23" t="n">
        <v>52</v>
      </c>
      <c r="L54" s="24" t="n">
        <v>46272</v>
      </c>
    </row>
    <row r="55" customFormat="false" ht="15" hidden="false" customHeight="false" outlineLevel="0" collapsed="false">
      <c r="A55" s="22" t="s">
        <v>17</v>
      </c>
      <c r="B55" s="22" t="s">
        <v>18</v>
      </c>
      <c r="C55" s="22" t="s">
        <v>96</v>
      </c>
      <c r="D55" s="8" t="n">
        <f aca="false">SUM(E55:H55)</f>
        <v>4.38852</v>
      </c>
      <c r="E55" s="9" t="n">
        <v>0</v>
      </c>
      <c r="F55" s="9" t="n">
        <v>2.390325</v>
      </c>
      <c r="G55" s="9" t="n">
        <v>1.998195</v>
      </c>
      <c r="H55" s="9" t="n">
        <v>0</v>
      </c>
      <c r="I55" s="26" t="n">
        <f aca="false">G55+H55</f>
        <v>1.998195</v>
      </c>
      <c r="J55" s="12" t="n">
        <v>53.3916354488529</v>
      </c>
      <c r="K55" s="28" t="n">
        <v>73</v>
      </c>
      <c r="L55" s="24" t="n">
        <v>46287</v>
      </c>
    </row>
    <row r="56" customFormat="false" ht="15" hidden="false" customHeight="false" outlineLevel="0" collapsed="false">
      <c r="A56" s="22" t="s">
        <v>17</v>
      </c>
      <c r="B56" s="22" t="s">
        <v>18</v>
      </c>
      <c r="C56" s="22" t="s">
        <v>97</v>
      </c>
      <c r="D56" s="8" t="n">
        <f aca="false">SUM(E56:H56)</f>
        <v>3.7845792</v>
      </c>
      <c r="E56" s="9" t="n">
        <v>0</v>
      </c>
      <c r="F56" s="9" t="n">
        <v>0</v>
      </c>
      <c r="G56" s="9" t="n">
        <v>0</v>
      </c>
      <c r="H56" s="9" t="n">
        <v>3.7845792</v>
      </c>
      <c r="I56" s="26" t="n">
        <f aca="false">G56+H56</f>
        <v>3.7845792</v>
      </c>
      <c r="J56" s="12" t="n">
        <v>141</v>
      </c>
      <c r="K56" s="27" t="n">
        <v>141</v>
      </c>
      <c r="L56" s="24" t="n">
        <v>46183</v>
      </c>
    </row>
    <row r="57" customFormat="false" ht="15" hidden="false" customHeight="false" outlineLevel="0" collapsed="false">
      <c r="A57" s="22" t="s">
        <v>17</v>
      </c>
      <c r="B57" s="22" t="s">
        <v>18</v>
      </c>
      <c r="C57" s="22" t="s">
        <v>98</v>
      </c>
      <c r="D57" s="8" t="n">
        <f aca="false">SUM(E57:H57)</f>
        <v>3.4545625</v>
      </c>
      <c r="E57" s="9" t="n">
        <v>1.0232475</v>
      </c>
      <c r="F57" s="9" t="n">
        <v>0</v>
      </c>
      <c r="G57" s="9" t="n">
        <v>0</v>
      </c>
      <c r="H57" s="9" t="n">
        <v>2.431315</v>
      </c>
      <c r="I57" s="26" t="n">
        <f aca="false">G57+H57</f>
        <v>2.431315</v>
      </c>
      <c r="J57" s="12" t="n">
        <v>85.0836220216019</v>
      </c>
      <c r="K57" s="27" t="n">
        <v>115</v>
      </c>
      <c r="L57" s="24" t="n">
        <v>46310</v>
      </c>
    </row>
    <row r="58" customFormat="false" ht="15" hidden="false" customHeight="false" outlineLevel="0" collapsed="false">
      <c r="A58" s="22" t="s">
        <v>17</v>
      </c>
      <c r="B58" s="22" t="s">
        <v>18</v>
      </c>
      <c r="C58" s="22" t="s">
        <v>99</v>
      </c>
      <c r="D58" s="8" t="n">
        <f aca="false">SUM(E58:H58)</f>
        <v>3.41136734497612</v>
      </c>
      <c r="E58" s="9" t="n">
        <v>0</v>
      </c>
      <c r="F58" s="9" t="n">
        <v>0</v>
      </c>
      <c r="G58" s="9" t="n">
        <v>0</v>
      </c>
      <c r="H58" s="9" t="n">
        <v>3.41136734497612</v>
      </c>
      <c r="I58" s="26" t="n">
        <f aca="false">G58+H58</f>
        <v>3.41136734497612</v>
      </c>
      <c r="J58" s="12" t="n">
        <v>113</v>
      </c>
      <c r="K58" s="27" t="n">
        <v>113</v>
      </c>
      <c r="L58" s="24" t="n">
        <v>46211</v>
      </c>
    </row>
    <row r="59" customFormat="false" ht="15" hidden="false" customHeight="false" outlineLevel="0" collapsed="false">
      <c r="A59" s="22" t="s">
        <v>17</v>
      </c>
      <c r="B59" s="22" t="s">
        <v>18</v>
      </c>
      <c r="C59" s="22" t="s">
        <v>100</v>
      </c>
      <c r="D59" s="8" t="n">
        <f aca="false">SUM(E59:H59)</f>
        <v>3.40154390180969</v>
      </c>
      <c r="E59" s="9" t="n">
        <v>3.10468585141395</v>
      </c>
      <c r="F59" s="9" t="n">
        <v>0</v>
      </c>
      <c r="G59" s="9" t="n">
        <v>0</v>
      </c>
      <c r="H59" s="9" t="n">
        <v>0.296858050395738</v>
      </c>
      <c r="I59" s="26" t="n">
        <f aca="false">G59+H59</f>
        <v>0.296858050395738</v>
      </c>
      <c r="J59" s="12" t="n">
        <v>34.1162552898746</v>
      </c>
      <c r="K59" s="27" t="n">
        <v>119</v>
      </c>
      <c r="L59" s="24" t="n">
        <v>46298</v>
      </c>
    </row>
    <row r="60" customFormat="false" ht="15" hidden="false" customHeight="false" outlineLevel="0" collapsed="false">
      <c r="A60" s="22" t="s">
        <v>17</v>
      </c>
      <c r="B60" s="22" t="s">
        <v>18</v>
      </c>
      <c r="C60" s="22" t="s">
        <v>101</v>
      </c>
      <c r="D60" s="8" t="n">
        <f aca="false">SUM(E60:H60)</f>
        <v>3.32262312468675</v>
      </c>
      <c r="E60" s="9" t="n">
        <v>0</v>
      </c>
      <c r="F60" s="9" t="n">
        <v>0</v>
      </c>
      <c r="G60" s="9" t="n">
        <v>0</v>
      </c>
      <c r="H60" s="9" t="n">
        <v>3.32262312468675</v>
      </c>
      <c r="I60" s="26" t="n">
        <f aca="false">G60+H60</f>
        <v>3.32262312468675</v>
      </c>
      <c r="J60" s="12" t="n">
        <v>103</v>
      </c>
      <c r="K60" s="27" t="n">
        <v>103</v>
      </c>
      <c r="L60" s="24" t="n">
        <v>46221</v>
      </c>
    </row>
    <row r="61" customFormat="false" ht="15" hidden="false" customHeight="false" outlineLevel="0" collapsed="false">
      <c r="A61" s="22" t="s">
        <v>17</v>
      </c>
      <c r="B61" s="22" t="s">
        <v>18</v>
      </c>
      <c r="C61" s="22" t="s">
        <v>102</v>
      </c>
      <c r="D61" s="8" t="n">
        <f aca="false">SUM(E61:H61)</f>
        <v>3.2119</v>
      </c>
      <c r="E61" s="9" t="n">
        <v>3.2119</v>
      </c>
      <c r="F61" s="9" t="n">
        <v>0</v>
      </c>
      <c r="G61" s="9" t="n">
        <v>0</v>
      </c>
      <c r="H61" s="9" t="n">
        <v>0</v>
      </c>
      <c r="I61" s="9" t="n">
        <f aca="false">G61+H61</f>
        <v>0</v>
      </c>
      <c r="J61" s="12" t="n">
        <v>26</v>
      </c>
      <c r="K61" s="25" t="n">
        <v>26</v>
      </c>
      <c r="L61" s="24" t="n">
        <v>46298</v>
      </c>
    </row>
    <row r="62" customFormat="false" ht="15" hidden="false" customHeight="false" outlineLevel="0" collapsed="false">
      <c r="A62" s="22" t="s">
        <v>17</v>
      </c>
      <c r="B62" s="22" t="s">
        <v>18</v>
      </c>
      <c r="C62" s="22" t="s">
        <v>103</v>
      </c>
      <c r="D62" s="8" t="n">
        <f aca="false">SUM(E62:H62)</f>
        <v>3.09150749999996</v>
      </c>
      <c r="E62" s="9" t="n">
        <v>0</v>
      </c>
      <c r="F62" s="9" t="n">
        <v>0</v>
      </c>
      <c r="G62" s="9" t="n">
        <v>3.09150749999996</v>
      </c>
      <c r="H62" s="9" t="n">
        <v>0</v>
      </c>
      <c r="I62" s="26" t="n">
        <f aca="false">G62+H62</f>
        <v>3.09150749999996</v>
      </c>
      <c r="J62" s="12" t="n">
        <v>69</v>
      </c>
      <c r="K62" s="28" t="n">
        <v>69</v>
      </c>
      <c r="L62" s="24" t="n">
        <v>46255</v>
      </c>
    </row>
    <row r="63" customFormat="false" ht="15" hidden="false" customHeight="false" outlineLevel="0" collapsed="false">
      <c r="A63" s="22" t="s">
        <v>17</v>
      </c>
      <c r="B63" s="22" t="s">
        <v>18</v>
      </c>
      <c r="C63" s="22" t="s">
        <v>104</v>
      </c>
      <c r="D63" s="8" t="n">
        <f aca="false">SUM(E63:H63)</f>
        <v>2.91910249999999</v>
      </c>
      <c r="E63" s="9" t="n">
        <v>0</v>
      </c>
      <c r="F63" s="9" t="n">
        <v>2.91910249999999</v>
      </c>
      <c r="G63" s="9" t="n">
        <v>0</v>
      </c>
      <c r="H63" s="9" t="n">
        <v>0</v>
      </c>
      <c r="I63" s="9" t="n">
        <f aca="false">G63+H63</f>
        <v>0</v>
      </c>
      <c r="J63" s="12" t="n">
        <v>50</v>
      </c>
      <c r="K63" s="23" t="n">
        <v>50</v>
      </c>
      <c r="L63" s="24" t="n">
        <v>46274</v>
      </c>
    </row>
    <row r="64" customFormat="false" ht="15" hidden="false" customHeight="false" outlineLevel="0" collapsed="false">
      <c r="A64" s="22" t="s">
        <v>17</v>
      </c>
      <c r="B64" s="22" t="s">
        <v>18</v>
      </c>
      <c r="C64" s="22" t="s">
        <v>105</v>
      </c>
      <c r="D64" s="8" t="n">
        <f aca="false">SUM(E64:H64)</f>
        <v>2.4611925</v>
      </c>
      <c r="E64" s="9" t="n">
        <v>0</v>
      </c>
      <c r="F64" s="9" t="n">
        <v>0</v>
      </c>
      <c r="G64" s="9" t="n">
        <v>0</v>
      </c>
      <c r="H64" s="9" t="n">
        <v>2.4611925</v>
      </c>
      <c r="I64" s="26" t="n">
        <f aca="false">G64+H64</f>
        <v>2.4611925</v>
      </c>
      <c r="J64" s="12" t="n">
        <v>122</v>
      </c>
      <c r="K64" s="27" t="n">
        <v>122</v>
      </c>
      <c r="L64" s="24" t="n">
        <v>46202</v>
      </c>
    </row>
    <row r="65" customFormat="false" ht="15" hidden="false" customHeight="false" outlineLevel="0" collapsed="false">
      <c r="A65" s="22" t="s">
        <v>17</v>
      </c>
      <c r="B65" s="22" t="s">
        <v>18</v>
      </c>
      <c r="C65" s="22" t="s">
        <v>106</v>
      </c>
      <c r="D65" s="8" t="n">
        <f aca="false">SUM(E65:H65)</f>
        <v>2.36277335267008</v>
      </c>
      <c r="E65" s="9" t="n">
        <v>2.36277335267008</v>
      </c>
      <c r="F65" s="9" t="n">
        <v>0</v>
      </c>
      <c r="G65" s="9" t="n">
        <v>0</v>
      </c>
      <c r="H65" s="9" t="n">
        <v>0</v>
      </c>
      <c r="I65" s="9" t="n">
        <f aca="false">G65+H65</f>
        <v>0</v>
      </c>
      <c r="J65" s="12" t="n">
        <v>19</v>
      </c>
      <c r="K65" s="25" t="n">
        <v>19</v>
      </c>
      <c r="L65" s="24" t="n">
        <v>46305</v>
      </c>
    </row>
    <row r="66" customFormat="false" ht="15" hidden="false" customHeight="false" outlineLevel="0" collapsed="false">
      <c r="A66" s="22" t="s">
        <v>17</v>
      </c>
      <c r="B66" s="22" t="s">
        <v>18</v>
      </c>
      <c r="C66" s="22" t="s">
        <v>107</v>
      </c>
      <c r="D66" s="8" t="n">
        <f aca="false">SUM(E66:H66)</f>
        <v>2.06041052800003</v>
      </c>
      <c r="E66" s="9" t="n">
        <v>0</v>
      </c>
      <c r="F66" s="9" t="n">
        <v>0</v>
      </c>
      <c r="G66" s="9" t="n">
        <v>0</v>
      </c>
      <c r="H66" s="9" t="n">
        <v>2.06041052800003</v>
      </c>
      <c r="I66" s="26" t="n">
        <f aca="false">G66+H66</f>
        <v>2.06041052800003</v>
      </c>
      <c r="J66" s="12" t="n">
        <v>114</v>
      </c>
      <c r="K66" s="27" t="n">
        <v>114</v>
      </c>
      <c r="L66" s="24" t="n">
        <v>46210</v>
      </c>
    </row>
    <row r="67" customFormat="false" ht="15" hidden="false" customHeight="false" outlineLevel="0" collapsed="false">
      <c r="A67" s="22" t="s">
        <v>17</v>
      </c>
      <c r="B67" s="22" t="s">
        <v>18</v>
      </c>
      <c r="C67" s="22" t="s">
        <v>108</v>
      </c>
      <c r="D67" s="8" t="n">
        <f aca="false">SUM(E67:H67)</f>
        <v>1.978658352</v>
      </c>
      <c r="E67" s="9" t="n">
        <v>0</v>
      </c>
      <c r="F67" s="9" t="n">
        <v>0</v>
      </c>
      <c r="G67" s="9" t="n">
        <v>0</v>
      </c>
      <c r="H67" s="9" t="n">
        <v>1.978658352</v>
      </c>
      <c r="I67" s="26" t="n">
        <f aca="false">G67+H67</f>
        <v>1.978658352</v>
      </c>
      <c r="J67" s="12" t="n">
        <v>211</v>
      </c>
      <c r="K67" s="27" t="n">
        <v>211</v>
      </c>
      <c r="L67" s="24" t="n">
        <v>46113</v>
      </c>
    </row>
    <row r="68" customFormat="false" ht="15" hidden="false" customHeight="false" outlineLevel="0" collapsed="false">
      <c r="A68" s="22" t="s">
        <v>17</v>
      </c>
      <c r="B68" s="22" t="s">
        <v>18</v>
      </c>
      <c r="C68" s="22" t="s">
        <v>109</v>
      </c>
      <c r="D68" s="8" t="n">
        <f aca="false">SUM(E68:H68)</f>
        <v>1.6796943760219</v>
      </c>
      <c r="E68" s="9" t="n">
        <v>0</v>
      </c>
      <c r="F68" s="9" t="n">
        <v>0</v>
      </c>
      <c r="G68" s="9" t="n">
        <v>0</v>
      </c>
      <c r="H68" s="9" t="n">
        <v>1.6796943760219</v>
      </c>
      <c r="I68" s="26" t="n">
        <f aca="false">G68+H68</f>
        <v>1.6796943760219</v>
      </c>
      <c r="J68" s="12" t="n">
        <v>97</v>
      </c>
      <c r="K68" s="27" t="n">
        <v>97</v>
      </c>
      <c r="L68" s="24" t="n">
        <v>46227</v>
      </c>
    </row>
    <row r="69" customFormat="false" ht="15" hidden="false" customHeight="false" outlineLevel="0" collapsed="false">
      <c r="A69" s="22" t="s">
        <v>17</v>
      </c>
      <c r="B69" s="22" t="s">
        <v>18</v>
      </c>
      <c r="C69" s="22" t="s">
        <v>110</v>
      </c>
      <c r="D69" s="8" t="n">
        <f aca="false">SUM(E69:H69)</f>
        <v>1.6739992</v>
      </c>
      <c r="E69" s="9" t="n">
        <v>1.6739992</v>
      </c>
      <c r="F69" s="9" t="n">
        <v>0</v>
      </c>
      <c r="G69" s="9" t="n">
        <v>0</v>
      </c>
      <c r="H69" s="9" t="n">
        <v>0</v>
      </c>
      <c r="I69" s="9" t="n">
        <f aca="false">G69+H69</f>
        <v>0</v>
      </c>
      <c r="J69" s="12" t="n">
        <v>13</v>
      </c>
      <c r="K69" s="25" t="n">
        <v>13</v>
      </c>
      <c r="L69" s="24" t="n">
        <v>46311</v>
      </c>
    </row>
    <row r="70" customFormat="false" ht="15" hidden="false" customHeight="false" outlineLevel="0" collapsed="false">
      <c r="A70" s="22" t="s">
        <v>17</v>
      </c>
      <c r="B70" s="22" t="s">
        <v>18</v>
      </c>
      <c r="C70" s="22" t="s">
        <v>111</v>
      </c>
      <c r="D70" s="8" t="n">
        <f aca="false">SUM(E70:H70)</f>
        <v>1.66718272</v>
      </c>
      <c r="E70" s="9" t="n">
        <v>0</v>
      </c>
      <c r="F70" s="9" t="n">
        <v>0</v>
      </c>
      <c r="G70" s="9" t="n">
        <v>0</v>
      </c>
      <c r="H70" s="9" t="n">
        <v>1.66718272</v>
      </c>
      <c r="I70" s="26" t="n">
        <f aca="false">G70+H70</f>
        <v>1.66718272</v>
      </c>
      <c r="J70" s="12" t="n">
        <v>166</v>
      </c>
      <c r="K70" s="27" t="n">
        <v>166</v>
      </c>
      <c r="L70" s="24" t="n">
        <v>46158</v>
      </c>
    </row>
    <row r="71" customFormat="false" ht="15" hidden="false" customHeight="false" outlineLevel="0" collapsed="false">
      <c r="A71" s="22" t="s">
        <v>17</v>
      </c>
      <c r="B71" s="22" t="s">
        <v>18</v>
      </c>
      <c r="C71" s="22" t="s">
        <v>112</v>
      </c>
      <c r="D71" s="8" t="n">
        <f aca="false">SUM(E71:H71)</f>
        <v>1.49284396800001</v>
      </c>
      <c r="E71" s="9" t="n">
        <v>0</v>
      </c>
      <c r="F71" s="9" t="n">
        <v>0</v>
      </c>
      <c r="G71" s="9" t="n">
        <v>0</v>
      </c>
      <c r="H71" s="9" t="n">
        <v>1.49284396800001</v>
      </c>
      <c r="I71" s="26" t="n">
        <f aca="false">G71+H71</f>
        <v>1.49284396800001</v>
      </c>
      <c r="J71" s="12" t="n">
        <v>162</v>
      </c>
      <c r="K71" s="27" t="n">
        <v>162</v>
      </c>
      <c r="L71" s="24" t="n">
        <v>46162</v>
      </c>
    </row>
    <row r="72" customFormat="false" ht="15" hidden="false" customHeight="false" outlineLevel="0" collapsed="false">
      <c r="A72" s="22" t="s">
        <v>17</v>
      </c>
      <c r="B72" s="22" t="s">
        <v>18</v>
      </c>
      <c r="C72" s="22" t="s">
        <v>113</v>
      </c>
      <c r="D72" s="8" t="n">
        <f aca="false">SUM(E72:H72)</f>
        <v>1.35044088702466</v>
      </c>
      <c r="E72" s="9" t="n">
        <v>0</v>
      </c>
      <c r="F72" s="9" t="n">
        <v>1.35044088702466</v>
      </c>
      <c r="G72" s="9" t="n">
        <v>0</v>
      </c>
      <c r="H72" s="9" t="n">
        <v>0</v>
      </c>
      <c r="I72" s="9" t="n">
        <f aca="false">G72+H72</f>
        <v>0</v>
      </c>
      <c r="J72" s="12" t="n">
        <v>52</v>
      </c>
      <c r="K72" s="23" t="n">
        <v>52</v>
      </c>
      <c r="L72" s="24" t="n">
        <v>46272</v>
      </c>
    </row>
    <row r="73" customFormat="false" ht="15" hidden="false" customHeight="false" outlineLevel="0" collapsed="false">
      <c r="A73" s="22" t="s">
        <v>17</v>
      </c>
      <c r="B73" s="22" t="s">
        <v>18</v>
      </c>
      <c r="C73" s="22" t="s">
        <v>114</v>
      </c>
      <c r="D73" s="8" t="n">
        <f aca="false">SUM(E73:H73)</f>
        <v>1.1760019200002</v>
      </c>
      <c r="E73" s="9" t="n">
        <v>1.1760019200002</v>
      </c>
      <c r="F73" s="9" t="n">
        <v>0</v>
      </c>
      <c r="G73" s="9" t="n">
        <v>0</v>
      </c>
      <c r="H73" s="9" t="n">
        <v>0</v>
      </c>
      <c r="I73" s="9" t="n">
        <f aca="false">G73+H73</f>
        <v>0</v>
      </c>
      <c r="J73" s="12" t="n">
        <v>24</v>
      </c>
      <c r="K73" s="25" t="n">
        <v>24</v>
      </c>
      <c r="L73" s="24" t="n">
        <v>46300</v>
      </c>
    </row>
    <row r="74" customFormat="false" ht="15" hidden="false" customHeight="false" outlineLevel="0" collapsed="false">
      <c r="A74" s="22" t="s">
        <v>17</v>
      </c>
      <c r="B74" s="22" t="s">
        <v>18</v>
      </c>
      <c r="C74" s="22" t="s">
        <v>115</v>
      </c>
      <c r="D74" s="8" t="n">
        <f aca="false">SUM(E74:H74)</f>
        <v>1.095805</v>
      </c>
      <c r="E74" s="9" t="n">
        <v>0</v>
      </c>
      <c r="F74" s="9" t="n">
        <v>0</v>
      </c>
      <c r="G74" s="9" t="n">
        <v>0</v>
      </c>
      <c r="H74" s="9" t="n">
        <v>1.095805</v>
      </c>
      <c r="I74" s="26" t="n">
        <f aca="false">G74+H74</f>
        <v>1.095805</v>
      </c>
      <c r="J74" s="12" t="n">
        <v>185</v>
      </c>
      <c r="K74" s="27" t="n">
        <v>185</v>
      </c>
      <c r="L74" s="24" t="n">
        <v>46139</v>
      </c>
    </row>
    <row r="75" customFormat="false" ht="15" hidden="false" customHeight="false" outlineLevel="0" collapsed="false">
      <c r="A75" s="22" t="s">
        <v>17</v>
      </c>
      <c r="B75" s="22" t="s">
        <v>18</v>
      </c>
      <c r="C75" s="22" t="s">
        <v>116</v>
      </c>
      <c r="D75" s="8" t="n">
        <f aca="false">SUM(E75:H75)</f>
        <v>0.884169445298547</v>
      </c>
      <c r="E75" s="9" t="n">
        <v>0</v>
      </c>
      <c r="F75" s="9" t="n">
        <v>0</v>
      </c>
      <c r="G75" s="9" t="n">
        <v>0.884169445298547</v>
      </c>
      <c r="H75" s="9" t="n">
        <v>0</v>
      </c>
      <c r="I75" s="26" t="n">
        <f aca="false">G75+H75</f>
        <v>0.884169445298547</v>
      </c>
      <c r="J75" s="12" t="n">
        <v>68</v>
      </c>
      <c r="K75" s="28" t="n">
        <v>68</v>
      </c>
      <c r="L75" s="24" t="n">
        <v>46256</v>
      </c>
    </row>
    <row r="76" customFormat="false" ht="15" hidden="false" customHeight="false" outlineLevel="0" collapsed="false">
      <c r="A76" s="22" t="s">
        <v>17</v>
      </c>
      <c r="B76" s="22" t="s">
        <v>18</v>
      </c>
      <c r="C76" s="22" t="s">
        <v>117</v>
      </c>
      <c r="D76" s="8" t="n">
        <f aca="false">SUM(E76:H76)</f>
        <v>0.810000000000002</v>
      </c>
      <c r="E76" s="9" t="n">
        <v>0</v>
      </c>
      <c r="F76" s="9" t="n">
        <v>0</v>
      </c>
      <c r="G76" s="9" t="n">
        <v>0</v>
      </c>
      <c r="H76" s="9" t="n">
        <v>0.810000000000002</v>
      </c>
      <c r="I76" s="26" t="n">
        <f aca="false">G76+H76</f>
        <v>0.810000000000002</v>
      </c>
      <c r="J76" s="12" t="n">
        <v>121</v>
      </c>
      <c r="K76" s="27" t="n">
        <v>121</v>
      </c>
      <c r="L76" s="24" t="n">
        <v>46203</v>
      </c>
    </row>
    <row r="77" customFormat="false" ht="15" hidden="false" customHeight="false" outlineLevel="0" collapsed="false">
      <c r="A77" s="22" t="s">
        <v>17</v>
      </c>
      <c r="B77" s="22" t="s">
        <v>18</v>
      </c>
      <c r="C77" s="22" t="s">
        <v>118</v>
      </c>
      <c r="D77" s="8" t="n">
        <f aca="false">SUM(E77:H77)</f>
        <v>0.480092352000177</v>
      </c>
      <c r="E77" s="9" t="n">
        <v>0.480092352000177</v>
      </c>
      <c r="F77" s="9" t="n">
        <v>0</v>
      </c>
      <c r="G77" s="9" t="n">
        <v>0</v>
      </c>
      <c r="H77" s="9" t="n">
        <v>0</v>
      </c>
      <c r="I77" s="9" t="n">
        <f aca="false">G77+H77</f>
        <v>0</v>
      </c>
      <c r="J77" s="12" t="n">
        <v>21</v>
      </c>
      <c r="K77" s="25" t="n">
        <v>21</v>
      </c>
      <c r="L77" s="24" t="n">
        <v>46303</v>
      </c>
    </row>
    <row r="78" customFormat="false" ht="15" hidden="false" customHeight="false" outlineLevel="0" collapsed="false">
      <c r="A78" s="22" t="s">
        <v>17</v>
      </c>
      <c r="B78" s="22" t="s">
        <v>18</v>
      </c>
      <c r="C78" s="22" t="s">
        <v>119</v>
      </c>
      <c r="D78" s="8" t="n">
        <f aca="false">SUM(E78:H78)</f>
        <v>0.398907968</v>
      </c>
      <c r="E78" s="9" t="n">
        <v>0</v>
      </c>
      <c r="F78" s="9" t="n">
        <v>0</v>
      </c>
      <c r="G78" s="9" t="n">
        <v>0.398907968</v>
      </c>
      <c r="H78" s="9" t="n">
        <v>0</v>
      </c>
      <c r="I78" s="26" t="n">
        <f aca="false">G78+H78</f>
        <v>0.398907968</v>
      </c>
      <c r="J78" s="12" t="n">
        <v>71</v>
      </c>
      <c r="K78" s="28" t="n">
        <v>71</v>
      </c>
      <c r="L78" s="24" t="n">
        <v>46253</v>
      </c>
    </row>
    <row r="79" customFormat="false" ht="15" hidden="false" customHeight="false" outlineLevel="0" collapsed="false">
      <c r="A79" s="22" t="s">
        <v>17</v>
      </c>
      <c r="B79" s="22" t="s">
        <v>18</v>
      </c>
      <c r="C79" s="22" t="s">
        <v>120</v>
      </c>
      <c r="D79" s="8" t="n">
        <f aca="false">SUM(E79:H79)</f>
        <v>0.365000000000002</v>
      </c>
      <c r="E79" s="9" t="n">
        <v>0</v>
      </c>
      <c r="F79" s="9" t="n">
        <v>0</v>
      </c>
      <c r="G79" s="9" t="n">
        <v>0</v>
      </c>
      <c r="H79" s="9" t="n">
        <v>0.365000000000002</v>
      </c>
      <c r="I79" s="26" t="n">
        <f aca="false">G79+H79</f>
        <v>0.365000000000002</v>
      </c>
      <c r="J79" s="12" t="n">
        <v>121</v>
      </c>
      <c r="K79" s="27" t="n">
        <v>121</v>
      </c>
      <c r="L79" s="24" t="n">
        <v>46203</v>
      </c>
    </row>
    <row r="80" customFormat="false" ht="15" hidden="false" customHeight="false" outlineLevel="0" collapsed="false">
      <c r="A80" s="22" t="s">
        <v>17</v>
      </c>
      <c r="B80" s="22" t="s">
        <v>18</v>
      </c>
      <c r="C80" s="22" t="s">
        <v>121</v>
      </c>
      <c r="D80" s="8" t="n">
        <f aca="false">SUM(E80:H80)</f>
        <v>0.17734696</v>
      </c>
      <c r="E80" s="9" t="n">
        <v>0</v>
      </c>
      <c r="F80" s="9" t="n">
        <v>0</v>
      </c>
      <c r="G80" s="9" t="n">
        <v>0</v>
      </c>
      <c r="H80" s="9" t="n">
        <v>0.17734696</v>
      </c>
      <c r="I80" s="26" t="n">
        <f aca="false">G80+H80</f>
        <v>0.17734696</v>
      </c>
      <c r="J80" s="12" t="n">
        <v>141</v>
      </c>
      <c r="K80" s="27" t="n">
        <v>141</v>
      </c>
      <c r="L80" s="24" t="n">
        <v>46183</v>
      </c>
    </row>
    <row r="81" customFormat="false" ht="15" hidden="false" customHeight="false" outlineLevel="0" collapsed="false">
      <c r="A81" s="22" t="s">
        <v>17</v>
      </c>
      <c r="B81" s="22" t="s">
        <v>18</v>
      </c>
      <c r="C81" s="22" t="s">
        <v>122</v>
      </c>
      <c r="D81" s="8" t="n">
        <f aca="false">SUM(E81:H81)</f>
        <v>0.062373055999986</v>
      </c>
      <c r="E81" s="9" t="n">
        <v>0.062373055999986</v>
      </c>
      <c r="F81" s="9" t="n">
        <v>0</v>
      </c>
      <c r="G81" s="9" t="n">
        <v>0</v>
      </c>
      <c r="H81" s="9" t="n">
        <v>0</v>
      </c>
      <c r="I81" s="9" t="n">
        <f aca="false">G81+H81</f>
        <v>0</v>
      </c>
      <c r="J81" s="12" t="n">
        <v>16</v>
      </c>
      <c r="K81" s="25" t="n">
        <v>16</v>
      </c>
      <c r="L81" s="24" t="n">
        <v>46308</v>
      </c>
    </row>
    <row r="82" customFormat="false" ht="15" hidden="false" customHeight="false" outlineLevel="0" collapsed="false">
      <c r="A82" s="22" t="s">
        <v>17</v>
      </c>
      <c r="B82" s="22" t="s">
        <v>18</v>
      </c>
      <c r="C82" s="22" t="s">
        <v>123</v>
      </c>
      <c r="D82" s="8" t="n">
        <f aca="false">SUM(E82:H82)</f>
        <v>0.0619999999999976</v>
      </c>
      <c r="E82" s="9" t="n">
        <v>0</v>
      </c>
      <c r="F82" s="9" t="n">
        <v>0</v>
      </c>
      <c r="G82" s="9" t="n">
        <v>0</v>
      </c>
      <c r="H82" s="9" t="n">
        <v>0.0619999999999976</v>
      </c>
      <c r="I82" s="26" t="n">
        <f aca="false">G82+H82</f>
        <v>0.0619999999999976</v>
      </c>
      <c r="J82" s="12" t="n">
        <v>127</v>
      </c>
      <c r="K82" s="27" t="n">
        <v>127</v>
      </c>
      <c r="L82" s="24" t="n">
        <v>46197</v>
      </c>
    </row>
    <row r="83" customFormat="false" ht="15" hidden="false" customHeight="false" outlineLevel="0" collapsed="false">
      <c r="A83" s="22" t="s">
        <v>17</v>
      </c>
      <c r="B83" s="22" t="s">
        <v>18</v>
      </c>
      <c r="C83" s="22" t="s">
        <v>124</v>
      </c>
      <c r="D83" s="8" t="n">
        <f aca="false">SUM(E83:H83)</f>
        <v>0.0293056640000249</v>
      </c>
      <c r="E83" s="9" t="n">
        <v>0.0293056640000249</v>
      </c>
      <c r="F83" s="9" t="n">
        <v>0</v>
      </c>
      <c r="G83" s="9" t="n">
        <v>0</v>
      </c>
      <c r="H83" s="9" t="n">
        <v>0</v>
      </c>
      <c r="I83" s="9" t="n">
        <f aca="false">G83+H83</f>
        <v>0</v>
      </c>
      <c r="J83" s="12" t="n">
        <v>8</v>
      </c>
      <c r="K83" s="25" t="n">
        <v>8</v>
      </c>
      <c r="L83" s="24" t="n">
        <v>46316</v>
      </c>
    </row>
    <row r="84" customFormat="false" ht="15" hidden="false" customHeight="false" outlineLevel="0" collapsed="false">
      <c r="A84" s="22" t="s">
        <v>17</v>
      </c>
      <c r="B84" s="22" t="s">
        <v>18</v>
      </c>
      <c r="C84" s="22" t="s">
        <v>125</v>
      </c>
      <c r="D84" s="8" t="n">
        <f aca="false">SUM(E84:H84)</f>
        <v>0.0195334399999876</v>
      </c>
      <c r="E84" s="9" t="n">
        <v>0</v>
      </c>
      <c r="F84" s="9" t="n">
        <v>0.0195334399999876</v>
      </c>
      <c r="G84" s="9" t="n">
        <v>0</v>
      </c>
      <c r="H84" s="9" t="n">
        <v>0</v>
      </c>
      <c r="I84" s="9" t="n">
        <f aca="false">G84+H84</f>
        <v>0</v>
      </c>
      <c r="J84" s="12" t="n">
        <v>56</v>
      </c>
      <c r="K84" s="23" t="n">
        <v>56</v>
      </c>
      <c r="L84" s="24" t="n">
        <v>46268</v>
      </c>
    </row>
    <row r="85" customFormat="false" ht="15" hidden="false" customHeight="false" outlineLevel="0" collapsed="false">
      <c r="A85" s="22" t="s">
        <v>17</v>
      </c>
      <c r="B85" s="22" t="s">
        <v>18</v>
      </c>
      <c r="C85" s="22" t="s">
        <v>126</v>
      </c>
      <c r="D85" s="8" t="n">
        <f aca="false">SUM(E85:H85)</f>
        <v>0.0172000000000008</v>
      </c>
      <c r="E85" s="9" t="n">
        <v>0</v>
      </c>
      <c r="F85" s="9" t="n">
        <v>0</v>
      </c>
      <c r="G85" s="9" t="n">
        <v>0</v>
      </c>
      <c r="H85" s="9" t="n">
        <v>0.0172000000000008</v>
      </c>
      <c r="I85" s="26" t="n">
        <f aca="false">G85+H85</f>
        <v>0.0172000000000008</v>
      </c>
      <c r="J85" s="12" t="n">
        <v>123</v>
      </c>
      <c r="K85" s="27" t="n">
        <v>123</v>
      </c>
      <c r="L85" s="24" t="n">
        <v>46201</v>
      </c>
    </row>
    <row r="86" customFormat="false" ht="15" hidden="false" customHeight="false" outlineLevel="0" collapsed="false">
      <c r="A86" s="22" t="s">
        <v>19</v>
      </c>
      <c r="B86" s="22" t="s">
        <v>18</v>
      </c>
      <c r="C86" s="22" t="s">
        <v>127</v>
      </c>
      <c r="D86" s="8" t="n">
        <f aca="false">SUM(E86:H86)</f>
        <v>51.75348</v>
      </c>
      <c r="E86" s="9" t="n">
        <v>0</v>
      </c>
      <c r="F86" s="9" t="n">
        <v>51.75348</v>
      </c>
      <c r="G86" s="9" t="n">
        <v>0</v>
      </c>
      <c r="H86" s="9" t="n">
        <v>0</v>
      </c>
      <c r="I86" s="9" t="n">
        <f aca="false">G86+H86</f>
        <v>0</v>
      </c>
      <c r="J86" s="12" t="n">
        <v>36.2073170731707</v>
      </c>
      <c r="K86" s="23" t="n">
        <v>37</v>
      </c>
      <c r="L86" s="24" t="n">
        <v>46288</v>
      </c>
    </row>
    <row r="87" customFormat="false" ht="15" hidden="false" customHeight="false" outlineLevel="0" collapsed="false">
      <c r="A87" s="22" t="s">
        <v>19</v>
      </c>
      <c r="B87" s="22" t="s">
        <v>18</v>
      </c>
      <c r="C87" s="22" t="s">
        <v>128</v>
      </c>
      <c r="D87" s="8" t="n">
        <f aca="false">SUM(E87:H87)</f>
        <v>41.17071</v>
      </c>
      <c r="E87" s="9" t="n">
        <v>41.17071</v>
      </c>
      <c r="F87" s="9" t="n">
        <v>0</v>
      </c>
      <c r="G87" s="9" t="n">
        <v>0</v>
      </c>
      <c r="H87" s="9" t="n">
        <v>0</v>
      </c>
      <c r="I87" s="9" t="n">
        <f aca="false">G87+H87</f>
        <v>0</v>
      </c>
      <c r="J87" s="12" t="n">
        <v>7.10538074276591</v>
      </c>
      <c r="K87" s="25" t="n">
        <v>16</v>
      </c>
      <c r="L87" s="24" t="n">
        <v>46321</v>
      </c>
    </row>
    <row r="88" customFormat="false" ht="15" hidden="false" customHeight="false" outlineLevel="0" collapsed="false">
      <c r="A88" s="22" t="s">
        <v>19</v>
      </c>
      <c r="B88" s="22" t="s">
        <v>18</v>
      </c>
      <c r="C88" s="22" t="s">
        <v>129</v>
      </c>
      <c r="D88" s="8" t="n">
        <f aca="false">SUM(E88:H88)</f>
        <v>37.7925888</v>
      </c>
      <c r="E88" s="9" t="n">
        <v>37.7925888</v>
      </c>
      <c r="F88" s="9" t="n">
        <v>0</v>
      </c>
      <c r="G88" s="9" t="n">
        <v>0</v>
      </c>
      <c r="H88" s="9" t="n">
        <v>0</v>
      </c>
      <c r="I88" s="9" t="n">
        <f aca="false">G88+H88</f>
        <v>0</v>
      </c>
      <c r="J88" s="12" t="n">
        <v>16</v>
      </c>
      <c r="K88" s="25" t="n">
        <v>16</v>
      </c>
      <c r="L88" s="24" t="n">
        <v>46308</v>
      </c>
    </row>
    <row r="89" customFormat="false" ht="15" hidden="false" customHeight="false" outlineLevel="0" collapsed="false">
      <c r="A89" s="22" t="s">
        <v>19</v>
      </c>
      <c r="B89" s="22" t="s">
        <v>18</v>
      </c>
      <c r="C89" s="22" t="s">
        <v>130</v>
      </c>
      <c r="D89" s="8" t="n">
        <f aca="false">SUM(E89:H89)</f>
        <v>35.024976</v>
      </c>
      <c r="E89" s="9" t="n">
        <v>35.024976</v>
      </c>
      <c r="F89" s="9" t="n">
        <v>0</v>
      </c>
      <c r="G89" s="9" t="n">
        <v>0</v>
      </c>
      <c r="H89" s="9" t="n">
        <v>0</v>
      </c>
      <c r="I89" s="9" t="n">
        <f aca="false">G89+H89</f>
        <v>0</v>
      </c>
      <c r="J89" s="12" t="n">
        <v>5.5309424451854</v>
      </c>
      <c r="K89" s="25" t="n">
        <v>17</v>
      </c>
      <c r="L89" s="24" t="n">
        <v>46321</v>
      </c>
    </row>
    <row r="90" customFormat="false" ht="15" hidden="false" customHeight="false" outlineLevel="0" collapsed="false">
      <c r="A90" s="22" t="s">
        <v>19</v>
      </c>
      <c r="B90" s="22" t="s">
        <v>18</v>
      </c>
      <c r="C90" s="22" t="s">
        <v>131</v>
      </c>
      <c r="D90" s="8" t="n">
        <f aca="false">SUM(E90:H90)</f>
        <v>30.45868</v>
      </c>
      <c r="E90" s="9" t="n">
        <v>30.45868</v>
      </c>
      <c r="F90" s="9" t="n">
        <v>0</v>
      </c>
      <c r="G90" s="9" t="n">
        <v>0</v>
      </c>
      <c r="H90" s="9" t="n">
        <v>0</v>
      </c>
      <c r="I90" s="9" t="n">
        <f aca="false">G90+H90</f>
        <v>0</v>
      </c>
      <c r="J90" s="12" t="n">
        <v>23</v>
      </c>
      <c r="K90" s="25" t="n">
        <v>23</v>
      </c>
      <c r="L90" s="24" t="n">
        <v>46301</v>
      </c>
    </row>
    <row r="91" customFormat="false" ht="15" hidden="false" customHeight="false" outlineLevel="0" collapsed="false">
      <c r="A91" s="22" t="s">
        <v>19</v>
      </c>
      <c r="B91" s="22" t="s">
        <v>18</v>
      </c>
      <c r="C91" s="22" t="s">
        <v>132</v>
      </c>
      <c r="D91" s="8" t="n">
        <f aca="false">SUM(E91:H91)</f>
        <v>23.493792</v>
      </c>
      <c r="E91" s="9" t="n">
        <v>23.493792</v>
      </c>
      <c r="F91" s="9" t="n">
        <v>0</v>
      </c>
      <c r="G91" s="9" t="n">
        <v>0</v>
      </c>
      <c r="H91" s="9" t="n">
        <v>0</v>
      </c>
      <c r="I91" s="9" t="n">
        <f aca="false">G91+H91</f>
        <v>0</v>
      </c>
      <c r="J91" s="12" t="n">
        <v>22.7785980653953</v>
      </c>
      <c r="K91" s="25" t="n">
        <v>25</v>
      </c>
      <c r="L91" s="24" t="n">
        <v>46302</v>
      </c>
    </row>
    <row r="92" customFormat="false" ht="15" hidden="false" customHeight="false" outlineLevel="0" collapsed="false">
      <c r="A92" s="22" t="s">
        <v>19</v>
      </c>
      <c r="B92" s="22" t="s">
        <v>18</v>
      </c>
      <c r="C92" s="22" t="s">
        <v>133</v>
      </c>
      <c r="D92" s="8" t="n">
        <f aca="false">SUM(E92:H92)</f>
        <v>23.196887</v>
      </c>
      <c r="E92" s="9" t="n">
        <v>23.196887</v>
      </c>
      <c r="F92" s="9" t="n">
        <v>0</v>
      </c>
      <c r="G92" s="9" t="n">
        <v>0</v>
      </c>
      <c r="H92" s="9" t="n">
        <v>0</v>
      </c>
      <c r="I92" s="9" t="n">
        <f aca="false">G92+H92</f>
        <v>0</v>
      </c>
      <c r="J92" s="12" t="n">
        <v>22.3923081575558</v>
      </c>
      <c r="K92" s="25" t="n">
        <v>23</v>
      </c>
      <c r="L92" s="24" t="n">
        <v>46302</v>
      </c>
    </row>
    <row r="93" customFormat="false" ht="15" hidden="false" customHeight="false" outlineLevel="0" collapsed="false">
      <c r="A93" s="22" t="s">
        <v>19</v>
      </c>
      <c r="B93" s="22" t="s">
        <v>18</v>
      </c>
      <c r="C93" s="22" t="s">
        <v>134</v>
      </c>
      <c r="D93" s="8" t="n">
        <f aca="false">SUM(E93:H93)</f>
        <v>22.771162</v>
      </c>
      <c r="E93" s="9" t="n">
        <v>22.771162</v>
      </c>
      <c r="F93" s="9" t="n">
        <v>0</v>
      </c>
      <c r="G93" s="9" t="n">
        <v>0</v>
      </c>
      <c r="H93" s="9" t="n">
        <v>0</v>
      </c>
      <c r="I93" s="9" t="n">
        <f aca="false">G93+H93</f>
        <v>0</v>
      </c>
      <c r="J93" s="12" t="n">
        <v>29.8198418684123</v>
      </c>
      <c r="K93" s="25" t="n">
        <v>30</v>
      </c>
      <c r="L93" s="24" t="n">
        <v>46295</v>
      </c>
    </row>
    <row r="94" customFormat="false" ht="15" hidden="false" customHeight="false" outlineLevel="0" collapsed="false">
      <c r="A94" s="22" t="s">
        <v>19</v>
      </c>
      <c r="B94" s="22" t="s">
        <v>18</v>
      </c>
      <c r="C94" s="22" t="s">
        <v>135</v>
      </c>
      <c r="D94" s="8" t="n">
        <f aca="false">SUM(E94:H94)</f>
        <v>15.31896</v>
      </c>
      <c r="E94" s="9" t="n">
        <v>0</v>
      </c>
      <c r="F94" s="9" t="n">
        <v>15.31896</v>
      </c>
      <c r="G94" s="9" t="n">
        <v>0</v>
      </c>
      <c r="H94" s="9" t="n">
        <v>0</v>
      </c>
      <c r="I94" s="9" t="n">
        <f aca="false">G94+H94</f>
        <v>0</v>
      </c>
      <c r="J94" s="12" t="n">
        <v>37</v>
      </c>
      <c r="K94" s="23" t="n">
        <v>37</v>
      </c>
      <c r="L94" s="24" t="n">
        <v>46287</v>
      </c>
    </row>
    <row r="95" customFormat="false" ht="15" hidden="false" customHeight="false" outlineLevel="0" collapsed="false">
      <c r="A95" s="22" t="s">
        <v>19</v>
      </c>
      <c r="B95" s="22" t="s">
        <v>18</v>
      </c>
      <c r="C95" s="22" t="s">
        <v>136</v>
      </c>
      <c r="D95" s="8" t="n">
        <f aca="false">SUM(E95:H95)</f>
        <v>9.700807</v>
      </c>
      <c r="E95" s="9" t="n">
        <v>9.700807</v>
      </c>
      <c r="F95" s="9" t="n">
        <v>0</v>
      </c>
      <c r="G95" s="9" t="n">
        <v>0</v>
      </c>
      <c r="H95" s="9" t="n">
        <v>0</v>
      </c>
      <c r="I95" s="9" t="n">
        <f aca="false">G95+H95</f>
        <v>0</v>
      </c>
      <c r="J95" s="12" t="n">
        <v>24</v>
      </c>
      <c r="K95" s="25" t="n">
        <v>24</v>
      </c>
      <c r="L95" s="24" t="n">
        <v>46300</v>
      </c>
    </row>
    <row r="96" customFormat="false" ht="15" hidden="false" customHeight="false" outlineLevel="0" collapsed="false">
      <c r="A96" s="22" t="s">
        <v>19</v>
      </c>
      <c r="B96" s="22" t="s">
        <v>18</v>
      </c>
      <c r="C96" s="22" t="s">
        <v>137</v>
      </c>
      <c r="D96" s="8" t="n">
        <f aca="false">SUM(E96:H96)</f>
        <v>9.31656</v>
      </c>
      <c r="E96" s="9" t="n">
        <v>0</v>
      </c>
      <c r="F96" s="9" t="n">
        <v>9.31656</v>
      </c>
      <c r="G96" s="9" t="n">
        <v>0</v>
      </c>
      <c r="H96" s="9" t="n">
        <v>0</v>
      </c>
      <c r="I96" s="9" t="n">
        <f aca="false">G96+H96</f>
        <v>0</v>
      </c>
      <c r="J96" s="12" t="n">
        <v>31</v>
      </c>
      <c r="K96" s="23" t="n">
        <v>31</v>
      </c>
      <c r="L96" s="24" t="n">
        <v>46293</v>
      </c>
    </row>
    <row r="97" customFormat="false" ht="15" hidden="false" customHeight="false" outlineLevel="0" collapsed="false">
      <c r="A97" s="22" t="s">
        <v>19</v>
      </c>
      <c r="B97" s="22" t="s">
        <v>18</v>
      </c>
      <c r="C97" s="22" t="s">
        <v>138</v>
      </c>
      <c r="D97" s="8" t="n">
        <f aca="false">SUM(E97:H97)</f>
        <v>8.3800532</v>
      </c>
      <c r="E97" s="9" t="n">
        <v>8.3800532</v>
      </c>
      <c r="F97" s="9" t="n">
        <v>0</v>
      </c>
      <c r="G97" s="9" t="n">
        <v>0</v>
      </c>
      <c r="H97" s="9" t="n">
        <v>0</v>
      </c>
      <c r="I97" s="9" t="n">
        <f aca="false">G97+H97</f>
        <v>0</v>
      </c>
      <c r="J97" s="12" t="n">
        <v>29</v>
      </c>
      <c r="K97" s="25" t="n">
        <v>29</v>
      </c>
      <c r="L97" s="24" t="n">
        <v>46295</v>
      </c>
    </row>
    <row r="98" customFormat="false" ht="15" hidden="false" customHeight="false" outlineLevel="0" collapsed="false">
      <c r="A98" s="22" t="s">
        <v>19</v>
      </c>
      <c r="B98" s="22" t="s">
        <v>18</v>
      </c>
      <c r="C98" s="22" t="s">
        <v>139</v>
      </c>
      <c r="D98" s="8" t="n">
        <f aca="false">SUM(E98:H98)</f>
        <v>6.5123125</v>
      </c>
      <c r="E98" s="9" t="n">
        <v>6.5123125</v>
      </c>
      <c r="F98" s="9" t="n">
        <v>0</v>
      </c>
      <c r="G98" s="9" t="n">
        <v>0</v>
      </c>
      <c r="H98" s="9" t="n">
        <v>0</v>
      </c>
      <c r="I98" s="9" t="n">
        <f aca="false">G98+H98</f>
        <v>0</v>
      </c>
      <c r="J98" s="12" t="n">
        <v>19</v>
      </c>
      <c r="K98" s="25" t="n">
        <v>19</v>
      </c>
      <c r="L98" s="24" t="n">
        <v>46305</v>
      </c>
    </row>
    <row r="99" customFormat="false" ht="15" hidden="false" customHeight="false" outlineLevel="0" collapsed="false">
      <c r="A99" s="22" t="s">
        <v>19</v>
      </c>
      <c r="B99" s="22" t="s">
        <v>18</v>
      </c>
      <c r="C99" s="22" t="s">
        <v>140</v>
      </c>
      <c r="D99" s="8" t="n">
        <f aca="false">SUM(E99:H99)</f>
        <v>6.1211178</v>
      </c>
      <c r="E99" s="9" t="n">
        <v>6.1211178</v>
      </c>
      <c r="F99" s="9" t="n">
        <v>0</v>
      </c>
      <c r="G99" s="9" t="n">
        <v>0</v>
      </c>
      <c r="H99" s="9" t="n">
        <v>0</v>
      </c>
      <c r="I99" s="9" t="n">
        <f aca="false">G99+H99</f>
        <v>0</v>
      </c>
      <c r="J99" s="12" t="n">
        <v>17</v>
      </c>
      <c r="K99" s="25" t="n">
        <v>17</v>
      </c>
      <c r="L99" s="24" t="n">
        <v>46307</v>
      </c>
    </row>
    <row r="100" customFormat="false" ht="15" hidden="false" customHeight="false" outlineLevel="0" collapsed="false">
      <c r="A100" s="22" t="s">
        <v>19</v>
      </c>
      <c r="B100" s="22" t="s">
        <v>18</v>
      </c>
      <c r="C100" s="22" t="s">
        <v>141</v>
      </c>
      <c r="D100" s="8" t="n">
        <f aca="false">SUM(E100:H100)</f>
        <v>5.55292480000001</v>
      </c>
      <c r="E100" s="9" t="n">
        <v>5.55292480000001</v>
      </c>
      <c r="F100" s="9" t="n">
        <v>0</v>
      </c>
      <c r="G100" s="9" t="n">
        <v>0</v>
      </c>
      <c r="H100" s="9" t="n">
        <v>0</v>
      </c>
      <c r="I100" s="9" t="n">
        <f aca="false">G100+H100</f>
        <v>0</v>
      </c>
      <c r="J100" s="12" t="n">
        <v>19</v>
      </c>
      <c r="K100" s="25" t="n">
        <v>19</v>
      </c>
      <c r="L100" s="24" t="n">
        <v>46305</v>
      </c>
    </row>
    <row r="101" customFormat="false" ht="15" hidden="false" customHeight="false" outlineLevel="0" collapsed="false">
      <c r="A101" s="22" t="s">
        <v>19</v>
      </c>
      <c r="B101" s="22" t="s">
        <v>18</v>
      </c>
      <c r="C101" s="22" t="s">
        <v>142</v>
      </c>
      <c r="D101" s="8" t="n">
        <f aca="false">SUM(E101:H101)</f>
        <v>5.3884585</v>
      </c>
      <c r="E101" s="9" t="n">
        <v>0</v>
      </c>
      <c r="F101" s="9" t="n">
        <v>5.3884585</v>
      </c>
      <c r="G101" s="9" t="n">
        <v>0</v>
      </c>
      <c r="H101" s="9" t="n">
        <v>0</v>
      </c>
      <c r="I101" s="9" t="n">
        <f aca="false">G101+H101</f>
        <v>0</v>
      </c>
      <c r="J101" s="12" t="n">
        <v>35</v>
      </c>
      <c r="K101" s="23" t="n">
        <v>35</v>
      </c>
      <c r="L101" s="24" t="n">
        <v>46289</v>
      </c>
    </row>
    <row r="102" customFormat="false" ht="15" hidden="false" customHeight="false" outlineLevel="0" collapsed="false">
      <c r="A102" s="22" t="s">
        <v>19</v>
      </c>
      <c r="B102" s="22" t="s">
        <v>18</v>
      </c>
      <c r="C102" s="22" t="s">
        <v>143</v>
      </c>
      <c r="D102" s="8" t="n">
        <f aca="false">SUM(E102:H102)</f>
        <v>4.667348</v>
      </c>
      <c r="E102" s="9" t="n">
        <v>4.667348</v>
      </c>
      <c r="F102" s="9" t="n">
        <v>0</v>
      </c>
      <c r="G102" s="9" t="n">
        <v>0</v>
      </c>
      <c r="H102" s="9" t="n">
        <v>0</v>
      </c>
      <c r="I102" s="9" t="n">
        <f aca="false">G102+H102</f>
        <v>0</v>
      </c>
      <c r="J102" s="12" t="n">
        <v>23</v>
      </c>
      <c r="K102" s="25" t="n">
        <v>23</v>
      </c>
      <c r="L102" s="24" t="n">
        <v>46301</v>
      </c>
    </row>
    <row r="103" customFormat="false" ht="15" hidden="false" customHeight="false" outlineLevel="0" collapsed="false">
      <c r="A103" s="22" t="s">
        <v>19</v>
      </c>
      <c r="B103" s="22" t="s">
        <v>18</v>
      </c>
      <c r="C103" s="22" t="s">
        <v>144</v>
      </c>
      <c r="D103" s="8" t="n">
        <f aca="false">SUM(E103:H103)</f>
        <v>4.2607808</v>
      </c>
      <c r="E103" s="9" t="n">
        <v>4.2607808</v>
      </c>
      <c r="F103" s="9" t="n">
        <v>0</v>
      </c>
      <c r="G103" s="9" t="n">
        <v>0</v>
      </c>
      <c r="H103" s="9" t="n">
        <v>0</v>
      </c>
      <c r="I103" s="9" t="n">
        <f aca="false">G103+H103</f>
        <v>0</v>
      </c>
      <c r="J103" s="12" t="n">
        <v>30</v>
      </c>
      <c r="K103" s="25" t="n">
        <v>30</v>
      </c>
      <c r="L103" s="24" t="n">
        <v>46294</v>
      </c>
    </row>
    <row r="104" customFormat="false" ht="15" hidden="false" customHeight="false" outlineLevel="0" collapsed="false">
      <c r="A104" s="22" t="s">
        <v>19</v>
      </c>
      <c r="B104" s="22" t="s">
        <v>18</v>
      </c>
      <c r="C104" s="22" t="s">
        <v>145</v>
      </c>
      <c r="D104" s="8" t="n">
        <f aca="false">SUM(E104:H104)</f>
        <v>3.771654</v>
      </c>
      <c r="E104" s="9" t="n">
        <v>0</v>
      </c>
      <c r="F104" s="9" t="n">
        <v>3.771654</v>
      </c>
      <c r="G104" s="9" t="n">
        <v>0</v>
      </c>
      <c r="H104" s="9" t="n">
        <v>0</v>
      </c>
      <c r="I104" s="9" t="n">
        <f aca="false">G104+H104</f>
        <v>0</v>
      </c>
      <c r="J104" s="12" t="n">
        <v>33</v>
      </c>
      <c r="K104" s="23" t="n">
        <v>33</v>
      </c>
      <c r="L104" s="24" t="n">
        <v>46291</v>
      </c>
    </row>
    <row r="105" customFormat="false" ht="15" hidden="false" customHeight="false" outlineLevel="0" collapsed="false">
      <c r="A105" s="22" t="s">
        <v>19</v>
      </c>
      <c r="B105" s="22" t="s">
        <v>18</v>
      </c>
      <c r="C105" s="22" t="s">
        <v>146</v>
      </c>
      <c r="D105" s="8" t="n">
        <f aca="false">SUM(E105:H105)</f>
        <v>2.392126</v>
      </c>
      <c r="E105" s="9" t="n">
        <v>2.392126</v>
      </c>
      <c r="F105" s="9" t="n">
        <v>0</v>
      </c>
      <c r="G105" s="9" t="n">
        <v>0</v>
      </c>
      <c r="H105" s="9" t="n">
        <v>0</v>
      </c>
      <c r="I105" s="9" t="n">
        <f aca="false">G105+H105</f>
        <v>0</v>
      </c>
      <c r="J105" s="12" t="n">
        <v>22</v>
      </c>
      <c r="K105" s="25" t="n">
        <v>22</v>
      </c>
      <c r="L105" s="24" t="n">
        <v>46302</v>
      </c>
    </row>
    <row r="106" customFormat="false" ht="15" hidden="false" customHeight="false" outlineLevel="0" collapsed="false">
      <c r="A106" s="22" t="s">
        <v>19</v>
      </c>
      <c r="B106" s="22" t="s">
        <v>18</v>
      </c>
      <c r="C106" s="22" t="s">
        <v>147</v>
      </c>
      <c r="D106" s="8" t="n">
        <f aca="false">SUM(E106:H106)</f>
        <v>2.00522</v>
      </c>
      <c r="E106" s="9" t="n">
        <v>0</v>
      </c>
      <c r="F106" s="9" t="n">
        <v>2.00522</v>
      </c>
      <c r="G106" s="9" t="n">
        <v>0</v>
      </c>
      <c r="H106" s="9" t="n">
        <v>0</v>
      </c>
      <c r="I106" s="9" t="n">
        <f aca="false">G106+H106</f>
        <v>0</v>
      </c>
      <c r="J106" s="12" t="n">
        <v>40</v>
      </c>
      <c r="K106" s="23" t="n">
        <v>40</v>
      </c>
      <c r="L106" s="24" t="n">
        <v>46284</v>
      </c>
    </row>
    <row r="107" customFormat="false" ht="15" hidden="false" customHeight="false" outlineLevel="0" collapsed="false">
      <c r="A107" s="22" t="s">
        <v>19</v>
      </c>
      <c r="B107" s="22" t="s">
        <v>18</v>
      </c>
      <c r="C107" s="22" t="s">
        <v>148</v>
      </c>
      <c r="D107" s="8" t="n">
        <f aca="false">SUM(E107:H107)</f>
        <v>0.535804799999998</v>
      </c>
      <c r="E107" s="9" t="n">
        <v>0</v>
      </c>
      <c r="F107" s="9" t="n">
        <v>0.535804799999998</v>
      </c>
      <c r="G107" s="9" t="n">
        <v>0</v>
      </c>
      <c r="H107" s="9" t="n">
        <v>0</v>
      </c>
      <c r="I107" s="9" t="n">
        <f aca="false">G107+H107</f>
        <v>0</v>
      </c>
      <c r="J107" s="12" t="n">
        <v>40</v>
      </c>
      <c r="K107" s="23" t="n">
        <v>40</v>
      </c>
      <c r="L107" s="24" t="n">
        <v>46284</v>
      </c>
    </row>
    <row r="108" customFormat="false" ht="15" hidden="false" customHeight="false" outlineLevel="0" collapsed="false">
      <c r="A108" s="22" t="s">
        <v>19</v>
      </c>
      <c r="B108" s="22" t="s">
        <v>18</v>
      </c>
      <c r="C108" s="22" t="s">
        <v>149</v>
      </c>
      <c r="D108" s="8" t="n">
        <f aca="false">SUM(E108:H108)</f>
        <v>0.333020799999996</v>
      </c>
      <c r="E108" s="9" t="n">
        <v>0</v>
      </c>
      <c r="F108" s="9" t="n">
        <v>0.333020799999996</v>
      </c>
      <c r="G108" s="9" t="n">
        <v>0</v>
      </c>
      <c r="H108" s="9" t="n">
        <v>0</v>
      </c>
      <c r="I108" s="9" t="n">
        <f aca="false">G108+H108</f>
        <v>0</v>
      </c>
      <c r="J108" s="12" t="n">
        <v>57</v>
      </c>
      <c r="K108" s="23" t="n">
        <v>57</v>
      </c>
      <c r="L108" s="24" t="n">
        <v>46267</v>
      </c>
    </row>
    <row r="109" customFormat="false" ht="15" hidden="false" customHeight="false" outlineLevel="0" collapsed="false">
      <c r="A109" s="22" t="s">
        <v>19</v>
      </c>
      <c r="B109" s="22" t="s">
        <v>18</v>
      </c>
      <c r="C109" s="22" t="s">
        <v>150</v>
      </c>
      <c r="D109" s="8" t="n">
        <f aca="false">SUM(E109:H109)</f>
        <v>0.267739999999995</v>
      </c>
      <c r="E109" s="9" t="n">
        <v>0</v>
      </c>
      <c r="F109" s="9" t="n">
        <v>0.267739999999995</v>
      </c>
      <c r="G109" s="9" t="n">
        <v>0</v>
      </c>
      <c r="H109" s="9" t="n">
        <v>0</v>
      </c>
      <c r="I109" s="9" t="n">
        <f aca="false">G109+H109</f>
        <v>0</v>
      </c>
      <c r="J109" s="12" t="n">
        <v>40</v>
      </c>
      <c r="K109" s="23" t="n">
        <v>40</v>
      </c>
      <c r="L109" s="24" t="n">
        <v>46284</v>
      </c>
    </row>
    <row r="110" customFormat="false" ht="15" hidden="false" customHeight="false" outlineLevel="0" collapsed="false">
      <c r="A110" s="22" t="s">
        <v>20</v>
      </c>
      <c r="B110" s="22" t="s">
        <v>21</v>
      </c>
      <c r="C110" s="22" t="s">
        <v>118</v>
      </c>
      <c r="D110" s="8" t="n">
        <f aca="false">SUM(E110:H110)</f>
        <v>109.547854464</v>
      </c>
      <c r="E110" s="9" t="n">
        <v>109.547854464</v>
      </c>
      <c r="F110" s="9" t="n">
        <v>0</v>
      </c>
      <c r="G110" s="9" t="n">
        <v>0</v>
      </c>
      <c r="H110" s="9" t="n">
        <v>0</v>
      </c>
      <c r="I110" s="9" t="n">
        <f aca="false">G110+H110</f>
        <v>0</v>
      </c>
      <c r="J110" s="12" t="n">
        <v>18.6958913624461</v>
      </c>
      <c r="K110" s="25" t="n">
        <v>20</v>
      </c>
      <c r="L110" s="24" t="n">
        <v>46306</v>
      </c>
    </row>
    <row r="111" customFormat="false" ht="15" hidden="false" customHeight="false" outlineLevel="0" collapsed="false">
      <c r="A111" s="22" t="s">
        <v>20</v>
      </c>
      <c r="B111" s="22" t="s">
        <v>21</v>
      </c>
      <c r="C111" s="22" t="s">
        <v>47</v>
      </c>
      <c r="D111" s="8" t="n">
        <f aca="false">SUM(E111:H111)</f>
        <v>101.4804864</v>
      </c>
      <c r="E111" s="9" t="n">
        <v>49.6313424</v>
      </c>
      <c r="F111" s="9" t="n">
        <v>51.849144</v>
      </c>
      <c r="G111" s="9" t="n">
        <v>0</v>
      </c>
      <c r="H111" s="9" t="n">
        <v>0</v>
      </c>
      <c r="I111" s="9" t="n">
        <f aca="false">G111+H111</f>
        <v>0</v>
      </c>
      <c r="J111" s="12" t="n">
        <v>25.7210398865412</v>
      </c>
      <c r="K111" s="23" t="n">
        <v>44</v>
      </c>
      <c r="L111" s="24" t="n">
        <v>46321</v>
      </c>
    </row>
    <row r="112" customFormat="false" ht="15" hidden="false" customHeight="false" outlineLevel="0" collapsed="false">
      <c r="A112" s="22" t="s">
        <v>20</v>
      </c>
      <c r="B112" s="22" t="s">
        <v>21</v>
      </c>
      <c r="C112" s="22" t="s">
        <v>72</v>
      </c>
      <c r="D112" s="8" t="n">
        <f aca="false">SUM(E112:H112)</f>
        <v>74.1790016</v>
      </c>
      <c r="E112" s="9" t="n">
        <v>47.8204416</v>
      </c>
      <c r="F112" s="9" t="n">
        <v>26.35856</v>
      </c>
      <c r="G112" s="9" t="n">
        <v>0</v>
      </c>
      <c r="H112" s="9" t="n">
        <v>0</v>
      </c>
      <c r="I112" s="9" t="n">
        <f aca="false">G112+H112</f>
        <v>0</v>
      </c>
      <c r="J112" s="12" t="n">
        <v>25.5502316601684</v>
      </c>
      <c r="K112" s="23" t="n">
        <v>54</v>
      </c>
      <c r="L112" s="24" t="n">
        <v>46323</v>
      </c>
    </row>
    <row r="113" customFormat="false" ht="15" hidden="false" customHeight="false" outlineLevel="0" collapsed="false">
      <c r="A113" s="22" t="s">
        <v>20</v>
      </c>
      <c r="B113" s="22" t="s">
        <v>21</v>
      </c>
      <c r="C113" s="22" t="s">
        <v>104</v>
      </c>
      <c r="D113" s="8" t="n">
        <f aca="false">SUM(E113:H113)</f>
        <v>71.0481625</v>
      </c>
      <c r="E113" s="9" t="n">
        <v>71.0481625</v>
      </c>
      <c r="F113" s="9" t="n">
        <v>0</v>
      </c>
      <c r="G113" s="9" t="n">
        <v>0</v>
      </c>
      <c r="H113" s="9" t="n">
        <v>0</v>
      </c>
      <c r="I113" s="9" t="n">
        <f aca="false">G113+H113</f>
        <v>0</v>
      </c>
      <c r="J113" s="12" t="n">
        <v>23.5170029203781</v>
      </c>
      <c r="K113" s="25" t="n">
        <v>30</v>
      </c>
      <c r="L113" s="24" t="n">
        <v>46322</v>
      </c>
    </row>
    <row r="114" customFormat="false" ht="15" hidden="false" customHeight="false" outlineLevel="0" collapsed="false">
      <c r="A114" s="22" t="s">
        <v>20</v>
      </c>
      <c r="B114" s="22" t="s">
        <v>21</v>
      </c>
      <c r="C114" s="22" t="s">
        <v>57</v>
      </c>
      <c r="D114" s="8" t="n">
        <f aca="false">SUM(E114:H114)</f>
        <v>62.560575</v>
      </c>
      <c r="E114" s="9" t="n">
        <v>62.560575</v>
      </c>
      <c r="F114" s="9" t="n">
        <v>0</v>
      </c>
      <c r="G114" s="9" t="n">
        <v>0</v>
      </c>
      <c r="H114" s="9" t="n">
        <v>0</v>
      </c>
      <c r="I114" s="9" t="n">
        <f aca="false">G114+H114</f>
        <v>0</v>
      </c>
      <c r="J114" s="12" t="n">
        <v>3.85714285714286</v>
      </c>
      <c r="K114" s="25" t="n">
        <v>4</v>
      </c>
      <c r="L114" s="24" t="n">
        <v>46321</v>
      </c>
    </row>
    <row r="115" customFormat="false" ht="15" hidden="false" customHeight="false" outlineLevel="0" collapsed="false">
      <c r="A115" s="22" t="s">
        <v>20</v>
      </c>
      <c r="B115" s="22" t="s">
        <v>21</v>
      </c>
      <c r="C115" s="22" t="s">
        <v>65</v>
      </c>
      <c r="D115" s="8" t="n">
        <f aca="false">SUM(E115:H115)</f>
        <v>57.3843434240001</v>
      </c>
      <c r="E115" s="9" t="n">
        <v>57.3843434240001</v>
      </c>
      <c r="F115" s="9" t="n">
        <v>0</v>
      </c>
      <c r="G115" s="9" t="n">
        <v>0</v>
      </c>
      <c r="H115" s="9" t="n">
        <v>0</v>
      </c>
      <c r="I115" s="9" t="n">
        <f aca="false">G115+H115</f>
        <v>0</v>
      </c>
      <c r="J115" s="12" t="n">
        <v>21.6527141731892</v>
      </c>
      <c r="K115" s="25" t="n">
        <v>27</v>
      </c>
      <c r="L115" s="24" t="n">
        <v>46323</v>
      </c>
    </row>
    <row r="116" customFormat="false" ht="15" hidden="false" customHeight="false" outlineLevel="0" collapsed="false">
      <c r="A116" s="22" t="s">
        <v>20</v>
      </c>
      <c r="B116" s="22" t="s">
        <v>21</v>
      </c>
      <c r="C116" s="22" t="s">
        <v>151</v>
      </c>
      <c r="D116" s="8" t="n">
        <f aca="false">SUM(E116:H116)</f>
        <v>56.1601697920001</v>
      </c>
      <c r="E116" s="9" t="n">
        <v>56.1601697920001</v>
      </c>
      <c r="F116" s="9" t="n">
        <v>0</v>
      </c>
      <c r="G116" s="9" t="n">
        <v>0</v>
      </c>
      <c r="H116" s="9" t="n">
        <v>0</v>
      </c>
      <c r="I116" s="9" t="n">
        <f aca="false">G116+H116</f>
        <v>0</v>
      </c>
      <c r="J116" s="12" t="n">
        <v>6.59004657391047</v>
      </c>
      <c r="K116" s="25" t="n">
        <v>8</v>
      </c>
      <c r="L116" s="24" t="n">
        <v>46318</v>
      </c>
    </row>
    <row r="117" customFormat="false" ht="15" hidden="false" customHeight="false" outlineLevel="0" collapsed="false">
      <c r="A117" s="22" t="s">
        <v>20</v>
      </c>
      <c r="B117" s="22" t="s">
        <v>21</v>
      </c>
      <c r="C117" s="22" t="s">
        <v>46</v>
      </c>
      <c r="D117" s="8" t="n">
        <f aca="false">SUM(E117:H117)</f>
        <v>49.7805136</v>
      </c>
      <c r="E117" s="9" t="n">
        <v>49.7805136</v>
      </c>
      <c r="F117" s="9" t="n">
        <v>0</v>
      </c>
      <c r="G117" s="9" t="n">
        <v>0</v>
      </c>
      <c r="H117" s="9" t="n">
        <v>0</v>
      </c>
      <c r="I117" s="9" t="n">
        <f aca="false">G117+H117</f>
        <v>0</v>
      </c>
      <c r="J117" s="12" t="n">
        <v>21.7187880841792</v>
      </c>
      <c r="K117" s="25" t="n">
        <v>22</v>
      </c>
      <c r="L117" s="24" t="n">
        <v>46304</v>
      </c>
    </row>
    <row r="118" customFormat="false" ht="15" hidden="false" customHeight="false" outlineLevel="0" collapsed="false">
      <c r="A118" s="22" t="s">
        <v>20</v>
      </c>
      <c r="B118" s="22" t="s">
        <v>21</v>
      </c>
      <c r="C118" s="22" t="s">
        <v>75</v>
      </c>
      <c r="D118" s="8" t="n">
        <f aca="false">SUM(E118:H118)</f>
        <v>41.7639025</v>
      </c>
      <c r="E118" s="9" t="n">
        <v>41.7639025</v>
      </c>
      <c r="F118" s="9" t="n">
        <v>0</v>
      </c>
      <c r="G118" s="9" t="n">
        <v>0</v>
      </c>
      <c r="H118" s="9" t="n">
        <v>0</v>
      </c>
      <c r="I118" s="9" t="n">
        <f aca="false">G118+H118</f>
        <v>0</v>
      </c>
      <c r="J118" s="12" t="n">
        <v>23.3802068065838</v>
      </c>
      <c r="K118" s="25" t="n">
        <v>24</v>
      </c>
      <c r="L118" s="24" t="n">
        <v>46301</v>
      </c>
    </row>
    <row r="119" customFormat="false" ht="15" hidden="false" customHeight="false" outlineLevel="0" collapsed="false">
      <c r="A119" s="22" t="s">
        <v>20</v>
      </c>
      <c r="B119" s="22" t="s">
        <v>21</v>
      </c>
      <c r="C119" s="22" t="s">
        <v>61</v>
      </c>
      <c r="D119" s="8" t="n">
        <f aca="false">SUM(E119:H119)</f>
        <v>41.3312888</v>
      </c>
      <c r="E119" s="9" t="n">
        <v>0</v>
      </c>
      <c r="F119" s="9" t="n">
        <v>41.3312888</v>
      </c>
      <c r="G119" s="9" t="n">
        <v>0</v>
      </c>
      <c r="H119" s="9" t="n">
        <v>0</v>
      </c>
      <c r="I119" s="9" t="n">
        <f aca="false">G119+H119</f>
        <v>0</v>
      </c>
      <c r="J119" s="12" t="n">
        <v>47.1425856529303</v>
      </c>
      <c r="K119" s="23" t="n">
        <v>48</v>
      </c>
      <c r="L119" s="24" t="n">
        <v>46278</v>
      </c>
    </row>
    <row r="120" customFormat="false" ht="15" hidden="false" customHeight="false" outlineLevel="0" collapsed="false">
      <c r="A120" s="22" t="s">
        <v>20</v>
      </c>
      <c r="B120" s="22" t="s">
        <v>21</v>
      </c>
      <c r="C120" s="22" t="s">
        <v>137</v>
      </c>
      <c r="D120" s="8" t="n">
        <f aca="false">SUM(E120:H120)</f>
        <v>40.21808</v>
      </c>
      <c r="E120" s="9" t="n">
        <v>40.21808</v>
      </c>
      <c r="F120" s="9" t="n">
        <v>0</v>
      </c>
      <c r="G120" s="9" t="n">
        <v>0</v>
      </c>
      <c r="H120" s="9" t="n">
        <v>0</v>
      </c>
      <c r="I120" s="9" t="n">
        <f aca="false">G120+H120</f>
        <v>0</v>
      </c>
      <c r="J120" s="12" t="n">
        <v>14.4884569328024</v>
      </c>
      <c r="K120" s="25" t="n">
        <v>15</v>
      </c>
      <c r="L120" s="24" t="n">
        <v>46313</v>
      </c>
    </row>
    <row r="121" customFormat="false" ht="15" hidden="false" customHeight="false" outlineLevel="0" collapsed="false">
      <c r="A121" s="22" t="s">
        <v>20</v>
      </c>
      <c r="B121" s="22" t="s">
        <v>21</v>
      </c>
      <c r="C121" s="22" t="s">
        <v>142</v>
      </c>
      <c r="D121" s="8" t="n">
        <f aca="false">SUM(E121:H121)</f>
        <v>29.997252</v>
      </c>
      <c r="E121" s="9" t="n">
        <v>29.997252</v>
      </c>
      <c r="F121" s="9" t="n">
        <v>0</v>
      </c>
      <c r="G121" s="9" t="n">
        <v>0</v>
      </c>
      <c r="H121" s="9" t="n">
        <v>0</v>
      </c>
      <c r="I121" s="9" t="n">
        <f aca="false">G121+H121</f>
        <v>0</v>
      </c>
      <c r="J121" s="12" t="n">
        <v>10.4478275210009</v>
      </c>
      <c r="K121" s="25" t="n">
        <v>11</v>
      </c>
      <c r="L121" s="24" t="n">
        <v>46314</v>
      </c>
    </row>
    <row r="122" customFormat="false" ht="15" hidden="false" customHeight="false" outlineLevel="0" collapsed="false">
      <c r="A122" s="22" t="s">
        <v>20</v>
      </c>
      <c r="B122" s="22" t="s">
        <v>21</v>
      </c>
      <c r="C122" s="22" t="s">
        <v>135</v>
      </c>
      <c r="D122" s="8" t="n">
        <f aca="false">SUM(E122:H122)</f>
        <v>23.950528</v>
      </c>
      <c r="E122" s="9" t="n">
        <v>23.950528</v>
      </c>
      <c r="F122" s="9" t="n">
        <v>0</v>
      </c>
      <c r="G122" s="9" t="n">
        <v>0</v>
      </c>
      <c r="H122" s="9" t="n">
        <v>0</v>
      </c>
      <c r="I122" s="9" t="n">
        <f aca="false">G122+H122</f>
        <v>0</v>
      </c>
      <c r="J122" s="12" t="n">
        <v>11</v>
      </c>
      <c r="K122" s="25" t="n">
        <v>11</v>
      </c>
      <c r="L122" s="24" t="n">
        <v>46313</v>
      </c>
    </row>
    <row r="123" customFormat="false" ht="15" hidden="false" customHeight="false" outlineLevel="0" collapsed="false">
      <c r="A123" s="22" t="s">
        <v>20</v>
      </c>
      <c r="B123" s="22" t="s">
        <v>21</v>
      </c>
      <c r="C123" s="22" t="s">
        <v>152</v>
      </c>
      <c r="D123" s="8" t="n">
        <f aca="false">SUM(E123:H123)</f>
        <v>22.5479504</v>
      </c>
      <c r="E123" s="9" t="n">
        <v>0</v>
      </c>
      <c r="F123" s="9" t="n">
        <v>22.5479504</v>
      </c>
      <c r="G123" s="9" t="n">
        <v>0</v>
      </c>
      <c r="H123" s="9" t="n">
        <v>0</v>
      </c>
      <c r="I123" s="9" t="n">
        <f aca="false">G123+H123</f>
        <v>0</v>
      </c>
      <c r="J123" s="12" t="n">
        <v>52.0574965962317</v>
      </c>
      <c r="K123" s="23" t="n">
        <v>53</v>
      </c>
      <c r="L123" s="24" t="n">
        <v>46272</v>
      </c>
    </row>
    <row r="124" customFormat="false" ht="15" hidden="false" customHeight="false" outlineLevel="0" collapsed="false">
      <c r="A124" s="22" t="s">
        <v>20</v>
      </c>
      <c r="B124" s="22" t="s">
        <v>21</v>
      </c>
      <c r="C124" s="22" t="s">
        <v>153</v>
      </c>
      <c r="D124" s="8" t="n">
        <f aca="false">SUM(E124:H124)</f>
        <v>19.777918528</v>
      </c>
      <c r="E124" s="9" t="n">
        <v>19.777918528</v>
      </c>
      <c r="F124" s="9" t="n">
        <v>0</v>
      </c>
      <c r="G124" s="9" t="n">
        <v>0</v>
      </c>
      <c r="H124" s="9" t="n">
        <v>0</v>
      </c>
      <c r="I124" s="9" t="n">
        <f aca="false">G124+H124</f>
        <v>0</v>
      </c>
      <c r="J124" s="12" t="n">
        <v>13</v>
      </c>
      <c r="K124" s="25" t="n">
        <v>13</v>
      </c>
      <c r="L124" s="24" t="n">
        <v>46311</v>
      </c>
    </row>
    <row r="125" customFormat="false" ht="15" hidden="false" customHeight="false" outlineLevel="0" collapsed="false">
      <c r="A125" s="22" t="s">
        <v>20</v>
      </c>
      <c r="B125" s="22" t="s">
        <v>21</v>
      </c>
      <c r="C125" s="22" t="s">
        <v>138</v>
      </c>
      <c r="D125" s="8" t="n">
        <f aca="false">SUM(E125:H125)</f>
        <v>17.4673736</v>
      </c>
      <c r="E125" s="9" t="n">
        <v>17.4673736</v>
      </c>
      <c r="F125" s="9" t="n">
        <v>0</v>
      </c>
      <c r="G125" s="9" t="n">
        <v>0</v>
      </c>
      <c r="H125" s="9" t="n">
        <v>0</v>
      </c>
      <c r="I125" s="9" t="n">
        <f aca="false">G125+H125</f>
        <v>0</v>
      </c>
      <c r="J125" s="12" t="n">
        <v>15.3078737378125</v>
      </c>
      <c r="K125" s="25" t="n">
        <v>16</v>
      </c>
      <c r="L125" s="24" t="n">
        <v>46309</v>
      </c>
    </row>
    <row r="126" customFormat="false" ht="15" hidden="false" customHeight="false" outlineLevel="0" collapsed="false">
      <c r="A126" s="22" t="s">
        <v>20</v>
      </c>
      <c r="B126" s="22" t="s">
        <v>21</v>
      </c>
      <c r="C126" s="22" t="s">
        <v>140</v>
      </c>
      <c r="D126" s="8" t="n">
        <f aca="false">SUM(E126:H126)</f>
        <v>3.5455908</v>
      </c>
      <c r="E126" s="9" t="n">
        <v>0</v>
      </c>
      <c r="F126" s="9" t="n">
        <v>3.5455908</v>
      </c>
      <c r="G126" s="9" t="n">
        <v>0</v>
      </c>
      <c r="H126" s="9" t="n">
        <v>0</v>
      </c>
      <c r="I126" s="9" t="n">
        <f aca="false">G126+H126</f>
        <v>0</v>
      </c>
      <c r="J126" s="12" t="n">
        <v>33</v>
      </c>
      <c r="K126" s="23" t="n">
        <v>33</v>
      </c>
      <c r="L126" s="24" t="n">
        <v>46291</v>
      </c>
    </row>
    <row r="127" customFormat="false" ht="15" hidden="false" customHeight="false" outlineLevel="0" collapsed="false">
      <c r="A127" s="22" t="s">
        <v>20</v>
      </c>
      <c r="B127" s="22" t="s">
        <v>21</v>
      </c>
      <c r="C127" s="22" t="s">
        <v>154</v>
      </c>
      <c r="D127" s="8" t="n">
        <f aca="false">SUM(E127:H127)</f>
        <v>2.153178688</v>
      </c>
      <c r="E127" s="9" t="n">
        <v>0</v>
      </c>
      <c r="F127" s="9" t="n">
        <v>2.153178688</v>
      </c>
      <c r="G127" s="9" t="n">
        <v>0</v>
      </c>
      <c r="H127" s="9" t="n">
        <v>0</v>
      </c>
      <c r="I127" s="9" t="n">
        <f aca="false">G127+H127</f>
        <v>0</v>
      </c>
      <c r="J127" s="12" t="n">
        <v>36</v>
      </c>
      <c r="K127" s="23" t="n">
        <v>36</v>
      </c>
      <c r="L127" s="24" t="n">
        <v>46288</v>
      </c>
    </row>
    <row r="128" customFormat="false" ht="15" hidden="false" customHeight="false" outlineLevel="0" collapsed="false">
      <c r="A128" s="22" t="s">
        <v>20</v>
      </c>
      <c r="B128" s="22" t="s">
        <v>21</v>
      </c>
      <c r="C128" s="22" t="s">
        <v>155</v>
      </c>
      <c r="D128" s="8" t="n">
        <f aca="false">SUM(E128:H128)</f>
        <v>1.29797439999999</v>
      </c>
      <c r="E128" s="9" t="n">
        <v>1.29797439999999</v>
      </c>
      <c r="F128" s="9" t="n">
        <v>0</v>
      </c>
      <c r="G128" s="9" t="n">
        <v>0</v>
      </c>
      <c r="H128" s="9" t="n">
        <v>0</v>
      </c>
      <c r="I128" s="9" t="n">
        <f aca="false">G128+H128</f>
        <v>0</v>
      </c>
      <c r="J128" s="12" t="n">
        <v>27</v>
      </c>
      <c r="K128" s="25" t="n">
        <v>27</v>
      </c>
      <c r="L128" s="24" t="n">
        <v>46297</v>
      </c>
    </row>
    <row r="129" customFormat="false" ht="15" hidden="false" customHeight="false" outlineLevel="0" collapsed="false">
      <c r="A129" s="22" t="s">
        <v>22</v>
      </c>
      <c r="B129" s="22" t="s">
        <v>21</v>
      </c>
      <c r="C129" s="22" t="s">
        <v>156</v>
      </c>
      <c r="D129" s="8" t="n">
        <f aca="false">SUM(E129:H129)</f>
        <v>63.6940375</v>
      </c>
      <c r="E129" s="9" t="n">
        <v>60.7884375</v>
      </c>
      <c r="F129" s="9" t="n">
        <v>2.9056</v>
      </c>
      <c r="G129" s="9" t="n">
        <v>0</v>
      </c>
      <c r="H129" s="9" t="n">
        <v>0</v>
      </c>
      <c r="I129" s="9" t="n">
        <f aca="false">G129+H129</f>
        <v>0</v>
      </c>
      <c r="J129" s="12" t="n">
        <v>29.854741701686</v>
      </c>
      <c r="K129" s="23" t="n">
        <v>31</v>
      </c>
      <c r="L129" s="24" t="n">
        <v>46295</v>
      </c>
    </row>
    <row r="130" customFormat="false" ht="15" hidden="false" customHeight="false" outlineLevel="0" collapsed="false">
      <c r="A130" s="22" t="s">
        <v>22</v>
      </c>
      <c r="B130" s="22" t="s">
        <v>21</v>
      </c>
      <c r="C130" s="22" t="s">
        <v>157</v>
      </c>
      <c r="D130" s="8" t="n">
        <f aca="false">SUM(E130:H130)</f>
        <v>52.94524</v>
      </c>
      <c r="E130" s="9" t="n">
        <v>52.94524</v>
      </c>
      <c r="F130" s="9" t="n">
        <v>0</v>
      </c>
      <c r="G130" s="9" t="n">
        <v>0</v>
      </c>
      <c r="H130" s="9" t="n">
        <v>0</v>
      </c>
      <c r="I130" s="9" t="n">
        <f aca="false">G130+H130</f>
        <v>0</v>
      </c>
      <c r="J130" s="12" t="n">
        <v>18.8316879855488</v>
      </c>
      <c r="K130" s="25" t="n">
        <v>19</v>
      </c>
      <c r="L130" s="24" t="n">
        <v>46306</v>
      </c>
    </row>
    <row r="131" customFormat="false" ht="15" hidden="false" customHeight="false" outlineLevel="0" collapsed="false">
      <c r="A131" s="22" t="s">
        <v>22</v>
      </c>
      <c r="B131" s="22" t="s">
        <v>21</v>
      </c>
      <c r="C131" s="22" t="s">
        <v>136</v>
      </c>
      <c r="D131" s="8" t="n">
        <f aca="false">SUM(E131:H131)</f>
        <v>49.1075198</v>
      </c>
      <c r="E131" s="9" t="n">
        <v>49.1075198</v>
      </c>
      <c r="F131" s="9" t="n">
        <v>0</v>
      </c>
      <c r="G131" s="9" t="n">
        <v>0</v>
      </c>
      <c r="H131" s="9" t="n">
        <v>0</v>
      </c>
      <c r="I131" s="9" t="n">
        <f aca="false">G131+H131</f>
        <v>0</v>
      </c>
      <c r="J131" s="12" t="n">
        <v>22.7046102499357</v>
      </c>
      <c r="K131" s="25" t="n">
        <v>23</v>
      </c>
      <c r="L131" s="24" t="n">
        <v>46303</v>
      </c>
    </row>
    <row r="132" customFormat="false" ht="15" hidden="false" customHeight="false" outlineLevel="0" collapsed="false">
      <c r="A132" s="22" t="s">
        <v>22</v>
      </c>
      <c r="B132" s="22" t="s">
        <v>21</v>
      </c>
      <c r="C132" s="22" t="s">
        <v>138</v>
      </c>
      <c r="D132" s="8" t="n">
        <f aca="false">SUM(E132:H132)</f>
        <v>47.4872576</v>
      </c>
      <c r="E132" s="9" t="n">
        <v>47.4872576</v>
      </c>
      <c r="F132" s="9" t="n">
        <v>0</v>
      </c>
      <c r="G132" s="9" t="n">
        <v>0</v>
      </c>
      <c r="H132" s="9" t="n">
        <v>0</v>
      </c>
      <c r="I132" s="9" t="n">
        <f aca="false">G132+H132</f>
        <v>0</v>
      </c>
      <c r="J132" s="12" t="n">
        <v>9.6673946907391</v>
      </c>
      <c r="K132" s="25" t="n">
        <v>10</v>
      </c>
      <c r="L132" s="24" t="n">
        <v>46315</v>
      </c>
    </row>
    <row r="133" customFormat="false" ht="15" hidden="false" customHeight="false" outlineLevel="0" collapsed="false">
      <c r="A133" s="22" t="s">
        <v>22</v>
      </c>
      <c r="B133" s="22" t="s">
        <v>21</v>
      </c>
      <c r="C133" s="22" t="s">
        <v>129</v>
      </c>
      <c r="D133" s="8" t="n">
        <f aca="false">SUM(E133:H133)</f>
        <v>44.5940144</v>
      </c>
      <c r="E133" s="9" t="n">
        <v>44.5940144</v>
      </c>
      <c r="F133" s="9" t="n">
        <v>0</v>
      </c>
      <c r="G133" s="9" t="n">
        <v>0</v>
      </c>
      <c r="H133" s="9" t="n">
        <v>0</v>
      </c>
      <c r="I133" s="9" t="n">
        <f aca="false">G133+H133</f>
        <v>0</v>
      </c>
      <c r="J133" s="12" t="n">
        <v>29</v>
      </c>
      <c r="K133" s="25" t="n">
        <v>29</v>
      </c>
      <c r="L133" s="24" t="n">
        <v>46295</v>
      </c>
    </row>
    <row r="134" customFormat="false" ht="15" hidden="false" customHeight="false" outlineLevel="0" collapsed="false">
      <c r="A134" s="22" t="s">
        <v>22</v>
      </c>
      <c r="B134" s="22" t="s">
        <v>21</v>
      </c>
      <c r="C134" s="22" t="s">
        <v>137</v>
      </c>
      <c r="D134" s="8" t="n">
        <f aca="false">SUM(E134:H134)</f>
        <v>42.737136</v>
      </c>
      <c r="E134" s="9" t="n">
        <v>42.737136</v>
      </c>
      <c r="F134" s="9" t="n">
        <v>0</v>
      </c>
      <c r="G134" s="9" t="n">
        <v>0</v>
      </c>
      <c r="H134" s="9" t="n">
        <v>0</v>
      </c>
      <c r="I134" s="9" t="n">
        <f aca="false">G134+H134</f>
        <v>0</v>
      </c>
      <c r="J134" s="12" t="n">
        <v>10.4792976300518</v>
      </c>
      <c r="K134" s="25" t="n">
        <v>12</v>
      </c>
      <c r="L134" s="24" t="n">
        <v>46314</v>
      </c>
    </row>
    <row r="135" customFormat="false" ht="15" hidden="false" customHeight="false" outlineLevel="0" collapsed="false">
      <c r="A135" s="22" t="s">
        <v>22</v>
      </c>
      <c r="B135" s="22" t="s">
        <v>21</v>
      </c>
      <c r="C135" s="22" t="s">
        <v>56</v>
      </c>
      <c r="D135" s="8" t="n">
        <f aca="false">SUM(E135:H135)</f>
        <v>42.2617312</v>
      </c>
      <c r="E135" s="9" t="n">
        <v>42.2617312</v>
      </c>
      <c r="F135" s="9" t="n">
        <v>0</v>
      </c>
      <c r="G135" s="9" t="n">
        <v>0</v>
      </c>
      <c r="H135" s="9" t="n">
        <v>0</v>
      </c>
      <c r="I135" s="9" t="n">
        <f aca="false">G135+H135</f>
        <v>0</v>
      </c>
      <c r="J135" s="12" t="n">
        <v>17.3289561408218</v>
      </c>
      <c r="K135" s="25" t="n">
        <v>18</v>
      </c>
      <c r="L135" s="24" t="n">
        <v>46307</v>
      </c>
    </row>
    <row r="136" customFormat="false" ht="15" hidden="false" customHeight="false" outlineLevel="0" collapsed="false">
      <c r="A136" s="22" t="s">
        <v>22</v>
      </c>
      <c r="B136" s="22" t="s">
        <v>21</v>
      </c>
      <c r="C136" s="22" t="s">
        <v>145</v>
      </c>
      <c r="D136" s="8" t="n">
        <f aca="false">SUM(E136:H136)</f>
        <v>40.37355</v>
      </c>
      <c r="E136" s="9" t="n">
        <v>40.37355</v>
      </c>
      <c r="F136" s="9" t="n">
        <v>0</v>
      </c>
      <c r="G136" s="9" t="n">
        <v>0</v>
      </c>
      <c r="H136" s="9" t="n">
        <v>0</v>
      </c>
      <c r="I136" s="9" t="n">
        <f aca="false">G136+H136</f>
        <v>0</v>
      </c>
      <c r="J136" s="12" t="n">
        <v>13.1486697355075</v>
      </c>
      <c r="K136" s="25" t="n">
        <v>14</v>
      </c>
      <c r="L136" s="24" t="n">
        <v>46311</v>
      </c>
    </row>
    <row r="137" customFormat="false" ht="15" hidden="false" customHeight="false" outlineLevel="0" collapsed="false">
      <c r="A137" s="22" t="s">
        <v>22</v>
      </c>
      <c r="B137" s="22" t="s">
        <v>21</v>
      </c>
      <c r="C137" s="22" t="s">
        <v>142</v>
      </c>
      <c r="D137" s="8" t="n">
        <f aca="false">SUM(E137:H137)</f>
        <v>31.238791</v>
      </c>
      <c r="E137" s="9" t="n">
        <v>31.238791</v>
      </c>
      <c r="F137" s="9" t="n">
        <v>0</v>
      </c>
      <c r="G137" s="9" t="n">
        <v>0</v>
      </c>
      <c r="H137" s="9" t="n">
        <v>0</v>
      </c>
      <c r="I137" s="9" t="n">
        <f aca="false">G137+H137</f>
        <v>0</v>
      </c>
      <c r="J137" s="12" t="n">
        <v>8</v>
      </c>
      <c r="K137" s="25" t="n">
        <v>8</v>
      </c>
      <c r="L137" s="24" t="n">
        <v>46316</v>
      </c>
    </row>
    <row r="138" customFormat="false" ht="15" hidden="false" customHeight="false" outlineLevel="0" collapsed="false">
      <c r="A138" s="22" t="s">
        <v>22</v>
      </c>
      <c r="B138" s="22" t="s">
        <v>21</v>
      </c>
      <c r="C138" s="22" t="s">
        <v>80</v>
      </c>
      <c r="D138" s="8" t="n">
        <f aca="false">SUM(E138:H138)</f>
        <v>31.229184</v>
      </c>
      <c r="E138" s="9" t="n">
        <v>31.229184</v>
      </c>
      <c r="F138" s="9" t="n">
        <v>0</v>
      </c>
      <c r="G138" s="9" t="n">
        <v>0</v>
      </c>
      <c r="H138" s="9" t="n">
        <v>0</v>
      </c>
      <c r="I138" s="9" t="n">
        <f aca="false">G138+H138</f>
        <v>0</v>
      </c>
      <c r="J138" s="12" t="n">
        <v>2</v>
      </c>
      <c r="K138" s="25" t="n">
        <v>2</v>
      </c>
      <c r="L138" s="24" t="n">
        <v>46322</v>
      </c>
    </row>
    <row r="139" customFormat="false" ht="15" hidden="false" customHeight="false" outlineLevel="0" collapsed="false">
      <c r="A139" s="22" t="s">
        <v>22</v>
      </c>
      <c r="B139" s="22" t="s">
        <v>21</v>
      </c>
      <c r="C139" s="22" t="s">
        <v>148</v>
      </c>
      <c r="D139" s="8" t="n">
        <f aca="false">SUM(E139:H139)</f>
        <v>30.3663824</v>
      </c>
      <c r="E139" s="9" t="n">
        <v>30.3663824</v>
      </c>
      <c r="F139" s="9" t="n">
        <v>0</v>
      </c>
      <c r="G139" s="9" t="n">
        <v>0</v>
      </c>
      <c r="H139" s="9" t="n">
        <v>0</v>
      </c>
      <c r="I139" s="9" t="n">
        <f aca="false">G139+H139</f>
        <v>0</v>
      </c>
      <c r="J139" s="12" t="n">
        <v>3.36705611663508</v>
      </c>
      <c r="K139" s="25" t="n">
        <v>9</v>
      </c>
      <c r="L139" s="24" t="n">
        <v>46323</v>
      </c>
    </row>
    <row r="140" customFormat="false" ht="15" hidden="false" customHeight="false" outlineLevel="0" collapsed="false">
      <c r="A140" s="22" t="s">
        <v>22</v>
      </c>
      <c r="B140" s="22" t="s">
        <v>21</v>
      </c>
      <c r="C140" s="22" t="s">
        <v>72</v>
      </c>
      <c r="D140" s="8" t="n">
        <f aca="false">SUM(E140:H140)</f>
        <v>26.858584</v>
      </c>
      <c r="E140" s="9" t="n">
        <v>15.192576</v>
      </c>
      <c r="F140" s="9" t="n">
        <v>11.666008</v>
      </c>
      <c r="G140" s="9" t="n">
        <v>0</v>
      </c>
      <c r="H140" s="9" t="n">
        <v>0</v>
      </c>
      <c r="I140" s="9" t="n">
        <f aca="false">G140+H140</f>
        <v>0</v>
      </c>
      <c r="J140" s="12" t="n">
        <v>30.4343493312976</v>
      </c>
      <c r="K140" s="23" t="n">
        <v>31</v>
      </c>
      <c r="L140" s="24" t="n">
        <v>46294</v>
      </c>
    </row>
    <row r="141" customFormat="false" ht="15" hidden="false" customHeight="false" outlineLevel="0" collapsed="false">
      <c r="A141" s="22" t="s">
        <v>22</v>
      </c>
      <c r="B141" s="22" t="s">
        <v>21</v>
      </c>
      <c r="C141" s="22" t="s">
        <v>149</v>
      </c>
      <c r="D141" s="8" t="n">
        <f aca="false">SUM(E141:H141)</f>
        <v>24.8301344</v>
      </c>
      <c r="E141" s="9" t="n">
        <v>24.8301344</v>
      </c>
      <c r="F141" s="9" t="n">
        <v>0</v>
      </c>
      <c r="G141" s="9" t="n">
        <v>0</v>
      </c>
      <c r="H141" s="9" t="n">
        <v>0</v>
      </c>
      <c r="I141" s="9" t="n">
        <f aca="false">G141+H141</f>
        <v>0</v>
      </c>
      <c r="J141" s="12" t="n">
        <v>17</v>
      </c>
      <c r="K141" s="25" t="n">
        <v>17</v>
      </c>
      <c r="L141" s="24" t="n">
        <v>46307</v>
      </c>
    </row>
    <row r="142" customFormat="false" ht="15" hidden="false" customHeight="false" outlineLevel="0" collapsed="false">
      <c r="A142" s="22" t="s">
        <v>22</v>
      </c>
      <c r="B142" s="22" t="s">
        <v>21</v>
      </c>
      <c r="C142" s="22" t="s">
        <v>132</v>
      </c>
      <c r="D142" s="8" t="n">
        <f aca="false">SUM(E142:H142)</f>
        <v>23.668175</v>
      </c>
      <c r="E142" s="9" t="n">
        <v>23.668175</v>
      </c>
      <c r="F142" s="9" t="n">
        <v>0</v>
      </c>
      <c r="G142" s="9" t="n">
        <v>0</v>
      </c>
      <c r="H142" s="9" t="n">
        <v>0</v>
      </c>
      <c r="I142" s="9" t="n">
        <f aca="false">G142+H142</f>
        <v>0</v>
      </c>
      <c r="J142" s="12" t="n">
        <v>23.3978217585429</v>
      </c>
      <c r="K142" s="25" t="n">
        <v>24</v>
      </c>
      <c r="L142" s="24" t="n">
        <v>46301</v>
      </c>
    </row>
    <row r="143" customFormat="false" ht="15" hidden="false" customHeight="false" outlineLevel="0" collapsed="false">
      <c r="A143" s="22" t="s">
        <v>22</v>
      </c>
      <c r="B143" s="22" t="s">
        <v>21</v>
      </c>
      <c r="C143" s="22" t="s">
        <v>146</v>
      </c>
      <c r="D143" s="8" t="n">
        <f aca="false">SUM(E143:H143)</f>
        <v>20.1925496</v>
      </c>
      <c r="E143" s="9" t="n">
        <v>20.1925496</v>
      </c>
      <c r="F143" s="9" t="n">
        <v>0</v>
      </c>
      <c r="G143" s="9" t="n">
        <v>0</v>
      </c>
      <c r="H143" s="9" t="n">
        <v>0</v>
      </c>
      <c r="I143" s="9" t="n">
        <f aca="false">G143+H143</f>
        <v>0</v>
      </c>
      <c r="J143" s="12" t="n">
        <v>20.3453203551869</v>
      </c>
      <c r="K143" s="25" t="n">
        <v>21</v>
      </c>
      <c r="L143" s="24" t="n">
        <v>46304</v>
      </c>
    </row>
    <row r="144" customFormat="false" ht="15" hidden="false" customHeight="false" outlineLevel="0" collapsed="false">
      <c r="A144" s="22" t="s">
        <v>22</v>
      </c>
      <c r="B144" s="22" t="s">
        <v>21</v>
      </c>
      <c r="C144" s="22" t="s">
        <v>147</v>
      </c>
      <c r="D144" s="8" t="n">
        <f aca="false">SUM(E144:H144)</f>
        <v>20.16135</v>
      </c>
      <c r="E144" s="9" t="n">
        <v>20.13525</v>
      </c>
      <c r="F144" s="9" t="n">
        <v>0.026099999999996</v>
      </c>
      <c r="G144" s="9" t="n">
        <v>0</v>
      </c>
      <c r="H144" s="9" t="n">
        <v>0</v>
      </c>
      <c r="I144" s="9" t="n">
        <f aca="false">G144+H144</f>
        <v>0</v>
      </c>
      <c r="J144" s="12" t="n">
        <v>3.07378970158247</v>
      </c>
      <c r="K144" s="23" t="n">
        <v>60</v>
      </c>
      <c r="L144" s="24" t="n">
        <v>46321</v>
      </c>
    </row>
    <row r="145" customFormat="false" ht="15" hidden="false" customHeight="false" outlineLevel="0" collapsed="false">
      <c r="A145" s="22" t="s">
        <v>22</v>
      </c>
      <c r="B145" s="22" t="s">
        <v>21</v>
      </c>
      <c r="C145" s="22" t="s">
        <v>57</v>
      </c>
      <c r="D145" s="8" t="n">
        <f aca="false">SUM(E145:H145)</f>
        <v>17.724625</v>
      </c>
      <c r="E145" s="9" t="n">
        <v>17.724625</v>
      </c>
      <c r="F145" s="9" t="n">
        <v>0</v>
      </c>
      <c r="G145" s="9" t="n">
        <v>0</v>
      </c>
      <c r="H145" s="9" t="n">
        <v>0</v>
      </c>
      <c r="I145" s="9" t="n">
        <f aca="false">G145+H145</f>
        <v>0</v>
      </c>
      <c r="J145" s="12" t="n">
        <v>23</v>
      </c>
      <c r="K145" s="25" t="n">
        <v>23</v>
      </c>
      <c r="L145" s="24" t="n">
        <v>46301</v>
      </c>
    </row>
    <row r="146" customFormat="false" ht="15" hidden="false" customHeight="false" outlineLevel="0" collapsed="false">
      <c r="A146" s="22" t="s">
        <v>22</v>
      </c>
      <c r="B146" s="22" t="s">
        <v>21</v>
      </c>
      <c r="C146" s="22" t="s">
        <v>158</v>
      </c>
      <c r="D146" s="8" t="n">
        <f aca="false">SUM(E146:H146)</f>
        <v>15.92302</v>
      </c>
      <c r="E146" s="9" t="n">
        <v>15.92302</v>
      </c>
      <c r="F146" s="9" t="n">
        <v>0</v>
      </c>
      <c r="G146" s="9" t="n">
        <v>0</v>
      </c>
      <c r="H146" s="9" t="n">
        <v>0</v>
      </c>
      <c r="I146" s="9" t="n">
        <f aca="false">G146+H146</f>
        <v>0</v>
      </c>
      <c r="J146" s="12" t="n">
        <v>29.2492642727322</v>
      </c>
      <c r="K146" s="25" t="n">
        <v>30</v>
      </c>
      <c r="L146" s="24" t="n">
        <v>46295</v>
      </c>
    </row>
    <row r="147" customFormat="false" ht="15" hidden="false" customHeight="false" outlineLevel="0" collapsed="false">
      <c r="A147" s="22" t="s">
        <v>22</v>
      </c>
      <c r="B147" s="22" t="s">
        <v>21</v>
      </c>
      <c r="C147" s="22" t="s">
        <v>47</v>
      </c>
      <c r="D147" s="8" t="n">
        <f aca="false">SUM(E147:H147)</f>
        <v>15.284016</v>
      </c>
      <c r="E147" s="9" t="n">
        <v>15.284016</v>
      </c>
      <c r="F147" s="9" t="n">
        <v>0</v>
      </c>
      <c r="G147" s="9" t="n">
        <v>0</v>
      </c>
      <c r="H147" s="9" t="n">
        <v>0</v>
      </c>
      <c r="I147" s="9" t="n">
        <f aca="false">G147+H147</f>
        <v>0</v>
      </c>
      <c r="J147" s="12" t="n">
        <v>24</v>
      </c>
      <c r="K147" s="25" t="n">
        <v>24</v>
      </c>
      <c r="L147" s="24" t="n">
        <v>46300</v>
      </c>
    </row>
    <row r="148" customFormat="false" ht="15" hidden="false" customHeight="false" outlineLevel="0" collapsed="false">
      <c r="A148" s="22" t="s">
        <v>22</v>
      </c>
      <c r="B148" s="22" t="s">
        <v>21</v>
      </c>
      <c r="C148" s="22" t="s">
        <v>104</v>
      </c>
      <c r="D148" s="8" t="n">
        <f aca="false">SUM(E148:H148)</f>
        <v>12.4839375</v>
      </c>
      <c r="E148" s="9" t="n">
        <v>0</v>
      </c>
      <c r="F148" s="9" t="n">
        <v>12.4839375</v>
      </c>
      <c r="G148" s="9" t="n">
        <v>0</v>
      </c>
      <c r="H148" s="9" t="n">
        <v>0</v>
      </c>
      <c r="I148" s="9" t="n">
        <f aca="false">G148+H148</f>
        <v>0</v>
      </c>
      <c r="J148" s="12" t="n">
        <v>32.6863820008711</v>
      </c>
      <c r="K148" s="23" t="n">
        <v>33</v>
      </c>
      <c r="L148" s="24" t="n">
        <v>46292</v>
      </c>
    </row>
    <row r="149" customFormat="false" ht="15" hidden="false" customHeight="false" outlineLevel="0" collapsed="false">
      <c r="A149" s="22" t="s">
        <v>22</v>
      </c>
      <c r="B149" s="22" t="s">
        <v>21</v>
      </c>
      <c r="C149" s="22" t="s">
        <v>159</v>
      </c>
      <c r="D149" s="8" t="n">
        <f aca="false">SUM(E149:H149)</f>
        <v>9.36337599999999</v>
      </c>
      <c r="E149" s="9" t="n">
        <v>0</v>
      </c>
      <c r="F149" s="9" t="n">
        <v>9.36337599999999</v>
      </c>
      <c r="G149" s="9" t="n">
        <v>0</v>
      </c>
      <c r="H149" s="9" t="n">
        <v>0</v>
      </c>
      <c r="I149" s="9" t="n">
        <f aca="false">G149+H149</f>
        <v>0</v>
      </c>
      <c r="J149" s="12" t="n">
        <v>32</v>
      </c>
      <c r="K149" s="23" t="n">
        <v>32</v>
      </c>
      <c r="L149" s="24" t="n">
        <v>46292</v>
      </c>
    </row>
    <row r="150" customFormat="false" ht="15" hidden="false" customHeight="false" outlineLevel="0" collapsed="false">
      <c r="A150" s="22" t="s">
        <v>22</v>
      </c>
      <c r="B150" s="22" t="s">
        <v>21</v>
      </c>
      <c r="C150" s="22" t="s">
        <v>160</v>
      </c>
      <c r="D150" s="8" t="n">
        <f aca="false">SUM(E150:H150)</f>
        <v>8.8077</v>
      </c>
      <c r="E150" s="9" t="n">
        <v>8.8077</v>
      </c>
      <c r="F150" s="9" t="n">
        <v>0</v>
      </c>
      <c r="G150" s="9" t="n">
        <v>0</v>
      </c>
      <c r="H150" s="9" t="n">
        <v>0</v>
      </c>
      <c r="I150" s="9" t="n">
        <f aca="false">G150+H150</f>
        <v>0</v>
      </c>
      <c r="J150" s="12" t="n">
        <v>2</v>
      </c>
      <c r="K150" s="25" t="n">
        <v>2</v>
      </c>
      <c r="L150" s="24" t="n">
        <v>46322</v>
      </c>
    </row>
    <row r="151" customFormat="false" ht="15" hidden="false" customHeight="false" outlineLevel="0" collapsed="false">
      <c r="A151" s="22" t="s">
        <v>22</v>
      </c>
      <c r="B151" s="22" t="s">
        <v>21</v>
      </c>
      <c r="C151" s="22" t="s">
        <v>161</v>
      </c>
      <c r="D151" s="8" t="n">
        <f aca="false">SUM(E151:H151)</f>
        <v>8.564212</v>
      </c>
      <c r="E151" s="9" t="n">
        <v>0</v>
      </c>
      <c r="F151" s="9" t="n">
        <v>8.564212</v>
      </c>
      <c r="G151" s="9" t="n">
        <v>0</v>
      </c>
      <c r="H151" s="9" t="n">
        <v>0</v>
      </c>
      <c r="I151" s="9" t="n">
        <f aca="false">G151+H151</f>
        <v>0</v>
      </c>
      <c r="J151" s="12" t="n">
        <v>34</v>
      </c>
      <c r="K151" s="23" t="n">
        <v>34</v>
      </c>
      <c r="L151" s="24" t="n">
        <v>46290</v>
      </c>
    </row>
    <row r="152" customFormat="false" ht="15" hidden="false" customHeight="false" outlineLevel="0" collapsed="false">
      <c r="A152" s="22" t="s">
        <v>22</v>
      </c>
      <c r="B152" s="22" t="s">
        <v>21</v>
      </c>
      <c r="C152" s="22" t="s">
        <v>162</v>
      </c>
      <c r="D152" s="8" t="n">
        <f aca="false">SUM(E152:H152)</f>
        <v>6.94151360000002</v>
      </c>
      <c r="E152" s="9" t="n">
        <v>6.94151360000002</v>
      </c>
      <c r="F152" s="9" t="n">
        <v>0</v>
      </c>
      <c r="G152" s="9" t="n">
        <v>0</v>
      </c>
      <c r="H152" s="9" t="n">
        <v>0</v>
      </c>
      <c r="I152" s="9" t="n">
        <f aca="false">G152+H152</f>
        <v>0</v>
      </c>
      <c r="J152" s="12" t="n">
        <v>3</v>
      </c>
      <c r="K152" s="25" t="n">
        <v>3</v>
      </c>
      <c r="L152" s="24" t="n">
        <v>46321</v>
      </c>
    </row>
    <row r="153" customFormat="false" ht="15" hidden="false" customHeight="false" outlineLevel="0" collapsed="false">
      <c r="A153" s="22" t="s">
        <v>22</v>
      </c>
      <c r="B153" s="22" t="s">
        <v>21</v>
      </c>
      <c r="C153" s="22" t="s">
        <v>144</v>
      </c>
      <c r="D153" s="8" t="n">
        <f aca="false">SUM(E153:H153)</f>
        <v>6.40176960000001</v>
      </c>
      <c r="E153" s="9" t="n">
        <v>6.40176960000001</v>
      </c>
      <c r="F153" s="9" t="n">
        <v>0</v>
      </c>
      <c r="G153" s="9" t="n">
        <v>0</v>
      </c>
      <c r="H153" s="9" t="n">
        <v>0</v>
      </c>
      <c r="I153" s="9" t="n">
        <f aca="false">G153+H153</f>
        <v>0</v>
      </c>
      <c r="J153" s="12" t="n">
        <v>9</v>
      </c>
      <c r="K153" s="25" t="n">
        <v>9</v>
      </c>
      <c r="L153" s="24" t="n">
        <v>46315</v>
      </c>
    </row>
    <row r="154" customFormat="false" ht="15" hidden="false" customHeight="false" outlineLevel="0" collapsed="false">
      <c r="A154" s="22" t="s">
        <v>22</v>
      </c>
      <c r="B154" s="22" t="s">
        <v>21</v>
      </c>
      <c r="C154" s="22" t="s">
        <v>128</v>
      </c>
      <c r="D154" s="8" t="n">
        <f aca="false">SUM(E154:H154)</f>
        <v>5.50399000000002</v>
      </c>
      <c r="E154" s="9" t="n">
        <v>5.50399000000002</v>
      </c>
      <c r="F154" s="9" t="n">
        <v>0</v>
      </c>
      <c r="G154" s="9" t="n">
        <v>0</v>
      </c>
      <c r="H154" s="9" t="n">
        <v>0</v>
      </c>
      <c r="I154" s="9" t="n">
        <f aca="false">G154+H154</f>
        <v>0</v>
      </c>
      <c r="J154" s="12" t="n">
        <v>27</v>
      </c>
      <c r="K154" s="25" t="n">
        <v>27</v>
      </c>
      <c r="L154" s="24" t="n">
        <v>46297</v>
      </c>
    </row>
    <row r="155" customFormat="false" ht="15" hidden="false" customHeight="false" outlineLevel="0" collapsed="false">
      <c r="A155" s="22" t="s">
        <v>22</v>
      </c>
      <c r="B155" s="22" t="s">
        <v>21</v>
      </c>
      <c r="C155" s="22" t="s">
        <v>163</v>
      </c>
      <c r="D155" s="8" t="n">
        <f aca="false">SUM(E155:H155)</f>
        <v>5.0504</v>
      </c>
      <c r="E155" s="9" t="n">
        <v>5.0504</v>
      </c>
      <c r="F155" s="9" t="n">
        <v>0</v>
      </c>
      <c r="G155" s="9" t="n">
        <v>0</v>
      </c>
      <c r="H155" s="9" t="n">
        <v>0</v>
      </c>
      <c r="I155" s="9" t="n">
        <f aca="false">G155+H155</f>
        <v>0</v>
      </c>
      <c r="J155" s="12" t="n">
        <v>3</v>
      </c>
      <c r="K155" s="25" t="n">
        <v>3</v>
      </c>
      <c r="L155" s="24" t="n">
        <v>46321</v>
      </c>
    </row>
    <row r="156" customFormat="false" ht="15" hidden="false" customHeight="false" outlineLevel="0" collapsed="false">
      <c r="A156" s="22" t="s">
        <v>22</v>
      </c>
      <c r="B156" s="22" t="s">
        <v>21</v>
      </c>
      <c r="C156" s="22" t="s">
        <v>61</v>
      </c>
      <c r="D156" s="8" t="n">
        <f aca="false">SUM(E156:H156)</f>
        <v>4.920268</v>
      </c>
      <c r="E156" s="9" t="n">
        <v>4.920268</v>
      </c>
      <c r="F156" s="9" t="n">
        <v>0</v>
      </c>
      <c r="G156" s="9" t="n">
        <v>0</v>
      </c>
      <c r="H156" s="9" t="n">
        <v>0</v>
      </c>
      <c r="I156" s="9" t="n">
        <f aca="false">G156+H156</f>
        <v>0</v>
      </c>
      <c r="J156" s="12" t="n">
        <v>21</v>
      </c>
      <c r="K156" s="25" t="n">
        <v>21</v>
      </c>
      <c r="L156" s="24" t="n">
        <v>46303</v>
      </c>
    </row>
    <row r="157" customFormat="false" ht="15" hidden="false" customHeight="false" outlineLevel="0" collapsed="false">
      <c r="A157" s="22" t="s">
        <v>22</v>
      </c>
      <c r="B157" s="22" t="s">
        <v>21</v>
      </c>
      <c r="C157" s="22" t="s">
        <v>91</v>
      </c>
      <c r="D157" s="8" t="n">
        <f aca="false">SUM(E157:H157)</f>
        <v>4.5791184</v>
      </c>
      <c r="E157" s="9" t="n">
        <v>0</v>
      </c>
      <c r="F157" s="9" t="n">
        <v>4.5791184</v>
      </c>
      <c r="G157" s="9" t="n">
        <v>0</v>
      </c>
      <c r="H157" s="9" t="n">
        <v>0</v>
      </c>
      <c r="I157" s="9" t="n">
        <f aca="false">G157+H157</f>
        <v>0</v>
      </c>
      <c r="J157" s="12" t="n">
        <v>35</v>
      </c>
      <c r="K157" s="23" t="n">
        <v>35</v>
      </c>
      <c r="L157" s="24" t="n">
        <v>46289</v>
      </c>
    </row>
    <row r="158" customFormat="false" ht="15" hidden="false" customHeight="false" outlineLevel="0" collapsed="false">
      <c r="A158" s="22" t="s">
        <v>22</v>
      </c>
      <c r="B158" s="22" t="s">
        <v>21</v>
      </c>
      <c r="C158" s="22" t="s">
        <v>127</v>
      </c>
      <c r="D158" s="8" t="n">
        <f aca="false">SUM(E158:H158)</f>
        <v>4.494248</v>
      </c>
      <c r="E158" s="9" t="n">
        <v>0</v>
      </c>
      <c r="F158" s="9" t="n">
        <v>0</v>
      </c>
      <c r="G158" s="9" t="n">
        <v>4.494248</v>
      </c>
      <c r="H158" s="9" t="n">
        <v>0</v>
      </c>
      <c r="I158" s="26" t="n">
        <f aca="false">G158+H158</f>
        <v>4.494248</v>
      </c>
      <c r="J158" s="12" t="n">
        <v>63</v>
      </c>
      <c r="K158" s="28" t="n">
        <v>63</v>
      </c>
      <c r="L158" s="24" t="n">
        <v>46261</v>
      </c>
    </row>
    <row r="159" customFormat="false" ht="15" hidden="false" customHeight="false" outlineLevel="0" collapsed="false">
      <c r="A159" s="22" t="s">
        <v>22</v>
      </c>
      <c r="B159" s="22" t="s">
        <v>21</v>
      </c>
      <c r="C159" s="22" t="s">
        <v>164</v>
      </c>
      <c r="D159" s="8" t="n">
        <f aca="false">SUM(E159:H159)</f>
        <v>3.9753</v>
      </c>
      <c r="E159" s="9" t="n">
        <v>0</v>
      </c>
      <c r="F159" s="9" t="n">
        <v>3.9753</v>
      </c>
      <c r="G159" s="9" t="n">
        <v>0</v>
      </c>
      <c r="H159" s="9" t="n">
        <v>0</v>
      </c>
      <c r="I159" s="9" t="n">
        <f aca="false">G159+H159</f>
        <v>0</v>
      </c>
      <c r="J159" s="12" t="n">
        <v>37</v>
      </c>
      <c r="K159" s="23" t="n">
        <v>37</v>
      </c>
      <c r="L159" s="24" t="n">
        <v>46287</v>
      </c>
    </row>
    <row r="160" customFormat="false" ht="15" hidden="false" customHeight="false" outlineLevel="0" collapsed="false">
      <c r="A160" s="22" t="s">
        <v>22</v>
      </c>
      <c r="B160" s="22" t="s">
        <v>21</v>
      </c>
      <c r="C160" s="22" t="s">
        <v>165</v>
      </c>
      <c r="D160" s="8" t="n">
        <f aca="false">SUM(E160:H160)</f>
        <v>3.8724</v>
      </c>
      <c r="E160" s="9" t="n">
        <v>3.8724</v>
      </c>
      <c r="F160" s="9" t="n">
        <v>0</v>
      </c>
      <c r="G160" s="9" t="n">
        <v>0</v>
      </c>
      <c r="H160" s="9" t="n">
        <v>0</v>
      </c>
      <c r="I160" s="9" t="n">
        <f aca="false">G160+H160</f>
        <v>0</v>
      </c>
      <c r="J160" s="12" t="n">
        <v>27</v>
      </c>
      <c r="K160" s="25" t="n">
        <v>27</v>
      </c>
      <c r="L160" s="24" t="n">
        <v>46297</v>
      </c>
    </row>
    <row r="161" customFormat="false" ht="15" hidden="false" customHeight="false" outlineLevel="0" collapsed="false">
      <c r="A161" s="22" t="s">
        <v>22</v>
      </c>
      <c r="B161" s="22" t="s">
        <v>21</v>
      </c>
      <c r="C161" s="22" t="s">
        <v>166</v>
      </c>
      <c r="D161" s="8" t="n">
        <f aca="false">SUM(E161:H161)</f>
        <v>3.413064</v>
      </c>
      <c r="E161" s="9" t="n">
        <v>0</v>
      </c>
      <c r="F161" s="9" t="n">
        <v>3.413064</v>
      </c>
      <c r="G161" s="9" t="n">
        <v>0</v>
      </c>
      <c r="H161" s="9" t="n">
        <v>0</v>
      </c>
      <c r="I161" s="9" t="n">
        <f aca="false">G161+H161</f>
        <v>0</v>
      </c>
      <c r="J161" s="12" t="n">
        <v>34</v>
      </c>
      <c r="K161" s="23" t="n">
        <v>34</v>
      </c>
      <c r="L161" s="24" t="n">
        <v>46290</v>
      </c>
    </row>
    <row r="162" customFormat="false" ht="15" hidden="false" customHeight="false" outlineLevel="0" collapsed="false">
      <c r="A162" s="22" t="s">
        <v>22</v>
      </c>
      <c r="B162" s="22" t="s">
        <v>21</v>
      </c>
      <c r="C162" s="22" t="s">
        <v>167</v>
      </c>
      <c r="D162" s="8" t="n">
        <f aca="false">SUM(E162:H162)</f>
        <v>3.092136</v>
      </c>
      <c r="E162" s="9" t="n">
        <v>0</v>
      </c>
      <c r="F162" s="9" t="n">
        <v>3.092136</v>
      </c>
      <c r="G162" s="9" t="n">
        <v>0</v>
      </c>
      <c r="H162" s="9" t="n">
        <v>0</v>
      </c>
      <c r="I162" s="9" t="n">
        <f aca="false">G162+H162</f>
        <v>0</v>
      </c>
      <c r="J162" s="12" t="n">
        <v>38</v>
      </c>
      <c r="K162" s="23" t="n">
        <v>38</v>
      </c>
      <c r="L162" s="24" t="n">
        <v>46286</v>
      </c>
    </row>
    <row r="163" customFormat="false" ht="15" hidden="false" customHeight="false" outlineLevel="0" collapsed="false">
      <c r="A163" s="22" t="s">
        <v>22</v>
      </c>
      <c r="B163" s="22" t="s">
        <v>21</v>
      </c>
      <c r="C163" s="22" t="s">
        <v>168</v>
      </c>
      <c r="D163" s="8" t="n">
        <f aca="false">SUM(E163:H163)</f>
        <v>2.66855360000001</v>
      </c>
      <c r="E163" s="9" t="n">
        <v>2.66855360000001</v>
      </c>
      <c r="F163" s="9" t="n">
        <v>0</v>
      </c>
      <c r="G163" s="9" t="n">
        <v>0</v>
      </c>
      <c r="H163" s="9" t="n">
        <v>0</v>
      </c>
      <c r="I163" s="9" t="n">
        <f aca="false">G163+H163</f>
        <v>0</v>
      </c>
      <c r="J163" s="12" t="n">
        <v>15</v>
      </c>
      <c r="K163" s="25" t="n">
        <v>15</v>
      </c>
      <c r="L163" s="24" t="n">
        <v>46309</v>
      </c>
    </row>
    <row r="164" customFormat="false" ht="15" hidden="false" customHeight="false" outlineLevel="0" collapsed="false">
      <c r="A164" s="22" t="s">
        <v>22</v>
      </c>
      <c r="B164" s="22" t="s">
        <v>21</v>
      </c>
      <c r="C164" s="22" t="s">
        <v>130</v>
      </c>
      <c r="D164" s="8" t="n">
        <f aca="false">SUM(E164:H164)</f>
        <v>2.47299039999999</v>
      </c>
      <c r="E164" s="9" t="n">
        <v>2.47299039999999</v>
      </c>
      <c r="F164" s="9" t="n">
        <v>0</v>
      </c>
      <c r="G164" s="9" t="n">
        <v>0</v>
      </c>
      <c r="H164" s="9" t="n">
        <v>0</v>
      </c>
      <c r="I164" s="9" t="n">
        <f aca="false">G164+H164</f>
        <v>0</v>
      </c>
      <c r="J164" s="12" t="n">
        <v>29</v>
      </c>
      <c r="K164" s="25" t="n">
        <v>29</v>
      </c>
      <c r="L164" s="24" t="n">
        <v>46295</v>
      </c>
    </row>
    <row r="165" customFormat="false" ht="15" hidden="false" customHeight="false" outlineLevel="0" collapsed="false">
      <c r="A165" s="22" t="s">
        <v>22</v>
      </c>
      <c r="B165" s="22" t="s">
        <v>21</v>
      </c>
      <c r="C165" s="22" t="s">
        <v>46</v>
      </c>
      <c r="D165" s="8" t="n">
        <f aca="false">SUM(E165:H165)</f>
        <v>2.08072</v>
      </c>
      <c r="E165" s="9" t="n">
        <v>2.08072</v>
      </c>
      <c r="F165" s="9" t="n">
        <v>0</v>
      </c>
      <c r="G165" s="9" t="n">
        <v>0</v>
      </c>
      <c r="H165" s="9" t="n">
        <v>0</v>
      </c>
      <c r="I165" s="9" t="n">
        <f aca="false">G165+H165</f>
        <v>0</v>
      </c>
      <c r="J165" s="12" t="n">
        <v>28</v>
      </c>
      <c r="K165" s="25" t="n">
        <v>28</v>
      </c>
      <c r="L165" s="24" t="n">
        <v>46296</v>
      </c>
    </row>
    <row r="166" customFormat="false" ht="15" hidden="false" customHeight="false" outlineLevel="0" collapsed="false">
      <c r="A166" s="22" t="s">
        <v>22</v>
      </c>
      <c r="B166" s="22" t="s">
        <v>21</v>
      </c>
      <c r="C166" s="22" t="s">
        <v>169</v>
      </c>
      <c r="D166" s="8" t="n">
        <f aca="false">SUM(E166:H166)</f>
        <v>1.0383108</v>
      </c>
      <c r="E166" s="9" t="n">
        <v>0</v>
      </c>
      <c r="F166" s="9" t="n">
        <v>1.0383108</v>
      </c>
      <c r="G166" s="9" t="n">
        <v>0</v>
      </c>
      <c r="H166" s="9" t="n">
        <v>0</v>
      </c>
      <c r="I166" s="9" t="n">
        <f aca="false">G166+H166</f>
        <v>0</v>
      </c>
      <c r="J166" s="12" t="n">
        <v>36</v>
      </c>
      <c r="K166" s="23" t="n">
        <v>36</v>
      </c>
      <c r="L166" s="24" t="n">
        <v>46288</v>
      </c>
    </row>
    <row r="167" customFormat="false" ht="15" hidden="false" customHeight="false" outlineLevel="0" collapsed="false">
      <c r="A167" s="22" t="s">
        <v>22</v>
      </c>
      <c r="B167" s="22" t="s">
        <v>21</v>
      </c>
      <c r="C167" s="22" t="s">
        <v>170</v>
      </c>
      <c r="D167" s="8" t="n">
        <f aca="false">SUM(E167:H167)</f>
        <v>0.722176000000005</v>
      </c>
      <c r="E167" s="9" t="n">
        <v>0</v>
      </c>
      <c r="F167" s="9" t="n">
        <v>0.722176000000005</v>
      </c>
      <c r="G167" s="9" t="n">
        <v>0</v>
      </c>
      <c r="H167" s="9" t="n">
        <v>0</v>
      </c>
      <c r="I167" s="9" t="n">
        <f aca="false">G167+H167</f>
        <v>0</v>
      </c>
      <c r="J167" s="12" t="n">
        <v>35</v>
      </c>
      <c r="K167" s="23" t="n">
        <v>35</v>
      </c>
      <c r="L167" s="24" t="n">
        <v>46289</v>
      </c>
    </row>
    <row r="168" customFormat="false" ht="15" hidden="false" customHeight="false" outlineLevel="0" collapsed="false">
      <c r="A168" s="22" t="s">
        <v>22</v>
      </c>
      <c r="B168" s="22" t="s">
        <v>21</v>
      </c>
      <c r="C168" s="22" t="s">
        <v>150</v>
      </c>
      <c r="D168" s="8" t="n">
        <f aca="false">SUM(E168:H168)</f>
        <v>0.715932499999995</v>
      </c>
      <c r="E168" s="9" t="n">
        <v>0.715932499999995</v>
      </c>
      <c r="F168" s="9" t="n">
        <v>0</v>
      </c>
      <c r="G168" s="9" t="n">
        <v>0</v>
      </c>
      <c r="H168" s="9" t="n">
        <v>0</v>
      </c>
      <c r="I168" s="9" t="n">
        <f aca="false">G168+H168</f>
        <v>0</v>
      </c>
      <c r="J168" s="12" t="n">
        <v>17</v>
      </c>
      <c r="K168" s="25" t="n">
        <v>17</v>
      </c>
      <c r="L168" s="24" t="n">
        <v>46307</v>
      </c>
    </row>
    <row r="169" customFormat="false" ht="15" hidden="false" customHeight="false" outlineLevel="0" collapsed="false">
      <c r="A169" s="22" t="s">
        <v>22</v>
      </c>
      <c r="B169" s="22" t="s">
        <v>21</v>
      </c>
      <c r="C169" s="22" t="s">
        <v>75</v>
      </c>
      <c r="D169" s="8" t="n">
        <f aca="false">SUM(E169:H169)</f>
        <v>0.152975000000001</v>
      </c>
      <c r="E169" s="9" t="n">
        <v>0.152975000000001</v>
      </c>
      <c r="F169" s="9" t="n">
        <v>0</v>
      </c>
      <c r="G169" s="9" t="n">
        <v>0</v>
      </c>
      <c r="H169" s="9" t="n">
        <v>0</v>
      </c>
      <c r="I169" s="9" t="n">
        <f aca="false">G169+H169</f>
        <v>0</v>
      </c>
      <c r="J169" s="12" t="n">
        <v>27</v>
      </c>
      <c r="K169" s="25" t="n">
        <v>27</v>
      </c>
      <c r="L169" s="24" t="n">
        <v>46297</v>
      </c>
    </row>
    <row r="170" customFormat="false" ht="15" hidden="false" customHeight="false" outlineLevel="0" collapsed="false">
      <c r="A170" s="22" t="s">
        <v>22</v>
      </c>
      <c r="B170" s="22" t="s">
        <v>21</v>
      </c>
      <c r="C170" s="22" t="s">
        <v>141</v>
      </c>
      <c r="D170" s="8" t="n">
        <f aca="false">SUM(E170:H170)</f>
        <v>0.111864</v>
      </c>
      <c r="E170" s="9" t="n">
        <v>0</v>
      </c>
      <c r="F170" s="9" t="n">
        <v>0.111864</v>
      </c>
      <c r="G170" s="9" t="n">
        <v>0</v>
      </c>
      <c r="H170" s="9" t="n">
        <v>0</v>
      </c>
      <c r="I170" s="9" t="n">
        <f aca="false">G170+H170</f>
        <v>0</v>
      </c>
      <c r="J170" s="12" t="n">
        <v>40</v>
      </c>
      <c r="K170" s="23" t="n">
        <v>40</v>
      </c>
      <c r="L170" s="24" t="n">
        <v>46284</v>
      </c>
    </row>
    <row r="171" customFormat="false" ht="15" hidden="false" customHeight="false" outlineLevel="0" collapsed="false">
      <c r="A171" s="22" t="s">
        <v>22</v>
      </c>
      <c r="B171" s="22" t="s">
        <v>21</v>
      </c>
      <c r="C171" s="22" t="s">
        <v>143</v>
      </c>
      <c r="D171" s="8" t="n">
        <f aca="false">SUM(E171:H171)</f>
        <v>0.0868599999999997</v>
      </c>
      <c r="E171" s="9" t="n">
        <v>0</v>
      </c>
      <c r="F171" s="9" t="n">
        <v>0.0868599999999997</v>
      </c>
      <c r="G171" s="9" t="n">
        <v>0</v>
      </c>
      <c r="H171" s="9" t="n">
        <v>0</v>
      </c>
      <c r="I171" s="9" t="n">
        <f aca="false">G171+H171</f>
        <v>0</v>
      </c>
      <c r="J171" s="12" t="n">
        <v>40</v>
      </c>
      <c r="K171" s="23" t="n">
        <v>40</v>
      </c>
      <c r="L171" s="24" t="n">
        <v>46284</v>
      </c>
    </row>
    <row r="172" customFormat="false" ht="15" hidden="false" customHeight="false" outlineLevel="0" collapsed="false">
      <c r="A172" s="22" t="s">
        <v>22</v>
      </c>
      <c r="B172" s="22" t="s">
        <v>21</v>
      </c>
      <c r="C172" s="22" t="s">
        <v>171</v>
      </c>
      <c r="D172" s="8" t="n">
        <f aca="false">SUM(E172:H172)</f>
        <v>0.00544800000000123</v>
      </c>
      <c r="E172" s="9" t="n">
        <v>0</v>
      </c>
      <c r="F172" s="9" t="n">
        <v>0.00544800000000123</v>
      </c>
      <c r="G172" s="9" t="n">
        <v>0</v>
      </c>
      <c r="H172" s="9" t="n">
        <v>0</v>
      </c>
      <c r="I172" s="9" t="n">
        <f aca="false">G172+H172</f>
        <v>0</v>
      </c>
      <c r="J172" s="12" t="n">
        <v>38</v>
      </c>
      <c r="K172" s="23" t="n">
        <v>38</v>
      </c>
      <c r="L172" s="24" t="n">
        <v>46286</v>
      </c>
    </row>
    <row r="173" customFormat="false" ht="15" hidden="false" customHeight="false" outlineLevel="0" collapsed="false">
      <c r="A173" s="29"/>
      <c r="B173" s="29"/>
      <c r="C173" s="13" t="s">
        <v>172</v>
      </c>
      <c r="D173" s="15" t="n">
        <f aca="false">SUBTOTAL(9,D5:D172)</f>
        <v>2813.82306871384</v>
      </c>
      <c r="E173" s="15" t="n">
        <f aca="false">SUBTOTAL(9,E5:E172)</f>
        <v>2021.65412963058</v>
      </c>
      <c r="F173" s="15" t="n">
        <f aca="false">SUBTOTAL(9,F5:F172)</f>
        <v>497.428863759222</v>
      </c>
      <c r="G173" s="15" t="n">
        <f aca="false">SUBTOTAL(9,G5:G172)</f>
        <v>33.1059147098091</v>
      </c>
      <c r="H173" s="15" t="n">
        <f aca="false">SUBTOTAL(9,H5:H172)</f>
        <v>261.634160614229</v>
      </c>
      <c r="I173" s="15" t="n">
        <f aca="false">SUBTOTAL(9,I5:I172)</f>
        <v>294.740075324038</v>
      </c>
      <c r="J173" s="17" t="n">
        <f aca="true">IF(D173&gt;0,SUMPRODUCT(SUBTOTAL(9,OFFSET(D5,ROW(D5:D172)-ROW(D5),0)),J5:J172)/D173,0)</f>
        <v>31.0215908005722</v>
      </c>
      <c r="K173" s="29"/>
      <c r="L173" s="29"/>
    </row>
    <row r="175" customFormat="false" ht="15" hidden="false" customHeight="false" outlineLevel="0" collapsed="false">
      <c r="A175" s="30" t="s">
        <v>173</v>
      </c>
    </row>
    <row r="176" customFormat="false" ht="15" hidden="false" customHeight="false" outlineLevel="0" collapsed="false">
      <c r="A176" s="21" t="s">
        <v>174</v>
      </c>
    </row>
    <row r="177" customFormat="false" ht="15" hidden="false" customHeight="false" outlineLevel="0" collapsed="false">
      <c r="A177" s="21" t="s">
        <v>175</v>
      </c>
    </row>
    <row r="178" customFormat="false" ht="15" hidden="false" customHeight="false" outlineLevel="0" collapsed="false">
      <c r="A178" s="21" t="s">
        <v>176</v>
      </c>
    </row>
    <row r="179" customFormat="false" ht="15" hidden="false" customHeight="false" outlineLevel="0" collapsed="false">
      <c r="A179" s="21" t="s">
        <v>177</v>
      </c>
    </row>
    <row r="180" customFormat="false" ht="15" hidden="false" customHeight="false" outlineLevel="0" collapsed="false">
      <c r="A180" s="21" t="s">
        <v>178</v>
      </c>
    </row>
    <row r="181" customFormat="false" ht="15" hidden="false" customHeight="false" outlineLevel="0" collapsed="false">
      <c r="A181" s="21" t="s">
        <v>179</v>
      </c>
    </row>
    <row r="182" customFormat="false" ht="15" hidden="false" customHeight="false" outlineLevel="0" collapsed="false">
      <c r="A182" s="21" t="s">
        <v>180</v>
      </c>
    </row>
  </sheetData>
  <autoFilter ref="A4:L17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2026-10-29T10:06:08Z</dcterms:created>
  <dc:creator>openpyxl</dc:creator>
  <dc:description/>
  <dc:language>en-US</dc:language>
  <cp:lastModifiedBy/>
  <dcterms:modified xsi:type="dcterms:W3CDTF">2026-10-29T10:06:09Z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