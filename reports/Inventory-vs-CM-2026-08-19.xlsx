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Comparison" sheetId="1" state="visible" r:id="rId1"/>
  </sheets>
  <definedNames>
    <definedName name="_xlnm._FilterDatabase" localSheetId="0" hidden="1">'Inventory Comparison'!$A$5:$K$54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  <font>
      <b val="1"/>
      <sz val="9"/>
    </font>
    <font>
      <color rgb="007A5C00"/>
      <sz val="8"/>
    </font>
    <font>
      <b val="1"/>
      <i val="1"/>
      <sz val="9"/>
    </font>
    <font>
      <b val="1"/>
    </font>
    <font>
      <b val="1"/>
      <sz val="11"/>
    </font>
    <font>
      <sz val="9"/>
    </font>
  </fonts>
  <fills count="10">
    <fill>
      <patternFill/>
    </fill>
    <fill>
      <patternFill patternType="gray125"/>
    </fill>
    <fill>
      <patternFill patternType="solid">
        <fgColor rgb="003F3F3F"/>
      </patternFill>
    </fill>
    <fill>
      <patternFill patternType="solid">
        <fgColor rgb="007F7F7F"/>
      </patternFill>
    </fill>
    <fill>
      <patternFill patternType="solid">
        <fgColor rgb="001F6FB5"/>
      </patternFill>
    </fill>
    <fill>
      <patternFill patternType="solid">
        <fgColor rgb="00EFEFEF"/>
      </patternFill>
    </fill>
    <fill>
      <patternFill patternType="solid">
        <fgColor rgb="00E1F0E1"/>
      </patternFill>
    </fill>
    <fill>
      <patternFill patternType="solid">
        <fgColor rgb="00FBE0E0"/>
      </patternFill>
    </fill>
    <fill>
      <patternFill patternType="solid">
        <fgColor rgb="00FFF2CC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2" fontId="0" fillId="6" borderId="1" pivotButton="0" quotePrefix="0" xfId="0"/>
    <xf numFmtId="0" fontId="5" fillId="0" borderId="1" pivotButton="0" quotePrefix="0" xfId="0"/>
    <xf numFmtId="2" fontId="0" fillId="7" borderId="1" pivotButton="0" quotePrefix="0" xfId="0"/>
    <xf numFmtId="0" fontId="6" fillId="8" borderId="1" pivotButton="0" quotePrefix="0" xfId="0"/>
    <xf numFmtId="0" fontId="0" fillId="8" borderId="1" pivotButton="0" quotePrefix="0" xfId="0"/>
    <xf numFmtId="0" fontId="7" fillId="9" borderId="1" pivotButton="0" quotePrefix="0" xfId="0"/>
    <xf numFmtId="3" fontId="7" fillId="9" borderId="1" pivotButton="0" quotePrefix="0" xfId="0"/>
    <xf numFmtId="2" fontId="7" fillId="9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9" customWidth="1" min="9" max="9"/>
    <col width="9" customWidth="1" min="10" max="10"/>
    <col width="46" customWidth="1" min="11" max="11"/>
  </cols>
  <sheetData>
    <row r="1">
      <c r="A1" s="1" t="inlineStr">
        <is>
          <t>Stock older than one month — CM sheet vs our system</t>
        </is>
      </c>
    </row>
    <row r="2">
      <c r="A2" s="2" t="inlineStr">
        <is>
          <t>Produced up to 30-Jun-2026 and still not dispatched as at 31-Jul-2026, oldest sold first (FIFO). As at 19-Aug-2026.</t>
        </is>
      </c>
    </row>
    <row r="4">
      <c r="A4" s="3" t="inlineStr">
        <is>
          <t>SKU</t>
        </is>
      </c>
      <c r="C4" s="4" t="inlineStr">
        <is>
          <t>CM SHEET</t>
        </is>
      </c>
      <c r="G4" s="5" t="inlineStr">
        <is>
          <t>OUR SYSTEM</t>
        </is>
      </c>
      <c r="I4" s="3" t="inlineStr">
        <is>
          <t>DIFFERENCE</t>
        </is>
      </c>
    </row>
    <row r="5" ht="30" customHeight="1">
      <c r="A5" s="6" t="inlineStr">
        <is>
          <t>Size</t>
        </is>
      </c>
      <c r="B5" s="6" t="inlineStr">
        <is>
          <t>Thick</t>
        </is>
      </c>
      <c r="C5" s="6" t="inlineStr">
        <is>
          <t>Production
(Pcs)</t>
        </is>
      </c>
      <c r="D5" s="6" t="inlineStr">
        <is>
          <t>Dispatch
(Pcs)</t>
        </is>
      </c>
      <c r="E5" s="6" t="inlineStr">
        <is>
          <t>Balance
(Pcs)</t>
        </is>
      </c>
      <c r="F5" s="6" t="inlineStr">
        <is>
          <t>Balance
(MT)</t>
        </is>
      </c>
      <c r="G5" s="6" t="inlineStr">
        <is>
          <t>Balance
(Pcs)</t>
        </is>
      </c>
      <c r="H5" s="6" t="inlineStr">
        <is>
          <t>Balance
(MT)</t>
        </is>
      </c>
      <c r="I5" s="6" t="inlineStr">
        <is>
          <t>Pcs</t>
        </is>
      </c>
      <c r="J5" s="6" t="inlineStr">
        <is>
          <t>MT</t>
        </is>
      </c>
      <c r="K5" s="6" t="inlineStr">
        <is>
          <t>Remark</t>
        </is>
      </c>
    </row>
    <row r="6">
      <c r="A6" s="7" t="inlineStr">
        <is>
          <t>20 NB</t>
        </is>
      </c>
      <c r="B6" s="7" t="n">
        <v>2.5</v>
      </c>
      <c r="C6" s="8" t="n">
        <v>2888</v>
      </c>
      <c r="D6" s="8" t="n">
        <v>1216</v>
      </c>
      <c r="E6" s="8" t="n">
        <v>1672</v>
      </c>
      <c r="F6" s="9" t="n">
        <v>15.356484</v>
      </c>
      <c r="G6" s="8" t="n">
        <v>341</v>
      </c>
      <c r="H6" s="9" t="n">
        <v>3.074</v>
      </c>
      <c r="I6" s="8" t="n">
        <v>-1331</v>
      </c>
      <c r="J6" s="10" t="n">
        <v>-12.282</v>
      </c>
      <c r="K6" s="7" t="inlineStr"/>
    </row>
    <row r="7">
      <c r="A7" s="7" t="inlineStr">
        <is>
          <t>20 NB</t>
        </is>
      </c>
      <c r="B7" s="7" t="n">
        <v>2.8</v>
      </c>
      <c r="C7" s="8" t="n">
        <v>2512</v>
      </c>
      <c r="D7" s="8" t="n">
        <v>1075</v>
      </c>
      <c r="E7" s="8" t="n">
        <v>1437</v>
      </c>
      <c r="F7" s="9" t="n">
        <v>14.78190168</v>
      </c>
      <c r="G7" s="8" t="n">
        <v>1447</v>
      </c>
      <c r="H7" s="9" t="n">
        <v>14.443</v>
      </c>
      <c r="I7" s="8" t="n">
        <v>10</v>
      </c>
      <c r="J7" s="9" t="n">
        <v>-0.339</v>
      </c>
      <c r="K7" s="7" t="inlineStr"/>
    </row>
    <row r="8">
      <c r="A8" s="7" t="inlineStr">
        <is>
          <t>25X25</t>
        </is>
      </c>
      <c r="B8" s="7" t="n">
        <v>2</v>
      </c>
      <c r="C8" s="8" t="n">
        <v>18200</v>
      </c>
      <c r="D8" s="8" t="n">
        <v>11205</v>
      </c>
      <c r="E8" s="8" t="n">
        <v>6995</v>
      </c>
      <c r="F8" s="9" t="n">
        <v>64.57504199999998</v>
      </c>
      <c r="G8" s="8" t="n">
        <v>6369</v>
      </c>
      <c r="H8" s="9" t="n">
        <v>55.201</v>
      </c>
      <c r="I8" s="8" t="n">
        <v>-626</v>
      </c>
      <c r="J8" s="10" t="n">
        <v>-9.374000000000001</v>
      </c>
      <c r="K8" s="7" t="inlineStr"/>
    </row>
    <row r="9">
      <c r="A9" s="7" t="inlineStr">
        <is>
          <t>25X25</t>
        </is>
      </c>
      <c r="B9" s="7" t="n">
        <v>2.5</v>
      </c>
      <c r="C9" s="8" t="n">
        <v>1306</v>
      </c>
      <c r="D9" s="8" t="n">
        <v>1200</v>
      </c>
      <c r="E9" s="8" t="n">
        <v>106</v>
      </c>
      <c r="F9" s="9" t="n">
        <v>1.12533204</v>
      </c>
      <c r="G9" s="8" t="n">
        <v>0</v>
      </c>
      <c r="H9" s="9" t="n">
        <v>0</v>
      </c>
      <c r="I9" s="8" t="n">
        <v>-106</v>
      </c>
      <c r="J9" s="10" t="n">
        <v>-1.125</v>
      </c>
      <c r="K9" s="11" t="inlineStr">
        <is>
          <t>CM thk 2.3 = 2.5</t>
        </is>
      </c>
    </row>
    <row r="10">
      <c r="A10" s="7" t="inlineStr">
        <is>
          <t>30X30</t>
        </is>
      </c>
      <c r="B10" s="7" t="n">
        <v>2.5</v>
      </c>
      <c r="C10" s="8" t="n">
        <v>635</v>
      </c>
      <c r="D10" s="8" t="n">
        <v>545</v>
      </c>
      <c r="E10" s="8" t="n">
        <v>90</v>
      </c>
      <c r="F10" s="9" t="n">
        <v>1.250505</v>
      </c>
      <c r="G10" s="8" t="n">
        <v>105</v>
      </c>
      <c r="H10" s="9" t="n">
        <v>1.365</v>
      </c>
      <c r="I10" s="8" t="n">
        <v>15</v>
      </c>
      <c r="J10" s="9" t="n">
        <v>0.114</v>
      </c>
      <c r="K10" s="7" t="inlineStr"/>
    </row>
    <row r="11">
      <c r="A11" s="7" t="inlineStr">
        <is>
          <t>32 NB</t>
        </is>
      </c>
      <c r="B11" s="7" t="n">
        <v>2.5</v>
      </c>
      <c r="C11" s="8" t="n">
        <v>997</v>
      </c>
      <c r="D11" s="8" t="n">
        <v>398</v>
      </c>
      <c r="E11" s="8" t="n">
        <v>599</v>
      </c>
      <c r="F11" s="9" t="n">
        <v>9.028127999999999</v>
      </c>
      <c r="G11" s="8" t="n">
        <v>597</v>
      </c>
      <c r="H11" s="9" t="n">
        <v>8.805999999999999</v>
      </c>
      <c r="I11" s="8" t="n">
        <v>-2</v>
      </c>
      <c r="J11" s="9" t="n">
        <v>-0.222</v>
      </c>
      <c r="K11" s="7" t="inlineStr"/>
    </row>
    <row r="12">
      <c r="A12" s="7" t="inlineStr">
        <is>
          <t>38X38</t>
        </is>
      </c>
      <c r="B12" s="7" t="n">
        <v>1.6</v>
      </c>
      <c r="C12" s="8" t="n">
        <v>12350</v>
      </c>
      <c r="D12" s="8" t="n">
        <v>11130</v>
      </c>
      <c r="E12" s="8" t="n">
        <v>1220</v>
      </c>
      <c r="F12" s="9" t="n">
        <v>13.6070016</v>
      </c>
      <c r="G12" s="8" t="n">
        <v>1089</v>
      </c>
      <c r="H12" s="9" t="n">
        <v>11.951</v>
      </c>
      <c r="I12" s="8" t="n">
        <v>-131</v>
      </c>
      <c r="J12" s="10" t="n">
        <v>-1.656</v>
      </c>
      <c r="K12" s="7" t="inlineStr"/>
    </row>
    <row r="13">
      <c r="A13" s="7" t="inlineStr">
        <is>
          <t>38X38</t>
        </is>
      </c>
      <c r="B13" s="7" t="n">
        <v>2.2</v>
      </c>
      <c r="C13" s="8" t="n">
        <v>1094</v>
      </c>
      <c r="D13" s="8" t="n">
        <v>628</v>
      </c>
      <c r="E13" s="8" t="n">
        <v>466</v>
      </c>
      <c r="F13" s="9" t="n">
        <v>7.146464160000001</v>
      </c>
      <c r="G13" s="8" t="n">
        <v>457</v>
      </c>
      <c r="H13" s="9" t="n">
        <v>6.791</v>
      </c>
      <c r="I13" s="8" t="n">
        <v>-9</v>
      </c>
      <c r="J13" s="9" t="n">
        <v>-0.355</v>
      </c>
      <c r="K13" s="7" t="inlineStr"/>
    </row>
    <row r="14">
      <c r="A14" s="7" t="inlineStr">
        <is>
          <t>38X38</t>
        </is>
      </c>
      <c r="B14" s="7" t="n">
        <v>2.8</v>
      </c>
      <c r="C14" s="8" t="n">
        <v>3238</v>
      </c>
      <c r="D14" s="8" t="n">
        <v>2714</v>
      </c>
      <c r="E14" s="8" t="n">
        <v>524</v>
      </c>
      <c r="F14" s="9" t="n">
        <v>10.22755776</v>
      </c>
      <c r="G14" s="8" t="n">
        <v>650</v>
      </c>
      <c r="H14" s="9" t="n">
        <v>11.93</v>
      </c>
      <c r="I14" s="8" t="n">
        <v>126</v>
      </c>
      <c r="J14" s="12" t="n">
        <v>1.702</v>
      </c>
      <c r="K14" s="7" t="inlineStr"/>
    </row>
    <row r="15">
      <c r="A15" s="7" t="inlineStr">
        <is>
          <t>38X38</t>
        </is>
      </c>
      <c r="B15" s="7" t="n">
        <v>4</v>
      </c>
      <c r="C15" s="8" t="n">
        <v>680</v>
      </c>
      <c r="D15" s="8" t="n">
        <v>436</v>
      </c>
      <c r="E15" s="8" t="n">
        <v>244</v>
      </c>
      <c r="F15" s="9" t="n">
        <v>6.8035008</v>
      </c>
      <c r="G15" s="8" t="n">
        <v>245</v>
      </c>
      <c r="H15" s="9" t="n">
        <v>5.962</v>
      </c>
      <c r="I15" s="8" t="n">
        <v>1</v>
      </c>
      <c r="J15" s="9" t="n">
        <v>-0.842</v>
      </c>
      <c r="K15" s="7" t="inlineStr"/>
    </row>
    <row r="16">
      <c r="A16" s="7" t="inlineStr">
        <is>
          <t>40 NB</t>
        </is>
      </c>
      <c r="B16" s="7" t="n">
        <v>2</v>
      </c>
      <c r="C16" s="8" t="n">
        <v>2663</v>
      </c>
      <c r="D16" s="8" t="n">
        <v>1794</v>
      </c>
      <c r="E16" s="8" t="n">
        <v>869</v>
      </c>
      <c r="F16" s="9" t="n">
        <v>12.1152504</v>
      </c>
      <c r="G16" s="8" t="n">
        <v>835</v>
      </c>
      <c r="H16" s="9" t="n">
        <v>11.451</v>
      </c>
      <c r="I16" s="8" t="n">
        <v>-34</v>
      </c>
      <c r="J16" s="9" t="n">
        <v>-0.664</v>
      </c>
      <c r="K16" s="7" t="inlineStr"/>
    </row>
    <row r="17">
      <c r="A17" s="7" t="inlineStr">
        <is>
          <t>40 NB</t>
        </is>
      </c>
      <c r="B17" s="7" t="n">
        <v>2.5</v>
      </c>
      <c r="C17" s="8" t="n">
        <v>1674</v>
      </c>
      <c r="D17" s="8" t="n">
        <v>375</v>
      </c>
      <c r="E17" s="8" t="n">
        <v>1299</v>
      </c>
      <c r="F17" s="9" t="n">
        <v>22.637673</v>
      </c>
      <c r="G17" s="8" t="n">
        <v>1321</v>
      </c>
      <c r="H17" s="9" t="n">
        <v>22.377</v>
      </c>
      <c r="I17" s="8" t="n">
        <v>22</v>
      </c>
      <c r="J17" s="9" t="n">
        <v>-0.261</v>
      </c>
      <c r="K17" s="7" t="inlineStr"/>
    </row>
    <row r="18">
      <c r="A18" s="7" t="inlineStr">
        <is>
          <t>40 NB</t>
        </is>
      </c>
      <c r="B18" s="7" t="n">
        <v>2.8</v>
      </c>
      <c r="C18" s="8" t="n">
        <v>1954</v>
      </c>
      <c r="D18" s="8" t="n">
        <v>1214</v>
      </c>
      <c r="E18" s="8" t="n">
        <v>740</v>
      </c>
      <c r="F18" s="9" t="n">
        <v>14.4434976</v>
      </c>
      <c r="G18" s="8" t="n">
        <v>813</v>
      </c>
      <c r="H18" s="9" t="n">
        <v>15.324</v>
      </c>
      <c r="I18" s="8" t="n">
        <v>73</v>
      </c>
      <c r="J18" s="9" t="n">
        <v>0.881</v>
      </c>
      <c r="K18" s="7" t="inlineStr"/>
    </row>
    <row r="19">
      <c r="A19" s="7" t="inlineStr">
        <is>
          <t>40 NB</t>
        </is>
      </c>
      <c r="B19" s="7" t="n">
        <v>4</v>
      </c>
      <c r="C19" s="8" t="n">
        <v>2114</v>
      </c>
      <c r="D19" s="8" t="n">
        <v>280</v>
      </c>
      <c r="E19" s="8" t="n">
        <v>1834</v>
      </c>
      <c r="F19" s="9" t="n">
        <v>47.30245463999999</v>
      </c>
      <c r="G19" s="8" t="n">
        <v>1147</v>
      </c>
      <c r="H19" s="9" t="n">
        <v>28.112</v>
      </c>
      <c r="I19" s="8" t="n">
        <v>-687</v>
      </c>
      <c r="J19" s="10" t="n">
        <v>-19.19</v>
      </c>
      <c r="K19" s="11" t="inlineStr">
        <is>
          <t>CM thk 3.7 = 4.0</t>
        </is>
      </c>
    </row>
    <row r="20">
      <c r="A20" s="7" t="inlineStr">
        <is>
          <t>40X20</t>
        </is>
      </c>
      <c r="B20" s="7" t="n">
        <v>1.6</v>
      </c>
      <c r="C20" s="8" t="n">
        <v>7391</v>
      </c>
      <c r="D20" s="8" t="n">
        <v>4648</v>
      </c>
      <c r="E20" s="8" t="n">
        <v>2743</v>
      </c>
      <c r="F20" s="9" t="n">
        <v>24.39207264</v>
      </c>
      <c r="G20" s="8" t="n">
        <v>0</v>
      </c>
      <c r="H20" s="9" t="n">
        <v>0</v>
      </c>
      <c r="I20" s="8" t="n">
        <v>-2743</v>
      </c>
      <c r="J20" s="10" t="n">
        <v>-24.392</v>
      </c>
      <c r="K20" s="7" t="inlineStr"/>
    </row>
    <row r="21">
      <c r="A21" s="7" t="inlineStr">
        <is>
          <t>40X20</t>
        </is>
      </c>
      <c r="B21" s="7" t="n">
        <v>2.2</v>
      </c>
      <c r="C21" s="8" t="n">
        <v>215</v>
      </c>
      <c r="D21" s="8" t="n">
        <v>0</v>
      </c>
      <c r="E21" s="8" t="n">
        <v>215</v>
      </c>
      <c r="F21" s="9" t="n">
        <v>2.6288394</v>
      </c>
      <c r="G21" s="8" t="n">
        <v>215</v>
      </c>
      <c r="H21" s="9" t="n">
        <v>2.477</v>
      </c>
      <c r="I21" s="8" t="n">
        <v>0</v>
      </c>
      <c r="J21" s="9" t="n">
        <v>-0.152</v>
      </c>
      <c r="K21" s="7" t="inlineStr"/>
    </row>
    <row r="22">
      <c r="A22" s="7" t="inlineStr">
        <is>
          <t>40X20</t>
        </is>
      </c>
      <c r="B22" s="7" t="n">
        <v>2.5</v>
      </c>
      <c r="C22" s="8" t="n">
        <v>650</v>
      </c>
      <c r="D22" s="8" t="n">
        <v>506</v>
      </c>
      <c r="E22" s="8" t="n">
        <v>144</v>
      </c>
      <c r="F22" s="9" t="n">
        <v>2.000808</v>
      </c>
      <c r="G22" s="8" t="n">
        <v>2</v>
      </c>
      <c r="H22" s="9" t="n">
        <v>0.029</v>
      </c>
      <c r="I22" s="8" t="n">
        <v>-142</v>
      </c>
      <c r="J22" s="10" t="n">
        <v>-1.972</v>
      </c>
      <c r="K22" s="7" t="inlineStr"/>
    </row>
    <row r="23">
      <c r="A23" s="7" t="inlineStr">
        <is>
          <t>40X20</t>
        </is>
      </c>
      <c r="B23" s="7" t="n">
        <v>2.8</v>
      </c>
      <c r="C23" s="8" t="n">
        <v>939</v>
      </c>
      <c r="D23" s="8" t="n">
        <v>443</v>
      </c>
      <c r="E23" s="8" t="n">
        <v>496</v>
      </c>
      <c r="F23" s="9" t="n">
        <v>7.718672639999999</v>
      </c>
      <c r="G23" s="8" t="n">
        <v>366</v>
      </c>
      <c r="H23" s="9" t="n">
        <v>5.251</v>
      </c>
      <c r="I23" s="8" t="n">
        <v>-130</v>
      </c>
      <c r="J23" s="10" t="n">
        <v>-2.468</v>
      </c>
      <c r="K23" s="7" t="inlineStr"/>
    </row>
    <row r="24">
      <c r="A24" s="7" t="inlineStr">
        <is>
          <t>40X20</t>
        </is>
      </c>
      <c r="B24" s="7" t="n">
        <v>3</v>
      </c>
      <c r="C24" s="8" t="n">
        <v>248</v>
      </c>
      <c r="D24" s="8" t="n">
        <v>0</v>
      </c>
      <c r="E24" s="8" t="n">
        <v>248</v>
      </c>
      <c r="F24" s="9" t="n">
        <v>4.135003199999999</v>
      </c>
      <c r="G24" s="8" t="n">
        <v>248</v>
      </c>
      <c r="H24" s="9" t="n">
        <v>3.785</v>
      </c>
      <c r="I24" s="8" t="n">
        <v>0</v>
      </c>
      <c r="J24" s="9" t="n">
        <v>-0.35</v>
      </c>
      <c r="K24" s="7" t="inlineStr"/>
    </row>
    <row r="25">
      <c r="A25" s="7" t="inlineStr">
        <is>
          <t>50 NB</t>
        </is>
      </c>
      <c r="B25" s="7" t="n">
        <v>2</v>
      </c>
      <c r="C25" s="8" t="n">
        <v>1887</v>
      </c>
      <c r="D25" s="8" t="n">
        <v>911</v>
      </c>
      <c r="E25" s="8" t="n">
        <v>976</v>
      </c>
      <c r="F25" s="9" t="n">
        <v>16.7329344</v>
      </c>
      <c r="G25" s="8" t="n">
        <v>1292</v>
      </c>
      <c r="H25" s="9" t="n">
        <v>22.294</v>
      </c>
      <c r="I25" s="8" t="n">
        <v>316</v>
      </c>
      <c r="J25" s="12" t="n">
        <v>5.561</v>
      </c>
      <c r="K25" s="7" t="inlineStr"/>
    </row>
    <row r="26">
      <c r="A26" s="7" t="inlineStr">
        <is>
          <t>50 NB</t>
        </is>
      </c>
      <c r="B26" s="7" t="n">
        <v>2.5</v>
      </c>
      <c r="C26" s="8" t="n">
        <v>884</v>
      </c>
      <c r="D26" s="8" t="n">
        <v>252</v>
      </c>
      <c r="E26" s="8" t="n">
        <v>632</v>
      </c>
      <c r="F26" s="9" t="n">
        <v>13.544076</v>
      </c>
      <c r="G26" s="8" t="n">
        <v>650</v>
      </c>
      <c r="H26" s="9" t="n">
        <v>13.89</v>
      </c>
      <c r="I26" s="8" t="n">
        <v>18</v>
      </c>
      <c r="J26" s="9" t="n">
        <v>0.346</v>
      </c>
      <c r="K26" s="7" t="inlineStr"/>
    </row>
    <row r="27">
      <c r="A27" s="7" t="inlineStr">
        <is>
          <t>50 NB</t>
        </is>
      </c>
      <c r="B27" s="7" t="n">
        <v>2.8</v>
      </c>
      <c r="C27" s="8" t="n">
        <v>1046</v>
      </c>
      <c r="D27" s="8" t="n">
        <v>270</v>
      </c>
      <c r="E27" s="8" t="n">
        <v>776</v>
      </c>
      <c r="F27" s="9" t="n">
        <v>18.62567615999999</v>
      </c>
      <c r="G27" s="8" t="n">
        <v>792</v>
      </c>
      <c r="H27" s="9" t="n">
        <v>18.878</v>
      </c>
      <c r="I27" s="8" t="n">
        <v>16</v>
      </c>
      <c r="J27" s="9" t="n">
        <v>0.252</v>
      </c>
      <c r="K27" s="7" t="inlineStr"/>
    </row>
    <row r="28">
      <c r="A28" s="7" t="inlineStr">
        <is>
          <t>50X25</t>
        </is>
      </c>
      <c r="B28" s="7" t="n">
        <v>2</v>
      </c>
      <c r="C28" s="8" t="n">
        <v>3237</v>
      </c>
      <c r="D28" s="8" t="n">
        <v>2060</v>
      </c>
      <c r="E28" s="8" t="n">
        <v>1177</v>
      </c>
      <c r="F28" s="9" t="n">
        <v>16.4092632</v>
      </c>
      <c r="G28" s="8" t="n">
        <v>444</v>
      </c>
      <c r="H28" s="9" t="n">
        <v>5.935</v>
      </c>
      <c r="I28" s="8" t="n">
        <v>-733</v>
      </c>
      <c r="J28" s="10" t="n">
        <v>-10.474</v>
      </c>
      <c r="K28" s="7" t="inlineStr"/>
    </row>
    <row r="29">
      <c r="A29" s="7" t="inlineStr">
        <is>
          <t>50X25</t>
        </is>
      </c>
      <c r="B29" s="7" t="n">
        <v>2.8</v>
      </c>
      <c r="C29" s="8" t="n">
        <v>1907</v>
      </c>
      <c r="D29" s="8" t="n">
        <v>282</v>
      </c>
      <c r="E29" s="8" t="n">
        <v>1625</v>
      </c>
      <c r="F29" s="9" t="n">
        <v>31.71713999999999</v>
      </c>
      <c r="G29" s="8" t="n">
        <v>1799</v>
      </c>
      <c r="H29" s="9" t="n">
        <v>32.928</v>
      </c>
      <c r="I29" s="8" t="n">
        <v>174</v>
      </c>
      <c r="J29" s="12" t="n">
        <v>1.211</v>
      </c>
      <c r="K29" s="7" t="inlineStr"/>
    </row>
    <row r="30">
      <c r="A30" s="7" t="inlineStr">
        <is>
          <t>50X50</t>
        </is>
      </c>
      <c r="B30" s="7" t="n">
        <v>2</v>
      </c>
      <c r="C30" s="8" t="n">
        <v>11097</v>
      </c>
      <c r="D30" s="8" t="n">
        <v>10819</v>
      </c>
      <c r="E30" s="8" t="n">
        <v>278</v>
      </c>
      <c r="F30" s="9" t="n">
        <v>5.185144799999999</v>
      </c>
      <c r="G30" s="8" t="n">
        <v>1398</v>
      </c>
      <c r="H30" s="9" t="n">
        <v>25.346</v>
      </c>
      <c r="I30" s="8" t="n">
        <v>1120</v>
      </c>
      <c r="J30" s="12" t="n">
        <v>20.161</v>
      </c>
      <c r="K30" s="7" t="inlineStr"/>
    </row>
    <row r="31">
      <c r="A31" s="7" t="inlineStr">
        <is>
          <t>50X50</t>
        </is>
      </c>
      <c r="B31" s="7" t="n">
        <v>2.2</v>
      </c>
      <c r="C31" s="8" t="n">
        <v>426</v>
      </c>
      <c r="D31" s="8" t="n">
        <v>330</v>
      </c>
      <c r="E31" s="8" t="n">
        <v>96</v>
      </c>
      <c r="F31" s="9" t="n">
        <v>1.96960896</v>
      </c>
      <c r="G31" s="8" t="n">
        <v>100</v>
      </c>
      <c r="H31" s="9" t="n">
        <v>1.979</v>
      </c>
      <c r="I31" s="8" t="n">
        <v>4</v>
      </c>
      <c r="J31" s="9" t="n">
        <v>0.008999999999999999</v>
      </c>
      <c r="K31" s="7" t="inlineStr"/>
    </row>
    <row r="32">
      <c r="A32" s="7" t="inlineStr">
        <is>
          <t>50X50</t>
        </is>
      </c>
      <c r="B32" s="7" t="n">
        <v>2.5</v>
      </c>
      <c r="C32" s="8" t="n">
        <v>5578</v>
      </c>
      <c r="D32" s="8" t="n">
        <v>4062</v>
      </c>
      <c r="E32" s="8" t="n">
        <v>1516</v>
      </c>
      <c r="F32" s="9" t="n">
        <v>35.344782</v>
      </c>
      <c r="G32" s="8" t="n">
        <v>1819</v>
      </c>
      <c r="H32" s="9" t="n">
        <v>40.695</v>
      </c>
      <c r="I32" s="8" t="n">
        <v>303</v>
      </c>
      <c r="J32" s="12" t="n">
        <v>5.35</v>
      </c>
      <c r="K32" s="7" t="inlineStr"/>
    </row>
    <row r="33">
      <c r="A33" s="7" t="inlineStr">
        <is>
          <t>50X50</t>
        </is>
      </c>
      <c r="B33" s="7" t="n">
        <v>4</v>
      </c>
      <c r="C33" s="8" t="n">
        <v>1651</v>
      </c>
      <c r="D33" s="8" t="n">
        <v>1265</v>
      </c>
      <c r="E33" s="8" t="n">
        <v>386</v>
      </c>
      <c r="F33" s="9" t="n">
        <v>14.3990352</v>
      </c>
      <c r="G33" s="8" t="n">
        <v>378</v>
      </c>
      <c r="H33" s="9" t="n">
        <v>13.142</v>
      </c>
      <c r="I33" s="8" t="n">
        <v>-8</v>
      </c>
      <c r="J33" s="10" t="n">
        <v>-1.257</v>
      </c>
      <c r="K33" s="7" t="inlineStr"/>
    </row>
    <row r="34">
      <c r="A34" s="7" t="inlineStr">
        <is>
          <t>60X40</t>
        </is>
      </c>
      <c r="B34" s="7" t="n">
        <v>1.6</v>
      </c>
      <c r="C34" s="8" t="n">
        <v>8698</v>
      </c>
      <c r="D34" s="8" t="n">
        <v>8579</v>
      </c>
      <c r="E34" s="8" t="n">
        <v>119</v>
      </c>
      <c r="F34" s="9" t="n">
        <v>1.77563232</v>
      </c>
      <c r="G34" s="8" t="n">
        <v>0</v>
      </c>
      <c r="H34" s="9" t="n">
        <v>0</v>
      </c>
      <c r="I34" s="8" t="n">
        <v>-119</v>
      </c>
      <c r="J34" s="10" t="n">
        <v>-1.776</v>
      </c>
      <c r="K34" s="7" t="inlineStr"/>
    </row>
    <row r="35">
      <c r="A35" s="7" t="inlineStr">
        <is>
          <t>60X40</t>
        </is>
      </c>
      <c r="B35" s="7" t="n">
        <v>2.8</v>
      </c>
      <c r="C35" s="8" t="n">
        <v>2791</v>
      </c>
      <c r="D35" s="8" t="n">
        <v>889</v>
      </c>
      <c r="E35" s="8" t="n">
        <v>1902</v>
      </c>
      <c r="F35" s="9" t="n">
        <v>49.66548047999999</v>
      </c>
      <c r="G35" s="8" t="n">
        <v>1954</v>
      </c>
      <c r="H35" s="9" t="n">
        <v>48.652</v>
      </c>
      <c r="I35" s="8" t="n">
        <v>52</v>
      </c>
      <c r="J35" s="10" t="n">
        <v>-1.013</v>
      </c>
      <c r="K35" s="7" t="inlineStr"/>
    </row>
    <row r="36">
      <c r="A36" s="7" t="inlineStr">
        <is>
          <t>60X60</t>
        </is>
      </c>
      <c r="B36" s="7" t="n">
        <v>2</v>
      </c>
      <c r="C36" s="8" t="n">
        <v>1502</v>
      </c>
      <c r="D36" s="8" t="n">
        <v>600</v>
      </c>
      <c r="E36" s="8" t="n">
        <v>902</v>
      </c>
      <c r="F36" s="9" t="n">
        <v>20.2224792</v>
      </c>
      <c r="G36" s="8" t="n">
        <v>621</v>
      </c>
      <c r="H36" s="9" t="n">
        <v>13.465</v>
      </c>
      <c r="I36" s="8" t="n">
        <v>-281</v>
      </c>
      <c r="J36" s="10" t="n">
        <v>-6.757</v>
      </c>
      <c r="K36" s="7" t="inlineStr"/>
    </row>
    <row r="37">
      <c r="A37" s="7" t="inlineStr">
        <is>
          <t>60X60</t>
        </is>
      </c>
      <c r="B37" s="7" t="n">
        <v>2.5</v>
      </c>
      <c r="C37" s="8" t="n">
        <v>1069</v>
      </c>
      <c r="D37" s="8" t="n">
        <v>464</v>
      </c>
      <c r="E37" s="8" t="n">
        <v>605</v>
      </c>
      <c r="F37" s="9" t="n">
        <v>16.9548225</v>
      </c>
      <c r="G37" s="8" t="n">
        <v>606</v>
      </c>
      <c r="H37" s="9" t="n">
        <v>16.411</v>
      </c>
      <c r="I37" s="8" t="n">
        <v>1</v>
      </c>
      <c r="J37" s="9" t="n">
        <v>-0.544</v>
      </c>
      <c r="K37" s="7" t="inlineStr"/>
    </row>
    <row r="38">
      <c r="A38" s="7" t="inlineStr">
        <is>
          <t>60X60</t>
        </is>
      </c>
      <c r="B38" s="7" t="n">
        <v>2.8</v>
      </c>
      <c r="C38" s="8" t="n">
        <v>992</v>
      </c>
      <c r="D38" s="8" t="n">
        <v>414</v>
      </c>
      <c r="E38" s="8" t="n">
        <v>578</v>
      </c>
      <c r="F38" s="9" t="n">
        <v>18.14194032</v>
      </c>
      <c r="G38" s="8" t="n">
        <v>186</v>
      </c>
      <c r="H38" s="9" t="n">
        <v>5.625</v>
      </c>
      <c r="I38" s="8" t="n">
        <v>-392</v>
      </c>
      <c r="J38" s="10" t="n">
        <v>-12.517</v>
      </c>
      <c r="K38" s="7" t="inlineStr"/>
    </row>
    <row r="39">
      <c r="A39" s="7" t="inlineStr">
        <is>
          <t>65 NB</t>
        </is>
      </c>
      <c r="B39" s="7" t="n">
        <v>2</v>
      </c>
      <c r="C39" s="8" t="n">
        <v>905</v>
      </c>
      <c r="D39" s="8" t="n">
        <v>403</v>
      </c>
      <c r="E39" s="8" t="n">
        <v>502</v>
      </c>
      <c r="F39" s="9" t="n">
        <v>11.2546392</v>
      </c>
      <c r="G39" s="8" t="n">
        <v>488</v>
      </c>
      <c r="H39" s="9" t="n">
        <v>10.706</v>
      </c>
      <c r="I39" s="8" t="n">
        <v>-14</v>
      </c>
      <c r="J39" s="9" t="n">
        <v>-0.549</v>
      </c>
      <c r="K39" s="7" t="inlineStr"/>
    </row>
    <row r="40">
      <c r="A40" s="7" t="inlineStr">
        <is>
          <t>65 NB</t>
        </is>
      </c>
      <c r="B40" s="7" t="n">
        <v>2.5</v>
      </c>
      <c r="C40" s="8" t="n">
        <v>893</v>
      </c>
      <c r="D40" s="8" t="n">
        <v>329</v>
      </c>
      <c r="E40" s="8" t="n">
        <v>564</v>
      </c>
      <c r="F40" s="9" t="n">
        <v>15.805818</v>
      </c>
      <c r="G40" s="8" t="n">
        <v>425</v>
      </c>
      <c r="H40" s="9" t="n">
        <v>11.579</v>
      </c>
      <c r="I40" s="8" t="n">
        <v>-139</v>
      </c>
      <c r="J40" s="10" t="n">
        <v>-4.227</v>
      </c>
      <c r="K40" s="7" t="inlineStr"/>
    </row>
    <row r="41">
      <c r="A41" s="7" t="inlineStr">
        <is>
          <t>65 NB</t>
        </is>
      </c>
      <c r="B41" s="7" t="n">
        <v>2.8</v>
      </c>
      <c r="C41" s="8" t="n">
        <v>784</v>
      </c>
      <c r="D41" s="8" t="n">
        <v>493</v>
      </c>
      <c r="E41" s="8" t="n">
        <v>291</v>
      </c>
      <c r="F41" s="9" t="n">
        <v>9.133745039999997</v>
      </c>
      <c r="G41" s="8" t="n">
        <v>420</v>
      </c>
      <c r="H41" s="9" t="n">
        <v>12.752</v>
      </c>
      <c r="I41" s="8" t="n">
        <v>129</v>
      </c>
      <c r="J41" s="12" t="n">
        <v>3.618</v>
      </c>
      <c r="K41" s="7" t="inlineStr"/>
    </row>
    <row r="42">
      <c r="A42" s="7" t="inlineStr">
        <is>
          <t>65 NB</t>
        </is>
      </c>
      <c r="B42" s="7" t="n">
        <v>4</v>
      </c>
      <c r="C42" s="8" t="n">
        <v>288</v>
      </c>
      <c r="D42" s="8" t="n">
        <v>138</v>
      </c>
      <c r="E42" s="8" t="n">
        <v>150</v>
      </c>
      <c r="F42" s="9" t="n">
        <v>6.72588</v>
      </c>
      <c r="G42" s="8" t="n">
        <v>295</v>
      </c>
      <c r="H42" s="9" t="n">
        <v>12.726</v>
      </c>
      <c r="I42" s="8" t="n">
        <v>145</v>
      </c>
      <c r="J42" s="12" t="n">
        <v>6</v>
      </c>
      <c r="K42" s="7" t="inlineStr"/>
    </row>
    <row r="43">
      <c r="A43" s="7" t="inlineStr">
        <is>
          <t>75X25</t>
        </is>
      </c>
      <c r="B43" s="7" t="n">
        <v>1.6</v>
      </c>
      <c r="C43" s="8" t="n">
        <v>5092</v>
      </c>
      <c r="D43" s="8" t="n">
        <v>2360</v>
      </c>
      <c r="E43" s="8" t="n">
        <v>2732</v>
      </c>
      <c r="F43" s="9" t="n">
        <v>40.76493696</v>
      </c>
      <c r="G43" s="8" t="n">
        <v>2723</v>
      </c>
      <c r="H43" s="9" t="n">
        <v>39.699</v>
      </c>
      <c r="I43" s="8" t="n">
        <v>-9</v>
      </c>
      <c r="J43" s="10" t="n">
        <v>-1.066</v>
      </c>
      <c r="K43" s="7" t="inlineStr"/>
    </row>
    <row r="44">
      <c r="A44" s="7" t="inlineStr">
        <is>
          <t>75X25</t>
        </is>
      </c>
      <c r="B44" s="7" t="n">
        <v>2</v>
      </c>
      <c r="C44" s="8" t="n">
        <v>4078</v>
      </c>
      <c r="D44" s="8" t="n">
        <v>1275</v>
      </c>
      <c r="E44" s="8" t="n">
        <v>2803</v>
      </c>
      <c r="F44" s="9" t="n">
        <v>52.28043479999999</v>
      </c>
      <c r="G44" s="8" t="n">
        <v>2793</v>
      </c>
      <c r="H44" s="9" t="n">
        <v>50.493</v>
      </c>
      <c r="I44" s="8" t="n">
        <v>-10</v>
      </c>
      <c r="J44" s="10" t="n">
        <v>-1.787</v>
      </c>
      <c r="K44" s="7" t="inlineStr"/>
    </row>
    <row r="45">
      <c r="A45" s="7" t="inlineStr">
        <is>
          <t>75X25</t>
        </is>
      </c>
      <c r="B45" s="7" t="n">
        <v>2.5</v>
      </c>
      <c r="C45" s="8" t="n">
        <v>778</v>
      </c>
      <c r="D45" s="8" t="n">
        <v>389</v>
      </c>
      <c r="E45" s="8" t="n">
        <v>389</v>
      </c>
      <c r="F45" s="9" t="n">
        <v>8.343793259999998</v>
      </c>
      <c r="G45" s="8" t="n">
        <v>415</v>
      </c>
      <c r="H45" s="9" t="n">
        <v>9.271000000000001</v>
      </c>
      <c r="I45" s="8" t="n">
        <v>26</v>
      </c>
      <c r="J45" s="9" t="n">
        <v>0.927</v>
      </c>
      <c r="K45" s="11" t="inlineStr">
        <is>
          <t>CM thk 2.3 = 2.5</t>
        </is>
      </c>
    </row>
    <row r="46">
      <c r="A46" s="7" t="inlineStr">
        <is>
          <t>75X25</t>
        </is>
      </c>
      <c r="B46" s="7" t="n">
        <v>2.8</v>
      </c>
      <c r="C46" s="8" t="n">
        <v>1095</v>
      </c>
      <c r="D46" s="8" t="n">
        <v>91</v>
      </c>
      <c r="E46" s="8" t="n">
        <v>1004</v>
      </c>
      <c r="F46" s="9" t="n">
        <v>24.47276436</v>
      </c>
      <c r="G46" s="8" t="n">
        <v>1009</v>
      </c>
      <c r="H46" s="9" t="n">
        <v>25.124</v>
      </c>
      <c r="I46" s="8" t="n">
        <v>5</v>
      </c>
      <c r="J46" s="9" t="n">
        <v>0.651</v>
      </c>
      <c r="K46" s="11" t="inlineStr">
        <is>
          <t>CM thk 2.6 + 2.8 = 2.8</t>
        </is>
      </c>
    </row>
    <row r="47">
      <c r="A47" s="7" t="inlineStr">
        <is>
          <t>75X75</t>
        </is>
      </c>
      <c r="B47" s="7" t="n">
        <v>2</v>
      </c>
      <c r="C47" s="8" t="n">
        <v>920</v>
      </c>
      <c r="D47" s="8" t="n">
        <v>890</v>
      </c>
      <c r="E47" s="8" t="n">
        <v>30</v>
      </c>
      <c r="F47" s="9" t="n">
        <v>0.8421479999999999</v>
      </c>
      <c r="G47" s="8" t="n">
        <v>29</v>
      </c>
      <c r="H47" s="9" t="n">
        <v>0.8100000000000001</v>
      </c>
      <c r="I47" s="8" t="n">
        <v>-1</v>
      </c>
      <c r="J47" s="9" t="n">
        <v>-0.032</v>
      </c>
      <c r="K47" s="7" t="inlineStr"/>
    </row>
    <row r="48">
      <c r="A48" s="7" t="inlineStr">
        <is>
          <t>75X75</t>
        </is>
      </c>
      <c r="B48" s="7" t="n">
        <v>2.5</v>
      </c>
      <c r="C48" s="8" t="n">
        <v>750</v>
      </c>
      <c r="D48" s="8" t="n">
        <v>750</v>
      </c>
      <c r="E48" s="8" t="n">
        <v>0</v>
      </c>
      <c r="F48" s="9" t="n">
        <v>0</v>
      </c>
      <c r="G48" s="8" t="n">
        <v>11</v>
      </c>
      <c r="H48" s="9" t="n">
        <v>0.365</v>
      </c>
      <c r="I48" s="8" t="n">
        <v>11</v>
      </c>
      <c r="J48" s="9" t="n">
        <v>0.365</v>
      </c>
      <c r="K48" s="7" t="inlineStr"/>
    </row>
    <row r="49">
      <c r="A49" s="7" t="inlineStr">
        <is>
          <t>80X40</t>
        </is>
      </c>
      <c r="B49" s="7" t="n">
        <v>1.6</v>
      </c>
      <c r="C49" s="8" t="n">
        <v>4751</v>
      </c>
      <c r="D49" s="8" t="n">
        <v>4520</v>
      </c>
      <c r="E49" s="8" t="n">
        <v>231</v>
      </c>
      <c r="F49" s="9" t="n">
        <v>4.143142080000001</v>
      </c>
      <c r="G49" s="8" t="n">
        <v>0</v>
      </c>
      <c r="H49" s="9" t="n">
        <v>0</v>
      </c>
      <c r="I49" s="8" t="n">
        <v>-231</v>
      </c>
      <c r="J49" s="10" t="n">
        <v>-4.143</v>
      </c>
      <c r="K49" s="7" t="inlineStr"/>
    </row>
    <row r="50">
      <c r="A50" s="7" t="inlineStr">
        <is>
          <t>80X40</t>
        </is>
      </c>
      <c r="B50" s="7" t="n">
        <v>2</v>
      </c>
      <c r="C50" s="8" t="n">
        <v>5446</v>
      </c>
      <c r="D50" s="8" t="n">
        <v>5412</v>
      </c>
      <c r="E50" s="8" t="n">
        <v>34</v>
      </c>
      <c r="F50" s="9" t="n">
        <v>0.7622664</v>
      </c>
      <c r="G50" s="8" t="n">
        <v>377</v>
      </c>
      <c r="H50" s="9" t="n">
        <v>8.237</v>
      </c>
      <c r="I50" s="8" t="n">
        <v>343</v>
      </c>
      <c r="J50" s="12" t="n">
        <v>7.475</v>
      </c>
      <c r="K50" s="7" t="inlineStr"/>
    </row>
    <row r="51">
      <c r="A51" s="7" t="inlineStr">
        <is>
          <t>80X40</t>
        </is>
      </c>
      <c r="B51" s="7" t="n">
        <v>2.5</v>
      </c>
      <c r="C51" s="8" t="n">
        <v>1766</v>
      </c>
      <c r="D51" s="8" t="n">
        <v>1763</v>
      </c>
      <c r="E51" s="8" t="n">
        <v>3</v>
      </c>
      <c r="F51" s="9" t="n">
        <v>0.0840735</v>
      </c>
      <c r="G51" s="8" t="n">
        <v>88</v>
      </c>
      <c r="H51" s="9" t="n">
        <v>2.394</v>
      </c>
      <c r="I51" s="8" t="n">
        <v>85</v>
      </c>
      <c r="J51" s="12" t="n">
        <v>2.31</v>
      </c>
      <c r="K51" s="7" t="inlineStr"/>
    </row>
    <row r="52">
      <c r="A52" s="7" t="inlineStr">
        <is>
          <t>80X40</t>
        </is>
      </c>
      <c r="B52" s="7" t="n">
        <v>2.8</v>
      </c>
      <c r="C52" s="8" t="n">
        <v>2665</v>
      </c>
      <c r="D52" s="8" t="n">
        <v>2205</v>
      </c>
      <c r="E52" s="8" t="n">
        <v>460</v>
      </c>
      <c r="F52" s="9" t="n">
        <v>14.4382224</v>
      </c>
      <c r="G52" s="8" t="n">
        <v>572</v>
      </c>
      <c r="H52" s="9" t="n">
        <v>17.242</v>
      </c>
      <c r="I52" s="8" t="n">
        <v>112</v>
      </c>
      <c r="J52" s="12" t="n">
        <v>2.804</v>
      </c>
      <c r="K52" s="7" t="inlineStr"/>
    </row>
    <row r="53">
      <c r="A53" s="7" t="inlineStr">
        <is>
          <t>80X40</t>
        </is>
      </c>
      <c r="B53" s="7" t="n">
        <v>4</v>
      </c>
      <c r="C53" s="8" t="n">
        <v>609</v>
      </c>
      <c r="D53" s="8" t="n">
        <v>162</v>
      </c>
      <c r="E53" s="8" t="n">
        <v>447</v>
      </c>
      <c r="F53" s="9" t="n">
        <v>20.0431224</v>
      </c>
      <c r="G53" s="8" t="n">
        <v>445</v>
      </c>
      <c r="H53" s="9" t="n">
        <v>18.801</v>
      </c>
      <c r="I53" s="8" t="n">
        <v>-2</v>
      </c>
      <c r="J53" s="10" t="n">
        <v>-1.242</v>
      </c>
      <c r="K53" s="7" t="inlineStr"/>
    </row>
    <row r="54">
      <c r="A54" s="7" t="inlineStr">
        <is>
          <t>100X50</t>
        </is>
      </c>
      <c r="B54" s="7" t="n">
        <v>3</v>
      </c>
      <c r="C54" s="8" t="n">
        <v>695</v>
      </c>
      <c r="D54" s="8" t="n">
        <v>500</v>
      </c>
      <c r="E54" s="8" t="n">
        <v>195</v>
      </c>
      <c r="F54" s="9" t="n">
        <v>8.7583392</v>
      </c>
      <c r="G54" s="8" t="n">
        <v>234</v>
      </c>
      <c r="H54" s="9" t="n">
        <v>10.112</v>
      </c>
      <c r="I54" s="8" t="n">
        <v>39</v>
      </c>
      <c r="J54" s="12" t="n">
        <v>1.354</v>
      </c>
      <c r="K54" s="11" t="inlineStr">
        <is>
          <t>CM thk 3.2 = 3.0</t>
        </is>
      </c>
    </row>
    <row r="55">
      <c r="A55" s="13" t="inlineStr">
        <is>
          <t>Stock we hold that the CM sheet does not list</t>
        </is>
      </c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>
      <c r="A56" s="7" t="inlineStr">
        <is>
          <t>50X25</t>
        </is>
      </c>
      <c r="B56" s="7" t="n">
        <v>2.5</v>
      </c>
      <c r="C56" s="8" t="n"/>
      <c r="D56" s="8" t="n"/>
      <c r="E56" s="8" t="n"/>
      <c r="F56" s="9" t="n"/>
      <c r="G56" s="8" t="n">
        <v>252</v>
      </c>
      <c r="H56" s="9" t="n">
        <v>4.135</v>
      </c>
      <c r="I56" s="8" t="n"/>
      <c r="J56" s="9" t="n"/>
      <c r="K56" s="11" t="inlineStr">
        <is>
          <t>missing from CM sheet</t>
        </is>
      </c>
    </row>
    <row r="57">
      <c r="A57" s="7" t="inlineStr">
        <is>
          <t>50X50</t>
        </is>
      </c>
      <c r="B57" s="7" t="n">
        <v>2.8</v>
      </c>
      <c r="C57" s="8" t="n"/>
      <c r="D57" s="8" t="n"/>
      <c r="E57" s="8" t="n"/>
      <c r="F57" s="9" t="n"/>
      <c r="G57" s="8" t="n">
        <v>35</v>
      </c>
      <c r="H57" s="9" t="n">
        <v>0.482</v>
      </c>
      <c r="I57" s="8" t="n"/>
      <c r="J57" s="9" t="n"/>
      <c r="K57" s="11" t="inlineStr">
        <is>
          <t>missing from CM sheet</t>
        </is>
      </c>
    </row>
    <row r="58">
      <c r="A58" s="7" t="inlineStr">
        <is>
          <t>60X60</t>
        </is>
      </c>
      <c r="B58" s="7" t="n">
        <v>4</v>
      </c>
      <c r="C58" s="8" t="n"/>
      <c r="D58" s="8" t="n"/>
      <c r="E58" s="8" t="n"/>
      <c r="F58" s="9" t="n"/>
      <c r="G58" s="8" t="n">
        <v>4</v>
      </c>
      <c r="H58" s="9" t="n">
        <v>0.18</v>
      </c>
      <c r="I58" s="8" t="n"/>
      <c r="J58" s="9" t="n"/>
      <c r="K58" s="11" t="inlineStr">
        <is>
          <t>missing from CM sheet</t>
        </is>
      </c>
    </row>
    <row r="59">
      <c r="A59" s="15" t="inlineStr">
        <is>
          <t>TOTAL</t>
        </is>
      </c>
      <c r="B59" s="15" t="n"/>
      <c r="C59" s="16">
        <f>SUM(C6:C58)</f>
        <v/>
      </c>
      <c r="D59" s="16">
        <f>SUM(D6:D58)</f>
        <v/>
      </c>
      <c r="E59" s="16">
        <f>SUM(E6:E58)</f>
        <v/>
      </c>
      <c r="F59" s="17">
        <f>SUM(F6:F58)</f>
        <v/>
      </c>
      <c r="G59" s="16">
        <f>SUM(G6:G58)</f>
        <v/>
      </c>
      <c r="H59" s="17">
        <f>SUM(H6:H58)</f>
        <v/>
      </c>
      <c r="I59" s="16">
        <f>G59-E59</f>
        <v/>
      </c>
      <c r="J59" s="17">
        <f>H59-F59</f>
        <v/>
      </c>
      <c r="K59" s="15" t="n"/>
    </row>
    <row r="61">
      <c r="A61" s="18" t="inlineStr">
        <is>
          <t>Notes</t>
        </is>
      </c>
    </row>
    <row r="62">
      <c r="A62" s="19" t="inlineStr">
        <is>
          <t>1.  Both sides use the same method, so the columns are directly comparable.</t>
        </is>
      </c>
    </row>
    <row r="63">
      <c r="A63" s="19" t="inlineStr">
        <is>
          <t>2.  Thickness is named differently in production and in invoicing. Merged as confirmed: 2.3=2.5, 2.6=2.8, 2.9=2.8, 3.2=3.0, 3.7=4.0. Rows where this applied are flagged in Remark. Two CM rows (75X25 2.6 and 2.8) are the same pipe and appear here as one line.</t>
        </is>
      </c>
    </row>
    <row r="64">
      <c r="A64" s="19" t="inlineStr">
        <is>
          <t>3.  Our tonnage = pieces x SKU weight per tube (theoretical steel weight, checked against the IS formula). The CM sheet runs about 3% heavier, which is most of the tonnage gap.</t>
        </is>
      </c>
    </row>
    <row r="65">
      <c r="A65" s="19" t="inlineStr">
        <is>
          <t>4.  Zero in our Balance is a real answer, not missing data: all pre-July stock of that SKU was sold and July output was drawn into. 15 NB, 25 NB and 80 NB only began production in July.</t>
        </is>
      </c>
    </row>
    <row r="66">
      <c r="A66" s="19" t="inlineStr">
        <is>
          <t>5.  Red = we show MORE than the CM.  Green = we show LESS.</t>
        </is>
      </c>
    </row>
    <row r="67">
      <c r="A67" s="19" t="inlineStr">
        <is>
          <t>6.  Six hand-created SKUs carry understated weights (worst: 50 NB x 4.0 at -12.8%). Correcting them adds about 2 MT to our total.</t>
        </is>
      </c>
    </row>
    <row r="68">
      <c r="A68" s="19" t="inlineStr">
        <is>
          <t>7.  Source: Supabase tables productions, dispatches, skus. Single plant (Hyderabad).</t>
        </is>
      </c>
    </row>
  </sheetData>
  <autoFilter ref="A5:K54"/>
  <mergeCells count="4">
    <mergeCell ref="A4:B4"/>
    <mergeCell ref="G4:H4"/>
    <mergeCell ref="C4:F4"/>
    <mergeCell ref="I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2026-08-19T09:41:23Z</dcterms:created>
  <dcterms:modified xsi:type="dcterms:W3CDTF">2026-08-19T09:41:23Z</dcterms:modified>
</cp:coreProperties>
</file>