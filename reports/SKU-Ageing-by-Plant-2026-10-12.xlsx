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it works" sheetId="1" state="visible" r:id="rId1"/>
    <sheet xmlns:r="http://schemas.openxmlformats.org/officeDocument/2006/relationships" name="Plant Summary" sheetId="2" state="visible" r:id="rId2"/>
    <sheet xmlns:r="http://schemas.openxmlformats.org/officeDocument/2006/relationships" name="SKU Ageing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Dispatched" sheetId="5" state="visible" r:id="rId5"/>
  </sheets>
  <definedNames>
    <definedName name="AsOf">'Plant Summary'!$B$2</definedName>
    <definedName name="_xlnm._FilterDatabase" localSheetId="2" hidden="1">'SKU Ageing'!$A$1:$M$194</definedName>
    <definedName name="_xlnm._FilterDatabase" localSheetId="3" hidden="1">'Production'!$A$1:$K$568</definedName>
    <definedName name="_xlnm._FilterDatabase" localSheetId="4" hidden="1">'Dispatched'!$A$1:$C$182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-mmm-yyyy"/>
    <numFmt numFmtId="166" formatCode="#,##0.0"/>
    <numFmt numFmtId="167" formatCode="0.0%"/>
    <numFmt numFmtId="168" formatCode="0.0"/>
    <numFmt numFmtId="169" formatCode="#,##0.000"/>
    <numFmt numFmtId="170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7F7F7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5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1" fontId="0" fillId="4" borderId="1" pivotButton="0" quotePrefix="0" xfId="0"/>
    <xf numFmtId="168" fontId="0" fillId="4" borderId="1" pivotButton="0" quotePrefix="0" xfId="0"/>
    <xf numFmtId="0" fontId="2" fillId="0" borderId="1" pivotButton="0" quotePrefix="0" xfId="0"/>
    <xf numFmtId="0" fontId="2" fillId="4" borderId="1" pivotButton="0" quotePrefix="0" xfId="0"/>
    <xf numFmtId="3" fontId="2" fillId="4" borderId="1" pivotButton="0" quotePrefix="0" xfId="0"/>
    <xf numFmtId="166" fontId="2" fillId="4" borderId="1" pivotButton="0" quotePrefix="0" xfId="0"/>
    <xf numFmtId="167" fontId="2" fillId="4" borderId="1" pivotButton="0" quotePrefix="0" xfId="0"/>
    <xf numFmtId="1" fontId="2" fillId="4" borderId="1" pivotButton="0" quotePrefix="0" xfId="0"/>
    <xf numFmtId="168" fontId="2" fillId="4" borderId="1" pivotButton="0" quotePrefix="0" xfId="0"/>
    <xf numFmtId="169" fontId="0" fillId="4" borderId="1" pivotButton="0" quotePrefix="0" xfId="0"/>
    <xf numFmtId="0" fontId="0" fillId="2" borderId="1" pivotButton="0" quotePrefix="0" xfId="0"/>
    <xf numFmtId="170" fontId="0" fillId="2" borderId="1" pivotButton="0" quotePrefix="0" xfId="0"/>
    <xf numFmtId="170" fontId="0" fillId="4" borderId="1" pivotButton="0" quotePrefix="0" xfId="0"/>
    <xf numFmtId="3" fontId="0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48" customWidth="1" min="3" max="3"/>
  </cols>
  <sheetData>
    <row r="1">
      <c r="A1" s="1" t="inlineStr">
        <is>
          <t>Ageing of finished pipes &amp; tubes — plant-wise</t>
        </is>
      </c>
      <c r="B1" s="2" t="n"/>
      <c r="C1" s="2" t="n"/>
    </row>
    <row r="2">
      <c r="A2" s="2" t="inlineStr"/>
      <c r="B2" s="2" t="n"/>
      <c r="C2" s="2" t="n"/>
    </row>
    <row r="3">
      <c r="A3" s="3" t="inlineStr">
        <is>
          <t>Step</t>
        </is>
      </c>
      <c r="B3" s="3" t="inlineStr">
        <is>
          <t>Formula (Production sheet, row 2)</t>
        </is>
      </c>
      <c r="C3" s="3" t="inlineStr">
        <is>
          <t>What it means</t>
        </is>
      </c>
    </row>
    <row r="4">
      <c r="A4" s="2" t="inlineStr">
        <is>
          <t>1. Age of a batch</t>
        </is>
      </c>
      <c r="B4" s="2" t="inlineStr">
        <is>
          <t>F2 = AsOf - C2</t>
        </is>
      </c>
      <c r="C4" s="2" t="inlineStr">
        <is>
          <t>Days between production date and the 'Ageing as on' date</t>
        </is>
      </c>
    </row>
    <row r="5">
      <c r="A5" s="2" t="inlineStr">
        <is>
          <t>2. Cumulative produced</t>
        </is>
      </c>
      <c r="B5" s="2" t="inlineStr">
        <is>
          <t>G2 = SUMIFS(D:D, A:A, A2, B:B, B2, C:C, "&lt;="&amp;C2)</t>
        </is>
      </c>
      <c r="C5" s="2" t="inlineStr">
        <is>
          <t>Pcs made of this SKU at this plant up to this date, oldest first</t>
        </is>
      </c>
    </row>
    <row r="6">
      <c r="A6" s="2" t="inlineStr">
        <is>
          <t>3. Dispatched so far</t>
        </is>
      </c>
      <c r="B6" s="2" t="inlineStr">
        <is>
          <t>H2 = SUMIFS(Dispatched!C:C, Dispatched!A:A, A2, Dispatched!B:B, B2)</t>
        </is>
      </c>
      <c r="C6" s="2" t="inlineStr">
        <is>
          <t>All pcs of this SKU invoiced from THIS plant only</t>
        </is>
      </c>
    </row>
    <row r="7">
      <c r="A7" s="2" t="inlineStr">
        <is>
          <t>4. Still in stock (FIFO)</t>
        </is>
      </c>
      <c r="B7" s="2" t="inlineStr">
        <is>
          <t>I2 = MAX(0, MIN(D2, G2 - H2))</t>
        </is>
      </c>
      <c r="C7" s="2" t="inlineStr">
        <is>
          <t>Dispatches eat the oldest batches first; what's left of this batch</t>
        </is>
      </c>
    </row>
    <row r="8">
      <c r="A8" s="2" t="inlineStr">
        <is>
          <t>5. Still in stock MT</t>
        </is>
      </c>
      <c r="B8" s="2" t="inlineStr">
        <is>
          <t>J2 = I2 * E2 / D2</t>
        </is>
      </c>
      <c r="C8" s="2" t="inlineStr">
        <is>
          <t>Pieces left × this batch's own weight per piece</t>
        </is>
      </c>
    </row>
    <row r="9">
      <c r="A9" s="2" t="inlineStr">
        <is>
          <t>6. Age bucket</t>
        </is>
      </c>
      <c r="B9" s="2" t="inlineStr">
        <is>
          <t>K2 = IF(I2=0,"Dispatched",IF(F2&lt;=30,"0-30",IF(F2&lt;=60,"31-60",IF(F2&lt;=90,"61-90","90+"))))</t>
        </is>
      </c>
      <c r="C9" s="2" t="inlineStr">
        <is>
          <t>Only batches with stock left get a bucket</t>
        </is>
      </c>
    </row>
    <row r="10">
      <c r="A10" s="2" t="inlineStr"/>
      <c r="B10" s="2" t="n"/>
      <c r="C10" s="2" t="n"/>
    </row>
    <row r="11">
      <c r="A11" s="3" t="inlineStr">
        <is>
          <t>Plant roll-up</t>
        </is>
      </c>
      <c r="B11" s="3" t="inlineStr">
        <is>
          <t>Formula (Plant Summary)</t>
        </is>
      </c>
      <c r="C11" s="3" t="inlineStr"/>
    </row>
    <row r="12">
      <c r="A12" s="2" t="inlineStr">
        <is>
          <t>On-hand MT</t>
        </is>
      </c>
      <c r="B12" s="2" t="inlineStr">
        <is>
          <t>SUMIFS(Production!J:J, Production!A:A, "Hyderabad")</t>
        </is>
      </c>
      <c r="C12" s="2" t="inlineStr"/>
    </row>
    <row r="13">
      <c r="A13" s="2" t="inlineStr">
        <is>
          <t>90+ days MT</t>
        </is>
      </c>
      <c r="B13" s="2" t="inlineStr">
        <is>
          <t>SUMIFS(Production!J:J, Production!A:A, "Hyderabad", Production!K:K, "90+")</t>
        </is>
      </c>
      <c r="C13" s="2" t="inlineStr">
        <is>
          <t>Same for 0-30 / 31-60 / 61-90</t>
        </is>
      </c>
    </row>
    <row r="14">
      <c r="A14" s="2" t="inlineStr">
        <is>
          <t>Oldest stock</t>
        </is>
      </c>
      <c r="B14" s="2" t="inlineStr">
        <is>
          <t>MAXIFS(Production!F:F, Production!A:A, "Hyderabad", Production!I:I, "&gt;0")</t>
        </is>
      </c>
      <c r="C14" s="2" t="inlineStr">
        <is>
          <t>Age of the oldest batch that still has pieces</t>
        </is>
      </c>
    </row>
    <row r="15">
      <c r="A15" s="2" t="inlineStr">
        <is>
          <t>Weighted-avg age</t>
        </is>
      </c>
      <c r="B15" s="2" t="inlineStr">
        <is>
          <t>SUMPRODUCT((Production!A:A="Hyderabad")*Production!J:J, Production!F:F) / On-hand MT</t>
        </is>
      </c>
      <c r="C15" s="2" t="inlineStr">
        <is>
          <t>Average age, heavier batches count more</t>
        </is>
      </c>
    </row>
    <row r="16">
      <c r="A16" s="2" t="inlineStr"/>
      <c r="B16" s="2" t="n"/>
      <c r="C16" s="2" t="n"/>
    </row>
    <row r="17">
      <c r="A17" s="3" t="inlineStr">
        <is>
          <t>To reuse with your own data</t>
        </is>
      </c>
      <c r="B17" s="3" t="inlineStr"/>
      <c r="C17" s="3" t="inlineStr"/>
    </row>
    <row r="18">
      <c r="A18" s="2" t="inlineStr">
        <is>
          <t>a.</t>
        </is>
      </c>
      <c r="B18" s="2" t="inlineStr">
        <is>
          <t>Production sheet: one row per Plant + SKU + production date (add up same-day batches into one row)</t>
        </is>
      </c>
      <c r="C18" s="2" t="inlineStr"/>
    </row>
    <row r="19">
      <c r="A19" s="2" t="inlineStr">
        <is>
          <t>b.</t>
        </is>
      </c>
      <c r="B19" s="2" t="inlineStr">
        <is>
          <t>Dispatched sheet: total pcs ever dispatched per Plant + SKU</t>
        </is>
      </c>
      <c r="C19" s="2" t="inlineStr"/>
    </row>
    <row r="20">
      <c r="A20" s="2" t="inlineStr">
        <is>
          <t>c.</t>
        </is>
      </c>
      <c r="B20" s="2" t="inlineStr">
        <is>
          <t>Copy the green formula columns F–K down to your last row</t>
        </is>
      </c>
      <c r="C20" s="2" t="inlineStr"/>
    </row>
    <row r="21">
      <c r="A21" s="2" t="inlineStr">
        <is>
          <t>d.</t>
        </is>
      </c>
      <c r="B21" s="2" t="inlineStr">
        <is>
          <t>Plant and SKU must be spelled the same on both sheets</t>
        </is>
      </c>
      <c r="C21" s="2" t="inlineStr"/>
    </row>
    <row r="22">
      <c r="A22" s="2" t="inlineStr"/>
      <c r="B22" s="2" t="n"/>
      <c r="C22" s="2" t="n"/>
    </row>
    <row r="23">
      <c r="A23" s="2" t="inlineStr">
        <is>
          <t>Source</t>
        </is>
      </c>
      <c r="B23" s="2" t="inlineStr">
        <is>
          <t>Live Supabase data (productions + dispatches), pulled 12-Oct-2026. Same logic as scripts/sku-ageing-by-plant.sql.</t>
        </is>
      </c>
      <c r="C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4" t="inlineStr">
        <is>
          <t>Finished-stock ageing by plant (FIFO)</t>
        </is>
      </c>
    </row>
    <row r="2">
      <c r="A2" s="5" t="inlineStr">
        <is>
          <t>Ageing as on</t>
        </is>
      </c>
      <c r="B2" s="6" t="n">
        <v>46307</v>
      </c>
      <c r="C2" s="7" t="inlineStr">
        <is>
          <t>← change this date (or type =TODAY()) and every sheet re-ages</t>
        </is>
      </c>
    </row>
    <row r="4" ht="32" customHeight="1">
      <c r="A4" s="8" t="inlineStr">
        <is>
          <t>Plant</t>
        </is>
      </c>
      <c r="B4" s="8" t="inlineStr">
        <is>
          <t>SKUs in stock</t>
        </is>
      </c>
      <c r="C4" s="8" t="inlineStr">
        <is>
          <t>On-hand pcs</t>
        </is>
      </c>
      <c r="D4" s="8" t="inlineStr">
        <is>
          <t>On-hand MT</t>
        </is>
      </c>
      <c r="E4" s="8" t="inlineStr">
        <is>
          <t>0–30 days MT</t>
        </is>
      </c>
      <c r="F4" s="8" t="inlineStr">
        <is>
          <t>31–60 days MT</t>
        </is>
      </c>
      <c r="G4" s="8" t="inlineStr">
        <is>
          <t>61–90 days MT</t>
        </is>
      </c>
      <c r="H4" s="8" t="inlineStr">
        <is>
          <t>90+ days MT</t>
        </is>
      </c>
      <c r="I4" s="8" t="inlineStr">
        <is>
          <t>% aged 90+</t>
        </is>
      </c>
      <c r="J4" s="8" t="inlineStr">
        <is>
          <t>Oldest stock (days)</t>
        </is>
      </c>
      <c r="K4" s="8" t="inlineStr">
        <is>
          <t>Wtd-avg age (days)</t>
        </is>
      </c>
    </row>
    <row r="5">
      <c r="A5" s="9" t="inlineStr">
        <is>
          <t>Hyderabad</t>
        </is>
      </c>
      <c r="B5" s="10">
        <f>COUNTIFS('SKU Ageing'!$A:$A,A5,'SKU Ageing'!$E:$E,"&gt;0")</f>
        <v/>
      </c>
      <c r="C5" s="11">
        <f>SUMIFS(Production!$I$2:$I$5000,Production!$A$2:$A$5000,A5)</f>
        <v/>
      </c>
      <c r="D5" s="12">
        <f>SUMIFS(Production!$J$2:$J$5000,Production!$A$2:$A$5000,A5)</f>
        <v/>
      </c>
      <c r="E5" s="12">
        <f>SUMIFS(Production!$J$2:$J$5000,Production!$A$2:$A$5000,$A5,Production!$K$2:$K$5000,"0-30")</f>
        <v/>
      </c>
      <c r="F5" s="12">
        <f>SUMIFS(Production!$J$2:$J$5000,Production!$A$2:$A$5000,$A5,Production!$K$2:$K$5000,"31-60")</f>
        <v/>
      </c>
      <c r="G5" s="12">
        <f>SUMIFS(Production!$J$2:$J$5000,Production!$A$2:$A$5000,$A5,Production!$K$2:$K$5000,"61-90")</f>
        <v/>
      </c>
      <c r="H5" s="12">
        <f>SUMIFS(Production!$J$2:$J$5000,Production!$A$2:$A$5000,$A5,Production!$K$2:$K$5000,"90+")</f>
        <v/>
      </c>
      <c r="I5" s="13">
        <f>IF(D5=0,0,H5/D5)</f>
        <v/>
      </c>
      <c r="J5" s="14">
        <f>IFERROR(_xlfn.MAXIFS(Production!$F$2:$F$5000,Production!$A$2:$A$5000,A5,Production!$I$2:$I$5000,"&gt;0"),0)</f>
        <v/>
      </c>
      <c r="K5" s="15">
        <f>IF(D5=0,0,SUMPRODUCT((Production!$A$2:$A$5000=A5)*Production!$J$2:$J$5000,Production!$F$2:$F$5000)/D5)</f>
        <v/>
      </c>
    </row>
    <row r="6">
      <c r="A6" s="9" t="inlineStr">
        <is>
          <t>Lepakshi</t>
        </is>
      </c>
      <c r="B6" s="10">
        <f>COUNTIFS('SKU Ageing'!$A:$A,A6,'SKU Ageing'!$E:$E,"&gt;0")</f>
        <v/>
      </c>
      <c r="C6" s="11">
        <f>SUMIFS(Production!$I$2:$I$5000,Production!$A$2:$A$5000,A6)</f>
        <v/>
      </c>
      <c r="D6" s="12">
        <f>SUMIFS(Production!$J$2:$J$5000,Production!$A$2:$A$5000,A6)</f>
        <v/>
      </c>
      <c r="E6" s="12">
        <f>SUMIFS(Production!$J$2:$J$5000,Production!$A$2:$A$5000,$A6,Production!$K$2:$K$5000,"0-30")</f>
        <v/>
      </c>
      <c r="F6" s="12">
        <f>SUMIFS(Production!$J$2:$J$5000,Production!$A$2:$A$5000,$A6,Production!$K$2:$K$5000,"31-60")</f>
        <v/>
      </c>
      <c r="G6" s="12">
        <f>SUMIFS(Production!$J$2:$J$5000,Production!$A$2:$A$5000,$A6,Production!$K$2:$K$5000,"61-90")</f>
        <v/>
      </c>
      <c r="H6" s="12">
        <f>SUMIFS(Production!$J$2:$J$5000,Production!$A$2:$A$5000,$A6,Production!$K$2:$K$5000,"90+")</f>
        <v/>
      </c>
      <c r="I6" s="13">
        <f>IF(D6=0,0,H6/D6)</f>
        <v/>
      </c>
      <c r="J6" s="14">
        <f>IFERROR(_xlfn.MAXIFS(Production!$F$2:$F$5000,Production!$A$2:$A$5000,A6,Production!$I$2:$I$5000,"&gt;0"),0)</f>
        <v/>
      </c>
      <c r="K6" s="15">
        <f>IF(D6=0,0,SUMPRODUCT((Production!$A$2:$A$5000=A6)*Production!$J$2:$J$5000,Production!$F$2:$F$5000)/D6)</f>
        <v/>
      </c>
    </row>
    <row r="7">
      <c r="A7" s="9" t="inlineStr">
        <is>
          <t>NPMD</t>
        </is>
      </c>
      <c r="B7" s="10">
        <f>COUNTIFS('SKU Ageing'!$A:$A,A7,'SKU Ageing'!$E:$E,"&gt;0")</f>
        <v/>
      </c>
      <c r="C7" s="11">
        <f>SUMIFS(Production!$I$2:$I$5000,Production!$A$2:$A$5000,A7)</f>
        <v/>
      </c>
      <c r="D7" s="12">
        <f>SUMIFS(Production!$J$2:$J$5000,Production!$A$2:$A$5000,A7)</f>
        <v/>
      </c>
      <c r="E7" s="12">
        <f>SUMIFS(Production!$J$2:$J$5000,Production!$A$2:$A$5000,$A7,Production!$K$2:$K$5000,"0-30")</f>
        <v/>
      </c>
      <c r="F7" s="12">
        <f>SUMIFS(Production!$J$2:$J$5000,Production!$A$2:$A$5000,$A7,Production!$K$2:$K$5000,"31-60")</f>
        <v/>
      </c>
      <c r="G7" s="12">
        <f>SUMIFS(Production!$J$2:$J$5000,Production!$A$2:$A$5000,$A7,Production!$K$2:$K$5000,"61-90")</f>
        <v/>
      </c>
      <c r="H7" s="12">
        <f>SUMIFS(Production!$J$2:$J$5000,Production!$A$2:$A$5000,$A7,Production!$K$2:$K$5000,"90+")</f>
        <v/>
      </c>
      <c r="I7" s="13">
        <f>IF(D7=0,0,H7/D7)</f>
        <v/>
      </c>
      <c r="J7" s="14">
        <f>IFERROR(_xlfn.MAXIFS(Production!$F$2:$F$5000,Production!$A$2:$A$5000,A7,Production!$I$2:$I$5000,"&gt;0"),0)</f>
        <v/>
      </c>
      <c r="K7" s="15">
        <f>IF(D7=0,0,SUMPRODUCT((Production!$A$2:$A$5000=A7)*Production!$J$2:$J$5000,Production!$F$2:$F$5000)/D7)</f>
        <v/>
      </c>
    </row>
    <row r="8">
      <c r="A8" s="9" t="inlineStr">
        <is>
          <t>Tapi</t>
        </is>
      </c>
      <c r="B8" s="10">
        <f>COUNTIFS('SKU Ageing'!$A:$A,A8,'SKU Ageing'!$E:$E,"&gt;0")</f>
        <v/>
      </c>
      <c r="C8" s="11">
        <f>SUMIFS(Production!$I$2:$I$5000,Production!$A$2:$A$5000,A8)</f>
        <v/>
      </c>
      <c r="D8" s="12">
        <f>SUMIFS(Production!$J$2:$J$5000,Production!$A$2:$A$5000,A8)</f>
        <v/>
      </c>
      <c r="E8" s="12">
        <f>SUMIFS(Production!$J$2:$J$5000,Production!$A$2:$A$5000,$A8,Production!$K$2:$K$5000,"0-30")</f>
        <v/>
      </c>
      <c r="F8" s="12">
        <f>SUMIFS(Production!$J$2:$J$5000,Production!$A$2:$A$5000,$A8,Production!$K$2:$K$5000,"31-60")</f>
        <v/>
      </c>
      <c r="G8" s="12">
        <f>SUMIFS(Production!$J$2:$J$5000,Production!$A$2:$A$5000,$A8,Production!$K$2:$K$5000,"61-90")</f>
        <v/>
      </c>
      <c r="H8" s="12">
        <f>SUMIFS(Production!$J$2:$J$5000,Production!$A$2:$A$5000,$A8,Production!$K$2:$K$5000,"90+")</f>
        <v/>
      </c>
      <c r="I8" s="13">
        <f>IF(D8=0,0,H8/D8)</f>
        <v/>
      </c>
      <c r="J8" s="14">
        <f>IFERROR(_xlfn.MAXIFS(Production!$F$2:$F$5000,Production!$A$2:$A$5000,A8,Production!$I$2:$I$5000,"&gt;0"),0)</f>
        <v/>
      </c>
      <c r="K8" s="15">
        <f>IF(D8=0,0,SUMPRODUCT((Production!$A$2:$A$5000=A8)*Production!$J$2:$J$5000,Production!$F$2:$F$5000)/D8)</f>
        <v/>
      </c>
    </row>
    <row r="9">
      <c r="A9" s="16" t="inlineStr">
        <is>
          <t>All plants</t>
        </is>
      </c>
      <c r="B9" s="17">
        <f>SUM(B5:B8)</f>
        <v/>
      </c>
      <c r="C9" s="18">
        <f>SUM(C5:C8)</f>
        <v/>
      </c>
      <c r="D9" s="19">
        <f>SUM(D5:D8)</f>
        <v/>
      </c>
      <c r="E9" s="19">
        <f>SUM(E5:E8)</f>
        <v/>
      </c>
      <c r="F9" s="19">
        <f>SUM(F5:F8)</f>
        <v/>
      </c>
      <c r="G9" s="19">
        <f>SUM(G5:G8)</f>
        <v/>
      </c>
      <c r="H9" s="19">
        <f>SUM(H5:H8)</f>
        <v/>
      </c>
      <c r="I9" s="20">
        <f>IF(D9=0,0,H9/D9)</f>
        <v/>
      </c>
      <c r="J9" s="21">
        <f>MAX(J5:J8)</f>
        <v/>
      </c>
      <c r="K9" s="22">
        <f>IF(D9=0,0,SUMPRODUCT(Production!$J$2:$J$5000,Production!$F$2:$F$5000)/D9)</f>
        <v/>
      </c>
    </row>
    <row r="11">
      <c r="A11" s="7" t="inlineStr">
        <is>
          <t>Green cells are formulas — don't type over them. Yellow cells are inputs.</t>
        </is>
      </c>
    </row>
  </sheetData>
  <conditionalFormatting sqref="H5:H9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4" customWidth="1" min="13" max="13"/>
  </cols>
  <sheetData>
    <row r="1" ht="32" customHeight="1">
      <c r="A1" s="8" t="inlineStr">
        <is>
          <t>Plant</t>
        </is>
      </c>
      <c r="B1" s="8" t="inlineStr">
        <is>
          <t>SKU</t>
        </is>
      </c>
      <c r="C1" s="8" t="inlineStr">
        <is>
          <t>Produced pcs</t>
        </is>
      </c>
      <c r="D1" s="8" t="inlineStr">
        <is>
          <t>Dispatched pcs</t>
        </is>
      </c>
      <c r="E1" s="8" t="inlineStr">
        <is>
          <t>On-hand pcs</t>
        </is>
      </c>
      <c r="F1" s="8" t="inlineStr">
        <is>
          <t>On-hand MT</t>
        </is>
      </c>
      <c r="G1" s="8" t="inlineStr">
        <is>
          <t>0–30 days MT</t>
        </is>
      </c>
      <c r="H1" s="8" t="inlineStr">
        <is>
          <t>31–60 days MT</t>
        </is>
      </c>
      <c r="I1" s="8" t="inlineStr">
        <is>
          <t>61–90 days MT</t>
        </is>
      </c>
      <c r="J1" s="8" t="inlineStr">
        <is>
          <t>90+ days MT</t>
        </is>
      </c>
      <c r="K1" s="8" t="inlineStr">
        <is>
          <t>Oldest stock (days)</t>
        </is>
      </c>
      <c r="L1" s="8" t="inlineStr">
        <is>
          <t>Wtd-avg age (days)</t>
        </is>
      </c>
      <c r="M1" s="8" t="inlineStr">
        <is>
          <t>Check</t>
        </is>
      </c>
    </row>
    <row r="2">
      <c r="A2" s="9" t="inlineStr">
        <is>
          <t>Hyderabad</t>
        </is>
      </c>
      <c r="B2" s="9" t="inlineStr">
        <is>
          <t>38X38X2</t>
        </is>
      </c>
      <c r="C2" s="11">
        <f>SUMIFS(Production!$D$2:$D$5000,Production!$A$2:$A$5000,$A2,Production!$B$2:$B$5000,$B2)</f>
        <v/>
      </c>
      <c r="D2" s="11">
        <f>SUMIFS(Dispatched!$C$2:$C$5000,Dispatched!$A$2:$A$5000,$A2,Dispatched!$B$2:$B$5000,$B2)</f>
        <v/>
      </c>
      <c r="E2" s="11">
        <f>SUMIFS(Production!$I$2:$I$5000,Production!$A$2:$A$5000,$A2,Production!$B$2:$B$5000,$B2)</f>
        <v/>
      </c>
      <c r="F2" s="23">
        <f>SUMIFS(Production!$J$2:$J$5000,Production!$A$2:$A$5000,$A2,Production!$B$2:$B$5000,$B2)</f>
        <v/>
      </c>
      <c r="G2" s="23">
        <f>SUMIFS(Production!$J$2:$J$5000,Production!$A$2:$A$5000,$A2,Production!$B$2:$B$5000,$B2,Production!$K$2:$K$5000,"0-30")</f>
        <v/>
      </c>
      <c r="H2" s="23">
        <f>SUMIFS(Production!$J$2:$J$5000,Production!$A$2:$A$5000,$A2,Production!$B$2:$B$5000,$B2,Production!$K$2:$K$5000,"31-60")</f>
        <v/>
      </c>
      <c r="I2" s="23">
        <f>SUMIFS(Production!$J$2:$J$5000,Production!$A$2:$A$5000,$A2,Production!$B$2:$B$5000,$B2,Production!$K$2:$K$5000,"61-90")</f>
        <v/>
      </c>
      <c r="J2" s="23">
        <f>SUMIFS(Production!$J$2:$J$5000,Production!$A$2:$A$5000,$A2,Production!$B$2:$B$5000,$B2,Production!$K$2:$K$5000,"90+")</f>
        <v/>
      </c>
      <c r="K2" s="14">
        <f>IF(E2=0,"",_xlfn.MAXIFS(Production!$F$2:$F$5000,Production!$A$2:$A$5000,$A2,Production!$B$2:$B$5000,$B2,Production!$I$2:$I$5000,"&gt;0"))</f>
        <v/>
      </c>
      <c r="L2" s="15">
        <f>IF(F2=0,"",SUMPRODUCT((Production!$A$2:$A$5000=$A2)*(Production!$B$2:$B$5000=$B2)*Production!$J$2:$J$5000,Production!$F$2:$F$5000)/F2)</f>
        <v/>
      </c>
      <c r="M2" s="10">
        <f>IF(D2&gt;C2,"Dispatched more than produced — opening stock / data gap","")</f>
        <v/>
      </c>
    </row>
    <row r="3">
      <c r="A3" s="9" t="inlineStr">
        <is>
          <t>Hyderabad</t>
        </is>
      </c>
      <c r="B3" s="9" t="inlineStr">
        <is>
          <t>60X40X2</t>
        </is>
      </c>
      <c r="C3" s="11">
        <f>SUMIFS(Production!$D$2:$D$5000,Production!$A$2:$A$5000,$A3,Production!$B$2:$B$5000,$B3)</f>
        <v/>
      </c>
      <c r="D3" s="11">
        <f>SUMIFS(Dispatched!$C$2:$C$5000,Dispatched!$A$2:$A$5000,$A3,Dispatched!$B$2:$B$5000,$B3)</f>
        <v/>
      </c>
      <c r="E3" s="11">
        <f>SUMIFS(Production!$I$2:$I$5000,Production!$A$2:$A$5000,$A3,Production!$B$2:$B$5000,$B3)</f>
        <v/>
      </c>
      <c r="F3" s="23">
        <f>SUMIFS(Production!$J$2:$J$5000,Production!$A$2:$A$5000,$A3,Production!$B$2:$B$5000,$B3)</f>
        <v/>
      </c>
      <c r="G3" s="23">
        <f>SUMIFS(Production!$J$2:$J$5000,Production!$A$2:$A$5000,$A3,Production!$B$2:$B$5000,$B3,Production!$K$2:$K$5000,"0-30")</f>
        <v/>
      </c>
      <c r="H3" s="23">
        <f>SUMIFS(Production!$J$2:$J$5000,Production!$A$2:$A$5000,$A3,Production!$B$2:$B$5000,$B3,Production!$K$2:$K$5000,"31-60")</f>
        <v/>
      </c>
      <c r="I3" s="23">
        <f>SUMIFS(Production!$J$2:$J$5000,Production!$A$2:$A$5000,$A3,Production!$B$2:$B$5000,$B3,Production!$K$2:$K$5000,"61-90")</f>
        <v/>
      </c>
      <c r="J3" s="23">
        <f>SUMIFS(Production!$J$2:$J$5000,Production!$A$2:$A$5000,$A3,Production!$B$2:$B$5000,$B3,Production!$K$2:$K$5000,"90+")</f>
        <v/>
      </c>
      <c r="K3" s="14">
        <f>IF(E3=0,"",_xlfn.MAXIFS(Production!$F$2:$F$5000,Production!$A$2:$A$5000,$A3,Production!$B$2:$B$5000,$B3,Production!$I$2:$I$5000,"&gt;0"))</f>
        <v/>
      </c>
      <c r="L3" s="15">
        <f>IF(F3=0,"",SUMPRODUCT((Production!$A$2:$A$5000=$A3)*(Production!$B$2:$B$5000=$B3)*Production!$J$2:$J$5000,Production!$F$2:$F$5000)/F3)</f>
        <v/>
      </c>
      <c r="M3" s="10">
        <f>IF(D3&gt;C3,"Dispatched more than produced — opening stock / data gap","")</f>
        <v/>
      </c>
    </row>
    <row r="4">
      <c r="A4" s="9" t="inlineStr">
        <is>
          <t>Hyderabad</t>
        </is>
      </c>
      <c r="B4" s="9" t="inlineStr">
        <is>
          <t>50X50X2.8</t>
        </is>
      </c>
      <c r="C4" s="11">
        <f>SUMIFS(Production!$D$2:$D$5000,Production!$A$2:$A$5000,$A4,Production!$B$2:$B$5000,$B4)</f>
        <v/>
      </c>
      <c r="D4" s="11">
        <f>SUMIFS(Dispatched!$C$2:$C$5000,Dispatched!$A$2:$A$5000,$A4,Dispatched!$B$2:$B$5000,$B4)</f>
        <v/>
      </c>
      <c r="E4" s="11">
        <f>SUMIFS(Production!$I$2:$I$5000,Production!$A$2:$A$5000,$A4,Production!$B$2:$B$5000,$B4)</f>
        <v/>
      </c>
      <c r="F4" s="23">
        <f>SUMIFS(Production!$J$2:$J$5000,Production!$A$2:$A$5000,$A4,Production!$B$2:$B$5000,$B4)</f>
        <v/>
      </c>
      <c r="G4" s="23">
        <f>SUMIFS(Production!$J$2:$J$5000,Production!$A$2:$A$5000,$A4,Production!$B$2:$B$5000,$B4,Production!$K$2:$K$5000,"0-30")</f>
        <v/>
      </c>
      <c r="H4" s="23">
        <f>SUMIFS(Production!$J$2:$J$5000,Production!$A$2:$A$5000,$A4,Production!$B$2:$B$5000,$B4,Production!$K$2:$K$5000,"31-60")</f>
        <v/>
      </c>
      <c r="I4" s="23">
        <f>SUMIFS(Production!$J$2:$J$5000,Production!$A$2:$A$5000,$A4,Production!$B$2:$B$5000,$B4,Production!$K$2:$K$5000,"61-90")</f>
        <v/>
      </c>
      <c r="J4" s="23">
        <f>SUMIFS(Production!$J$2:$J$5000,Production!$A$2:$A$5000,$A4,Production!$B$2:$B$5000,$B4,Production!$K$2:$K$5000,"90+")</f>
        <v/>
      </c>
      <c r="K4" s="14">
        <f>IF(E4=0,"",_xlfn.MAXIFS(Production!$F$2:$F$5000,Production!$A$2:$A$5000,$A4,Production!$B$2:$B$5000,$B4,Production!$I$2:$I$5000,"&gt;0"))</f>
        <v/>
      </c>
      <c r="L4" s="15">
        <f>IF(F4=0,"",SUMPRODUCT((Production!$A$2:$A$5000=$A4)*(Production!$B$2:$B$5000=$B4)*Production!$J$2:$J$5000,Production!$F$2:$F$5000)/F4)</f>
        <v/>
      </c>
      <c r="M4" s="10">
        <f>IF(D4&gt;C4,"Dispatched more than produced — opening stock / data gap","")</f>
        <v/>
      </c>
    </row>
    <row r="5">
      <c r="A5" s="9" t="inlineStr">
        <is>
          <t>Hyderabad</t>
        </is>
      </c>
      <c r="B5" s="9" t="inlineStr">
        <is>
          <t>50X50X1.6</t>
        </is>
      </c>
      <c r="C5" s="11">
        <f>SUMIFS(Production!$D$2:$D$5000,Production!$A$2:$A$5000,$A5,Production!$B$2:$B$5000,$B5)</f>
        <v/>
      </c>
      <c r="D5" s="11">
        <f>SUMIFS(Dispatched!$C$2:$C$5000,Dispatched!$A$2:$A$5000,$A5,Dispatched!$B$2:$B$5000,$B5)</f>
        <v/>
      </c>
      <c r="E5" s="11">
        <f>SUMIFS(Production!$I$2:$I$5000,Production!$A$2:$A$5000,$A5,Production!$B$2:$B$5000,$B5)</f>
        <v/>
      </c>
      <c r="F5" s="23">
        <f>SUMIFS(Production!$J$2:$J$5000,Production!$A$2:$A$5000,$A5,Production!$B$2:$B$5000,$B5)</f>
        <v/>
      </c>
      <c r="G5" s="23">
        <f>SUMIFS(Production!$J$2:$J$5000,Production!$A$2:$A$5000,$A5,Production!$B$2:$B$5000,$B5,Production!$K$2:$K$5000,"0-30")</f>
        <v/>
      </c>
      <c r="H5" s="23">
        <f>SUMIFS(Production!$J$2:$J$5000,Production!$A$2:$A$5000,$A5,Production!$B$2:$B$5000,$B5,Production!$K$2:$K$5000,"31-60")</f>
        <v/>
      </c>
      <c r="I5" s="23">
        <f>SUMIFS(Production!$J$2:$J$5000,Production!$A$2:$A$5000,$A5,Production!$B$2:$B$5000,$B5,Production!$K$2:$K$5000,"61-90")</f>
        <v/>
      </c>
      <c r="J5" s="23">
        <f>SUMIFS(Production!$J$2:$J$5000,Production!$A$2:$A$5000,$A5,Production!$B$2:$B$5000,$B5,Production!$K$2:$K$5000,"90+")</f>
        <v/>
      </c>
      <c r="K5" s="14">
        <f>IF(E5=0,"",_xlfn.MAXIFS(Production!$F$2:$F$5000,Production!$A$2:$A$5000,$A5,Production!$B$2:$B$5000,$B5,Production!$I$2:$I$5000,"&gt;0"))</f>
        <v/>
      </c>
      <c r="L5" s="15">
        <f>IF(F5=0,"",SUMPRODUCT((Production!$A$2:$A$5000=$A5)*(Production!$B$2:$B$5000=$B5)*Production!$J$2:$J$5000,Production!$F$2:$F$5000)/F5)</f>
        <v/>
      </c>
      <c r="M5" s="10">
        <f>IF(D5&gt;C5,"Dispatched more than produced — opening stock / data gap","")</f>
        <v/>
      </c>
    </row>
    <row r="6">
      <c r="A6" s="9" t="inlineStr">
        <is>
          <t>Hyderabad</t>
        </is>
      </c>
      <c r="B6" s="9" t="inlineStr">
        <is>
          <t>60X40X1.6</t>
        </is>
      </c>
      <c r="C6" s="11">
        <f>SUMIFS(Production!$D$2:$D$5000,Production!$A$2:$A$5000,$A6,Production!$B$2:$B$5000,$B6)</f>
        <v/>
      </c>
      <c r="D6" s="11">
        <f>SUMIFS(Dispatched!$C$2:$C$5000,Dispatched!$A$2:$A$5000,$A6,Dispatched!$B$2:$B$5000,$B6)</f>
        <v/>
      </c>
      <c r="E6" s="11">
        <f>SUMIFS(Production!$I$2:$I$5000,Production!$A$2:$A$5000,$A6,Production!$B$2:$B$5000,$B6)</f>
        <v/>
      </c>
      <c r="F6" s="23">
        <f>SUMIFS(Production!$J$2:$J$5000,Production!$A$2:$A$5000,$A6,Production!$B$2:$B$5000,$B6)</f>
        <v/>
      </c>
      <c r="G6" s="23">
        <f>SUMIFS(Production!$J$2:$J$5000,Production!$A$2:$A$5000,$A6,Production!$B$2:$B$5000,$B6,Production!$K$2:$K$5000,"0-30")</f>
        <v/>
      </c>
      <c r="H6" s="23">
        <f>SUMIFS(Production!$J$2:$J$5000,Production!$A$2:$A$5000,$A6,Production!$B$2:$B$5000,$B6,Production!$K$2:$K$5000,"31-60")</f>
        <v/>
      </c>
      <c r="I6" s="23">
        <f>SUMIFS(Production!$J$2:$J$5000,Production!$A$2:$A$5000,$A6,Production!$B$2:$B$5000,$B6,Production!$K$2:$K$5000,"61-90")</f>
        <v/>
      </c>
      <c r="J6" s="23">
        <f>SUMIFS(Production!$J$2:$J$5000,Production!$A$2:$A$5000,$A6,Production!$B$2:$B$5000,$B6,Production!$K$2:$K$5000,"90+")</f>
        <v/>
      </c>
      <c r="K6" s="14">
        <f>IF(E6=0,"",_xlfn.MAXIFS(Production!$F$2:$F$5000,Production!$A$2:$A$5000,$A6,Production!$B$2:$B$5000,$B6,Production!$I$2:$I$5000,"&gt;0"))</f>
        <v/>
      </c>
      <c r="L6" s="15">
        <f>IF(F6=0,"",SUMPRODUCT((Production!$A$2:$A$5000=$A6)*(Production!$B$2:$B$5000=$B6)*Production!$J$2:$J$5000,Production!$F$2:$F$5000)/F6)</f>
        <v/>
      </c>
      <c r="M6" s="10">
        <f>IF(D6&gt;C6,"Dispatched more than produced — opening stock / data gap","")</f>
        <v/>
      </c>
    </row>
    <row r="7">
      <c r="A7" s="9" t="inlineStr">
        <is>
          <t>Hyderabad</t>
        </is>
      </c>
      <c r="B7" s="9" t="inlineStr">
        <is>
          <t>32NBX2.5</t>
        </is>
      </c>
      <c r="C7" s="11">
        <f>SUMIFS(Production!$D$2:$D$5000,Production!$A$2:$A$5000,$A7,Production!$B$2:$B$5000,$B7)</f>
        <v/>
      </c>
      <c r="D7" s="11">
        <f>SUMIFS(Dispatched!$C$2:$C$5000,Dispatched!$A$2:$A$5000,$A7,Dispatched!$B$2:$B$5000,$B7)</f>
        <v/>
      </c>
      <c r="E7" s="11">
        <f>SUMIFS(Production!$I$2:$I$5000,Production!$A$2:$A$5000,$A7,Production!$B$2:$B$5000,$B7)</f>
        <v/>
      </c>
      <c r="F7" s="23">
        <f>SUMIFS(Production!$J$2:$J$5000,Production!$A$2:$A$5000,$A7,Production!$B$2:$B$5000,$B7)</f>
        <v/>
      </c>
      <c r="G7" s="23">
        <f>SUMIFS(Production!$J$2:$J$5000,Production!$A$2:$A$5000,$A7,Production!$B$2:$B$5000,$B7,Production!$K$2:$K$5000,"0-30")</f>
        <v/>
      </c>
      <c r="H7" s="23">
        <f>SUMIFS(Production!$J$2:$J$5000,Production!$A$2:$A$5000,$A7,Production!$B$2:$B$5000,$B7,Production!$K$2:$K$5000,"31-60")</f>
        <v/>
      </c>
      <c r="I7" s="23">
        <f>SUMIFS(Production!$J$2:$J$5000,Production!$A$2:$A$5000,$A7,Production!$B$2:$B$5000,$B7,Production!$K$2:$K$5000,"61-90")</f>
        <v/>
      </c>
      <c r="J7" s="23">
        <f>SUMIFS(Production!$J$2:$J$5000,Production!$A$2:$A$5000,$A7,Production!$B$2:$B$5000,$B7,Production!$K$2:$K$5000,"90+")</f>
        <v/>
      </c>
      <c r="K7" s="14">
        <f>IF(E7=0,"",_xlfn.MAXIFS(Production!$F$2:$F$5000,Production!$A$2:$A$5000,$A7,Production!$B$2:$B$5000,$B7,Production!$I$2:$I$5000,"&gt;0"))</f>
        <v/>
      </c>
      <c r="L7" s="15">
        <f>IF(F7=0,"",SUMPRODUCT((Production!$A$2:$A$5000=$A7)*(Production!$B$2:$B$5000=$B7)*Production!$J$2:$J$5000,Production!$F$2:$F$5000)/F7)</f>
        <v/>
      </c>
      <c r="M7" s="10">
        <f>IF(D7&gt;C7,"Dispatched more than produced — opening stock / data gap","")</f>
        <v/>
      </c>
    </row>
    <row r="8">
      <c r="A8" s="9" t="inlineStr">
        <is>
          <t>Hyderabad</t>
        </is>
      </c>
      <c r="B8" s="9" t="inlineStr">
        <is>
          <t>50NBX2</t>
        </is>
      </c>
      <c r="C8" s="11">
        <f>SUMIFS(Production!$D$2:$D$5000,Production!$A$2:$A$5000,$A8,Production!$B$2:$B$5000,$B8)</f>
        <v/>
      </c>
      <c r="D8" s="11">
        <f>SUMIFS(Dispatched!$C$2:$C$5000,Dispatched!$A$2:$A$5000,$A8,Dispatched!$B$2:$B$5000,$B8)</f>
        <v/>
      </c>
      <c r="E8" s="11">
        <f>SUMIFS(Production!$I$2:$I$5000,Production!$A$2:$A$5000,$A8,Production!$B$2:$B$5000,$B8)</f>
        <v/>
      </c>
      <c r="F8" s="23">
        <f>SUMIFS(Production!$J$2:$J$5000,Production!$A$2:$A$5000,$A8,Production!$B$2:$B$5000,$B8)</f>
        <v/>
      </c>
      <c r="G8" s="23">
        <f>SUMIFS(Production!$J$2:$J$5000,Production!$A$2:$A$5000,$A8,Production!$B$2:$B$5000,$B8,Production!$K$2:$K$5000,"0-30")</f>
        <v/>
      </c>
      <c r="H8" s="23">
        <f>SUMIFS(Production!$J$2:$J$5000,Production!$A$2:$A$5000,$A8,Production!$B$2:$B$5000,$B8,Production!$K$2:$K$5000,"31-60")</f>
        <v/>
      </c>
      <c r="I8" s="23">
        <f>SUMIFS(Production!$J$2:$J$5000,Production!$A$2:$A$5000,$A8,Production!$B$2:$B$5000,$B8,Production!$K$2:$K$5000,"61-90")</f>
        <v/>
      </c>
      <c r="J8" s="23">
        <f>SUMIFS(Production!$J$2:$J$5000,Production!$A$2:$A$5000,$A8,Production!$B$2:$B$5000,$B8,Production!$K$2:$K$5000,"90+")</f>
        <v/>
      </c>
      <c r="K8" s="14">
        <f>IF(E8=0,"",_xlfn.MAXIFS(Production!$F$2:$F$5000,Production!$A$2:$A$5000,$A8,Production!$B$2:$B$5000,$B8,Production!$I$2:$I$5000,"&gt;0"))</f>
        <v/>
      </c>
      <c r="L8" s="15">
        <f>IF(F8=0,"",SUMPRODUCT((Production!$A$2:$A$5000=$A8)*(Production!$B$2:$B$5000=$B8)*Production!$J$2:$J$5000,Production!$F$2:$F$5000)/F8)</f>
        <v/>
      </c>
      <c r="M8" s="10">
        <f>IF(D8&gt;C8,"Dispatched more than produced — opening stock / data gap","")</f>
        <v/>
      </c>
    </row>
    <row r="9">
      <c r="A9" s="9" t="inlineStr">
        <is>
          <t>Hyderabad</t>
        </is>
      </c>
      <c r="B9" s="9" t="inlineStr">
        <is>
          <t>80NBX2.5</t>
        </is>
      </c>
      <c r="C9" s="11">
        <f>SUMIFS(Production!$D$2:$D$5000,Production!$A$2:$A$5000,$A9,Production!$B$2:$B$5000,$B9)</f>
        <v/>
      </c>
      <c r="D9" s="11">
        <f>SUMIFS(Dispatched!$C$2:$C$5000,Dispatched!$A$2:$A$5000,$A9,Dispatched!$B$2:$B$5000,$B9)</f>
        <v/>
      </c>
      <c r="E9" s="11">
        <f>SUMIFS(Production!$I$2:$I$5000,Production!$A$2:$A$5000,$A9,Production!$B$2:$B$5000,$B9)</f>
        <v/>
      </c>
      <c r="F9" s="23">
        <f>SUMIFS(Production!$J$2:$J$5000,Production!$A$2:$A$5000,$A9,Production!$B$2:$B$5000,$B9)</f>
        <v/>
      </c>
      <c r="G9" s="23">
        <f>SUMIFS(Production!$J$2:$J$5000,Production!$A$2:$A$5000,$A9,Production!$B$2:$B$5000,$B9,Production!$K$2:$K$5000,"0-30")</f>
        <v/>
      </c>
      <c r="H9" s="23">
        <f>SUMIFS(Production!$J$2:$J$5000,Production!$A$2:$A$5000,$A9,Production!$B$2:$B$5000,$B9,Production!$K$2:$K$5000,"31-60")</f>
        <v/>
      </c>
      <c r="I9" s="23">
        <f>SUMIFS(Production!$J$2:$J$5000,Production!$A$2:$A$5000,$A9,Production!$B$2:$B$5000,$B9,Production!$K$2:$K$5000,"61-90")</f>
        <v/>
      </c>
      <c r="J9" s="23">
        <f>SUMIFS(Production!$J$2:$J$5000,Production!$A$2:$A$5000,$A9,Production!$B$2:$B$5000,$B9,Production!$K$2:$K$5000,"90+")</f>
        <v/>
      </c>
      <c r="K9" s="14">
        <f>IF(E9=0,"",_xlfn.MAXIFS(Production!$F$2:$F$5000,Production!$A$2:$A$5000,$A9,Production!$B$2:$B$5000,$B9,Production!$I$2:$I$5000,"&gt;0"))</f>
        <v/>
      </c>
      <c r="L9" s="15">
        <f>IF(F9=0,"",SUMPRODUCT((Production!$A$2:$A$5000=$A9)*(Production!$B$2:$B$5000=$B9)*Production!$J$2:$J$5000,Production!$F$2:$F$5000)/F9)</f>
        <v/>
      </c>
      <c r="M9" s="10">
        <f>IF(D9&gt;C9,"Dispatched more than produced — opening stock / data gap","")</f>
        <v/>
      </c>
    </row>
    <row r="10">
      <c r="A10" s="9" t="inlineStr">
        <is>
          <t>Hyderabad</t>
        </is>
      </c>
      <c r="B10" s="9" t="inlineStr">
        <is>
          <t>50X50X2</t>
        </is>
      </c>
      <c r="C10" s="11">
        <f>SUMIFS(Production!$D$2:$D$5000,Production!$A$2:$A$5000,$A10,Production!$B$2:$B$5000,$B10)</f>
        <v/>
      </c>
      <c r="D10" s="11">
        <f>SUMIFS(Dispatched!$C$2:$C$5000,Dispatched!$A$2:$A$5000,$A10,Dispatched!$B$2:$B$5000,$B10)</f>
        <v/>
      </c>
      <c r="E10" s="11">
        <f>SUMIFS(Production!$I$2:$I$5000,Production!$A$2:$A$5000,$A10,Production!$B$2:$B$5000,$B10)</f>
        <v/>
      </c>
      <c r="F10" s="23">
        <f>SUMIFS(Production!$J$2:$J$5000,Production!$A$2:$A$5000,$A10,Production!$B$2:$B$5000,$B10)</f>
        <v/>
      </c>
      <c r="G10" s="23">
        <f>SUMIFS(Production!$J$2:$J$5000,Production!$A$2:$A$5000,$A10,Production!$B$2:$B$5000,$B10,Production!$K$2:$K$5000,"0-30")</f>
        <v/>
      </c>
      <c r="H10" s="23">
        <f>SUMIFS(Production!$J$2:$J$5000,Production!$A$2:$A$5000,$A10,Production!$B$2:$B$5000,$B10,Production!$K$2:$K$5000,"31-60")</f>
        <v/>
      </c>
      <c r="I10" s="23">
        <f>SUMIFS(Production!$J$2:$J$5000,Production!$A$2:$A$5000,$A10,Production!$B$2:$B$5000,$B10,Production!$K$2:$K$5000,"61-90")</f>
        <v/>
      </c>
      <c r="J10" s="23">
        <f>SUMIFS(Production!$J$2:$J$5000,Production!$A$2:$A$5000,$A10,Production!$B$2:$B$5000,$B10,Production!$K$2:$K$5000,"90+")</f>
        <v/>
      </c>
      <c r="K10" s="14">
        <f>IF(E10=0,"",_xlfn.MAXIFS(Production!$F$2:$F$5000,Production!$A$2:$A$5000,$A10,Production!$B$2:$B$5000,$B10,Production!$I$2:$I$5000,"&gt;0"))</f>
        <v/>
      </c>
      <c r="L10" s="15">
        <f>IF(F10=0,"",SUMPRODUCT((Production!$A$2:$A$5000=$A10)*(Production!$B$2:$B$5000=$B10)*Production!$J$2:$J$5000,Production!$F$2:$F$5000)/F10)</f>
        <v/>
      </c>
      <c r="M10" s="10">
        <f>IF(D10&gt;C10,"Dispatched more than produced — opening stock / data gap","")</f>
        <v/>
      </c>
    </row>
    <row r="11">
      <c r="A11" s="9" t="inlineStr">
        <is>
          <t>Hyderabad</t>
        </is>
      </c>
      <c r="B11" s="9" t="inlineStr">
        <is>
          <t>40NBX2</t>
        </is>
      </c>
      <c r="C11" s="11">
        <f>SUMIFS(Production!$D$2:$D$5000,Production!$A$2:$A$5000,$A11,Production!$B$2:$B$5000,$B11)</f>
        <v/>
      </c>
      <c r="D11" s="11">
        <f>SUMIFS(Dispatched!$C$2:$C$5000,Dispatched!$A$2:$A$5000,$A11,Dispatched!$B$2:$B$5000,$B11)</f>
        <v/>
      </c>
      <c r="E11" s="11">
        <f>SUMIFS(Production!$I$2:$I$5000,Production!$A$2:$A$5000,$A11,Production!$B$2:$B$5000,$B11)</f>
        <v/>
      </c>
      <c r="F11" s="23">
        <f>SUMIFS(Production!$J$2:$J$5000,Production!$A$2:$A$5000,$A11,Production!$B$2:$B$5000,$B11)</f>
        <v/>
      </c>
      <c r="G11" s="23">
        <f>SUMIFS(Production!$J$2:$J$5000,Production!$A$2:$A$5000,$A11,Production!$B$2:$B$5000,$B11,Production!$K$2:$K$5000,"0-30")</f>
        <v/>
      </c>
      <c r="H11" s="23">
        <f>SUMIFS(Production!$J$2:$J$5000,Production!$A$2:$A$5000,$A11,Production!$B$2:$B$5000,$B11,Production!$K$2:$K$5000,"31-60")</f>
        <v/>
      </c>
      <c r="I11" s="23">
        <f>SUMIFS(Production!$J$2:$J$5000,Production!$A$2:$A$5000,$A11,Production!$B$2:$B$5000,$B11,Production!$K$2:$K$5000,"61-90")</f>
        <v/>
      </c>
      <c r="J11" s="23">
        <f>SUMIFS(Production!$J$2:$J$5000,Production!$A$2:$A$5000,$A11,Production!$B$2:$B$5000,$B11,Production!$K$2:$K$5000,"90+")</f>
        <v/>
      </c>
      <c r="K11" s="14">
        <f>IF(E11=0,"",_xlfn.MAXIFS(Production!$F$2:$F$5000,Production!$A$2:$A$5000,$A11,Production!$B$2:$B$5000,$B11,Production!$I$2:$I$5000,"&gt;0"))</f>
        <v/>
      </c>
      <c r="L11" s="15">
        <f>IF(F11=0,"",SUMPRODUCT((Production!$A$2:$A$5000=$A11)*(Production!$B$2:$B$5000=$B11)*Production!$J$2:$J$5000,Production!$F$2:$F$5000)/F11)</f>
        <v/>
      </c>
      <c r="M11" s="10">
        <f>IF(D11&gt;C11,"Dispatched more than produced — opening stock / data gap","")</f>
        <v/>
      </c>
    </row>
    <row r="12">
      <c r="A12" s="9" t="inlineStr">
        <is>
          <t>Hyderabad</t>
        </is>
      </c>
      <c r="B12" s="9" t="inlineStr">
        <is>
          <t>25X25X2</t>
        </is>
      </c>
      <c r="C12" s="11">
        <f>SUMIFS(Production!$D$2:$D$5000,Production!$A$2:$A$5000,$A12,Production!$B$2:$B$5000,$B12)</f>
        <v/>
      </c>
      <c r="D12" s="11">
        <f>SUMIFS(Dispatched!$C$2:$C$5000,Dispatched!$A$2:$A$5000,$A12,Dispatched!$B$2:$B$5000,$B12)</f>
        <v/>
      </c>
      <c r="E12" s="11">
        <f>SUMIFS(Production!$I$2:$I$5000,Production!$A$2:$A$5000,$A12,Production!$B$2:$B$5000,$B12)</f>
        <v/>
      </c>
      <c r="F12" s="23">
        <f>SUMIFS(Production!$J$2:$J$5000,Production!$A$2:$A$5000,$A12,Production!$B$2:$B$5000,$B12)</f>
        <v/>
      </c>
      <c r="G12" s="23">
        <f>SUMIFS(Production!$J$2:$J$5000,Production!$A$2:$A$5000,$A12,Production!$B$2:$B$5000,$B12,Production!$K$2:$K$5000,"0-30")</f>
        <v/>
      </c>
      <c r="H12" s="23">
        <f>SUMIFS(Production!$J$2:$J$5000,Production!$A$2:$A$5000,$A12,Production!$B$2:$B$5000,$B12,Production!$K$2:$K$5000,"31-60")</f>
        <v/>
      </c>
      <c r="I12" s="23">
        <f>SUMIFS(Production!$J$2:$J$5000,Production!$A$2:$A$5000,$A12,Production!$B$2:$B$5000,$B12,Production!$K$2:$K$5000,"61-90")</f>
        <v/>
      </c>
      <c r="J12" s="23">
        <f>SUMIFS(Production!$J$2:$J$5000,Production!$A$2:$A$5000,$A12,Production!$B$2:$B$5000,$B12,Production!$K$2:$K$5000,"90+")</f>
        <v/>
      </c>
      <c r="K12" s="14">
        <f>IF(E12=0,"",_xlfn.MAXIFS(Production!$F$2:$F$5000,Production!$A$2:$A$5000,$A12,Production!$B$2:$B$5000,$B12,Production!$I$2:$I$5000,"&gt;0"))</f>
        <v/>
      </c>
      <c r="L12" s="15">
        <f>IF(F12=0,"",SUMPRODUCT((Production!$A$2:$A$5000=$A12)*(Production!$B$2:$B$5000=$B12)*Production!$J$2:$J$5000,Production!$F$2:$F$5000)/F12)</f>
        <v/>
      </c>
      <c r="M12" s="10">
        <f>IF(D12&gt;C12,"Dispatched more than produced — opening stock / data gap","")</f>
        <v/>
      </c>
    </row>
    <row r="13">
      <c r="A13" s="9" t="inlineStr">
        <is>
          <t>Hyderabad</t>
        </is>
      </c>
      <c r="B13" s="9" t="inlineStr">
        <is>
          <t>38X38X2.8</t>
        </is>
      </c>
      <c r="C13" s="11">
        <f>SUMIFS(Production!$D$2:$D$5000,Production!$A$2:$A$5000,$A13,Production!$B$2:$B$5000,$B13)</f>
        <v/>
      </c>
      <c r="D13" s="11">
        <f>SUMIFS(Dispatched!$C$2:$C$5000,Dispatched!$A$2:$A$5000,$A13,Dispatched!$B$2:$B$5000,$B13)</f>
        <v/>
      </c>
      <c r="E13" s="11">
        <f>SUMIFS(Production!$I$2:$I$5000,Production!$A$2:$A$5000,$A13,Production!$B$2:$B$5000,$B13)</f>
        <v/>
      </c>
      <c r="F13" s="23">
        <f>SUMIFS(Production!$J$2:$J$5000,Production!$A$2:$A$5000,$A13,Production!$B$2:$B$5000,$B13)</f>
        <v/>
      </c>
      <c r="G13" s="23">
        <f>SUMIFS(Production!$J$2:$J$5000,Production!$A$2:$A$5000,$A13,Production!$B$2:$B$5000,$B13,Production!$K$2:$K$5000,"0-30")</f>
        <v/>
      </c>
      <c r="H13" s="23">
        <f>SUMIFS(Production!$J$2:$J$5000,Production!$A$2:$A$5000,$A13,Production!$B$2:$B$5000,$B13,Production!$K$2:$K$5000,"31-60")</f>
        <v/>
      </c>
      <c r="I13" s="23">
        <f>SUMIFS(Production!$J$2:$J$5000,Production!$A$2:$A$5000,$A13,Production!$B$2:$B$5000,$B13,Production!$K$2:$K$5000,"61-90")</f>
        <v/>
      </c>
      <c r="J13" s="23">
        <f>SUMIFS(Production!$J$2:$J$5000,Production!$A$2:$A$5000,$A13,Production!$B$2:$B$5000,$B13,Production!$K$2:$K$5000,"90+")</f>
        <v/>
      </c>
      <c r="K13" s="14">
        <f>IF(E13=0,"",_xlfn.MAXIFS(Production!$F$2:$F$5000,Production!$A$2:$A$5000,$A13,Production!$B$2:$B$5000,$B13,Production!$I$2:$I$5000,"&gt;0"))</f>
        <v/>
      </c>
      <c r="L13" s="15">
        <f>IF(F13=0,"",SUMPRODUCT((Production!$A$2:$A$5000=$A13)*(Production!$B$2:$B$5000=$B13)*Production!$J$2:$J$5000,Production!$F$2:$F$5000)/F13)</f>
        <v/>
      </c>
      <c r="M13" s="10">
        <f>IF(D13&gt;C13,"Dispatched more than produced — opening stock / data gap","")</f>
        <v/>
      </c>
    </row>
    <row r="14">
      <c r="A14" s="9" t="inlineStr">
        <is>
          <t>Hyderabad</t>
        </is>
      </c>
      <c r="B14" s="9" t="inlineStr">
        <is>
          <t>100X50X2</t>
        </is>
      </c>
      <c r="C14" s="11">
        <f>SUMIFS(Production!$D$2:$D$5000,Production!$A$2:$A$5000,$A14,Production!$B$2:$B$5000,$B14)</f>
        <v/>
      </c>
      <c r="D14" s="11">
        <f>SUMIFS(Dispatched!$C$2:$C$5000,Dispatched!$A$2:$A$5000,$A14,Dispatched!$B$2:$B$5000,$B14)</f>
        <v/>
      </c>
      <c r="E14" s="11">
        <f>SUMIFS(Production!$I$2:$I$5000,Production!$A$2:$A$5000,$A14,Production!$B$2:$B$5000,$B14)</f>
        <v/>
      </c>
      <c r="F14" s="23">
        <f>SUMIFS(Production!$J$2:$J$5000,Production!$A$2:$A$5000,$A14,Production!$B$2:$B$5000,$B14)</f>
        <v/>
      </c>
      <c r="G14" s="23">
        <f>SUMIFS(Production!$J$2:$J$5000,Production!$A$2:$A$5000,$A14,Production!$B$2:$B$5000,$B14,Production!$K$2:$K$5000,"0-30")</f>
        <v/>
      </c>
      <c r="H14" s="23">
        <f>SUMIFS(Production!$J$2:$J$5000,Production!$A$2:$A$5000,$A14,Production!$B$2:$B$5000,$B14,Production!$K$2:$K$5000,"31-60")</f>
        <v/>
      </c>
      <c r="I14" s="23">
        <f>SUMIFS(Production!$J$2:$J$5000,Production!$A$2:$A$5000,$A14,Production!$B$2:$B$5000,$B14,Production!$K$2:$K$5000,"61-90")</f>
        <v/>
      </c>
      <c r="J14" s="23">
        <f>SUMIFS(Production!$J$2:$J$5000,Production!$A$2:$A$5000,$A14,Production!$B$2:$B$5000,$B14,Production!$K$2:$K$5000,"90+")</f>
        <v/>
      </c>
      <c r="K14" s="14">
        <f>IF(E14=0,"",_xlfn.MAXIFS(Production!$F$2:$F$5000,Production!$A$2:$A$5000,$A14,Production!$B$2:$B$5000,$B14,Production!$I$2:$I$5000,"&gt;0"))</f>
        <v/>
      </c>
      <c r="L14" s="15">
        <f>IF(F14=0,"",SUMPRODUCT((Production!$A$2:$A$5000=$A14)*(Production!$B$2:$B$5000=$B14)*Production!$J$2:$J$5000,Production!$F$2:$F$5000)/F14)</f>
        <v/>
      </c>
      <c r="M14" s="10">
        <f>IF(D14&gt;C14,"Dispatched more than produced — opening stock / data gap","")</f>
        <v/>
      </c>
    </row>
    <row r="15">
      <c r="A15" s="9" t="inlineStr">
        <is>
          <t>Hyderabad</t>
        </is>
      </c>
      <c r="B15" s="9" t="inlineStr">
        <is>
          <t>80X40X2</t>
        </is>
      </c>
      <c r="C15" s="11">
        <f>SUMIFS(Production!$D$2:$D$5000,Production!$A$2:$A$5000,$A15,Production!$B$2:$B$5000,$B15)</f>
        <v/>
      </c>
      <c r="D15" s="11">
        <f>SUMIFS(Dispatched!$C$2:$C$5000,Dispatched!$A$2:$A$5000,$A15,Dispatched!$B$2:$B$5000,$B15)</f>
        <v/>
      </c>
      <c r="E15" s="11">
        <f>SUMIFS(Production!$I$2:$I$5000,Production!$A$2:$A$5000,$A15,Production!$B$2:$B$5000,$B15)</f>
        <v/>
      </c>
      <c r="F15" s="23">
        <f>SUMIFS(Production!$J$2:$J$5000,Production!$A$2:$A$5000,$A15,Production!$B$2:$B$5000,$B15)</f>
        <v/>
      </c>
      <c r="G15" s="23">
        <f>SUMIFS(Production!$J$2:$J$5000,Production!$A$2:$A$5000,$A15,Production!$B$2:$B$5000,$B15,Production!$K$2:$K$5000,"0-30")</f>
        <v/>
      </c>
      <c r="H15" s="23">
        <f>SUMIFS(Production!$J$2:$J$5000,Production!$A$2:$A$5000,$A15,Production!$B$2:$B$5000,$B15,Production!$K$2:$K$5000,"31-60")</f>
        <v/>
      </c>
      <c r="I15" s="23">
        <f>SUMIFS(Production!$J$2:$J$5000,Production!$A$2:$A$5000,$A15,Production!$B$2:$B$5000,$B15,Production!$K$2:$K$5000,"61-90")</f>
        <v/>
      </c>
      <c r="J15" s="23">
        <f>SUMIFS(Production!$J$2:$J$5000,Production!$A$2:$A$5000,$A15,Production!$B$2:$B$5000,$B15,Production!$K$2:$K$5000,"90+")</f>
        <v/>
      </c>
      <c r="K15" s="14">
        <f>IF(E15=0,"",_xlfn.MAXIFS(Production!$F$2:$F$5000,Production!$A$2:$A$5000,$A15,Production!$B$2:$B$5000,$B15,Production!$I$2:$I$5000,"&gt;0"))</f>
        <v/>
      </c>
      <c r="L15" s="15">
        <f>IF(F15=0,"",SUMPRODUCT((Production!$A$2:$A$5000=$A15)*(Production!$B$2:$B$5000=$B15)*Production!$J$2:$J$5000,Production!$F$2:$F$5000)/F15)</f>
        <v/>
      </c>
      <c r="M15" s="10">
        <f>IF(D15&gt;C15,"Dispatched more than produced — opening stock / data gap","")</f>
        <v/>
      </c>
    </row>
    <row r="16">
      <c r="A16" s="9" t="inlineStr">
        <is>
          <t>Hyderabad</t>
        </is>
      </c>
      <c r="B16" s="9" t="inlineStr">
        <is>
          <t>60X40X2.8</t>
        </is>
      </c>
      <c r="C16" s="11">
        <f>SUMIFS(Production!$D$2:$D$5000,Production!$A$2:$A$5000,$A16,Production!$B$2:$B$5000,$B16)</f>
        <v/>
      </c>
      <c r="D16" s="11">
        <f>SUMIFS(Dispatched!$C$2:$C$5000,Dispatched!$A$2:$A$5000,$A16,Dispatched!$B$2:$B$5000,$B16)</f>
        <v/>
      </c>
      <c r="E16" s="11">
        <f>SUMIFS(Production!$I$2:$I$5000,Production!$A$2:$A$5000,$A16,Production!$B$2:$B$5000,$B16)</f>
        <v/>
      </c>
      <c r="F16" s="23">
        <f>SUMIFS(Production!$J$2:$J$5000,Production!$A$2:$A$5000,$A16,Production!$B$2:$B$5000,$B16)</f>
        <v/>
      </c>
      <c r="G16" s="23">
        <f>SUMIFS(Production!$J$2:$J$5000,Production!$A$2:$A$5000,$A16,Production!$B$2:$B$5000,$B16,Production!$K$2:$K$5000,"0-30")</f>
        <v/>
      </c>
      <c r="H16" s="23">
        <f>SUMIFS(Production!$J$2:$J$5000,Production!$A$2:$A$5000,$A16,Production!$B$2:$B$5000,$B16,Production!$K$2:$K$5000,"31-60")</f>
        <v/>
      </c>
      <c r="I16" s="23">
        <f>SUMIFS(Production!$J$2:$J$5000,Production!$A$2:$A$5000,$A16,Production!$B$2:$B$5000,$B16,Production!$K$2:$K$5000,"61-90")</f>
        <v/>
      </c>
      <c r="J16" s="23">
        <f>SUMIFS(Production!$J$2:$J$5000,Production!$A$2:$A$5000,$A16,Production!$B$2:$B$5000,$B16,Production!$K$2:$K$5000,"90+")</f>
        <v/>
      </c>
      <c r="K16" s="14">
        <f>IF(E16=0,"",_xlfn.MAXIFS(Production!$F$2:$F$5000,Production!$A$2:$A$5000,$A16,Production!$B$2:$B$5000,$B16,Production!$I$2:$I$5000,"&gt;0"))</f>
        <v/>
      </c>
      <c r="L16" s="15">
        <f>IF(F16=0,"",SUMPRODUCT((Production!$A$2:$A$5000=$A16)*(Production!$B$2:$B$5000=$B16)*Production!$J$2:$J$5000,Production!$F$2:$F$5000)/F16)</f>
        <v/>
      </c>
      <c r="M16" s="10">
        <f>IF(D16&gt;C16,"Dispatched more than produced — opening stock / data gap","")</f>
        <v/>
      </c>
    </row>
    <row r="17">
      <c r="A17" s="9" t="inlineStr">
        <is>
          <t>Hyderabad</t>
        </is>
      </c>
      <c r="B17" s="9" t="inlineStr">
        <is>
          <t>75X25X2.8</t>
        </is>
      </c>
      <c r="C17" s="11">
        <f>SUMIFS(Production!$D$2:$D$5000,Production!$A$2:$A$5000,$A17,Production!$B$2:$B$5000,$B17)</f>
        <v/>
      </c>
      <c r="D17" s="11">
        <f>SUMIFS(Dispatched!$C$2:$C$5000,Dispatched!$A$2:$A$5000,$A17,Dispatched!$B$2:$B$5000,$B17)</f>
        <v/>
      </c>
      <c r="E17" s="11">
        <f>SUMIFS(Production!$I$2:$I$5000,Production!$A$2:$A$5000,$A17,Production!$B$2:$B$5000,$B17)</f>
        <v/>
      </c>
      <c r="F17" s="23">
        <f>SUMIFS(Production!$J$2:$J$5000,Production!$A$2:$A$5000,$A17,Production!$B$2:$B$5000,$B17)</f>
        <v/>
      </c>
      <c r="G17" s="23">
        <f>SUMIFS(Production!$J$2:$J$5000,Production!$A$2:$A$5000,$A17,Production!$B$2:$B$5000,$B17,Production!$K$2:$K$5000,"0-30")</f>
        <v/>
      </c>
      <c r="H17" s="23">
        <f>SUMIFS(Production!$J$2:$J$5000,Production!$A$2:$A$5000,$A17,Production!$B$2:$B$5000,$B17,Production!$K$2:$K$5000,"31-60")</f>
        <v/>
      </c>
      <c r="I17" s="23">
        <f>SUMIFS(Production!$J$2:$J$5000,Production!$A$2:$A$5000,$A17,Production!$B$2:$B$5000,$B17,Production!$K$2:$K$5000,"61-90")</f>
        <v/>
      </c>
      <c r="J17" s="23">
        <f>SUMIFS(Production!$J$2:$J$5000,Production!$A$2:$A$5000,$A17,Production!$B$2:$B$5000,$B17,Production!$K$2:$K$5000,"90+")</f>
        <v/>
      </c>
      <c r="K17" s="14">
        <f>IF(E17=0,"",_xlfn.MAXIFS(Production!$F$2:$F$5000,Production!$A$2:$A$5000,$A17,Production!$B$2:$B$5000,$B17,Production!$I$2:$I$5000,"&gt;0"))</f>
        <v/>
      </c>
      <c r="L17" s="15">
        <f>IF(F17=0,"",SUMPRODUCT((Production!$A$2:$A$5000=$A17)*(Production!$B$2:$B$5000=$B17)*Production!$J$2:$J$5000,Production!$F$2:$F$5000)/F17)</f>
        <v/>
      </c>
      <c r="M17" s="10">
        <f>IF(D17&gt;C17,"Dispatched more than produced — opening stock / data gap","")</f>
        <v/>
      </c>
    </row>
    <row r="18">
      <c r="A18" s="9" t="inlineStr">
        <is>
          <t>Hyderabad</t>
        </is>
      </c>
      <c r="B18" s="9" t="inlineStr">
        <is>
          <t>65NBX2</t>
        </is>
      </c>
      <c r="C18" s="11">
        <f>SUMIFS(Production!$D$2:$D$5000,Production!$A$2:$A$5000,$A18,Production!$B$2:$B$5000,$B18)</f>
        <v/>
      </c>
      <c r="D18" s="11">
        <f>SUMIFS(Dispatched!$C$2:$C$5000,Dispatched!$A$2:$A$5000,$A18,Dispatched!$B$2:$B$5000,$B18)</f>
        <v/>
      </c>
      <c r="E18" s="11">
        <f>SUMIFS(Production!$I$2:$I$5000,Production!$A$2:$A$5000,$A18,Production!$B$2:$B$5000,$B18)</f>
        <v/>
      </c>
      <c r="F18" s="23">
        <f>SUMIFS(Production!$J$2:$J$5000,Production!$A$2:$A$5000,$A18,Production!$B$2:$B$5000,$B18)</f>
        <v/>
      </c>
      <c r="G18" s="23">
        <f>SUMIFS(Production!$J$2:$J$5000,Production!$A$2:$A$5000,$A18,Production!$B$2:$B$5000,$B18,Production!$K$2:$K$5000,"0-30")</f>
        <v/>
      </c>
      <c r="H18" s="23">
        <f>SUMIFS(Production!$J$2:$J$5000,Production!$A$2:$A$5000,$A18,Production!$B$2:$B$5000,$B18,Production!$K$2:$K$5000,"31-60")</f>
        <v/>
      </c>
      <c r="I18" s="23">
        <f>SUMIFS(Production!$J$2:$J$5000,Production!$A$2:$A$5000,$A18,Production!$B$2:$B$5000,$B18,Production!$K$2:$K$5000,"61-90")</f>
        <v/>
      </c>
      <c r="J18" s="23">
        <f>SUMIFS(Production!$J$2:$J$5000,Production!$A$2:$A$5000,$A18,Production!$B$2:$B$5000,$B18,Production!$K$2:$K$5000,"90+")</f>
        <v/>
      </c>
      <c r="K18" s="14">
        <f>IF(E18=0,"",_xlfn.MAXIFS(Production!$F$2:$F$5000,Production!$A$2:$A$5000,$A18,Production!$B$2:$B$5000,$B18,Production!$I$2:$I$5000,"&gt;0"))</f>
        <v/>
      </c>
      <c r="L18" s="15">
        <f>IF(F18=0,"",SUMPRODUCT((Production!$A$2:$A$5000=$A18)*(Production!$B$2:$B$5000=$B18)*Production!$J$2:$J$5000,Production!$F$2:$F$5000)/F18)</f>
        <v/>
      </c>
      <c r="M18" s="10">
        <f>IF(D18&gt;C18,"Dispatched more than produced — opening stock / data gap","")</f>
        <v/>
      </c>
    </row>
    <row r="19">
      <c r="A19" s="9" t="inlineStr">
        <is>
          <t>Hyderabad</t>
        </is>
      </c>
      <c r="B19" s="9" t="inlineStr">
        <is>
          <t>80NBX2</t>
        </is>
      </c>
      <c r="C19" s="11">
        <f>SUMIFS(Production!$D$2:$D$5000,Production!$A$2:$A$5000,$A19,Production!$B$2:$B$5000,$B19)</f>
        <v/>
      </c>
      <c r="D19" s="11">
        <f>SUMIFS(Dispatched!$C$2:$C$5000,Dispatched!$A$2:$A$5000,$A19,Dispatched!$B$2:$B$5000,$B19)</f>
        <v/>
      </c>
      <c r="E19" s="11">
        <f>SUMIFS(Production!$I$2:$I$5000,Production!$A$2:$A$5000,$A19,Production!$B$2:$B$5000,$B19)</f>
        <v/>
      </c>
      <c r="F19" s="23">
        <f>SUMIFS(Production!$J$2:$J$5000,Production!$A$2:$A$5000,$A19,Production!$B$2:$B$5000,$B19)</f>
        <v/>
      </c>
      <c r="G19" s="23">
        <f>SUMIFS(Production!$J$2:$J$5000,Production!$A$2:$A$5000,$A19,Production!$B$2:$B$5000,$B19,Production!$K$2:$K$5000,"0-30")</f>
        <v/>
      </c>
      <c r="H19" s="23">
        <f>SUMIFS(Production!$J$2:$J$5000,Production!$A$2:$A$5000,$A19,Production!$B$2:$B$5000,$B19,Production!$K$2:$K$5000,"31-60")</f>
        <v/>
      </c>
      <c r="I19" s="23">
        <f>SUMIFS(Production!$J$2:$J$5000,Production!$A$2:$A$5000,$A19,Production!$B$2:$B$5000,$B19,Production!$K$2:$K$5000,"61-90")</f>
        <v/>
      </c>
      <c r="J19" s="23">
        <f>SUMIFS(Production!$J$2:$J$5000,Production!$A$2:$A$5000,$A19,Production!$B$2:$B$5000,$B19,Production!$K$2:$K$5000,"90+")</f>
        <v/>
      </c>
      <c r="K19" s="14">
        <f>IF(E19=0,"",_xlfn.MAXIFS(Production!$F$2:$F$5000,Production!$A$2:$A$5000,$A19,Production!$B$2:$B$5000,$B19,Production!$I$2:$I$5000,"&gt;0"))</f>
        <v/>
      </c>
      <c r="L19" s="15">
        <f>IF(F19=0,"",SUMPRODUCT((Production!$A$2:$A$5000=$A19)*(Production!$B$2:$B$5000=$B19)*Production!$J$2:$J$5000,Production!$F$2:$F$5000)/F19)</f>
        <v/>
      </c>
      <c r="M19" s="10">
        <f>IF(D19&gt;C19,"Dispatched more than produced — opening stock / data gap","")</f>
        <v/>
      </c>
    </row>
    <row r="20">
      <c r="A20" s="9" t="inlineStr">
        <is>
          <t>Hyderabad</t>
        </is>
      </c>
      <c r="B20" s="9" t="inlineStr">
        <is>
          <t>60X40X2.5</t>
        </is>
      </c>
      <c r="C20" s="11">
        <f>SUMIFS(Production!$D$2:$D$5000,Production!$A$2:$A$5000,$A20,Production!$B$2:$B$5000,$B20)</f>
        <v/>
      </c>
      <c r="D20" s="11">
        <f>SUMIFS(Dispatched!$C$2:$C$5000,Dispatched!$A$2:$A$5000,$A20,Dispatched!$B$2:$B$5000,$B20)</f>
        <v/>
      </c>
      <c r="E20" s="11">
        <f>SUMIFS(Production!$I$2:$I$5000,Production!$A$2:$A$5000,$A20,Production!$B$2:$B$5000,$B20)</f>
        <v/>
      </c>
      <c r="F20" s="23">
        <f>SUMIFS(Production!$J$2:$J$5000,Production!$A$2:$A$5000,$A20,Production!$B$2:$B$5000,$B20)</f>
        <v/>
      </c>
      <c r="G20" s="23">
        <f>SUMIFS(Production!$J$2:$J$5000,Production!$A$2:$A$5000,$A20,Production!$B$2:$B$5000,$B20,Production!$K$2:$K$5000,"0-30")</f>
        <v/>
      </c>
      <c r="H20" s="23">
        <f>SUMIFS(Production!$J$2:$J$5000,Production!$A$2:$A$5000,$A20,Production!$B$2:$B$5000,$B20,Production!$K$2:$K$5000,"31-60")</f>
        <v/>
      </c>
      <c r="I20" s="23">
        <f>SUMIFS(Production!$J$2:$J$5000,Production!$A$2:$A$5000,$A20,Production!$B$2:$B$5000,$B20,Production!$K$2:$K$5000,"61-90")</f>
        <v/>
      </c>
      <c r="J20" s="23">
        <f>SUMIFS(Production!$J$2:$J$5000,Production!$A$2:$A$5000,$A20,Production!$B$2:$B$5000,$B20,Production!$K$2:$K$5000,"90+")</f>
        <v/>
      </c>
      <c r="K20" s="14">
        <f>IF(E20=0,"",_xlfn.MAXIFS(Production!$F$2:$F$5000,Production!$A$2:$A$5000,$A20,Production!$B$2:$B$5000,$B20,Production!$I$2:$I$5000,"&gt;0"))</f>
        <v/>
      </c>
      <c r="L20" s="15">
        <f>IF(F20=0,"",SUMPRODUCT((Production!$A$2:$A$5000=$A20)*(Production!$B$2:$B$5000=$B20)*Production!$J$2:$J$5000,Production!$F$2:$F$5000)/F20)</f>
        <v/>
      </c>
      <c r="M20" s="10">
        <f>IF(D20&gt;C20,"Dispatched more than produced — opening stock / data gap","")</f>
        <v/>
      </c>
    </row>
    <row r="21">
      <c r="A21" s="9" t="inlineStr">
        <is>
          <t>Hyderabad</t>
        </is>
      </c>
      <c r="B21" s="9" t="inlineStr">
        <is>
          <t>65NBX2.8</t>
        </is>
      </c>
      <c r="C21" s="11">
        <f>SUMIFS(Production!$D$2:$D$5000,Production!$A$2:$A$5000,$A21,Production!$B$2:$B$5000,$B21)</f>
        <v/>
      </c>
      <c r="D21" s="11">
        <f>SUMIFS(Dispatched!$C$2:$C$5000,Dispatched!$A$2:$A$5000,$A21,Dispatched!$B$2:$B$5000,$B21)</f>
        <v/>
      </c>
      <c r="E21" s="11">
        <f>SUMIFS(Production!$I$2:$I$5000,Production!$A$2:$A$5000,$A21,Production!$B$2:$B$5000,$B21)</f>
        <v/>
      </c>
      <c r="F21" s="23">
        <f>SUMIFS(Production!$J$2:$J$5000,Production!$A$2:$A$5000,$A21,Production!$B$2:$B$5000,$B21)</f>
        <v/>
      </c>
      <c r="G21" s="23">
        <f>SUMIFS(Production!$J$2:$J$5000,Production!$A$2:$A$5000,$A21,Production!$B$2:$B$5000,$B21,Production!$K$2:$K$5000,"0-30")</f>
        <v/>
      </c>
      <c r="H21" s="23">
        <f>SUMIFS(Production!$J$2:$J$5000,Production!$A$2:$A$5000,$A21,Production!$B$2:$B$5000,$B21,Production!$K$2:$K$5000,"31-60")</f>
        <v/>
      </c>
      <c r="I21" s="23">
        <f>SUMIFS(Production!$J$2:$J$5000,Production!$A$2:$A$5000,$A21,Production!$B$2:$B$5000,$B21,Production!$K$2:$K$5000,"61-90")</f>
        <v/>
      </c>
      <c r="J21" s="23">
        <f>SUMIFS(Production!$J$2:$J$5000,Production!$A$2:$A$5000,$A21,Production!$B$2:$B$5000,$B21,Production!$K$2:$K$5000,"90+")</f>
        <v/>
      </c>
      <c r="K21" s="14">
        <f>IF(E21=0,"",_xlfn.MAXIFS(Production!$F$2:$F$5000,Production!$A$2:$A$5000,$A21,Production!$B$2:$B$5000,$B21,Production!$I$2:$I$5000,"&gt;0"))</f>
        <v/>
      </c>
      <c r="L21" s="15">
        <f>IF(F21=0,"",SUMPRODUCT((Production!$A$2:$A$5000=$A21)*(Production!$B$2:$B$5000=$B21)*Production!$J$2:$J$5000,Production!$F$2:$F$5000)/F21)</f>
        <v/>
      </c>
      <c r="M21" s="10">
        <f>IF(D21&gt;C21,"Dispatched more than produced — opening stock / data gap","")</f>
        <v/>
      </c>
    </row>
    <row r="22">
      <c r="A22" s="9" t="inlineStr">
        <is>
          <t>Hyderabad</t>
        </is>
      </c>
      <c r="B22" s="9" t="inlineStr">
        <is>
          <t>50X25X2</t>
        </is>
      </c>
      <c r="C22" s="11">
        <f>SUMIFS(Production!$D$2:$D$5000,Production!$A$2:$A$5000,$A22,Production!$B$2:$B$5000,$B22)</f>
        <v/>
      </c>
      <c r="D22" s="11">
        <f>SUMIFS(Dispatched!$C$2:$C$5000,Dispatched!$A$2:$A$5000,$A22,Dispatched!$B$2:$B$5000,$B22)</f>
        <v/>
      </c>
      <c r="E22" s="11">
        <f>SUMIFS(Production!$I$2:$I$5000,Production!$A$2:$A$5000,$A22,Production!$B$2:$B$5000,$B22)</f>
        <v/>
      </c>
      <c r="F22" s="23">
        <f>SUMIFS(Production!$J$2:$J$5000,Production!$A$2:$A$5000,$A22,Production!$B$2:$B$5000,$B22)</f>
        <v/>
      </c>
      <c r="G22" s="23">
        <f>SUMIFS(Production!$J$2:$J$5000,Production!$A$2:$A$5000,$A22,Production!$B$2:$B$5000,$B22,Production!$K$2:$K$5000,"0-30")</f>
        <v/>
      </c>
      <c r="H22" s="23">
        <f>SUMIFS(Production!$J$2:$J$5000,Production!$A$2:$A$5000,$A22,Production!$B$2:$B$5000,$B22,Production!$K$2:$K$5000,"31-60")</f>
        <v/>
      </c>
      <c r="I22" s="23">
        <f>SUMIFS(Production!$J$2:$J$5000,Production!$A$2:$A$5000,$A22,Production!$B$2:$B$5000,$B22,Production!$K$2:$K$5000,"61-90")</f>
        <v/>
      </c>
      <c r="J22" s="23">
        <f>SUMIFS(Production!$J$2:$J$5000,Production!$A$2:$A$5000,$A22,Production!$B$2:$B$5000,$B22,Production!$K$2:$K$5000,"90+")</f>
        <v/>
      </c>
      <c r="K22" s="14">
        <f>IF(E22=0,"",_xlfn.MAXIFS(Production!$F$2:$F$5000,Production!$A$2:$A$5000,$A22,Production!$B$2:$B$5000,$B22,Production!$I$2:$I$5000,"&gt;0"))</f>
        <v/>
      </c>
      <c r="L22" s="15">
        <f>IF(F22=0,"",SUMPRODUCT((Production!$A$2:$A$5000=$A22)*(Production!$B$2:$B$5000=$B22)*Production!$J$2:$J$5000,Production!$F$2:$F$5000)/F22)</f>
        <v/>
      </c>
      <c r="M22" s="10">
        <f>IF(D22&gt;C22,"Dispatched more than produced — opening stock / data gap","")</f>
        <v/>
      </c>
    </row>
    <row r="23">
      <c r="A23" s="9" t="inlineStr">
        <is>
          <t>Hyderabad</t>
        </is>
      </c>
      <c r="B23" s="9" t="inlineStr">
        <is>
          <t>40NBX4</t>
        </is>
      </c>
      <c r="C23" s="11">
        <f>SUMIFS(Production!$D$2:$D$5000,Production!$A$2:$A$5000,$A23,Production!$B$2:$B$5000,$B23)</f>
        <v/>
      </c>
      <c r="D23" s="11">
        <f>SUMIFS(Dispatched!$C$2:$C$5000,Dispatched!$A$2:$A$5000,$A23,Dispatched!$B$2:$B$5000,$B23)</f>
        <v/>
      </c>
      <c r="E23" s="11">
        <f>SUMIFS(Production!$I$2:$I$5000,Production!$A$2:$A$5000,$A23,Production!$B$2:$B$5000,$B23)</f>
        <v/>
      </c>
      <c r="F23" s="23">
        <f>SUMIFS(Production!$J$2:$J$5000,Production!$A$2:$A$5000,$A23,Production!$B$2:$B$5000,$B23)</f>
        <v/>
      </c>
      <c r="G23" s="23">
        <f>SUMIFS(Production!$J$2:$J$5000,Production!$A$2:$A$5000,$A23,Production!$B$2:$B$5000,$B23,Production!$K$2:$K$5000,"0-30")</f>
        <v/>
      </c>
      <c r="H23" s="23">
        <f>SUMIFS(Production!$J$2:$J$5000,Production!$A$2:$A$5000,$A23,Production!$B$2:$B$5000,$B23,Production!$K$2:$K$5000,"31-60")</f>
        <v/>
      </c>
      <c r="I23" s="23">
        <f>SUMIFS(Production!$J$2:$J$5000,Production!$A$2:$A$5000,$A23,Production!$B$2:$B$5000,$B23,Production!$K$2:$K$5000,"61-90")</f>
        <v/>
      </c>
      <c r="J23" s="23">
        <f>SUMIFS(Production!$J$2:$J$5000,Production!$A$2:$A$5000,$A23,Production!$B$2:$B$5000,$B23,Production!$K$2:$K$5000,"90+")</f>
        <v/>
      </c>
      <c r="K23" s="14">
        <f>IF(E23=0,"",_xlfn.MAXIFS(Production!$F$2:$F$5000,Production!$A$2:$A$5000,$A23,Production!$B$2:$B$5000,$B23,Production!$I$2:$I$5000,"&gt;0"))</f>
        <v/>
      </c>
      <c r="L23" s="15">
        <f>IF(F23=0,"",SUMPRODUCT((Production!$A$2:$A$5000=$A23)*(Production!$B$2:$B$5000=$B23)*Production!$J$2:$J$5000,Production!$F$2:$F$5000)/F23)</f>
        <v/>
      </c>
      <c r="M23" s="10">
        <f>IF(D23&gt;C23,"Dispatched more than produced — opening stock / data gap","")</f>
        <v/>
      </c>
    </row>
    <row r="24">
      <c r="A24" s="9" t="inlineStr">
        <is>
          <t>Hyderabad</t>
        </is>
      </c>
      <c r="B24" s="9" t="inlineStr">
        <is>
          <t>15NBX2</t>
        </is>
      </c>
      <c r="C24" s="11">
        <f>SUMIFS(Production!$D$2:$D$5000,Production!$A$2:$A$5000,$A24,Production!$B$2:$B$5000,$B24)</f>
        <v/>
      </c>
      <c r="D24" s="11">
        <f>SUMIFS(Dispatched!$C$2:$C$5000,Dispatched!$A$2:$A$5000,$A24,Dispatched!$B$2:$B$5000,$B24)</f>
        <v/>
      </c>
      <c r="E24" s="11">
        <f>SUMIFS(Production!$I$2:$I$5000,Production!$A$2:$A$5000,$A24,Production!$B$2:$B$5000,$B24)</f>
        <v/>
      </c>
      <c r="F24" s="23">
        <f>SUMIFS(Production!$J$2:$J$5000,Production!$A$2:$A$5000,$A24,Production!$B$2:$B$5000,$B24)</f>
        <v/>
      </c>
      <c r="G24" s="23">
        <f>SUMIFS(Production!$J$2:$J$5000,Production!$A$2:$A$5000,$A24,Production!$B$2:$B$5000,$B24,Production!$K$2:$K$5000,"0-30")</f>
        <v/>
      </c>
      <c r="H24" s="23">
        <f>SUMIFS(Production!$J$2:$J$5000,Production!$A$2:$A$5000,$A24,Production!$B$2:$B$5000,$B24,Production!$K$2:$K$5000,"31-60")</f>
        <v/>
      </c>
      <c r="I24" s="23">
        <f>SUMIFS(Production!$J$2:$J$5000,Production!$A$2:$A$5000,$A24,Production!$B$2:$B$5000,$B24,Production!$K$2:$K$5000,"61-90")</f>
        <v/>
      </c>
      <c r="J24" s="23">
        <f>SUMIFS(Production!$J$2:$J$5000,Production!$A$2:$A$5000,$A24,Production!$B$2:$B$5000,$B24,Production!$K$2:$K$5000,"90+")</f>
        <v/>
      </c>
      <c r="K24" s="14">
        <f>IF(E24=0,"",_xlfn.MAXIFS(Production!$F$2:$F$5000,Production!$A$2:$A$5000,$A24,Production!$B$2:$B$5000,$B24,Production!$I$2:$I$5000,"&gt;0"))</f>
        <v/>
      </c>
      <c r="L24" s="15">
        <f>IF(F24=0,"",SUMPRODUCT((Production!$A$2:$A$5000=$A24)*(Production!$B$2:$B$5000=$B24)*Production!$J$2:$J$5000,Production!$F$2:$F$5000)/F24)</f>
        <v/>
      </c>
      <c r="M24" s="10">
        <f>IF(D24&gt;C24,"Dispatched more than produced — opening stock / data gap","")</f>
        <v/>
      </c>
    </row>
    <row r="25">
      <c r="A25" s="9" t="inlineStr">
        <is>
          <t>Hyderabad</t>
        </is>
      </c>
      <c r="B25" s="9" t="inlineStr">
        <is>
          <t>100X50X1.6</t>
        </is>
      </c>
      <c r="C25" s="11">
        <f>SUMIFS(Production!$D$2:$D$5000,Production!$A$2:$A$5000,$A25,Production!$B$2:$B$5000,$B25)</f>
        <v/>
      </c>
      <c r="D25" s="11">
        <f>SUMIFS(Dispatched!$C$2:$C$5000,Dispatched!$A$2:$A$5000,$A25,Dispatched!$B$2:$B$5000,$B25)</f>
        <v/>
      </c>
      <c r="E25" s="11">
        <f>SUMIFS(Production!$I$2:$I$5000,Production!$A$2:$A$5000,$A25,Production!$B$2:$B$5000,$B25)</f>
        <v/>
      </c>
      <c r="F25" s="23">
        <f>SUMIFS(Production!$J$2:$J$5000,Production!$A$2:$A$5000,$A25,Production!$B$2:$B$5000,$B25)</f>
        <v/>
      </c>
      <c r="G25" s="23">
        <f>SUMIFS(Production!$J$2:$J$5000,Production!$A$2:$A$5000,$A25,Production!$B$2:$B$5000,$B25,Production!$K$2:$K$5000,"0-30")</f>
        <v/>
      </c>
      <c r="H25" s="23">
        <f>SUMIFS(Production!$J$2:$J$5000,Production!$A$2:$A$5000,$A25,Production!$B$2:$B$5000,$B25,Production!$K$2:$K$5000,"31-60")</f>
        <v/>
      </c>
      <c r="I25" s="23">
        <f>SUMIFS(Production!$J$2:$J$5000,Production!$A$2:$A$5000,$A25,Production!$B$2:$B$5000,$B25,Production!$K$2:$K$5000,"61-90")</f>
        <v/>
      </c>
      <c r="J25" s="23">
        <f>SUMIFS(Production!$J$2:$J$5000,Production!$A$2:$A$5000,$A25,Production!$B$2:$B$5000,$B25,Production!$K$2:$K$5000,"90+")</f>
        <v/>
      </c>
      <c r="K25" s="14">
        <f>IF(E25=0,"",_xlfn.MAXIFS(Production!$F$2:$F$5000,Production!$A$2:$A$5000,$A25,Production!$B$2:$B$5000,$B25,Production!$I$2:$I$5000,"&gt;0"))</f>
        <v/>
      </c>
      <c r="L25" s="15">
        <f>IF(F25=0,"",SUMPRODUCT((Production!$A$2:$A$5000=$A25)*(Production!$B$2:$B$5000=$B25)*Production!$J$2:$J$5000,Production!$F$2:$F$5000)/F25)</f>
        <v/>
      </c>
      <c r="M25" s="10">
        <f>IF(D25&gt;C25,"Dispatched more than produced — opening stock / data gap","")</f>
        <v/>
      </c>
    </row>
    <row r="26">
      <c r="A26" s="9" t="inlineStr">
        <is>
          <t>Hyderabad</t>
        </is>
      </c>
      <c r="B26" s="9" t="inlineStr">
        <is>
          <t>75X25X2</t>
        </is>
      </c>
      <c r="C26" s="11">
        <f>SUMIFS(Production!$D$2:$D$5000,Production!$A$2:$A$5000,$A26,Production!$B$2:$B$5000,$B26)</f>
        <v/>
      </c>
      <c r="D26" s="11">
        <f>SUMIFS(Dispatched!$C$2:$C$5000,Dispatched!$A$2:$A$5000,$A26,Dispatched!$B$2:$B$5000,$B26)</f>
        <v/>
      </c>
      <c r="E26" s="11">
        <f>SUMIFS(Production!$I$2:$I$5000,Production!$A$2:$A$5000,$A26,Production!$B$2:$B$5000,$B26)</f>
        <v/>
      </c>
      <c r="F26" s="23">
        <f>SUMIFS(Production!$J$2:$J$5000,Production!$A$2:$A$5000,$A26,Production!$B$2:$B$5000,$B26)</f>
        <v/>
      </c>
      <c r="G26" s="23">
        <f>SUMIFS(Production!$J$2:$J$5000,Production!$A$2:$A$5000,$A26,Production!$B$2:$B$5000,$B26,Production!$K$2:$K$5000,"0-30")</f>
        <v/>
      </c>
      <c r="H26" s="23">
        <f>SUMIFS(Production!$J$2:$J$5000,Production!$A$2:$A$5000,$A26,Production!$B$2:$B$5000,$B26,Production!$K$2:$K$5000,"31-60")</f>
        <v/>
      </c>
      <c r="I26" s="23">
        <f>SUMIFS(Production!$J$2:$J$5000,Production!$A$2:$A$5000,$A26,Production!$B$2:$B$5000,$B26,Production!$K$2:$K$5000,"61-90")</f>
        <v/>
      </c>
      <c r="J26" s="23">
        <f>SUMIFS(Production!$J$2:$J$5000,Production!$A$2:$A$5000,$A26,Production!$B$2:$B$5000,$B26,Production!$K$2:$K$5000,"90+")</f>
        <v/>
      </c>
      <c r="K26" s="14">
        <f>IF(E26=0,"",_xlfn.MAXIFS(Production!$F$2:$F$5000,Production!$A$2:$A$5000,$A26,Production!$B$2:$B$5000,$B26,Production!$I$2:$I$5000,"&gt;0"))</f>
        <v/>
      </c>
      <c r="L26" s="15">
        <f>IF(F26=0,"",SUMPRODUCT((Production!$A$2:$A$5000=$A26)*(Production!$B$2:$B$5000=$B26)*Production!$J$2:$J$5000,Production!$F$2:$F$5000)/F26)</f>
        <v/>
      </c>
      <c r="M26" s="10">
        <f>IF(D26&gt;C26,"Dispatched more than produced — opening stock / data gap","")</f>
        <v/>
      </c>
    </row>
    <row r="27">
      <c r="A27" s="9" t="inlineStr">
        <is>
          <t>Hyderabad</t>
        </is>
      </c>
      <c r="B27" s="9" t="inlineStr">
        <is>
          <t>80NBX1.6</t>
        </is>
      </c>
      <c r="C27" s="11">
        <f>SUMIFS(Production!$D$2:$D$5000,Production!$A$2:$A$5000,$A27,Production!$B$2:$B$5000,$B27)</f>
        <v/>
      </c>
      <c r="D27" s="11">
        <f>SUMIFS(Dispatched!$C$2:$C$5000,Dispatched!$A$2:$A$5000,$A27,Dispatched!$B$2:$B$5000,$B27)</f>
        <v/>
      </c>
      <c r="E27" s="11">
        <f>SUMIFS(Production!$I$2:$I$5000,Production!$A$2:$A$5000,$A27,Production!$B$2:$B$5000,$B27)</f>
        <v/>
      </c>
      <c r="F27" s="23">
        <f>SUMIFS(Production!$J$2:$J$5000,Production!$A$2:$A$5000,$A27,Production!$B$2:$B$5000,$B27)</f>
        <v/>
      </c>
      <c r="G27" s="23">
        <f>SUMIFS(Production!$J$2:$J$5000,Production!$A$2:$A$5000,$A27,Production!$B$2:$B$5000,$B27,Production!$K$2:$K$5000,"0-30")</f>
        <v/>
      </c>
      <c r="H27" s="23">
        <f>SUMIFS(Production!$J$2:$J$5000,Production!$A$2:$A$5000,$A27,Production!$B$2:$B$5000,$B27,Production!$K$2:$K$5000,"31-60")</f>
        <v/>
      </c>
      <c r="I27" s="23">
        <f>SUMIFS(Production!$J$2:$J$5000,Production!$A$2:$A$5000,$A27,Production!$B$2:$B$5000,$B27,Production!$K$2:$K$5000,"61-90")</f>
        <v/>
      </c>
      <c r="J27" s="23">
        <f>SUMIFS(Production!$J$2:$J$5000,Production!$A$2:$A$5000,$A27,Production!$B$2:$B$5000,$B27,Production!$K$2:$K$5000,"90+")</f>
        <v/>
      </c>
      <c r="K27" s="14">
        <f>IF(E27=0,"",_xlfn.MAXIFS(Production!$F$2:$F$5000,Production!$A$2:$A$5000,$A27,Production!$B$2:$B$5000,$B27,Production!$I$2:$I$5000,"&gt;0"))</f>
        <v/>
      </c>
      <c r="L27" s="15">
        <f>IF(F27=0,"",SUMPRODUCT((Production!$A$2:$A$5000=$A27)*(Production!$B$2:$B$5000=$B27)*Production!$J$2:$J$5000,Production!$F$2:$F$5000)/F27)</f>
        <v/>
      </c>
      <c r="M27" s="10">
        <f>IF(D27&gt;C27,"Dispatched more than produced — opening stock / data gap","")</f>
        <v/>
      </c>
    </row>
    <row r="28">
      <c r="A28" s="9" t="inlineStr">
        <is>
          <t>Hyderabad</t>
        </is>
      </c>
      <c r="B28" s="9" t="inlineStr">
        <is>
          <t>40NBX2.8</t>
        </is>
      </c>
      <c r="C28" s="11">
        <f>SUMIFS(Production!$D$2:$D$5000,Production!$A$2:$A$5000,$A28,Production!$B$2:$B$5000,$B28)</f>
        <v/>
      </c>
      <c r="D28" s="11">
        <f>SUMIFS(Dispatched!$C$2:$C$5000,Dispatched!$A$2:$A$5000,$A28,Dispatched!$B$2:$B$5000,$B28)</f>
        <v/>
      </c>
      <c r="E28" s="11">
        <f>SUMIFS(Production!$I$2:$I$5000,Production!$A$2:$A$5000,$A28,Production!$B$2:$B$5000,$B28)</f>
        <v/>
      </c>
      <c r="F28" s="23">
        <f>SUMIFS(Production!$J$2:$J$5000,Production!$A$2:$A$5000,$A28,Production!$B$2:$B$5000,$B28)</f>
        <v/>
      </c>
      <c r="G28" s="23">
        <f>SUMIFS(Production!$J$2:$J$5000,Production!$A$2:$A$5000,$A28,Production!$B$2:$B$5000,$B28,Production!$K$2:$K$5000,"0-30")</f>
        <v/>
      </c>
      <c r="H28" s="23">
        <f>SUMIFS(Production!$J$2:$J$5000,Production!$A$2:$A$5000,$A28,Production!$B$2:$B$5000,$B28,Production!$K$2:$K$5000,"31-60")</f>
        <v/>
      </c>
      <c r="I28" s="23">
        <f>SUMIFS(Production!$J$2:$J$5000,Production!$A$2:$A$5000,$A28,Production!$B$2:$B$5000,$B28,Production!$K$2:$K$5000,"61-90")</f>
        <v/>
      </c>
      <c r="J28" s="23">
        <f>SUMIFS(Production!$J$2:$J$5000,Production!$A$2:$A$5000,$A28,Production!$B$2:$B$5000,$B28,Production!$K$2:$K$5000,"90+")</f>
        <v/>
      </c>
      <c r="K28" s="14">
        <f>IF(E28=0,"",_xlfn.MAXIFS(Production!$F$2:$F$5000,Production!$A$2:$A$5000,$A28,Production!$B$2:$B$5000,$B28,Production!$I$2:$I$5000,"&gt;0"))</f>
        <v/>
      </c>
      <c r="L28" s="15">
        <f>IF(F28=0,"",SUMPRODUCT((Production!$A$2:$A$5000=$A28)*(Production!$B$2:$B$5000=$B28)*Production!$J$2:$J$5000,Production!$F$2:$F$5000)/F28)</f>
        <v/>
      </c>
      <c r="M28" s="10">
        <f>IF(D28&gt;C28,"Dispatched more than produced — opening stock / data gap","")</f>
        <v/>
      </c>
    </row>
    <row r="29">
      <c r="A29" s="9" t="inlineStr">
        <is>
          <t>Hyderabad</t>
        </is>
      </c>
      <c r="B29" s="9" t="inlineStr">
        <is>
          <t>50NBX2.5</t>
        </is>
      </c>
      <c r="C29" s="11">
        <f>SUMIFS(Production!$D$2:$D$5000,Production!$A$2:$A$5000,$A29,Production!$B$2:$B$5000,$B29)</f>
        <v/>
      </c>
      <c r="D29" s="11">
        <f>SUMIFS(Dispatched!$C$2:$C$5000,Dispatched!$A$2:$A$5000,$A29,Dispatched!$B$2:$B$5000,$B29)</f>
        <v/>
      </c>
      <c r="E29" s="11">
        <f>SUMIFS(Production!$I$2:$I$5000,Production!$A$2:$A$5000,$A29,Production!$B$2:$B$5000,$B29)</f>
        <v/>
      </c>
      <c r="F29" s="23">
        <f>SUMIFS(Production!$J$2:$J$5000,Production!$A$2:$A$5000,$A29,Production!$B$2:$B$5000,$B29)</f>
        <v/>
      </c>
      <c r="G29" s="23">
        <f>SUMIFS(Production!$J$2:$J$5000,Production!$A$2:$A$5000,$A29,Production!$B$2:$B$5000,$B29,Production!$K$2:$K$5000,"0-30")</f>
        <v/>
      </c>
      <c r="H29" s="23">
        <f>SUMIFS(Production!$J$2:$J$5000,Production!$A$2:$A$5000,$A29,Production!$B$2:$B$5000,$B29,Production!$K$2:$K$5000,"31-60")</f>
        <v/>
      </c>
      <c r="I29" s="23">
        <f>SUMIFS(Production!$J$2:$J$5000,Production!$A$2:$A$5000,$A29,Production!$B$2:$B$5000,$B29,Production!$K$2:$K$5000,"61-90")</f>
        <v/>
      </c>
      <c r="J29" s="23">
        <f>SUMIFS(Production!$J$2:$J$5000,Production!$A$2:$A$5000,$A29,Production!$B$2:$B$5000,$B29,Production!$K$2:$K$5000,"90+")</f>
        <v/>
      </c>
      <c r="K29" s="14">
        <f>IF(E29=0,"",_xlfn.MAXIFS(Production!$F$2:$F$5000,Production!$A$2:$A$5000,$A29,Production!$B$2:$B$5000,$B29,Production!$I$2:$I$5000,"&gt;0"))</f>
        <v/>
      </c>
      <c r="L29" s="15">
        <f>IF(F29=0,"",SUMPRODUCT((Production!$A$2:$A$5000=$A29)*(Production!$B$2:$B$5000=$B29)*Production!$J$2:$J$5000,Production!$F$2:$F$5000)/F29)</f>
        <v/>
      </c>
      <c r="M29" s="10">
        <f>IF(D29&gt;C29,"Dispatched more than produced — opening stock / data gap","")</f>
        <v/>
      </c>
    </row>
    <row r="30">
      <c r="A30" s="9" t="inlineStr">
        <is>
          <t>Hyderabad</t>
        </is>
      </c>
      <c r="B30" s="9" t="inlineStr">
        <is>
          <t>50NBX2.8</t>
        </is>
      </c>
      <c r="C30" s="11">
        <f>SUMIFS(Production!$D$2:$D$5000,Production!$A$2:$A$5000,$A30,Production!$B$2:$B$5000,$B30)</f>
        <v/>
      </c>
      <c r="D30" s="11">
        <f>SUMIFS(Dispatched!$C$2:$C$5000,Dispatched!$A$2:$A$5000,$A30,Dispatched!$B$2:$B$5000,$B30)</f>
        <v/>
      </c>
      <c r="E30" s="11">
        <f>SUMIFS(Production!$I$2:$I$5000,Production!$A$2:$A$5000,$A30,Production!$B$2:$B$5000,$B30)</f>
        <v/>
      </c>
      <c r="F30" s="23">
        <f>SUMIFS(Production!$J$2:$J$5000,Production!$A$2:$A$5000,$A30,Production!$B$2:$B$5000,$B30)</f>
        <v/>
      </c>
      <c r="G30" s="23">
        <f>SUMIFS(Production!$J$2:$J$5000,Production!$A$2:$A$5000,$A30,Production!$B$2:$B$5000,$B30,Production!$K$2:$K$5000,"0-30")</f>
        <v/>
      </c>
      <c r="H30" s="23">
        <f>SUMIFS(Production!$J$2:$J$5000,Production!$A$2:$A$5000,$A30,Production!$B$2:$B$5000,$B30,Production!$K$2:$K$5000,"31-60")</f>
        <v/>
      </c>
      <c r="I30" s="23">
        <f>SUMIFS(Production!$J$2:$J$5000,Production!$A$2:$A$5000,$A30,Production!$B$2:$B$5000,$B30,Production!$K$2:$K$5000,"61-90")</f>
        <v/>
      </c>
      <c r="J30" s="23">
        <f>SUMIFS(Production!$J$2:$J$5000,Production!$A$2:$A$5000,$A30,Production!$B$2:$B$5000,$B30,Production!$K$2:$K$5000,"90+")</f>
        <v/>
      </c>
      <c r="K30" s="14">
        <f>IF(E30=0,"",_xlfn.MAXIFS(Production!$F$2:$F$5000,Production!$A$2:$A$5000,$A30,Production!$B$2:$B$5000,$B30,Production!$I$2:$I$5000,"&gt;0"))</f>
        <v/>
      </c>
      <c r="L30" s="15">
        <f>IF(F30=0,"",SUMPRODUCT((Production!$A$2:$A$5000=$A30)*(Production!$B$2:$B$5000=$B30)*Production!$J$2:$J$5000,Production!$F$2:$F$5000)/F30)</f>
        <v/>
      </c>
      <c r="M30" s="10">
        <f>IF(D30&gt;C30,"Dispatched more than produced — opening stock / data gap","")</f>
        <v/>
      </c>
    </row>
    <row r="31">
      <c r="A31" s="9" t="inlineStr">
        <is>
          <t>Hyderabad</t>
        </is>
      </c>
      <c r="B31" s="9" t="inlineStr">
        <is>
          <t>60X60X2</t>
        </is>
      </c>
      <c r="C31" s="11">
        <f>SUMIFS(Production!$D$2:$D$5000,Production!$A$2:$A$5000,$A31,Production!$B$2:$B$5000,$B31)</f>
        <v/>
      </c>
      <c r="D31" s="11">
        <f>SUMIFS(Dispatched!$C$2:$C$5000,Dispatched!$A$2:$A$5000,$A31,Dispatched!$B$2:$B$5000,$B31)</f>
        <v/>
      </c>
      <c r="E31" s="11">
        <f>SUMIFS(Production!$I$2:$I$5000,Production!$A$2:$A$5000,$A31,Production!$B$2:$B$5000,$B31)</f>
        <v/>
      </c>
      <c r="F31" s="23">
        <f>SUMIFS(Production!$J$2:$J$5000,Production!$A$2:$A$5000,$A31,Production!$B$2:$B$5000,$B31)</f>
        <v/>
      </c>
      <c r="G31" s="23">
        <f>SUMIFS(Production!$J$2:$J$5000,Production!$A$2:$A$5000,$A31,Production!$B$2:$B$5000,$B31,Production!$K$2:$K$5000,"0-30")</f>
        <v/>
      </c>
      <c r="H31" s="23">
        <f>SUMIFS(Production!$J$2:$J$5000,Production!$A$2:$A$5000,$A31,Production!$B$2:$B$5000,$B31,Production!$K$2:$K$5000,"31-60")</f>
        <v/>
      </c>
      <c r="I31" s="23">
        <f>SUMIFS(Production!$J$2:$J$5000,Production!$A$2:$A$5000,$A31,Production!$B$2:$B$5000,$B31,Production!$K$2:$K$5000,"61-90")</f>
        <v/>
      </c>
      <c r="J31" s="23">
        <f>SUMIFS(Production!$J$2:$J$5000,Production!$A$2:$A$5000,$A31,Production!$B$2:$B$5000,$B31,Production!$K$2:$K$5000,"90+")</f>
        <v/>
      </c>
      <c r="K31" s="14">
        <f>IF(E31=0,"",_xlfn.MAXIFS(Production!$F$2:$F$5000,Production!$A$2:$A$5000,$A31,Production!$B$2:$B$5000,$B31,Production!$I$2:$I$5000,"&gt;0"))</f>
        <v/>
      </c>
      <c r="L31" s="15">
        <f>IF(F31=0,"",SUMPRODUCT((Production!$A$2:$A$5000=$A31)*(Production!$B$2:$B$5000=$B31)*Production!$J$2:$J$5000,Production!$F$2:$F$5000)/F31)</f>
        <v/>
      </c>
      <c r="M31" s="10">
        <f>IF(D31&gt;C31,"Dispatched more than produced — opening stock / data gap","")</f>
        <v/>
      </c>
    </row>
    <row r="32">
      <c r="A32" s="9" t="inlineStr">
        <is>
          <t>Hyderabad</t>
        </is>
      </c>
      <c r="B32" s="9" t="inlineStr">
        <is>
          <t>32NBX2</t>
        </is>
      </c>
      <c r="C32" s="11">
        <f>SUMIFS(Production!$D$2:$D$5000,Production!$A$2:$A$5000,$A32,Production!$B$2:$B$5000,$B32)</f>
        <v/>
      </c>
      <c r="D32" s="11">
        <f>SUMIFS(Dispatched!$C$2:$C$5000,Dispatched!$A$2:$A$5000,$A32,Dispatched!$B$2:$B$5000,$B32)</f>
        <v/>
      </c>
      <c r="E32" s="11">
        <f>SUMIFS(Production!$I$2:$I$5000,Production!$A$2:$A$5000,$A32,Production!$B$2:$B$5000,$B32)</f>
        <v/>
      </c>
      <c r="F32" s="23">
        <f>SUMIFS(Production!$J$2:$J$5000,Production!$A$2:$A$5000,$A32,Production!$B$2:$B$5000,$B32)</f>
        <v/>
      </c>
      <c r="G32" s="23">
        <f>SUMIFS(Production!$J$2:$J$5000,Production!$A$2:$A$5000,$A32,Production!$B$2:$B$5000,$B32,Production!$K$2:$K$5000,"0-30")</f>
        <v/>
      </c>
      <c r="H32" s="23">
        <f>SUMIFS(Production!$J$2:$J$5000,Production!$A$2:$A$5000,$A32,Production!$B$2:$B$5000,$B32,Production!$K$2:$K$5000,"31-60")</f>
        <v/>
      </c>
      <c r="I32" s="23">
        <f>SUMIFS(Production!$J$2:$J$5000,Production!$A$2:$A$5000,$A32,Production!$B$2:$B$5000,$B32,Production!$K$2:$K$5000,"61-90")</f>
        <v/>
      </c>
      <c r="J32" s="23">
        <f>SUMIFS(Production!$J$2:$J$5000,Production!$A$2:$A$5000,$A32,Production!$B$2:$B$5000,$B32,Production!$K$2:$K$5000,"90+")</f>
        <v/>
      </c>
      <c r="K32" s="14">
        <f>IF(E32=0,"",_xlfn.MAXIFS(Production!$F$2:$F$5000,Production!$A$2:$A$5000,$A32,Production!$B$2:$B$5000,$B32,Production!$I$2:$I$5000,"&gt;0"))</f>
        <v/>
      </c>
      <c r="L32" s="15">
        <f>IF(F32=0,"",SUMPRODUCT((Production!$A$2:$A$5000=$A32)*(Production!$B$2:$B$5000=$B32)*Production!$J$2:$J$5000,Production!$F$2:$F$5000)/F32)</f>
        <v/>
      </c>
      <c r="M32" s="10">
        <f>IF(D32&gt;C32,"Dispatched more than produced — opening stock / data gap","")</f>
        <v/>
      </c>
    </row>
    <row r="33">
      <c r="A33" s="9" t="inlineStr">
        <is>
          <t>Hyderabad</t>
        </is>
      </c>
      <c r="B33" s="9" t="inlineStr">
        <is>
          <t>25NBX1.6</t>
        </is>
      </c>
      <c r="C33" s="11">
        <f>SUMIFS(Production!$D$2:$D$5000,Production!$A$2:$A$5000,$A33,Production!$B$2:$B$5000,$B33)</f>
        <v/>
      </c>
      <c r="D33" s="11">
        <f>SUMIFS(Dispatched!$C$2:$C$5000,Dispatched!$A$2:$A$5000,$A33,Dispatched!$B$2:$B$5000,$B33)</f>
        <v/>
      </c>
      <c r="E33" s="11">
        <f>SUMIFS(Production!$I$2:$I$5000,Production!$A$2:$A$5000,$A33,Production!$B$2:$B$5000,$B33)</f>
        <v/>
      </c>
      <c r="F33" s="23">
        <f>SUMIFS(Production!$J$2:$J$5000,Production!$A$2:$A$5000,$A33,Production!$B$2:$B$5000,$B33)</f>
        <v/>
      </c>
      <c r="G33" s="23">
        <f>SUMIFS(Production!$J$2:$J$5000,Production!$A$2:$A$5000,$A33,Production!$B$2:$B$5000,$B33,Production!$K$2:$K$5000,"0-30")</f>
        <v/>
      </c>
      <c r="H33" s="23">
        <f>SUMIFS(Production!$J$2:$J$5000,Production!$A$2:$A$5000,$A33,Production!$B$2:$B$5000,$B33,Production!$K$2:$K$5000,"31-60")</f>
        <v/>
      </c>
      <c r="I33" s="23">
        <f>SUMIFS(Production!$J$2:$J$5000,Production!$A$2:$A$5000,$A33,Production!$B$2:$B$5000,$B33,Production!$K$2:$K$5000,"61-90")</f>
        <v/>
      </c>
      <c r="J33" s="23">
        <f>SUMIFS(Production!$J$2:$J$5000,Production!$A$2:$A$5000,$A33,Production!$B$2:$B$5000,$B33,Production!$K$2:$K$5000,"90+")</f>
        <v/>
      </c>
      <c r="K33" s="14">
        <f>IF(E33=0,"",_xlfn.MAXIFS(Production!$F$2:$F$5000,Production!$A$2:$A$5000,$A33,Production!$B$2:$B$5000,$B33,Production!$I$2:$I$5000,"&gt;0"))</f>
        <v/>
      </c>
      <c r="L33" s="15">
        <f>IF(F33=0,"",SUMPRODUCT((Production!$A$2:$A$5000=$A33)*(Production!$B$2:$B$5000=$B33)*Production!$J$2:$J$5000,Production!$F$2:$F$5000)/F33)</f>
        <v/>
      </c>
      <c r="M33" s="10">
        <f>IF(D33&gt;C33,"Dispatched more than produced — opening stock / data gap","")</f>
        <v/>
      </c>
    </row>
    <row r="34">
      <c r="A34" s="9" t="inlineStr">
        <is>
          <t>Hyderabad</t>
        </is>
      </c>
      <c r="B34" s="9" t="inlineStr">
        <is>
          <t>80NBX2.8</t>
        </is>
      </c>
      <c r="C34" s="11">
        <f>SUMIFS(Production!$D$2:$D$5000,Production!$A$2:$A$5000,$A34,Production!$B$2:$B$5000,$B34)</f>
        <v/>
      </c>
      <c r="D34" s="11">
        <f>SUMIFS(Dispatched!$C$2:$C$5000,Dispatched!$A$2:$A$5000,$A34,Dispatched!$B$2:$B$5000,$B34)</f>
        <v/>
      </c>
      <c r="E34" s="11">
        <f>SUMIFS(Production!$I$2:$I$5000,Production!$A$2:$A$5000,$A34,Production!$B$2:$B$5000,$B34)</f>
        <v/>
      </c>
      <c r="F34" s="23">
        <f>SUMIFS(Production!$J$2:$J$5000,Production!$A$2:$A$5000,$A34,Production!$B$2:$B$5000,$B34)</f>
        <v/>
      </c>
      <c r="G34" s="23">
        <f>SUMIFS(Production!$J$2:$J$5000,Production!$A$2:$A$5000,$A34,Production!$B$2:$B$5000,$B34,Production!$K$2:$K$5000,"0-30")</f>
        <v/>
      </c>
      <c r="H34" s="23">
        <f>SUMIFS(Production!$J$2:$J$5000,Production!$A$2:$A$5000,$A34,Production!$B$2:$B$5000,$B34,Production!$K$2:$K$5000,"31-60")</f>
        <v/>
      </c>
      <c r="I34" s="23">
        <f>SUMIFS(Production!$J$2:$J$5000,Production!$A$2:$A$5000,$A34,Production!$B$2:$B$5000,$B34,Production!$K$2:$K$5000,"61-90")</f>
        <v/>
      </c>
      <c r="J34" s="23">
        <f>SUMIFS(Production!$J$2:$J$5000,Production!$A$2:$A$5000,$A34,Production!$B$2:$B$5000,$B34,Production!$K$2:$K$5000,"90+")</f>
        <v/>
      </c>
      <c r="K34" s="14">
        <f>IF(E34=0,"",_xlfn.MAXIFS(Production!$F$2:$F$5000,Production!$A$2:$A$5000,$A34,Production!$B$2:$B$5000,$B34,Production!$I$2:$I$5000,"&gt;0"))</f>
        <v/>
      </c>
      <c r="L34" s="15">
        <f>IF(F34=0,"",SUMPRODUCT((Production!$A$2:$A$5000=$A34)*(Production!$B$2:$B$5000=$B34)*Production!$J$2:$J$5000,Production!$F$2:$F$5000)/F34)</f>
        <v/>
      </c>
      <c r="M34" s="10">
        <f>IF(D34&gt;C34,"Dispatched more than produced — opening stock / data gap","")</f>
        <v/>
      </c>
    </row>
    <row r="35">
      <c r="A35" s="9" t="inlineStr">
        <is>
          <t>Hyderabad</t>
        </is>
      </c>
      <c r="B35" s="9" t="inlineStr">
        <is>
          <t>60X60X4</t>
        </is>
      </c>
      <c r="C35" s="11">
        <f>SUMIFS(Production!$D$2:$D$5000,Production!$A$2:$A$5000,$A35,Production!$B$2:$B$5000,$B35)</f>
        <v/>
      </c>
      <c r="D35" s="11">
        <f>SUMIFS(Dispatched!$C$2:$C$5000,Dispatched!$A$2:$A$5000,$A35,Dispatched!$B$2:$B$5000,$B35)</f>
        <v/>
      </c>
      <c r="E35" s="11">
        <f>SUMIFS(Production!$I$2:$I$5000,Production!$A$2:$A$5000,$A35,Production!$B$2:$B$5000,$B35)</f>
        <v/>
      </c>
      <c r="F35" s="23">
        <f>SUMIFS(Production!$J$2:$J$5000,Production!$A$2:$A$5000,$A35,Production!$B$2:$B$5000,$B35)</f>
        <v/>
      </c>
      <c r="G35" s="23">
        <f>SUMIFS(Production!$J$2:$J$5000,Production!$A$2:$A$5000,$A35,Production!$B$2:$B$5000,$B35,Production!$K$2:$K$5000,"0-30")</f>
        <v/>
      </c>
      <c r="H35" s="23">
        <f>SUMIFS(Production!$J$2:$J$5000,Production!$A$2:$A$5000,$A35,Production!$B$2:$B$5000,$B35,Production!$K$2:$K$5000,"31-60")</f>
        <v/>
      </c>
      <c r="I35" s="23">
        <f>SUMIFS(Production!$J$2:$J$5000,Production!$A$2:$A$5000,$A35,Production!$B$2:$B$5000,$B35,Production!$K$2:$K$5000,"61-90")</f>
        <v/>
      </c>
      <c r="J35" s="23">
        <f>SUMIFS(Production!$J$2:$J$5000,Production!$A$2:$A$5000,$A35,Production!$B$2:$B$5000,$B35,Production!$K$2:$K$5000,"90+")</f>
        <v/>
      </c>
      <c r="K35" s="14">
        <f>IF(E35=0,"",_xlfn.MAXIFS(Production!$F$2:$F$5000,Production!$A$2:$A$5000,$A35,Production!$B$2:$B$5000,$B35,Production!$I$2:$I$5000,"&gt;0"))</f>
        <v/>
      </c>
      <c r="L35" s="15">
        <f>IF(F35=0,"",SUMPRODUCT((Production!$A$2:$A$5000=$A35)*(Production!$B$2:$B$5000=$B35)*Production!$J$2:$J$5000,Production!$F$2:$F$5000)/F35)</f>
        <v/>
      </c>
      <c r="M35" s="10">
        <f>IF(D35&gt;C35,"Dispatched more than produced — opening stock / data gap","")</f>
        <v/>
      </c>
    </row>
    <row r="36">
      <c r="A36" s="9" t="inlineStr">
        <is>
          <t>Hyderabad</t>
        </is>
      </c>
      <c r="B36" s="9" t="inlineStr">
        <is>
          <t>20NBX2</t>
        </is>
      </c>
      <c r="C36" s="11">
        <f>SUMIFS(Production!$D$2:$D$5000,Production!$A$2:$A$5000,$A36,Production!$B$2:$B$5000,$B36)</f>
        <v/>
      </c>
      <c r="D36" s="11">
        <f>SUMIFS(Dispatched!$C$2:$C$5000,Dispatched!$A$2:$A$5000,$A36,Dispatched!$B$2:$B$5000,$B36)</f>
        <v/>
      </c>
      <c r="E36" s="11">
        <f>SUMIFS(Production!$I$2:$I$5000,Production!$A$2:$A$5000,$A36,Production!$B$2:$B$5000,$B36)</f>
        <v/>
      </c>
      <c r="F36" s="23">
        <f>SUMIFS(Production!$J$2:$J$5000,Production!$A$2:$A$5000,$A36,Production!$B$2:$B$5000,$B36)</f>
        <v/>
      </c>
      <c r="G36" s="23">
        <f>SUMIFS(Production!$J$2:$J$5000,Production!$A$2:$A$5000,$A36,Production!$B$2:$B$5000,$B36,Production!$K$2:$K$5000,"0-30")</f>
        <v/>
      </c>
      <c r="H36" s="23">
        <f>SUMIFS(Production!$J$2:$J$5000,Production!$A$2:$A$5000,$A36,Production!$B$2:$B$5000,$B36,Production!$K$2:$K$5000,"31-60")</f>
        <v/>
      </c>
      <c r="I36" s="23">
        <f>SUMIFS(Production!$J$2:$J$5000,Production!$A$2:$A$5000,$A36,Production!$B$2:$B$5000,$B36,Production!$K$2:$K$5000,"61-90")</f>
        <v/>
      </c>
      <c r="J36" s="23">
        <f>SUMIFS(Production!$J$2:$J$5000,Production!$A$2:$A$5000,$A36,Production!$B$2:$B$5000,$B36,Production!$K$2:$K$5000,"90+")</f>
        <v/>
      </c>
      <c r="K36" s="14">
        <f>IF(E36=0,"",_xlfn.MAXIFS(Production!$F$2:$F$5000,Production!$A$2:$A$5000,$A36,Production!$B$2:$B$5000,$B36,Production!$I$2:$I$5000,"&gt;0"))</f>
        <v/>
      </c>
      <c r="L36" s="15">
        <f>IF(F36=0,"",SUMPRODUCT((Production!$A$2:$A$5000=$A36)*(Production!$B$2:$B$5000=$B36)*Production!$J$2:$J$5000,Production!$F$2:$F$5000)/F36)</f>
        <v/>
      </c>
      <c r="M36" s="10">
        <f>IF(D36&gt;C36,"Dispatched more than produced — opening stock / data gap","")</f>
        <v/>
      </c>
    </row>
    <row r="37">
      <c r="A37" s="9" t="inlineStr">
        <is>
          <t>Hyderabad</t>
        </is>
      </c>
      <c r="B37" s="9" t="inlineStr">
        <is>
          <t>20NBX1.6</t>
        </is>
      </c>
      <c r="C37" s="11">
        <f>SUMIFS(Production!$D$2:$D$5000,Production!$A$2:$A$5000,$A37,Production!$B$2:$B$5000,$B37)</f>
        <v/>
      </c>
      <c r="D37" s="11">
        <f>SUMIFS(Dispatched!$C$2:$C$5000,Dispatched!$A$2:$A$5000,$A37,Dispatched!$B$2:$B$5000,$B37)</f>
        <v/>
      </c>
      <c r="E37" s="11">
        <f>SUMIFS(Production!$I$2:$I$5000,Production!$A$2:$A$5000,$A37,Production!$B$2:$B$5000,$B37)</f>
        <v/>
      </c>
      <c r="F37" s="23">
        <f>SUMIFS(Production!$J$2:$J$5000,Production!$A$2:$A$5000,$A37,Production!$B$2:$B$5000,$B37)</f>
        <v/>
      </c>
      <c r="G37" s="23">
        <f>SUMIFS(Production!$J$2:$J$5000,Production!$A$2:$A$5000,$A37,Production!$B$2:$B$5000,$B37,Production!$K$2:$K$5000,"0-30")</f>
        <v/>
      </c>
      <c r="H37" s="23">
        <f>SUMIFS(Production!$J$2:$J$5000,Production!$A$2:$A$5000,$A37,Production!$B$2:$B$5000,$B37,Production!$K$2:$K$5000,"31-60")</f>
        <v/>
      </c>
      <c r="I37" s="23">
        <f>SUMIFS(Production!$J$2:$J$5000,Production!$A$2:$A$5000,$A37,Production!$B$2:$B$5000,$B37,Production!$K$2:$K$5000,"61-90")</f>
        <v/>
      </c>
      <c r="J37" s="23">
        <f>SUMIFS(Production!$J$2:$J$5000,Production!$A$2:$A$5000,$A37,Production!$B$2:$B$5000,$B37,Production!$K$2:$K$5000,"90+")</f>
        <v/>
      </c>
      <c r="K37" s="14">
        <f>IF(E37=0,"",_xlfn.MAXIFS(Production!$F$2:$F$5000,Production!$A$2:$A$5000,$A37,Production!$B$2:$B$5000,$B37,Production!$I$2:$I$5000,"&gt;0"))</f>
        <v/>
      </c>
      <c r="L37" s="15">
        <f>IF(F37=0,"",SUMPRODUCT((Production!$A$2:$A$5000=$A37)*(Production!$B$2:$B$5000=$B37)*Production!$J$2:$J$5000,Production!$F$2:$F$5000)/F37)</f>
        <v/>
      </c>
      <c r="M37" s="10">
        <f>IF(D37&gt;C37,"Dispatched more than produced — opening stock / data gap","")</f>
        <v/>
      </c>
    </row>
    <row r="38">
      <c r="A38" s="9" t="inlineStr">
        <is>
          <t>Hyderabad</t>
        </is>
      </c>
      <c r="B38" s="9" t="inlineStr">
        <is>
          <t>50X25X1.6</t>
        </is>
      </c>
      <c r="C38" s="11">
        <f>SUMIFS(Production!$D$2:$D$5000,Production!$A$2:$A$5000,$A38,Production!$B$2:$B$5000,$B38)</f>
        <v/>
      </c>
      <c r="D38" s="11">
        <f>SUMIFS(Dispatched!$C$2:$C$5000,Dispatched!$A$2:$A$5000,$A38,Dispatched!$B$2:$B$5000,$B38)</f>
        <v/>
      </c>
      <c r="E38" s="11">
        <f>SUMIFS(Production!$I$2:$I$5000,Production!$A$2:$A$5000,$A38,Production!$B$2:$B$5000,$B38)</f>
        <v/>
      </c>
      <c r="F38" s="23">
        <f>SUMIFS(Production!$J$2:$J$5000,Production!$A$2:$A$5000,$A38,Production!$B$2:$B$5000,$B38)</f>
        <v/>
      </c>
      <c r="G38" s="23">
        <f>SUMIFS(Production!$J$2:$J$5000,Production!$A$2:$A$5000,$A38,Production!$B$2:$B$5000,$B38,Production!$K$2:$K$5000,"0-30")</f>
        <v/>
      </c>
      <c r="H38" s="23">
        <f>SUMIFS(Production!$J$2:$J$5000,Production!$A$2:$A$5000,$A38,Production!$B$2:$B$5000,$B38,Production!$K$2:$K$5000,"31-60")</f>
        <v/>
      </c>
      <c r="I38" s="23">
        <f>SUMIFS(Production!$J$2:$J$5000,Production!$A$2:$A$5000,$A38,Production!$B$2:$B$5000,$B38,Production!$K$2:$K$5000,"61-90")</f>
        <v/>
      </c>
      <c r="J38" s="23">
        <f>SUMIFS(Production!$J$2:$J$5000,Production!$A$2:$A$5000,$A38,Production!$B$2:$B$5000,$B38,Production!$K$2:$K$5000,"90+")</f>
        <v/>
      </c>
      <c r="K38" s="14">
        <f>IF(E38=0,"",_xlfn.MAXIFS(Production!$F$2:$F$5000,Production!$A$2:$A$5000,$A38,Production!$B$2:$B$5000,$B38,Production!$I$2:$I$5000,"&gt;0"))</f>
        <v/>
      </c>
      <c r="L38" s="15">
        <f>IF(F38=0,"",SUMPRODUCT((Production!$A$2:$A$5000=$A38)*(Production!$B$2:$B$5000=$B38)*Production!$J$2:$J$5000,Production!$F$2:$F$5000)/F38)</f>
        <v/>
      </c>
      <c r="M38" s="10">
        <f>IF(D38&gt;C38,"Dispatched more than produced — opening stock / data gap","")</f>
        <v/>
      </c>
    </row>
    <row r="39">
      <c r="A39" s="9" t="inlineStr">
        <is>
          <t>Hyderabad</t>
        </is>
      </c>
      <c r="B39" s="9" t="inlineStr">
        <is>
          <t>40NBX2.5</t>
        </is>
      </c>
      <c r="C39" s="11">
        <f>SUMIFS(Production!$D$2:$D$5000,Production!$A$2:$A$5000,$A39,Production!$B$2:$B$5000,$B39)</f>
        <v/>
      </c>
      <c r="D39" s="11">
        <f>SUMIFS(Dispatched!$C$2:$C$5000,Dispatched!$A$2:$A$5000,$A39,Dispatched!$B$2:$B$5000,$B39)</f>
        <v/>
      </c>
      <c r="E39" s="11">
        <f>SUMIFS(Production!$I$2:$I$5000,Production!$A$2:$A$5000,$A39,Production!$B$2:$B$5000,$B39)</f>
        <v/>
      </c>
      <c r="F39" s="23">
        <f>SUMIFS(Production!$J$2:$J$5000,Production!$A$2:$A$5000,$A39,Production!$B$2:$B$5000,$B39)</f>
        <v/>
      </c>
      <c r="G39" s="23">
        <f>SUMIFS(Production!$J$2:$J$5000,Production!$A$2:$A$5000,$A39,Production!$B$2:$B$5000,$B39,Production!$K$2:$K$5000,"0-30")</f>
        <v/>
      </c>
      <c r="H39" s="23">
        <f>SUMIFS(Production!$J$2:$J$5000,Production!$A$2:$A$5000,$A39,Production!$B$2:$B$5000,$B39,Production!$K$2:$K$5000,"31-60")</f>
        <v/>
      </c>
      <c r="I39" s="23">
        <f>SUMIFS(Production!$J$2:$J$5000,Production!$A$2:$A$5000,$A39,Production!$B$2:$B$5000,$B39,Production!$K$2:$K$5000,"61-90")</f>
        <v/>
      </c>
      <c r="J39" s="23">
        <f>SUMIFS(Production!$J$2:$J$5000,Production!$A$2:$A$5000,$A39,Production!$B$2:$B$5000,$B39,Production!$K$2:$K$5000,"90+")</f>
        <v/>
      </c>
      <c r="K39" s="14">
        <f>IF(E39=0,"",_xlfn.MAXIFS(Production!$F$2:$F$5000,Production!$A$2:$A$5000,$A39,Production!$B$2:$B$5000,$B39,Production!$I$2:$I$5000,"&gt;0"))</f>
        <v/>
      </c>
      <c r="L39" s="15">
        <f>IF(F39=0,"",SUMPRODUCT((Production!$A$2:$A$5000=$A39)*(Production!$B$2:$B$5000=$B39)*Production!$J$2:$J$5000,Production!$F$2:$F$5000)/F39)</f>
        <v/>
      </c>
      <c r="M39" s="10">
        <f>IF(D39&gt;C39,"Dispatched more than produced — opening stock / data gap","")</f>
        <v/>
      </c>
    </row>
    <row r="40">
      <c r="A40" s="9" t="inlineStr">
        <is>
          <t>Hyderabad</t>
        </is>
      </c>
      <c r="B40" s="9" t="inlineStr">
        <is>
          <t>100X50X4</t>
        </is>
      </c>
      <c r="C40" s="11">
        <f>SUMIFS(Production!$D$2:$D$5000,Production!$A$2:$A$5000,$A40,Production!$B$2:$B$5000,$B40)</f>
        <v/>
      </c>
      <c r="D40" s="11">
        <f>SUMIFS(Dispatched!$C$2:$C$5000,Dispatched!$A$2:$A$5000,$A40,Dispatched!$B$2:$B$5000,$B40)</f>
        <v/>
      </c>
      <c r="E40" s="11">
        <f>SUMIFS(Production!$I$2:$I$5000,Production!$A$2:$A$5000,$A40,Production!$B$2:$B$5000,$B40)</f>
        <v/>
      </c>
      <c r="F40" s="23">
        <f>SUMIFS(Production!$J$2:$J$5000,Production!$A$2:$A$5000,$A40,Production!$B$2:$B$5000,$B40)</f>
        <v/>
      </c>
      <c r="G40" s="23">
        <f>SUMIFS(Production!$J$2:$J$5000,Production!$A$2:$A$5000,$A40,Production!$B$2:$B$5000,$B40,Production!$K$2:$K$5000,"0-30")</f>
        <v/>
      </c>
      <c r="H40" s="23">
        <f>SUMIFS(Production!$J$2:$J$5000,Production!$A$2:$A$5000,$A40,Production!$B$2:$B$5000,$B40,Production!$K$2:$K$5000,"31-60")</f>
        <v/>
      </c>
      <c r="I40" s="23">
        <f>SUMIFS(Production!$J$2:$J$5000,Production!$A$2:$A$5000,$A40,Production!$B$2:$B$5000,$B40,Production!$K$2:$K$5000,"61-90")</f>
        <v/>
      </c>
      <c r="J40" s="23">
        <f>SUMIFS(Production!$J$2:$J$5000,Production!$A$2:$A$5000,$A40,Production!$B$2:$B$5000,$B40,Production!$K$2:$K$5000,"90+")</f>
        <v/>
      </c>
      <c r="K40" s="14">
        <f>IF(E40=0,"",_xlfn.MAXIFS(Production!$F$2:$F$5000,Production!$A$2:$A$5000,$A40,Production!$B$2:$B$5000,$B40,Production!$I$2:$I$5000,"&gt;0"))</f>
        <v/>
      </c>
      <c r="L40" s="15">
        <f>IF(F40=0,"",SUMPRODUCT((Production!$A$2:$A$5000=$A40)*(Production!$B$2:$B$5000=$B40)*Production!$J$2:$J$5000,Production!$F$2:$F$5000)/F40)</f>
        <v/>
      </c>
      <c r="M40" s="10">
        <f>IF(D40&gt;C40,"Dispatched more than produced — opening stock / data gap","")</f>
        <v/>
      </c>
    </row>
    <row r="41">
      <c r="A41" s="9" t="inlineStr">
        <is>
          <t>Hyderabad</t>
        </is>
      </c>
      <c r="B41" s="9" t="inlineStr">
        <is>
          <t>40X20X2</t>
        </is>
      </c>
      <c r="C41" s="11">
        <f>SUMIFS(Production!$D$2:$D$5000,Production!$A$2:$A$5000,$A41,Production!$B$2:$B$5000,$B41)</f>
        <v/>
      </c>
      <c r="D41" s="11">
        <f>SUMIFS(Dispatched!$C$2:$C$5000,Dispatched!$A$2:$A$5000,$A41,Dispatched!$B$2:$B$5000,$B41)</f>
        <v/>
      </c>
      <c r="E41" s="11">
        <f>SUMIFS(Production!$I$2:$I$5000,Production!$A$2:$A$5000,$A41,Production!$B$2:$B$5000,$B41)</f>
        <v/>
      </c>
      <c r="F41" s="23">
        <f>SUMIFS(Production!$J$2:$J$5000,Production!$A$2:$A$5000,$A41,Production!$B$2:$B$5000,$B41)</f>
        <v/>
      </c>
      <c r="G41" s="23">
        <f>SUMIFS(Production!$J$2:$J$5000,Production!$A$2:$A$5000,$A41,Production!$B$2:$B$5000,$B41,Production!$K$2:$K$5000,"0-30")</f>
        <v/>
      </c>
      <c r="H41" s="23">
        <f>SUMIFS(Production!$J$2:$J$5000,Production!$A$2:$A$5000,$A41,Production!$B$2:$B$5000,$B41,Production!$K$2:$K$5000,"31-60")</f>
        <v/>
      </c>
      <c r="I41" s="23">
        <f>SUMIFS(Production!$J$2:$J$5000,Production!$A$2:$A$5000,$A41,Production!$B$2:$B$5000,$B41,Production!$K$2:$K$5000,"61-90")</f>
        <v/>
      </c>
      <c r="J41" s="23">
        <f>SUMIFS(Production!$J$2:$J$5000,Production!$A$2:$A$5000,$A41,Production!$B$2:$B$5000,$B41,Production!$K$2:$K$5000,"90+")</f>
        <v/>
      </c>
      <c r="K41" s="14">
        <f>IF(E41=0,"",_xlfn.MAXIFS(Production!$F$2:$F$5000,Production!$A$2:$A$5000,$A41,Production!$B$2:$B$5000,$B41,Production!$I$2:$I$5000,"&gt;0"))</f>
        <v/>
      </c>
      <c r="L41" s="15">
        <f>IF(F41=0,"",SUMPRODUCT((Production!$A$2:$A$5000=$A41)*(Production!$B$2:$B$5000=$B41)*Production!$J$2:$J$5000,Production!$F$2:$F$5000)/F41)</f>
        <v/>
      </c>
      <c r="M41" s="10">
        <f>IF(D41&gt;C41,"Dispatched more than produced — opening stock / data gap","")</f>
        <v/>
      </c>
    </row>
    <row r="42">
      <c r="A42" s="9" t="inlineStr">
        <is>
          <t>Hyderabad</t>
        </is>
      </c>
      <c r="B42" s="9" t="inlineStr">
        <is>
          <t>25NBX2</t>
        </is>
      </c>
      <c r="C42" s="11">
        <f>SUMIFS(Production!$D$2:$D$5000,Production!$A$2:$A$5000,$A42,Production!$B$2:$B$5000,$B42)</f>
        <v/>
      </c>
      <c r="D42" s="11">
        <f>SUMIFS(Dispatched!$C$2:$C$5000,Dispatched!$A$2:$A$5000,$A42,Dispatched!$B$2:$B$5000,$B42)</f>
        <v/>
      </c>
      <c r="E42" s="11">
        <f>SUMIFS(Production!$I$2:$I$5000,Production!$A$2:$A$5000,$A42,Production!$B$2:$B$5000,$B42)</f>
        <v/>
      </c>
      <c r="F42" s="23">
        <f>SUMIFS(Production!$J$2:$J$5000,Production!$A$2:$A$5000,$A42,Production!$B$2:$B$5000,$B42)</f>
        <v/>
      </c>
      <c r="G42" s="23">
        <f>SUMIFS(Production!$J$2:$J$5000,Production!$A$2:$A$5000,$A42,Production!$B$2:$B$5000,$B42,Production!$K$2:$K$5000,"0-30")</f>
        <v/>
      </c>
      <c r="H42" s="23">
        <f>SUMIFS(Production!$J$2:$J$5000,Production!$A$2:$A$5000,$A42,Production!$B$2:$B$5000,$B42,Production!$K$2:$K$5000,"31-60")</f>
        <v/>
      </c>
      <c r="I42" s="23">
        <f>SUMIFS(Production!$J$2:$J$5000,Production!$A$2:$A$5000,$A42,Production!$B$2:$B$5000,$B42,Production!$K$2:$K$5000,"61-90")</f>
        <v/>
      </c>
      <c r="J42" s="23">
        <f>SUMIFS(Production!$J$2:$J$5000,Production!$A$2:$A$5000,$A42,Production!$B$2:$B$5000,$B42,Production!$K$2:$K$5000,"90+")</f>
        <v/>
      </c>
      <c r="K42" s="14">
        <f>IF(E42=0,"",_xlfn.MAXIFS(Production!$F$2:$F$5000,Production!$A$2:$A$5000,$A42,Production!$B$2:$B$5000,$B42,Production!$I$2:$I$5000,"&gt;0"))</f>
        <v/>
      </c>
      <c r="L42" s="15">
        <f>IF(F42=0,"",SUMPRODUCT((Production!$A$2:$A$5000=$A42)*(Production!$B$2:$B$5000=$B42)*Production!$J$2:$J$5000,Production!$F$2:$F$5000)/F42)</f>
        <v/>
      </c>
      <c r="M42" s="10">
        <f>IF(D42&gt;C42,"Dispatched more than produced — opening stock / data gap","")</f>
        <v/>
      </c>
    </row>
    <row r="43">
      <c r="A43" s="9" t="inlineStr">
        <is>
          <t>Hyderabad</t>
        </is>
      </c>
      <c r="B43" s="9" t="inlineStr">
        <is>
          <t>32NBX2.8</t>
        </is>
      </c>
      <c r="C43" s="11">
        <f>SUMIFS(Production!$D$2:$D$5000,Production!$A$2:$A$5000,$A43,Production!$B$2:$B$5000,$B43)</f>
        <v/>
      </c>
      <c r="D43" s="11">
        <f>SUMIFS(Dispatched!$C$2:$C$5000,Dispatched!$A$2:$A$5000,$A43,Dispatched!$B$2:$B$5000,$B43)</f>
        <v/>
      </c>
      <c r="E43" s="11">
        <f>SUMIFS(Production!$I$2:$I$5000,Production!$A$2:$A$5000,$A43,Production!$B$2:$B$5000,$B43)</f>
        <v/>
      </c>
      <c r="F43" s="23">
        <f>SUMIFS(Production!$J$2:$J$5000,Production!$A$2:$A$5000,$A43,Production!$B$2:$B$5000,$B43)</f>
        <v/>
      </c>
      <c r="G43" s="23">
        <f>SUMIFS(Production!$J$2:$J$5000,Production!$A$2:$A$5000,$A43,Production!$B$2:$B$5000,$B43,Production!$K$2:$K$5000,"0-30")</f>
        <v/>
      </c>
      <c r="H43" s="23">
        <f>SUMIFS(Production!$J$2:$J$5000,Production!$A$2:$A$5000,$A43,Production!$B$2:$B$5000,$B43,Production!$K$2:$K$5000,"31-60")</f>
        <v/>
      </c>
      <c r="I43" s="23">
        <f>SUMIFS(Production!$J$2:$J$5000,Production!$A$2:$A$5000,$A43,Production!$B$2:$B$5000,$B43,Production!$K$2:$K$5000,"61-90")</f>
        <v/>
      </c>
      <c r="J43" s="23">
        <f>SUMIFS(Production!$J$2:$J$5000,Production!$A$2:$A$5000,$A43,Production!$B$2:$B$5000,$B43,Production!$K$2:$K$5000,"90+")</f>
        <v/>
      </c>
      <c r="K43" s="14">
        <f>IF(E43=0,"",_xlfn.MAXIFS(Production!$F$2:$F$5000,Production!$A$2:$A$5000,$A43,Production!$B$2:$B$5000,$B43,Production!$I$2:$I$5000,"&gt;0"))</f>
        <v/>
      </c>
      <c r="L43" s="15">
        <f>IF(F43=0,"",SUMPRODUCT((Production!$A$2:$A$5000=$A43)*(Production!$B$2:$B$5000=$B43)*Production!$J$2:$J$5000,Production!$F$2:$F$5000)/F43)</f>
        <v/>
      </c>
      <c r="M43" s="10">
        <f>IF(D43&gt;C43,"Dispatched more than produced — opening stock / data gap","")</f>
        <v/>
      </c>
    </row>
    <row r="44">
      <c r="A44" s="9" t="inlineStr">
        <is>
          <t>Hyderabad</t>
        </is>
      </c>
      <c r="B44" s="9" t="inlineStr">
        <is>
          <t>20NBX2.8</t>
        </is>
      </c>
      <c r="C44" s="11">
        <f>SUMIFS(Production!$D$2:$D$5000,Production!$A$2:$A$5000,$A44,Production!$B$2:$B$5000,$B44)</f>
        <v/>
      </c>
      <c r="D44" s="11">
        <f>SUMIFS(Dispatched!$C$2:$C$5000,Dispatched!$A$2:$A$5000,$A44,Dispatched!$B$2:$B$5000,$B44)</f>
        <v/>
      </c>
      <c r="E44" s="11">
        <f>SUMIFS(Production!$I$2:$I$5000,Production!$A$2:$A$5000,$A44,Production!$B$2:$B$5000,$B44)</f>
        <v/>
      </c>
      <c r="F44" s="23">
        <f>SUMIFS(Production!$J$2:$J$5000,Production!$A$2:$A$5000,$A44,Production!$B$2:$B$5000,$B44)</f>
        <v/>
      </c>
      <c r="G44" s="23">
        <f>SUMIFS(Production!$J$2:$J$5000,Production!$A$2:$A$5000,$A44,Production!$B$2:$B$5000,$B44,Production!$K$2:$K$5000,"0-30")</f>
        <v/>
      </c>
      <c r="H44" s="23">
        <f>SUMIFS(Production!$J$2:$J$5000,Production!$A$2:$A$5000,$A44,Production!$B$2:$B$5000,$B44,Production!$K$2:$K$5000,"31-60")</f>
        <v/>
      </c>
      <c r="I44" s="23">
        <f>SUMIFS(Production!$J$2:$J$5000,Production!$A$2:$A$5000,$A44,Production!$B$2:$B$5000,$B44,Production!$K$2:$K$5000,"61-90")</f>
        <v/>
      </c>
      <c r="J44" s="23">
        <f>SUMIFS(Production!$J$2:$J$5000,Production!$A$2:$A$5000,$A44,Production!$B$2:$B$5000,$B44,Production!$K$2:$K$5000,"90+")</f>
        <v/>
      </c>
      <c r="K44" s="14">
        <f>IF(E44=0,"",_xlfn.MAXIFS(Production!$F$2:$F$5000,Production!$A$2:$A$5000,$A44,Production!$B$2:$B$5000,$B44,Production!$I$2:$I$5000,"&gt;0"))</f>
        <v/>
      </c>
      <c r="L44" s="15">
        <f>IF(F44=0,"",SUMPRODUCT((Production!$A$2:$A$5000=$A44)*(Production!$B$2:$B$5000=$B44)*Production!$J$2:$J$5000,Production!$F$2:$F$5000)/F44)</f>
        <v/>
      </c>
      <c r="M44" s="10">
        <f>IF(D44&gt;C44,"Dispatched more than produced — opening stock / data gap","")</f>
        <v/>
      </c>
    </row>
    <row r="45">
      <c r="A45" s="9" t="inlineStr">
        <is>
          <t>Hyderabad</t>
        </is>
      </c>
      <c r="B45" s="9" t="inlineStr">
        <is>
          <t>15NBX1.6</t>
        </is>
      </c>
      <c r="C45" s="11">
        <f>SUMIFS(Production!$D$2:$D$5000,Production!$A$2:$A$5000,$A45,Production!$B$2:$B$5000,$B45)</f>
        <v/>
      </c>
      <c r="D45" s="11">
        <f>SUMIFS(Dispatched!$C$2:$C$5000,Dispatched!$A$2:$A$5000,$A45,Dispatched!$B$2:$B$5000,$B45)</f>
        <v/>
      </c>
      <c r="E45" s="11">
        <f>SUMIFS(Production!$I$2:$I$5000,Production!$A$2:$A$5000,$A45,Production!$B$2:$B$5000,$B45)</f>
        <v/>
      </c>
      <c r="F45" s="23">
        <f>SUMIFS(Production!$J$2:$J$5000,Production!$A$2:$A$5000,$A45,Production!$B$2:$B$5000,$B45)</f>
        <v/>
      </c>
      <c r="G45" s="23">
        <f>SUMIFS(Production!$J$2:$J$5000,Production!$A$2:$A$5000,$A45,Production!$B$2:$B$5000,$B45,Production!$K$2:$K$5000,"0-30")</f>
        <v/>
      </c>
      <c r="H45" s="23">
        <f>SUMIFS(Production!$J$2:$J$5000,Production!$A$2:$A$5000,$A45,Production!$B$2:$B$5000,$B45,Production!$K$2:$K$5000,"31-60")</f>
        <v/>
      </c>
      <c r="I45" s="23">
        <f>SUMIFS(Production!$J$2:$J$5000,Production!$A$2:$A$5000,$A45,Production!$B$2:$B$5000,$B45,Production!$K$2:$K$5000,"61-90")</f>
        <v/>
      </c>
      <c r="J45" s="23">
        <f>SUMIFS(Production!$J$2:$J$5000,Production!$A$2:$A$5000,$A45,Production!$B$2:$B$5000,$B45,Production!$K$2:$K$5000,"90+")</f>
        <v/>
      </c>
      <c r="K45" s="14">
        <f>IF(E45=0,"",_xlfn.MAXIFS(Production!$F$2:$F$5000,Production!$A$2:$A$5000,$A45,Production!$B$2:$B$5000,$B45,Production!$I$2:$I$5000,"&gt;0"))</f>
        <v/>
      </c>
      <c r="L45" s="15">
        <f>IF(F45=0,"",SUMPRODUCT((Production!$A$2:$A$5000=$A45)*(Production!$B$2:$B$5000=$B45)*Production!$J$2:$J$5000,Production!$F$2:$F$5000)/F45)</f>
        <v/>
      </c>
      <c r="M45" s="10">
        <f>IF(D45&gt;C45,"Dispatched more than produced — opening stock / data gap","")</f>
        <v/>
      </c>
    </row>
    <row r="46">
      <c r="A46" s="9" t="inlineStr">
        <is>
          <t>Hyderabad</t>
        </is>
      </c>
      <c r="B46" s="9" t="inlineStr">
        <is>
          <t>38X38X2.5</t>
        </is>
      </c>
      <c r="C46" s="11">
        <f>SUMIFS(Production!$D$2:$D$5000,Production!$A$2:$A$5000,$A46,Production!$B$2:$B$5000,$B46)</f>
        <v/>
      </c>
      <c r="D46" s="11">
        <f>SUMIFS(Dispatched!$C$2:$C$5000,Dispatched!$A$2:$A$5000,$A46,Dispatched!$B$2:$B$5000,$B46)</f>
        <v/>
      </c>
      <c r="E46" s="11">
        <f>SUMIFS(Production!$I$2:$I$5000,Production!$A$2:$A$5000,$A46,Production!$B$2:$B$5000,$B46)</f>
        <v/>
      </c>
      <c r="F46" s="23">
        <f>SUMIFS(Production!$J$2:$J$5000,Production!$A$2:$A$5000,$A46,Production!$B$2:$B$5000,$B46)</f>
        <v/>
      </c>
      <c r="G46" s="23">
        <f>SUMIFS(Production!$J$2:$J$5000,Production!$A$2:$A$5000,$A46,Production!$B$2:$B$5000,$B46,Production!$K$2:$K$5000,"0-30")</f>
        <v/>
      </c>
      <c r="H46" s="23">
        <f>SUMIFS(Production!$J$2:$J$5000,Production!$A$2:$A$5000,$A46,Production!$B$2:$B$5000,$B46,Production!$K$2:$K$5000,"31-60")</f>
        <v/>
      </c>
      <c r="I46" s="23">
        <f>SUMIFS(Production!$J$2:$J$5000,Production!$A$2:$A$5000,$A46,Production!$B$2:$B$5000,$B46,Production!$K$2:$K$5000,"61-90")</f>
        <v/>
      </c>
      <c r="J46" s="23">
        <f>SUMIFS(Production!$J$2:$J$5000,Production!$A$2:$A$5000,$A46,Production!$B$2:$B$5000,$B46,Production!$K$2:$K$5000,"90+")</f>
        <v/>
      </c>
      <c r="K46" s="14">
        <f>IF(E46=0,"",_xlfn.MAXIFS(Production!$F$2:$F$5000,Production!$A$2:$A$5000,$A46,Production!$B$2:$B$5000,$B46,Production!$I$2:$I$5000,"&gt;0"))</f>
        <v/>
      </c>
      <c r="L46" s="15">
        <f>IF(F46=0,"",SUMPRODUCT((Production!$A$2:$A$5000=$A46)*(Production!$B$2:$B$5000=$B46)*Production!$J$2:$J$5000,Production!$F$2:$F$5000)/F46)</f>
        <v/>
      </c>
      <c r="M46" s="10">
        <f>IF(D46&gt;C46,"Dispatched more than produced — opening stock / data gap","")</f>
        <v/>
      </c>
    </row>
    <row r="47">
      <c r="A47" s="9" t="inlineStr">
        <is>
          <t>Hyderabad</t>
        </is>
      </c>
      <c r="B47" s="9" t="inlineStr">
        <is>
          <t>65NBX2.5</t>
        </is>
      </c>
      <c r="C47" s="11">
        <f>SUMIFS(Production!$D$2:$D$5000,Production!$A$2:$A$5000,$A47,Production!$B$2:$B$5000,$B47)</f>
        <v/>
      </c>
      <c r="D47" s="11">
        <f>SUMIFS(Dispatched!$C$2:$C$5000,Dispatched!$A$2:$A$5000,$A47,Dispatched!$B$2:$B$5000,$B47)</f>
        <v/>
      </c>
      <c r="E47" s="11">
        <f>SUMIFS(Production!$I$2:$I$5000,Production!$A$2:$A$5000,$A47,Production!$B$2:$B$5000,$B47)</f>
        <v/>
      </c>
      <c r="F47" s="23">
        <f>SUMIFS(Production!$J$2:$J$5000,Production!$A$2:$A$5000,$A47,Production!$B$2:$B$5000,$B47)</f>
        <v/>
      </c>
      <c r="G47" s="23">
        <f>SUMIFS(Production!$J$2:$J$5000,Production!$A$2:$A$5000,$A47,Production!$B$2:$B$5000,$B47,Production!$K$2:$K$5000,"0-30")</f>
        <v/>
      </c>
      <c r="H47" s="23">
        <f>SUMIFS(Production!$J$2:$J$5000,Production!$A$2:$A$5000,$A47,Production!$B$2:$B$5000,$B47,Production!$K$2:$K$5000,"31-60")</f>
        <v/>
      </c>
      <c r="I47" s="23">
        <f>SUMIFS(Production!$J$2:$J$5000,Production!$A$2:$A$5000,$A47,Production!$B$2:$B$5000,$B47,Production!$K$2:$K$5000,"61-90")</f>
        <v/>
      </c>
      <c r="J47" s="23">
        <f>SUMIFS(Production!$J$2:$J$5000,Production!$A$2:$A$5000,$A47,Production!$B$2:$B$5000,$B47,Production!$K$2:$K$5000,"90+")</f>
        <v/>
      </c>
      <c r="K47" s="14">
        <f>IF(E47=0,"",_xlfn.MAXIFS(Production!$F$2:$F$5000,Production!$A$2:$A$5000,$A47,Production!$B$2:$B$5000,$B47,Production!$I$2:$I$5000,"&gt;0"))</f>
        <v/>
      </c>
      <c r="L47" s="15">
        <f>IF(F47=0,"",SUMPRODUCT((Production!$A$2:$A$5000=$A47)*(Production!$B$2:$B$5000=$B47)*Production!$J$2:$J$5000,Production!$F$2:$F$5000)/F47)</f>
        <v/>
      </c>
      <c r="M47" s="10">
        <f>IF(D47&gt;C47,"Dispatched more than produced — opening stock / data gap","")</f>
        <v/>
      </c>
    </row>
    <row r="48">
      <c r="A48" s="9" t="inlineStr">
        <is>
          <t>Hyderabad</t>
        </is>
      </c>
      <c r="B48" s="9" t="inlineStr">
        <is>
          <t>80X40X2.8</t>
        </is>
      </c>
      <c r="C48" s="11">
        <f>SUMIFS(Production!$D$2:$D$5000,Production!$A$2:$A$5000,$A48,Production!$B$2:$B$5000,$B48)</f>
        <v/>
      </c>
      <c r="D48" s="11">
        <f>SUMIFS(Dispatched!$C$2:$C$5000,Dispatched!$A$2:$A$5000,$A48,Dispatched!$B$2:$B$5000,$B48)</f>
        <v/>
      </c>
      <c r="E48" s="11">
        <f>SUMIFS(Production!$I$2:$I$5000,Production!$A$2:$A$5000,$A48,Production!$B$2:$B$5000,$B48)</f>
        <v/>
      </c>
      <c r="F48" s="23">
        <f>SUMIFS(Production!$J$2:$J$5000,Production!$A$2:$A$5000,$A48,Production!$B$2:$B$5000,$B48)</f>
        <v/>
      </c>
      <c r="G48" s="23">
        <f>SUMIFS(Production!$J$2:$J$5000,Production!$A$2:$A$5000,$A48,Production!$B$2:$B$5000,$B48,Production!$K$2:$K$5000,"0-30")</f>
        <v/>
      </c>
      <c r="H48" s="23">
        <f>SUMIFS(Production!$J$2:$J$5000,Production!$A$2:$A$5000,$A48,Production!$B$2:$B$5000,$B48,Production!$K$2:$K$5000,"31-60")</f>
        <v/>
      </c>
      <c r="I48" s="23">
        <f>SUMIFS(Production!$J$2:$J$5000,Production!$A$2:$A$5000,$A48,Production!$B$2:$B$5000,$B48,Production!$K$2:$K$5000,"61-90")</f>
        <v/>
      </c>
      <c r="J48" s="23">
        <f>SUMIFS(Production!$J$2:$J$5000,Production!$A$2:$A$5000,$A48,Production!$B$2:$B$5000,$B48,Production!$K$2:$K$5000,"90+")</f>
        <v/>
      </c>
      <c r="K48" s="14">
        <f>IF(E48=0,"",_xlfn.MAXIFS(Production!$F$2:$F$5000,Production!$A$2:$A$5000,$A48,Production!$B$2:$B$5000,$B48,Production!$I$2:$I$5000,"&gt;0"))</f>
        <v/>
      </c>
      <c r="L48" s="15">
        <f>IF(F48=0,"",SUMPRODUCT((Production!$A$2:$A$5000=$A48)*(Production!$B$2:$B$5000=$B48)*Production!$J$2:$J$5000,Production!$F$2:$F$5000)/F48)</f>
        <v/>
      </c>
      <c r="M48" s="10">
        <f>IF(D48&gt;C48,"Dispatched more than produced — opening stock / data gap","")</f>
        <v/>
      </c>
    </row>
    <row r="49">
      <c r="A49" s="9" t="inlineStr">
        <is>
          <t>Hyderabad</t>
        </is>
      </c>
      <c r="B49" s="9" t="inlineStr">
        <is>
          <t>60X60X2.5</t>
        </is>
      </c>
      <c r="C49" s="11">
        <f>SUMIFS(Production!$D$2:$D$5000,Production!$A$2:$A$5000,$A49,Production!$B$2:$B$5000,$B49)</f>
        <v/>
      </c>
      <c r="D49" s="11">
        <f>SUMIFS(Dispatched!$C$2:$C$5000,Dispatched!$A$2:$A$5000,$A49,Dispatched!$B$2:$B$5000,$B49)</f>
        <v/>
      </c>
      <c r="E49" s="11">
        <f>SUMIFS(Production!$I$2:$I$5000,Production!$A$2:$A$5000,$A49,Production!$B$2:$B$5000,$B49)</f>
        <v/>
      </c>
      <c r="F49" s="23">
        <f>SUMIFS(Production!$J$2:$J$5000,Production!$A$2:$A$5000,$A49,Production!$B$2:$B$5000,$B49)</f>
        <v/>
      </c>
      <c r="G49" s="23">
        <f>SUMIFS(Production!$J$2:$J$5000,Production!$A$2:$A$5000,$A49,Production!$B$2:$B$5000,$B49,Production!$K$2:$K$5000,"0-30")</f>
        <v/>
      </c>
      <c r="H49" s="23">
        <f>SUMIFS(Production!$J$2:$J$5000,Production!$A$2:$A$5000,$A49,Production!$B$2:$B$5000,$B49,Production!$K$2:$K$5000,"31-60")</f>
        <v/>
      </c>
      <c r="I49" s="23">
        <f>SUMIFS(Production!$J$2:$J$5000,Production!$A$2:$A$5000,$A49,Production!$B$2:$B$5000,$B49,Production!$K$2:$K$5000,"61-90")</f>
        <v/>
      </c>
      <c r="J49" s="23">
        <f>SUMIFS(Production!$J$2:$J$5000,Production!$A$2:$A$5000,$A49,Production!$B$2:$B$5000,$B49,Production!$K$2:$K$5000,"90+")</f>
        <v/>
      </c>
      <c r="K49" s="14">
        <f>IF(E49=0,"",_xlfn.MAXIFS(Production!$F$2:$F$5000,Production!$A$2:$A$5000,$A49,Production!$B$2:$B$5000,$B49,Production!$I$2:$I$5000,"&gt;0"))</f>
        <v/>
      </c>
      <c r="L49" s="15">
        <f>IF(F49=0,"",SUMPRODUCT((Production!$A$2:$A$5000=$A49)*(Production!$B$2:$B$5000=$B49)*Production!$J$2:$J$5000,Production!$F$2:$F$5000)/F49)</f>
        <v/>
      </c>
      <c r="M49" s="10">
        <f>IF(D49&gt;C49,"Dispatched more than produced — opening stock / data gap","")</f>
        <v/>
      </c>
    </row>
    <row r="50">
      <c r="A50" s="9" t="inlineStr">
        <is>
          <t>Hyderabad</t>
        </is>
      </c>
      <c r="B50" s="9" t="inlineStr">
        <is>
          <t>38X38X2.2</t>
        </is>
      </c>
      <c r="C50" s="11">
        <f>SUMIFS(Production!$D$2:$D$5000,Production!$A$2:$A$5000,$A50,Production!$B$2:$B$5000,$B50)</f>
        <v/>
      </c>
      <c r="D50" s="11">
        <f>SUMIFS(Dispatched!$C$2:$C$5000,Dispatched!$A$2:$A$5000,$A50,Dispatched!$B$2:$B$5000,$B50)</f>
        <v/>
      </c>
      <c r="E50" s="11">
        <f>SUMIFS(Production!$I$2:$I$5000,Production!$A$2:$A$5000,$A50,Production!$B$2:$B$5000,$B50)</f>
        <v/>
      </c>
      <c r="F50" s="23">
        <f>SUMIFS(Production!$J$2:$J$5000,Production!$A$2:$A$5000,$A50,Production!$B$2:$B$5000,$B50)</f>
        <v/>
      </c>
      <c r="G50" s="23">
        <f>SUMIFS(Production!$J$2:$J$5000,Production!$A$2:$A$5000,$A50,Production!$B$2:$B$5000,$B50,Production!$K$2:$K$5000,"0-30")</f>
        <v/>
      </c>
      <c r="H50" s="23">
        <f>SUMIFS(Production!$J$2:$J$5000,Production!$A$2:$A$5000,$A50,Production!$B$2:$B$5000,$B50,Production!$K$2:$K$5000,"31-60")</f>
        <v/>
      </c>
      <c r="I50" s="23">
        <f>SUMIFS(Production!$J$2:$J$5000,Production!$A$2:$A$5000,$A50,Production!$B$2:$B$5000,$B50,Production!$K$2:$K$5000,"61-90")</f>
        <v/>
      </c>
      <c r="J50" s="23">
        <f>SUMIFS(Production!$J$2:$J$5000,Production!$A$2:$A$5000,$A50,Production!$B$2:$B$5000,$B50,Production!$K$2:$K$5000,"90+")</f>
        <v/>
      </c>
      <c r="K50" s="14">
        <f>IF(E50=0,"",_xlfn.MAXIFS(Production!$F$2:$F$5000,Production!$A$2:$A$5000,$A50,Production!$B$2:$B$5000,$B50,Production!$I$2:$I$5000,"&gt;0"))</f>
        <v/>
      </c>
      <c r="L50" s="15">
        <f>IF(F50=0,"",SUMPRODUCT((Production!$A$2:$A$5000=$A50)*(Production!$B$2:$B$5000=$B50)*Production!$J$2:$J$5000,Production!$F$2:$F$5000)/F50)</f>
        <v/>
      </c>
      <c r="M50" s="10">
        <f>IF(D50&gt;C50,"Dispatched more than produced — opening stock / data gap","")</f>
        <v/>
      </c>
    </row>
    <row r="51">
      <c r="A51" s="9" t="inlineStr">
        <is>
          <t>Hyderabad</t>
        </is>
      </c>
      <c r="B51" s="9" t="inlineStr">
        <is>
          <t>80NBX3.2</t>
        </is>
      </c>
      <c r="C51" s="11">
        <f>SUMIFS(Production!$D$2:$D$5000,Production!$A$2:$A$5000,$A51,Production!$B$2:$B$5000,$B51)</f>
        <v/>
      </c>
      <c r="D51" s="11">
        <f>SUMIFS(Dispatched!$C$2:$C$5000,Dispatched!$A$2:$A$5000,$A51,Dispatched!$B$2:$B$5000,$B51)</f>
        <v/>
      </c>
      <c r="E51" s="11">
        <f>SUMIFS(Production!$I$2:$I$5000,Production!$A$2:$A$5000,$A51,Production!$B$2:$B$5000,$B51)</f>
        <v/>
      </c>
      <c r="F51" s="23">
        <f>SUMIFS(Production!$J$2:$J$5000,Production!$A$2:$A$5000,$A51,Production!$B$2:$B$5000,$B51)</f>
        <v/>
      </c>
      <c r="G51" s="23">
        <f>SUMIFS(Production!$J$2:$J$5000,Production!$A$2:$A$5000,$A51,Production!$B$2:$B$5000,$B51,Production!$K$2:$K$5000,"0-30")</f>
        <v/>
      </c>
      <c r="H51" s="23">
        <f>SUMIFS(Production!$J$2:$J$5000,Production!$A$2:$A$5000,$A51,Production!$B$2:$B$5000,$B51,Production!$K$2:$K$5000,"31-60")</f>
        <v/>
      </c>
      <c r="I51" s="23">
        <f>SUMIFS(Production!$J$2:$J$5000,Production!$A$2:$A$5000,$A51,Production!$B$2:$B$5000,$B51,Production!$K$2:$K$5000,"61-90")</f>
        <v/>
      </c>
      <c r="J51" s="23">
        <f>SUMIFS(Production!$J$2:$J$5000,Production!$A$2:$A$5000,$A51,Production!$B$2:$B$5000,$B51,Production!$K$2:$K$5000,"90+")</f>
        <v/>
      </c>
      <c r="K51" s="14">
        <f>IF(E51=0,"",_xlfn.MAXIFS(Production!$F$2:$F$5000,Production!$A$2:$A$5000,$A51,Production!$B$2:$B$5000,$B51,Production!$I$2:$I$5000,"&gt;0"))</f>
        <v/>
      </c>
      <c r="L51" s="15">
        <f>IF(F51=0,"",SUMPRODUCT((Production!$A$2:$A$5000=$A51)*(Production!$B$2:$B$5000=$B51)*Production!$J$2:$J$5000,Production!$F$2:$F$5000)/F51)</f>
        <v/>
      </c>
      <c r="M51" s="10">
        <f>IF(D51&gt;C51,"Dispatched more than produced — opening stock / data gap","")</f>
        <v/>
      </c>
    </row>
    <row r="52">
      <c r="A52" s="9" t="inlineStr">
        <is>
          <t>Hyderabad</t>
        </is>
      </c>
      <c r="B52" s="9" t="inlineStr">
        <is>
          <t>25X25X3.2</t>
        </is>
      </c>
      <c r="C52" s="11">
        <f>SUMIFS(Production!$D$2:$D$5000,Production!$A$2:$A$5000,$A52,Production!$B$2:$B$5000,$B52)</f>
        <v/>
      </c>
      <c r="D52" s="11">
        <f>SUMIFS(Dispatched!$C$2:$C$5000,Dispatched!$A$2:$A$5000,$A52,Dispatched!$B$2:$B$5000,$B52)</f>
        <v/>
      </c>
      <c r="E52" s="11">
        <f>SUMIFS(Production!$I$2:$I$5000,Production!$A$2:$A$5000,$A52,Production!$B$2:$B$5000,$B52)</f>
        <v/>
      </c>
      <c r="F52" s="23">
        <f>SUMIFS(Production!$J$2:$J$5000,Production!$A$2:$A$5000,$A52,Production!$B$2:$B$5000,$B52)</f>
        <v/>
      </c>
      <c r="G52" s="23">
        <f>SUMIFS(Production!$J$2:$J$5000,Production!$A$2:$A$5000,$A52,Production!$B$2:$B$5000,$B52,Production!$K$2:$K$5000,"0-30")</f>
        <v/>
      </c>
      <c r="H52" s="23">
        <f>SUMIFS(Production!$J$2:$J$5000,Production!$A$2:$A$5000,$A52,Production!$B$2:$B$5000,$B52,Production!$K$2:$K$5000,"31-60")</f>
        <v/>
      </c>
      <c r="I52" s="23">
        <f>SUMIFS(Production!$J$2:$J$5000,Production!$A$2:$A$5000,$A52,Production!$B$2:$B$5000,$B52,Production!$K$2:$K$5000,"61-90")</f>
        <v/>
      </c>
      <c r="J52" s="23">
        <f>SUMIFS(Production!$J$2:$J$5000,Production!$A$2:$A$5000,$A52,Production!$B$2:$B$5000,$B52,Production!$K$2:$K$5000,"90+")</f>
        <v/>
      </c>
      <c r="K52" s="14">
        <f>IF(E52=0,"",_xlfn.MAXIFS(Production!$F$2:$F$5000,Production!$A$2:$A$5000,$A52,Production!$B$2:$B$5000,$B52,Production!$I$2:$I$5000,"&gt;0"))</f>
        <v/>
      </c>
      <c r="L52" s="15">
        <f>IF(F52=0,"",SUMPRODUCT((Production!$A$2:$A$5000=$A52)*(Production!$B$2:$B$5000=$B52)*Production!$J$2:$J$5000,Production!$F$2:$F$5000)/F52)</f>
        <v/>
      </c>
      <c r="M52" s="10">
        <f>IF(D52&gt;C52,"Dispatched more than produced — opening stock / data gap","")</f>
        <v/>
      </c>
    </row>
    <row r="53">
      <c r="A53" s="9" t="inlineStr">
        <is>
          <t>Hyderabad</t>
        </is>
      </c>
      <c r="B53" s="9" t="inlineStr">
        <is>
          <t>50NBX1.6</t>
        </is>
      </c>
      <c r="C53" s="11">
        <f>SUMIFS(Production!$D$2:$D$5000,Production!$A$2:$A$5000,$A53,Production!$B$2:$B$5000,$B53)</f>
        <v/>
      </c>
      <c r="D53" s="11">
        <f>SUMIFS(Dispatched!$C$2:$C$5000,Dispatched!$A$2:$A$5000,$A53,Dispatched!$B$2:$B$5000,$B53)</f>
        <v/>
      </c>
      <c r="E53" s="11">
        <f>SUMIFS(Production!$I$2:$I$5000,Production!$A$2:$A$5000,$A53,Production!$B$2:$B$5000,$B53)</f>
        <v/>
      </c>
      <c r="F53" s="23">
        <f>SUMIFS(Production!$J$2:$J$5000,Production!$A$2:$A$5000,$A53,Production!$B$2:$B$5000,$B53)</f>
        <v/>
      </c>
      <c r="G53" s="23">
        <f>SUMIFS(Production!$J$2:$J$5000,Production!$A$2:$A$5000,$A53,Production!$B$2:$B$5000,$B53,Production!$K$2:$K$5000,"0-30")</f>
        <v/>
      </c>
      <c r="H53" s="23">
        <f>SUMIFS(Production!$J$2:$J$5000,Production!$A$2:$A$5000,$A53,Production!$B$2:$B$5000,$B53,Production!$K$2:$K$5000,"31-60")</f>
        <v/>
      </c>
      <c r="I53" s="23">
        <f>SUMIFS(Production!$J$2:$J$5000,Production!$A$2:$A$5000,$A53,Production!$B$2:$B$5000,$B53,Production!$K$2:$K$5000,"61-90")</f>
        <v/>
      </c>
      <c r="J53" s="23">
        <f>SUMIFS(Production!$J$2:$J$5000,Production!$A$2:$A$5000,$A53,Production!$B$2:$B$5000,$B53,Production!$K$2:$K$5000,"90+")</f>
        <v/>
      </c>
      <c r="K53" s="14">
        <f>IF(E53=0,"",_xlfn.MAXIFS(Production!$F$2:$F$5000,Production!$A$2:$A$5000,$A53,Production!$B$2:$B$5000,$B53,Production!$I$2:$I$5000,"&gt;0"))</f>
        <v/>
      </c>
      <c r="L53" s="15">
        <f>IF(F53=0,"",SUMPRODUCT((Production!$A$2:$A$5000=$A53)*(Production!$B$2:$B$5000=$B53)*Production!$J$2:$J$5000,Production!$F$2:$F$5000)/F53)</f>
        <v/>
      </c>
      <c r="M53" s="10">
        <f>IF(D53&gt;C53,"Dispatched more than produced — opening stock / data gap","")</f>
        <v/>
      </c>
    </row>
    <row r="54">
      <c r="A54" s="9" t="inlineStr">
        <is>
          <t>Hyderabad</t>
        </is>
      </c>
      <c r="B54" s="9" t="inlineStr">
        <is>
          <t>50X50X4</t>
        </is>
      </c>
      <c r="C54" s="11">
        <f>SUMIFS(Production!$D$2:$D$5000,Production!$A$2:$A$5000,$A54,Production!$B$2:$B$5000,$B54)</f>
        <v/>
      </c>
      <c r="D54" s="11">
        <f>SUMIFS(Dispatched!$C$2:$C$5000,Dispatched!$A$2:$A$5000,$A54,Dispatched!$B$2:$B$5000,$B54)</f>
        <v/>
      </c>
      <c r="E54" s="11">
        <f>SUMIFS(Production!$I$2:$I$5000,Production!$A$2:$A$5000,$A54,Production!$B$2:$B$5000,$B54)</f>
        <v/>
      </c>
      <c r="F54" s="23">
        <f>SUMIFS(Production!$J$2:$J$5000,Production!$A$2:$A$5000,$A54,Production!$B$2:$B$5000,$B54)</f>
        <v/>
      </c>
      <c r="G54" s="23">
        <f>SUMIFS(Production!$J$2:$J$5000,Production!$A$2:$A$5000,$A54,Production!$B$2:$B$5000,$B54,Production!$K$2:$K$5000,"0-30")</f>
        <v/>
      </c>
      <c r="H54" s="23">
        <f>SUMIFS(Production!$J$2:$J$5000,Production!$A$2:$A$5000,$A54,Production!$B$2:$B$5000,$B54,Production!$K$2:$K$5000,"31-60")</f>
        <v/>
      </c>
      <c r="I54" s="23">
        <f>SUMIFS(Production!$J$2:$J$5000,Production!$A$2:$A$5000,$A54,Production!$B$2:$B$5000,$B54,Production!$K$2:$K$5000,"61-90")</f>
        <v/>
      </c>
      <c r="J54" s="23">
        <f>SUMIFS(Production!$J$2:$J$5000,Production!$A$2:$A$5000,$A54,Production!$B$2:$B$5000,$B54,Production!$K$2:$K$5000,"90+")</f>
        <v/>
      </c>
      <c r="K54" s="14">
        <f>IF(E54=0,"",_xlfn.MAXIFS(Production!$F$2:$F$5000,Production!$A$2:$A$5000,$A54,Production!$B$2:$B$5000,$B54,Production!$I$2:$I$5000,"&gt;0"))</f>
        <v/>
      </c>
      <c r="L54" s="15">
        <f>IF(F54=0,"",SUMPRODUCT((Production!$A$2:$A$5000=$A54)*(Production!$B$2:$B$5000=$B54)*Production!$J$2:$J$5000,Production!$F$2:$F$5000)/F54)</f>
        <v/>
      </c>
      <c r="M54" s="10">
        <f>IF(D54&gt;C54,"Dispatched more than produced — opening stock / data gap","")</f>
        <v/>
      </c>
    </row>
    <row r="55">
      <c r="A55" s="9" t="inlineStr">
        <is>
          <t>Hyderabad</t>
        </is>
      </c>
      <c r="B55" s="9" t="inlineStr">
        <is>
          <t>30X30X2.5</t>
        </is>
      </c>
      <c r="C55" s="11">
        <f>SUMIFS(Production!$D$2:$D$5000,Production!$A$2:$A$5000,$A55,Production!$B$2:$B$5000,$B55)</f>
        <v/>
      </c>
      <c r="D55" s="11">
        <f>SUMIFS(Dispatched!$C$2:$C$5000,Dispatched!$A$2:$A$5000,$A55,Dispatched!$B$2:$B$5000,$B55)</f>
        <v/>
      </c>
      <c r="E55" s="11">
        <f>SUMIFS(Production!$I$2:$I$5000,Production!$A$2:$A$5000,$A55,Production!$B$2:$B$5000,$B55)</f>
        <v/>
      </c>
      <c r="F55" s="23">
        <f>SUMIFS(Production!$J$2:$J$5000,Production!$A$2:$A$5000,$A55,Production!$B$2:$B$5000,$B55)</f>
        <v/>
      </c>
      <c r="G55" s="23">
        <f>SUMIFS(Production!$J$2:$J$5000,Production!$A$2:$A$5000,$A55,Production!$B$2:$B$5000,$B55,Production!$K$2:$K$5000,"0-30")</f>
        <v/>
      </c>
      <c r="H55" s="23">
        <f>SUMIFS(Production!$J$2:$J$5000,Production!$A$2:$A$5000,$A55,Production!$B$2:$B$5000,$B55,Production!$K$2:$K$5000,"31-60")</f>
        <v/>
      </c>
      <c r="I55" s="23">
        <f>SUMIFS(Production!$J$2:$J$5000,Production!$A$2:$A$5000,$A55,Production!$B$2:$B$5000,$B55,Production!$K$2:$K$5000,"61-90")</f>
        <v/>
      </c>
      <c r="J55" s="23">
        <f>SUMIFS(Production!$J$2:$J$5000,Production!$A$2:$A$5000,$A55,Production!$B$2:$B$5000,$B55,Production!$K$2:$K$5000,"90+")</f>
        <v/>
      </c>
      <c r="K55" s="14">
        <f>IF(E55=0,"",_xlfn.MAXIFS(Production!$F$2:$F$5000,Production!$A$2:$A$5000,$A55,Production!$B$2:$B$5000,$B55,Production!$I$2:$I$5000,"&gt;0"))</f>
        <v/>
      </c>
      <c r="L55" s="15">
        <f>IF(F55=0,"",SUMPRODUCT((Production!$A$2:$A$5000=$A55)*(Production!$B$2:$B$5000=$B55)*Production!$J$2:$J$5000,Production!$F$2:$F$5000)/F55)</f>
        <v/>
      </c>
      <c r="M55" s="10">
        <f>IF(D55&gt;C55,"Dispatched more than produced — opening stock / data gap","")</f>
        <v/>
      </c>
    </row>
    <row r="56">
      <c r="A56" s="9" t="inlineStr">
        <is>
          <t>Hyderabad</t>
        </is>
      </c>
      <c r="B56" s="9" t="inlineStr">
        <is>
          <t>25NBX2.5</t>
        </is>
      </c>
      <c r="C56" s="11">
        <f>SUMIFS(Production!$D$2:$D$5000,Production!$A$2:$A$5000,$A56,Production!$B$2:$B$5000,$B56)</f>
        <v/>
      </c>
      <c r="D56" s="11">
        <f>SUMIFS(Dispatched!$C$2:$C$5000,Dispatched!$A$2:$A$5000,$A56,Dispatched!$B$2:$B$5000,$B56)</f>
        <v/>
      </c>
      <c r="E56" s="11">
        <f>SUMIFS(Production!$I$2:$I$5000,Production!$A$2:$A$5000,$A56,Production!$B$2:$B$5000,$B56)</f>
        <v/>
      </c>
      <c r="F56" s="23">
        <f>SUMIFS(Production!$J$2:$J$5000,Production!$A$2:$A$5000,$A56,Production!$B$2:$B$5000,$B56)</f>
        <v/>
      </c>
      <c r="G56" s="23">
        <f>SUMIFS(Production!$J$2:$J$5000,Production!$A$2:$A$5000,$A56,Production!$B$2:$B$5000,$B56,Production!$K$2:$K$5000,"0-30")</f>
        <v/>
      </c>
      <c r="H56" s="23">
        <f>SUMIFS(Production!$J$2:$J$5000,Production!$A$2:$A$5000,$A56,Production!$B$2:$B$5000,$B56,Production!$K$2:$K$5000,"31-60")</f>
        <v/>
      </c>
      <c r="I56" s="23">
        <f>SUMIFS(Production!$J$2:$J$5000,Production!$A$2:$A$5000,$A56,Production!$B$2:$B$5000,$B56,Production!$K$2:$K$5000,"61-90")</f>
        <v/>
      </c>
      <c r="J56" s="23">
        <f>SUMIFS(Production!$J$2:$J$5000,Production!$A$2:$A$5000,$A56,Production!$B$2:$B$5000,$B56,Production!$K$2:$K$5000,"90+")</f>
        <v/>
      </c>
      <c r="K56" s="14">
        <f>IF(E56=0,"",_xlfn.MAXIFS(Production!$F$2:$F$5000,Production!$A$2:$A$5000,$A56,Production!$B$2:$B$5000,$B56,Production!$I$2:$I$5000,"&gt;0"))</f>
        <v/>
      </c>
      <c r="L56" s="15">
        <f>IF(F56=0,"",SUMPRODUCT((Production!$A$2:$A$5000=$A56)*(Production!$B$2:$B$5000=$B56)*Production!$J$2:$J$5000,Production!$F$2:$F$5000)/F56)</f>
        <v/>
      </c>
      <c r="M56" s="10">
        <f>IF(D56&gt;C56,"Dispatched more than produced — opening stock / data gap","")</f>
        <v/>
      </c>
    </row>
    <row r="57">
      <c r="A57" s="9" t="inlineStr">
        <is>
          <t>Hyderabad</t>
        </is>
      </c>
      <c r="B57" s="9" t="inlineStr">
        <is>
          <t>75X25X2.5</t>
        </is>
      </c>
      <c r="C57" s="11">
        <f>SUMIFS(Production!$D$2:$D$5000,Production!$A$2:$A$5000,$A57,Production!$B$2:$B$5000,$B57)</f>
        <v/>
      </c>
      <c r="D57" s="11">
        <f>SUMIFS(Dispatched!$C$2:$C$5000,Dispatched!$A$2:$A$5000,$A57,Dispatched!$B$2:$B$5000,$B57)</f>
        <v/>
      </c>
      <c r="E57" s="11">
        <f>SUMIFS(Production!$I$2:$I$5000,Production!$A$2:$A$5000,$A57,Production!$B$2:$B$5000,$B57)</f>
        <v/>
      </c>
      <c r="F57" s="23">
        <f>SUMIFS(Production!$J$2:$J$5000,Production!$A$2:$A$5000,$A57,Production!$B$2:$B$5000,$B57)</f>
        <v/>
      </c>
      <c r="G57" s="23">
        <f>SUMIFS(Production!$J$2:$J$5000,Production!$A$2:$A$5000,$A57,Production!$B$2:$B$5000,$B57,Production!$K$2:$K$5000,"0-30")</f>
        <v/>
      </c>
      <c r="H57" s="23">
        <f>SUMIFS(Production!$J$2:$J$5000,Production!$A$2:$A$5000,$A57,Production!$B$2:$B$5000,$B57,Production!$K$2:$K$5000,"31-60")</f>
        <v/>
      </c>
      <c r="I57" s="23">
        <f>SUMIFS(Production!$J$2:$J$5000,Production!$A$2:$A$5000,$A57,Production!$B$2:$B$5000,$B57,Production!$K$2:$K$5000,"61-90")</f>
        <v/>
      </c>
      <c r="J57" s="23">
        <f>SUMIFS(Production!$J$2:$J$5000,Production!$A$2:$A$5000,$A57,Production!$B$2:$B$5000,$B57,Production!$K$2:$K$5000,"90+")</f>
        <v/>
      </c>
      <c r="K57" s="14">
        <f>IF(E57=0,"",_xlfn.MAXIFS(Production!$F$2:$F$5000,Production!$A$2:$A$5000,$A57,Production!$B$2:$B$5000,$B57,Production!$I$2:$I$5000,"&gt;0"))</f>
        <v/>
      </c>
      <c r="L57" s="15">
        <f>IF(F57=0,"",SUMPRODUCT((Production!$A$2:$A$5000=$A57)*(Production!$B$2:$B$5000=$B57)*Production!$J$2:$J$5000,Production!$F$2:$F$5000)/F57)</f>
        <v/>
      </c>
      <c r="M57" s="10">
        <f>IF(D57&gt;C57,"Dispatched more than produced — opening stock / data gap","")</f>
        <v/>
      </c>
    </row>
    <row r="58">
      <c r="A58" s="9" t="inlineStr">
        <is>
          <t>Hyderabad</t>
        </is>
      </c>
      <c r="B58" s="9" t="inlineStr">
        <is>
          <t>32NBX4</t>
        </is>
      </c>
      <c r="C58" s="11">
        <f>SUMIFS(Production!$D$2:$D$5000,Production!$A$2:$A$5000,$A58,Production!$B$2:$B$5000,$B58)</f>
        <v/>
      </c>
      <c r="D58" s="11">
        <f>SUMIFS(Dispatched!$C$2:$C$5000,Dispatched!$A$2:$A$5000,$A58,Dispatched!$B$2:$B$5000,$B58)</f>
        <v/>
      </c>
      <c r="E58" s="11">
        <f>SUMIFS(Production!$I$2:$I$5000,Production!$A$2:$A$5000,$A58,Production!$B$2:$B$5000,$B58)</f>
        <v/>
      </c>
      <c r="F58" s="23">
        <f>SUMIFS(Production!$J$2:$J$5000,Production!$A$2:$A$5000,$A58,Production!$B$2:$B$5000,$B58)</f>
        <v/>
      </c>
      <c r="G58" s="23">
        <f>SUMIFS(Production!$J$2:$J$5000,Production!$A$2:$A$5000,$A58,Production!$B$2:$B$5000,$B58,Production!$K$2:$K$5000,"0-30")</f>
        <v/>
      </c>
      <c r="H58" s="23">
        <f>SUMIFS(Production!$J$2:$J$5000,Production!$A$2:$A$5000,$A58,Production!$B$2:$B$5000,$B58,Production!$K$2:$K$5000,"31-60")</f>
        <v/>
      </c>
      <c r="I58" s="23">
        <f>SUMIFS(Production!$J$2:$J$5000,Production!$A$2:$A$5000,$A58,Production!$B$2:$B$5000,$B58,Production!$K$2:$K$5000,"61-90")</f>
        <v/>
      </c>
      <c r="J58" s="23">
        <f>SUMIFS(Production!$J$2:$J$5000,Production!$A$2:$A$5000,$A58,Production!$B$2:$B$5000,$B58,Production!$K$2:$K$5000,"90+")</f>
        <v/>
      </c>
      <c r="K58" s="14">
        <f>IF(E58=0,"",_xlfn.MAXIFS(Production!$F$2:$F$5000,Production!$A$2:$A$5000,$A58,Production!$B$2:$B$5000,$B58,Production!$I$2:$I$5000,"&gt;0"))</f>
        <v/>
      </c>
      <c r="L58" s="15">
        <f>IF(F58=0,"",SUMPRODUCT((Production!$A$2:$A$5000=$A58)*(Production!$B$2:$B$5000=$B58)*Production!$J$2:$J$5000,Production!$F$2:$F$5000)/F58)</f>
        <v/>
      </c>
      <c r="M58" s="10">
        <f>IF(D58&gt;C58,"Dispatched more than produced — opening stock / data gap","")</f>
        <v/>
      </c>
    </row>
    <row r="59">
      <c r="A59" s="9" t="inlineStr">
        <is>
          <t>Hyderabad</t>
        </is>
      </c>
      <c r="B59" s="9" t="inlineStr">
        <is>
          <t>50X25X2.5</t>
        </is>
      </c>
      <c r="C59" s="11">
        <f>SUMIFS(Production!$D$2:$D$5000,Production!$A$2:$A$5000,$A59,Production!$B$2:$B$5000,$B59)</f>
        <v/>
      </c>
      <c r="D59" s="11">
        <f>SUMIFS(Dispatched!$C$2:$C$5000,Dispatched!$A$2:$A$5000,$A59,Dispatched!$B$2:$B$5000,$B59)</f>
        <v/>
      </c>
      <c r="E59" s="11">
        <f>SUMIFS(Production!$I$2:$I$5000,Production!$A$2:$A$5000,$A59,Production!$B$2:$B$5000,$B59)</f>
        <v/>
      </c>
      <c r="F59" s="23">
        <f>SUMIFS(Production!$J$2:$J$5000,Production!$A$2:$A$5000,$A59,Production!$B$2:$B$5000,$B59)</f>
        <v/>
      </c>
      <c r="G59" s="23">
        <f>SUMIFS(Production!$J$2:$J$5000,Production!$A$2:$A$5000,$A59,Production!$B$2:$B$5000,$B59,Production!$K$2:$K$5000,"0-30")</f>
        <v/>
      </c>
      <c r="H59" s="23">
        <f>SUMIFS(Production!$J$2:$J$5000,Production!$A$2:$A$5000,$A59,Production!$B$2:$B$5000,$B59,Production!$K$2:$K$5000,"31-60")</f>
        <v/>
      </c>
      <c r="I59" s="23">
        <f>SUMIFS(Production!$J$2:$J$5000,Production!$A$2:$A$5000,$A59,Production!$B$2:$B$5000,$B59,Production!$K$2:$K$5000,"61-90")</f>
        <v/>
      </c>
      <c r="J59" s="23">
        <f>SUMIFS(Production!$J$2:$J$5000,Production!$A$2:$A$5000,$A59,Production!$B$2:$B$5000,$B59,Production!$K$2:$K$5000,"90+")</f>
        <v/>
      </c>
      <c r="K59" s="14">
        <f>IF(E59=0,"",_xlfn.MAXIFS(Production!$F$2:$F$5000,Production!$A$2:$A$5000,$A59,Production!$B$2:$B$5000,$B59,Production!$I$2:$I$5000,"&gt;0"))</f>
        <v/>
      </c>
      <c r="L59" s="15">
        <f>IF(F59=0,"",SUMPRODUCT((Production!$A$2:$A$5000=$A59)*(Production!$B$2:$B$5000=$B59)*Production!$J$2:$J$5000,Production!$F$2:$F$5000)/F59)</f>
        <v/>
      </c>
      <c r="M59" s="10">
        <f>IF(D59&gt;C59,"Dispatched more than produced — opening stock / data gap","")</f>
        <v/>
      </c>
    </row>
    <row r="60">
      <c r="A60" s="9" t="inlineStr">
        <is>
          <t>Hyderabad</t>
        </is>
      </c>
      <c r="B60" s="9" t="inlineStr">
        <is>
          <t>40X20X3</t>
        </is>
      </c>
      <c r="C60" s="11">
        <f>SUMIFS(Production!$D$2:$D$5000,Production!$A$2:$A$5000,$A60,Production!$B$2:$B$5000,$B60)</f>
        <v/>
      </c>
      <c r="D60" s="11">
        <f>SUMIFS(Dispatched!$C$2:$C$5000,Dispatched!$A$2:$A$5000,$A60,Dispatched!$B$2:$B$5000,$B60)</f>
        <v/>
      </c>
      <c r="E60" s="11">
        <f>SUMIFS(Production!$I$2:$I$5000,Production!$A$2:$A$5000,$A60,Production!$B$2:$B$5000,$B60)</f>
        <v/>
      </c>
      <c r="F60" s="23">
        <f>SUMIFS(Production!$J$2:$J$5000,Production!$A$2:$A$5000,$A60,Production!$B$2:$B$5000,$B60)</f>
        <v/>
      </c>
      <c r="G60" s="23">
        <f>SUMIFS(Production!$J$2:$J$5000,Production!$A$2:$A$5000,$A60,Production!$B$2:$B$5000,$B60,Production!$K$2:$K$5000,"0-30")</f>
        <v/>
      </c>
      <c r="H60" s="23">
        <f>SUMIFS(Production!$J$2:$J$5000,Production!$A$2:$A$5000,$A60,Production!$B$2:$B$5000,$B60,Production!$K$2:$K$5000,"31-60")</f>
        <v/>
      </c>
      <c r="I60" s="23">
        <f>SUMIFS(Production!$J$2:$J$5000,Production!$A$2:$A$5000,$A60,Production!$B$2:$B$5000,$B60,Production!$K$2:$K$5000,"61-90")</f>
        <v/>
      </c>
      <c r="J60" s="23">
        <f>SUMIFS(Production!$J$2:$J$5000,Production!$A$2:$A$5000,$A60,Production!$B$2:$B$5000,$B60,Production!$K$2:$K$5000,"90+")</f>
        <v/>
      </c>
      <c r="K60" s="14">
        <f>IF(E60=0,"",_xlfn.MAXIFS(Production!$F$2:$F$5000,Production!$A$2:$A$5000,$A60,Production!$B$2:$B$5000,$B60,Production!$I$2:$I$5000,"&gt;0"))</f>
        <v/>
      </c>
      <c r="L60" s="15">
        <f>IF(F60=0,"",SUMPRODUCT((Production!$A$2:$A$5000=$A60)*(Production!$B$2:$B$5000=$B60)*Production!$J$2:$J$5000,Production!$F$2:$F$5000)/F60)</f>
        <v/>
      </c>
      <c r="M60" s="10">
        <f>IF(D60&gt;C60,"Dispatched more than produced — opening stock / data gap","")</f>
        <v/>
      </c>
    </row>
    <row r="61">
      <c r="A61" s="9" t="inlineStr">
        <is>
          <t>Hyderabad</t>
        </is>
      </c>
      <c r="B61" s="9" t="inlineStr">
        <is>
          <t>50X25X2.8</t>
        </is>
      </c>
      <c r="C61" s="11">
        <f>SUMIFS(Production!$D$2:$D$5000,Production!$A$2:$A$5000,$A61,Production!$B$2:$B$5000,$B61)</f>
        <v/>
      </c>
      <c r="D61" s="11">
        <f>SUMIFS(Dispatched!$C$2:$C$5000,Dispatched!$A$2:$A$5000,$A61,Dispatched!$B$2:$B$5000,$B61)</f>
        <v/>
      </c>
      <c r="E61" s="11">
        <f>SUMIFS(Production!$I$2:$I$5000,Production!$A$2:$A$5000,$A61,Production!$B$2:$B$5000,$B61)</f>
        <v/>
      </c>
      <c r="F61" s="23">
        <f>SUMIFS(Production!$J$2:$J$5000,Production!$A$2:$A$5000,$A61,Production!$B$2:$B$5000,$B61)</f>
        <v/>
      </c>
      <c r="G61" s="23">
        <f>SUMIFS(Production!$J$2:$J$5000,Production!$A$2:$A$5000,$A61,Production!$B$2:$B$5000,$B61,Production!$K$2:$K$5000,"0-30")</f>
        <v/>
      </c>
      <c r="H61" s="23">
        <f>SUMIFS(Production!$J$2:$J$5000,Production!$A$2:$A$5000,$A61,Production!$B$2:$B$5000,$B61,Production!$K$2:$K$5000,"31-60")</f>
        <v/>
      </c>
      <c r="I61" s="23">
        <f>SUMIFS(Production!$J$2:$J$5000,Production!$A$2:$A$5000,$A61,Production!$B$2:$B$5000,$B61,Production!$K$2:$K$5000,"61-90")</f>
        <v/>
      </c>
      <c r="J61" s="23">
        <f>SUMIFS(Production!$J$2:$J$5000,Production!$A$2:$A$5000,$A61,Production!$B$2:$B$5000,$B61,Production!$K$2:$K$5000,"90+")</f>
        <v/>
      </c>
      <c r="K61" s="14">
        <f>IF(E61=0,"",_xlfn.MAXIFS(Production!$F$2:$F$5000,Production!$A$2:$A$5000,$A61,Production!$B$2:$B$5000,$B61,Production!$I$2:$I$5000,"&gt;0"))</f>
        <v/>
      </c>
      <c r="L61" s="15">
        <f>IF(F61=0,"",SUMPRODUCT((Production!$A$2:$A$5000=$A61)*(Production!$B$2:$B$5000=$B61)*Production!$J$2:$J$5000,Production!$F$2:$F$5000)/F61)</f>
        <v/>
      </c>
      <c r="M61" s="10">
        <f>IF(D61&gt;C61,"Dispatched more than produced — opening stock / data gap","")</f>
        <v/>
      </c>
    </row>
    <row r="62">
      <c r="A62" s="9" t="inlineStr">
        <is>
          <t>Hyderabad</t>
        </is>
      </c>
      <c r="B62" s="9" t="inlineStr">
        <is>
          <t>100X50X2.5</t>
        </is>
      </c>
      <c r="C62" s="11">
        <f>SUMIFS(Production!$D$2:$D$5000,Production!$A$2:$A$5000,$A62,Production!$B$2:$B$5000,$B62)</f>
        <v/>
      </c>
      <c r="D62" s="11">
        <f>SUMIFS(Dispatched!$C$2:$C$5000,Dispatched!$A$2:$A$5000,$A62,Dispatched!$B$2:$B$5000,$B62)</f>
        <v/>
      </c>
      <c r="E62" s="11">
        <f>SUMIFS(Production!$I$2:$I$5000,Production!$A$2:$A$5000,$A62,Production!$B$2:$B$5000,$B62)</f>
        <v/>
      </c>
      <c r="F62" s="23">
        <f>SUMIFS(Production!$J$2:$J$5000,Production!$A$2:$A$5000,$A62,Production!$B$2:$B$5000,$B62)</f>
        <v/>
      </c>
      <c r="G62" s="23">
        <f>SUMIFS(Production!$J$2:$J$5000,Production!$A$2:$A$5000,$A62,Production!$B$2:$B$5000,$B62,Production!$K$2:$K$5000,"0-30")</f>
        <v/>
      </c>
      <c r="H62" s="23">
        <f>SUMIFS(Production!$J$2:$J$5000,Production!$A$2:$A$5000,$A62,Production!$B$2:$B$5000,$B62,Production!$K$2:$K$5000,"31-60")</f>
        <v/>
      </c>
      <c r="I62" s="23">
        <f>SUMIFS(Production!$J$2:$J$5000,Production!$A$2:$A$5000,$A62,Production!$B$2:$B$5000,$B62,Production!$K$2:$K$5000,"61-90")</f>
        <v/>
      </c>
      <c r="J62" s="23">
        <f>SUMIFS(Production!$J$2:$J$5000,Production!$A$2:$A$5000,$A62,Production!$B$2:$B$5000,$B62,Production!$K$2:$K$5000,"90+")</f>
        <v/>
      </c>
      <c r="K62" s="14">
        <f>IF(E62=0,"",_xlfn.MAXIFS(Production!$F$2:$F$5000,Production!$A$2:$A$5000,$A62,Production!$B$2:$B$5000,$B62,Production!$I$2:$I$5000,"&gt;0"))</f>
        <v/>
      </c>
      <c r="L62" s="15">
        <f>IF(F62=0,"",SUMPRODUCT((Production!$A$2:$A$5000=$A62)*(Production!$B$2:$B$5000=$B62)*Production!$J$2:$J$5000,Production!$F$2:$F$5000)/F62)</f>
        <v/>
      </c>
      <c r="M62" s="10">
        <f>IF(D62&gt;C62,"Dispatched more than produced — opening stock / data gap","")</f>
        <v/>
      </c>
    </row>
    <row r="63">
      <c r="A63" s="9" t="inlineStr">
        <is>
          <t>Hyderabad</t>
        </is>
      </c>
      <c r="B63" s="9" t="inlineStr">
        <is>
          <t>50X50X2.5</t>
        </is>
      </c>
      <c r="C63" s="11">
        <f>SUMIFS(Production!$D$2:$D$5000,Production!$A$2:$A$5000,$A63,Production!$B$2:$B$5000,$B63)</f>
        <v/>
      </c>
      <c r="D63" s="11">
        <f>SUMIFS(Dispatched!$C$2:$C$5000,Dispatched!$A$2:$A$5000,$A63,Dispatched!$B$2:$B$5000,$B63)</f>
        <v/>
      </c>
      <c r="E63" s="11">
        <f>SUMIFS(Production!$I$2:$I$5000,Production!$A$2:$A$5000,$A63,Production!$B$2:$B$5000,$B63)</f>
        <v/>
      </c>
      <c r="F63" s="23">
        <f>SUMIFS(Production!$J$2:$J$5000,Production!$A$2:$A$5000,$A63,Production!$B$2:$B$5000,$B63)</f>
        <v/>
      </c>
      <c r="G63" s="23">
        <f>SUMIFS(Production!$J$2:$J$5000,Production!$A$2:$A$5000,$A63,Production!$B$2:$B$5000,$B63,Production!$K$2:$K$5000,"0-30")</f>
        <v/>
      </c>
      <c r="H63" s="23">
        <f>SUMIFS(Production!$J$2:$J$5000,Production!$A$2:$A$5000,$A63,Production!$B$2:$B$5000,$B63,Production!$K$2:$K$5000,"31-60")</f>
        <v/>
      </c>
      <c r="I63" s="23">
        <f>SUMIFS(Production!$J$2:$J$5000,Production!$A$2:$A$5000,$A63,Production!$B$2:$B$5000,$B63,Production!$K$2:$K$5000,"61-90")</f>
        <v/>
      </c>
      <c r="J63" s="23">
        <f>SUMIFS(Production!$J$2:$J$5000,Production!$A$2:$A$5000,$A63,Production!$B$2:$B$5000,$B63,Production!$K$2:$K$5000,"90+")</f>
        <v/>
      </c>
      <c r="K63" s="14">
        <f>IF(E63=0,"",_xlfn.MAXIFS(Production!$F$2:$F$5000,Production!$A$2:$A$5000,$A63,Production!$B$2:$B$5000,$B63,Production!$I$2:$I$5000,"&gt;0"))</f>
        <v/>
      </c>
      <c r="L63" s="15">
        <f>IF(F63=0,"",SUMPRODUCT((Production!$A$2:$A$5000=$A63)*(Production!$B$2:$B$5000=$B63)*Production!$J$2:$J$5000,Production!$F$2:$F$5000)/F63)</f>
        <v/>
      </c>
      <c r="M63" s="10">
        <f>IF(D63&gt;C63,"Dispatched more than produced — opening stock / data gap","")</f>
        <v/>
      </c>
    </row>
    <row r="64">
      <c r="A64" s="9" t="inlineStr">
        <is>
          <t>Hyderabad</t>
        </is>
      </c>
      <c r="B64" s="9" t="inlineStr">
        <is>
          <t>20NBX2.5</t>
        </is>
      </c>
      <c r="C64" s="11">
        <f>SUMIFS(Production!$D$2:$D$5000,Production!$A$2:$A$5000,$A64,Production!$B$2:$B$5000,$B64)</f>
        <v/>
      </c>
      <c r="D64" s="11">
        <f>SUMIFS(Dispatched!$C$2:$C$5000,Dispatched!$A$2:$A$5000,$A64,Dispatched!$B$2:$B$5000,$B64)</f>
        <v/>
      </c>
      <c r="E64" s="11">
        <f>SUMIFS(Production!$I$2:$I$5000,Production!$A$2:$A$5000,$A64,Production!$B$2:$B$5000,$B64)</f>
        <v/>
      </c>
      <c r="F64" s="23">
        <f>SUMIFS(Production!$J$2:$J$5000,Production!$A$2:$A$5000,$A64,Production!$B$2:$B$5000,$B64)</f>
        <v/>
      </c>
      <c r="G64" s="23">
        <f>SUMIFS(Production!$J$2:$J$5000,Production!$A$2:$A$5000,$A64,Production!$B$2:$B$5000,$B64,Production!$K$2:$K$5000,"0-30")</f>
        <v/>
      </c>
      <c r="H64" s="23">
        <f>SUMIFS(Production!$J$2:$J$5000,Production!$A$2:$A$5000,$A64,Production!$B$2:$B$5000,$B64,Production!$K$2:$K$5000,"31-60")</f>
        <v/>
      </c>
      <c r="I64" s="23">
        <f>SUMIFS(Production!$J$2:$J$5000,Production!$A$2:$A$5000,$A64,Production!$B$2:$B$5000,$B64,Production!$K$2:$K$5000,"61-90")</f>
        <v/>
      </c>
      <c r="J64" s="23">
        <f>SUMIFS(Production!$J$2:$J$5000,Production!$A$2:$A$5000,$A64,Production!$B$2:$B$5000,$B64,Production!$K$2:$K$5000,"90+")</f>
        <v/>
      </c>
      <c r="K64" s="14">
        <f>IF(E64=0,"",_xlfn.MAXIFS(Production!$F$2:$F$5000,Production!$A$2:$A$5000,$A64,Production!$B$2:$B$5000,$B64,Production!$I$2:$I$5000,"&gt;0"))</f>
        <v/>
      </c>
      <c r="L64" s="15">
        <f>IF(F64=0,"",SUMPRODUCT((Production!$A$2:$A$5000=$A64)*(Production!$B$2:$B$5000=$B64)*Production!$J$2:$J$5000,Production!$F$2:$F$5000)/F64)</f>
        <v/>
      </c>
      <c r="M64" s="10">
        <f>IF(D64&gt;C64,"Dispatched more than produced — opening stock / data gap","")</f>
        <v/>
      </c>
    </row>
    <row r="65">
      <c r="A65" s="9" t="inlineStr">
        <is>
          <t>Hyderabad</t>
        </is>
      </c>
      <c r="B65" s="9" t="inlineStr">
        <is>
          <t>80X40X2.5</t>
        </is>
      </c>
      <c r="C65" s="11">
        <f>SUMIFS(Production!$D$2:$D$5000,Production!$A$2:$A$5000,$A65,Production!$B$2:$B$5000,$B65)</f>
        <v/>
      </c>
      <c r="D65" s="11">
        <f>SUMIFS(Dispatched!$C$2:$C$5000,Dispatched!$A$2:$A$5000,$A65,Dispatched!$B$2:$B$5000,$B65)</f>
        <v/>
      </c>
      <c r="E65" s="11">
        <f>SUMIFS(Production!$I$2:$I$5000,Production!$A$2:$A$5000,$A65,Production!$B$2:$B$5000,$B65)</f>
        <v/>
      </c>
      <c r="F65" s="23">
        <f>SUMIFS(Production!$J$2:$J$5000,Production!$A$2:$A$5000,$A65,Production!$B$2:$B$5000,$B65)</f>
        <v/>
      </c>
      <c r="G65" s="23">
        <f>SUMIFS(Production!$J$2:$J$5000,Production!$A$2:$A$5000,$A65,Production!$B$2:$B$5000,$B65,Production!$K$2:$K$5000,"0-30")</f>
        <v/>
      </c>
      <c r="H65" s="23">
        <f>SUMIFS(Production!$J$2:$J$5000,Production!$A$2:$A$5000,$A65,Production!$B$2:$B$5000,$B65,Production!$K$2:$K$5000,"31-60")</f>
        <v/>
      </c>
      <c r="I65" s="23">
        <f>SUMIFS(Production!$J$2:$J$5000,Production!$A$2:$A$5000,$A65,Production!$B$2:$B$5000,$B65,Production!$K$2:$K$5000,"61-90")</f>
        <v/>
      </c>
      <c r="J65" s="23">
        <f>SUMIFS(Production!$J$2:$J$5000,Production!$A$2:$A$5000,$A65,Production!$B$2:$B$5000,$B65,Production!$K$2:$K$5000,"90+")</f>
        <v/>
      </c>
      <c r="K65" s="14">
        <f>IF(E65=0,"",_xlfn.MAXIFS(Production!$F$2:$F$5000,Production!$A$2:$A$5000,$A65,Production!$B$2:$B$5000,$B65,Production!$I$2:$I$5000,"&gt;0"))</f>
        <v/>
      </c>
      <c r="L65" s="15">
        <f>IF(F65=0,"",SUMPRODUCT((Production!$A$2:$A$5000=$A65)*(Production!$B$2:$B$5000=$B65)*Production!$J$2:$J$5000,Production!$F$2:$F$5000)/F65)</f>
        <v/>
      </c>
      <c r="M65" s="10">
        <f>IF(D65&gt;C65,"Dispatched more than produced — opening stock / data gap","")</f>
        <v/>
      </c>
    </row>
    <row r="66">
      <c r="A66" s="9" t="inlineStr">
        <is>
          <t>Hyderabad</t>
        </is>
      </c>
      <c r="B66" s="9" t="inlineStr">
        <is>
          <t>50NBX3.2</t>
        </is>
      </c>
      <c r="C66" s="11">
        <f>SUMIFS(Production!$D$2:$D$5000,Production!$A$2:$A$5000,$A66,Production!$B$2:$B$5000,$B66)</f>
        <v/>
      </c>
      <c r="D66" s="11">
        <f>SUMIFS(Dispatched!$C$2:$C$5000,Dispatched!$A$2:$A$5000,$A66,Dispatched!$B$2:$B$5000,$B66)</f>
        <v/>
      </c>
      <c r="E66" s="11">
        <f>SUMIFS(Production!$I$2:$I$5000,Production!$A$2:$A$5000,$A66,Production!$B$2:$B$5000,$B66)</f>
        <v/>
      </c>
      <c r="F66" s="23">
        <f>SUMIFS(Production!$J$2:$J$5000,Production!$A$2:$A$5000,$A66,Production!$B$2:$B$5000,$B66)</f>
        <v/>
      </c>
      <c r="G66" s="23">
        <f>SUMIFS(Production!$J$2:$J$5000,Production!$A$2:$A$5000,$A66,Production!$B$2:$B$5000,$B66,Production!$K$2:$K$5000,"0-30")</f>
        <v/>
      </c>
      <c r="H66" s="23">
        <f>SUMIFS(Production!$J$2:$J$5000,Production!$A$2:$A$5000,$A66,Production!$B$2:$B$5000,$B66,Production!$K$2:$K$5000,"31-60")</f>
        <v/>
      </c>
      <c r="I66" s="23">
        <f>SUMIFS(Production!$J$2:$J$5000,Production!$A$2:$A$5000,$A66,Production!$B$2:$B$5000,$B66,Production!$K$2:$K$5000,"61-90")</f>
        <v/>
      </c>
      <c r="J66" s="23">
        <f>SUMIFS(Production!$J$2:$J$5000,Production!$A$2:$A$5000,$A66,Production!$B$2:$B$5000,$B66,Production!$K$2:$K$5000,"90+")</f>
        <v/>
      </c>
      <c r="K66" s="14">
        <f>IF(E66=0,"",_xlfn.MAXIFS(Production!$F$2:$F$5000,Production!$A$2:$A$5000,$A66,Production!$B$2:$B$5000,$B66,Production!$I$2:$I$5000,"&gt;0"))</f>
        <v/>
      </c>
      <c r="L66" s="15">
        <f>IF(F66=0,"",SUMPRODUCT((Production!$A$2:$A$5000=$A66)*(Production!$B$2:$B$5000=$B66)*Production!$J$2:$J$5000,Production!$F$2:$F$5000)/F66)</f>
        <v/>
      </c>
      <c r="M66" s="10">
        <f>IF(D66&gt;C66,"Dispatched more than produced — opening stock / data gap","")</f>
        <v/>
      </c>
    </row>
    <row r="67">
      <c r="A67" s="9" t="inlineStr">
        <is>
          <t>Hyderabad</t>
        </is>
      </c>
      <c r="B67" s="9" t="inlineStr">
        <is>
          <t>65NBX4</t>
        </is>
      </c>
      <c r="C67" s="11">
        <f>SUMIFS(Production!$D$2:$D$5000,Production!$A$2:$A$5000,$A67,Production!$B$2:$B$5000,$B67)</f>
        <v/>
      </c>
      <c r="D67" s="11">
        <f>SUMIFS(Dispatched!$C$2:$C$5000,Dispatched!$A$2:$A$5000,$A67,Dispatched!$B$2:$B$5000,$B67)</f>
        <v/>
      </c>
      <c r="E67" s="11">
        <f>SUMIFS(Production!$I$2:$I$5000,Production!$A$2:$A$5000,$A67,Production!$B$2:$B$5000,$B67)</f>
        <v/>
      </c>
      <c r="F67" s="23">
        <f>SUMIFS(Production!$J$2:$J$5000,Production!$A$2:$A$5000,$A67,Production!$B$2:$B$5000,$B67)</f>
        <v/>
      </c>
      <c r="G67" s="23">
        <f>SUMIFS(Production!$J$2:$J$5000,Production!$A$2:$A$5000,$A67,Production!$B$2:$B$5000,$B67,Production!$K$2:$K$5000,"0-30")</f>
        <v/>
      </c>
      <c r="H67" s="23">
        <f>SUMIFS(Production!$J$2:$J$5000,Production!$A$2:$A$5000,$A67,Production!$B$2:$B$5000,$B67,Production!$K$2:$K$5000,"31-60")</f>
        <v/>
      </c>
      <c r="I67" s="23">
        <f>SUMIFS(Production!$J$2:$J$5000,Production!$A$2:$A$5000,$A67,Production!$B$2:$B$5000,$B67,Production!$K$2:$K$5000,"61-90")</f>
        <v/>
      </c>
      <c r="J67" s="23">
        <f>SUMIFS(Production!$J$2:$J$5000,Production!$A$2:$A$5000,$A67,Production!$B$2:$B$5000,$B67,Production!$K$2:$K$5000,"90+")</f>
        <v/>
      </c>
      <c r="K67" s="14">
        <f>IF(E67=0,"",_xlfn.MAXIFS(Production!$F$2:$F$5000,Production!$A$2:$A$5000,$A67,Production!$B$2:$B$5000,$B67,Production!$I$2:$I$5000,"&gt;0"))</f>
        <v/>
      </c>
      <c r="L67" s="15">
        <f>IF(F67=0,"",SUMPRODUCT((Production!$A$2:$A$5000=$A67)*(Production!$B$2:$B$5000=$B67)*Production!$J$2:$J$5000,Production!$F$2:$F$5000)/F67)</f>
        <v/>
      </c>
      <c r="M67" s="10">
        <f>IF(D67&gt;C67,"Dispatched more than produced — opening stock / data gap","")</f>
        <v/>
      </c>
    </row>
    <row r="68">
      <c r="A68" s="9" t="inlineStr">
        <is>
          <t>Hyderabad</t>
        </is>
      </c>
      <c r="B68" s="9" t="inlineStr">
        <is>
          <t>80NBX4</t>
        </is>
      </c>
      <c r="C68" s="11">
        <f>SUMIFS(Production!$D$2:$D$5000,Production!$A$2:$A$5000,$A68,Production!$B$2:$B$5000,$B68)</f>
        <v/>
      </c>
      <c r="D68" s="11">
        <f>SUMIFS(Dispatched!$C$2:$C$5000,Dispatched!$A$2:$A$5000,$A68,Dispatched!$B$2:$B$5000,$B68)</f>
        <v/>
      </c>
      <c r="E68" s="11">
        <f>SUMIFS(Production!$I$2:$I$5000,Production!$A$2:$A$5000,$A68,Production!$B$2:$B$5000,$B68)</f>
        <v/>
      </c>
      <c r="F68" s="23">
        <f>SUMIFS(Production!$J$2:$J$5000,Production!$A$2:$A$5000,$A68,Production!$B$2:$B$5000,$B68)</f>
        <v/>
      </c>
      <c r="G68" s="23">
        <f>SUMIFS(Production!$J$2:$J$5000,Production!$A$2:$A$5000,$A68,Production!$B$2:$B$5000,$B68,Production!$K$2:$K$5000,"0-30")</f>
        <v/>
      </c>
      <c r="H68" s="23">
        <f>SUMIFS(Production!$J$2:$J$5000,Production!$A$2:$A$5000,$A68,Production!$B$2:$B$5000,$B68,Production!$K$2:$K$5000,"31-60")</f>
        <v/>
      </c>
      <c r="I68" s="23">
        <f>SUMIFS(Production!$J$2:$J$5000,Production!$A$2:$A$5000,$A68,Production!$B$2:$B$5000,$B68,Production!$K$2:$K$5000,"61-90")</f>
        <v/>
      </c>
      <c r="J68" s="23">
        <f>SUMIFS(Production!$J$2:$J$5000,Production!$A$2:$A$5000,$A68,Production!$B$2:$B$5000,$B68,Production!$K$2:$K$5000,"90+")</f>
        <v/>
      </c>
      <c r="K68" s="14">
        <f>IF(E68=0,"",_xlfn.MAXIFS(Production!$F$2:$F$5000,Production!$A$2:$A$5000,$A68,Production!$B$2:$B$5000,$B68,Production!$I$2:$I$5000,"&gt;0"))</f>
        <v/>
      </c>
      <c r="L68" s="15">
        <f>IF(F68=0,"",SUMPRODUCT((Production!$A$2:$A$5000=$A68)*(Production!$B$2:$B$5000=$B68)*Production!$J$2:$J$5000,Production!$F$2:$F$5000)/F68)</f>
        <v/>
      </c>
      <c r="M68" s="10">
        <f>IF(D68&gt;C68,"Dispatched more than produced — opening stock / data gap","")</f>
        <v/>
      </c>
    </row>
    <row r="69">
      <c r="A69" s="9" t="inlineStr">
        <is>
          <t>Hyderabad</t>
        </is>
      </c>
      <c r="B69" s="9" t="inlineStr">
        <is>
          <t>50X50X2.2</t>
        </is>
      </c>
      <c r="C69" s="11">
        <f>SUMIFS(Production!$D$2:$D$5000,Production!$A$2:$A$5000,$A69,Production!$B$2:$B$5000,$B69)</f>
        <v/>
      </c>
      <c r="D69" s="11">
        <f>SUMIFS(Dispatched!$C$2:$C$5000,Dispatched!$A$2:$A$5000,$A69,Dispatched!$B$2:$B$5000,$B69)</f>
        <v/>
      </c>
      <c r="E69" s="11">
        <f>SUMIFS(Production!$I$2:$I$5000,Production!$A$2:$A$5000,$A69,Production!$B$2:$B$5000,$B69)</f>
        <v/>
      </c>
      <c r="F69" s="23">
        <f>SUMIFS(Production!$J$2:$J$5000,Production!$A$2:$A$5000,$A69,Production!$B$2:$B$5000,$B69)</f>
        <v/>
      </c>
      <c r="G69" s="23">
        <f>SUMIFS(Production!$J$2:$J$5000,Production!$A$2:$A$5000,$A69,Production!$B$2:$B$5000,$B69,Production!$K$2:$K$5000,"0-30")</f>
        <v/>
      </c>
      <c r="H69" s="23">
        <f>SUMIFS(Production!$J$2:$J$5000,Production!$A$2:$A$5000,$A69,Production!$B$2:$B$5000,$B69,Production!$K$2:$K$5000,"31-60")</f>
        <v/>
      </c>
      <c r="I69" s="23">
        <f>SUMIFS(Production!$J$2:$J$5000,Production!$A$2:$A$5000,$A69,Production!$B$2:$B$5000,$B69,Production!$K$2:$K$5000,"61-90")</f>
        <v/>
      </c>
      <c r="J69" s="23">
        <f>SUMIFS(Production!$J$2:$J$5000,Production!$A$2:$A$5000,$A69,Production!$B$2:$B$5000,$B69,Production!$K$2:$K$5000,"90+")</f>
        <v/>
      </c>
      <c r="K69" s="14">
        <f>IF(E69=0,"",_xlfn.MAXIFS(Production!$F$2:$F$5000,Production!$A$2:$A$5000,$A69,Production!$B$2:$B$5000,$B69,Production!$I$2:$I$5000,"&gt;0"))</f>
        <v/>
      </c>
      <c r="L69" s="15">
        <f>IF(F69=0,"",SUMPRODUCT((Production!$A$2:$A$5000=$A69)*(Production!$B$2:$B$5000=$B69)*Production!$J$2:$J$5000,Production!$F$2:$F$5000)/F69)</f>
        <v/>
      </c>
      <c r="M69" s="10">
        <f>IF(D69&gt;C69,"Dispatched more than produced — opening stock / data gap","")</f>
        <v/>
      </c>
    </row>
    <row r="70">
      <c r="A70" s="9" t="inlineStr">
        <is>
          <t>Hyderabad</t>
        </is>
      </c>
      <c r="B70" s="9" t="inlineStr">
        <is>
          <t>100X50X2.8</t>
        </is>
      </c>
      <c r="C70" s="11">
        <f>SUMIFS(Production!$D$2:$D$5000,Production!$A$2:$A$5000,$A70,Production!$B$2:$B$5000,$B70)</f>
        <v/>
      </c>
      <c r="D70" s="11">
        <f>SUMIFS(Dispatched!$C$2:$C$5000,Dispatched!$A$2:$A$5000,$A70,Dispatched!$B$2:$B$5000,$B70)</f>
        <v/>
      </c>
      <c r="E70" s="11">
        <f>SUMIFS(Production!$I$2:$I$5000,Production!$A$2:$A$5000,$A70,Production!$B$2:$B$5000,$B70)</f>
        <v/>
      </c>
      <c r="F70" s="23">
        <f>SUMIFS(Production!$J$2:$J$5000,Production!$A$2:$A$5000,$A70,Production!$B$2:$B$5000,$B70)</f>
        <v/>
      </c>
      <c r="G70" s="23">
        <f>SUMIFS(Production!$J$2:$J$5000,Production!$A$2:$A$5000,$A70,Production!$B$2:$B$5000,$B70,Production!$K$2:$K$5000,"0-30")</f>
        <v/>
      </c>
      <c r="H70" s="23">
        <f>SUMIFS(Production!$J$2:$J$5000,Production!$A$2:$A$5000,$A70,Production!$B$2:$B$5000,$B70,Production!$K$2:$K$5000,"31-60")</f>
        <v/>
      </c>
      <c r="I70" s="23">
        <f>SUMIFS(Production!$J$2:$J$5000,Production!$A$2:$A$5000,$A70,Production!$B$2:$B$5000,$B70,Production!$K$2:$K$5000,"61-90")</f>
        <v/>
      </c>
      <c r="J70" s="23">
        <f>SUMIFS(Production!$J$2:$J$5000,Production!$A$2:$A$5000,$A70,Production!$B$2:$B$5000,$B70,Production!$K$2:$K$5000,"90+")</f>
        <v/>
      </c>
      <c r="K70" s="14">
        <f>IF(E70=0,"",_xlfn.MAXIFS(Production!$F$2:$F$5000,Production!$A$2:$A$5000,$A70,Production!$B$2:$B$5000,$B70,Production!$I$2:$I$5000,"&gt;0"))</f>
        <v/>
      </c>
      <c r="L70" s="15">
        <f>IF(F70=0,"",SUMPRODUCT((Production!$A$2:$A$5000=$A70)*(Production!$B$2:$B$5000=$B70)*Production!$J$2:$J$5000,Production!$F$2:$F$5000)/F70)</f>
        <v/>
      </c>
      <c r="M70" s="10">
        <f>IF(D70&gt;C70,"Dispatched more than produced — opening stock / data gap","")</f>
        <v/>
      </c>
    </row>
    <row r="71">
      <c r="A71" s="9" t="inlineStr">
        <is>
          <t>Hyderabad</t>
        </is>
      </c>
      <c r="B71" s="9" t="inlineStr">
        <is>
          <t>100X50X3.2</t>
        </is>
      </c>
      <c r="C71" s="11">
        <f>SUMIFS(Production!$D$2:$D$5000,Production!$A$2:$A$5000,$A71,Production!$B$2:$B$5000,$B71)</f>
        <v/>
      </c>
      <c r="D71" s="11">
        <f>SUMIFS(Dispatched!$C$2:$C$5000,Dispatched!$A$2:$A$5000,$A71,Dispatched!$B$2:$B$5000,$B71)</f>
        <v/>
      </c>
      <c r="E71" s="11">
        <f>SUMIFS(Production!$I$2:$I$5000,Production!$A$2:$A$5000,$A71,Production!$B$2:$B$5000,$B71)</f>
        <v/>
      </c>
      <c r="F71" s="23">
        <f>SUMIFS(Production!$J$2:$J$5000,Production!$A$2:$A$5000,$A71,Production!$B$2:$B$5000,$B71)</f>
        <v/>
      </c>
      <c r="G71" s="23">
        <f>SUMIFS(Production!$J$2:$J$5000,Production!$A$2:$A$5000,$A71,Production!$B$2:$B$5000,$B71,Production!$K$2:$K$5000,"0-30")</f>
        <v/>
      </c>
      <c r="H71" s="23">
        <f>SUMIFS(Production!$J$2:$J$5000,Production!$A$2:$A$5000,$A71,Production!$B$2:$B$5000,$B71,Production!$K$2:$K$5000,"31-60")</f>
        <v/>
      </c>
      <c r="I71" s="23">
        <f>SUMIFS(Production!$J$2:$J$5000,Production!$A$2:$A$5000,$A71,Production!$B$2:$B$5000,$B71,Production!$K$2:$K$5000,"61-90")</f>
        <v/>
      </c>
      <c r="J71" s="23">
        <f>SUMIFS(Production!$J$2:$J$5000,Production!$A$2:$A$5000,$A71,Production!$B$2:$B$5000,$B71,Production!$K$2:$K$5000,"90+")</f>
        <v/>
      </c>
      <c r="K71" s="14">
        <f>IF(E71=0,"",_xlfn.MAXIFS(Production!$F$2:$F$5000,Production!$A$2:$A$5000,$A71,Production!$B$2:$B$5000,$B71,Production!$I$2:$I$5000,"&gt;0"))</f>
        <v/>
      </c>
      <c r="L71" s="15">
        <f>IF(F71=0,"",SUMPRODUCT((Production!$A$2:$A$5000=$A71)*(Production!$B$2:$B$5000=$B71)*Production!$J$2:$J$5000,Production!$F$2:$F$5000)/F71)</f>
        <v/>
      </c>
      <c r="M71" s="10">
        <f>IF(D71&gt;C71,"Dispatched more than produced — opening stock / data gap","")</f>
        <v/>
      </c>
    </row>
    <row r="72">
      <c r="A72" s="9" t="inlineStr">
        <is>
          <t>Hyderabad</t>
        </is>
      </c>
      <c r="B72" s="9" t="inlineStr">
        <is>
          <t>32NBX1.6</t>
        </is>
      </c>
      <c r="C72" s="11">
        <f>SUMIFS(Production!$D$2:$D$5000,Production!$A$2:$A$5000,$A72,Production!$B$2:$B$5000,$B72)</f>
        <v/>
      </c>
      <c r="D72" s="11">
        <f>SUMIFS(Dispatched!$C$2:$C$5000,Dispatched!$A$2:$A$5000,$A72,Dispatched!$B$2:$B$5000,$B72)</f>
        <v/>
      </c>
      <c r="E72" s="11">
        <f>SUMIFS(Production!$I$2:$I$5000,Production!$A$2:$A$5000,$A72,Production!$B$2:$B$5000,$B72)</f>
        <v/>
      </c>
      <c r="F72" s="23">
        <f>SUMIFS(Production!$J$2:$J$5000,Production!$A$2:$A$5000,$A72,Production!$B$2:$B$5000,$B72)</f>
        <v/>
      </c>
      <c r="G72" s="23">
        <f>SUMIFS(Production!$J$2:$J$5000,Production!$A$2:$A$5000,$A72,Production!$B$2:$B$5000,$B72,Production!$K$2:$K$5000,"0-30")</f>
        <v/>
      </c>
      <c r="H72" s="23">
        <f>SUMIFS(Production!$J$2:$J$5000,Production!$A$2:$A$5000,$A72,Production!$B$2:$B$5000,$B72,Production!$K$2:$K$5000,"31-60")</f>
        <v/>
      </c>
      <c r="I72" s="23">
        <f>SUMIFS(Production!$J$2:$J$5000,Production!$A$2:$A$5000,$A72,Production!$B$2:$B$5000,$B72,Production!$K$2:$K$5000,"61-90")</f>
        <v/>
      </c>
      <c r="J72" s="23">
        <f>SUMIFS(Production!$J$2:$J$5000,Production!$A$2:$A$5000,$A72,Production!$B$2:$B$5000,$B72,Production!$K$2:$K$5000,"90+")</f>
        <v/>
      </c>
      <c r="K72" s="14">
        <f>IF(E72=0,"",_xlfn.MAXIFS(Production!$F$2:$F$5000,Production!$A$2:$A$5000,$A72,Production!$B$2:$B$5000,$B72,Production!$I$2:$I$5000,"&gt;0"))</f>
        <v/>
      </c>
      <c r="L72" s="15">
        <f>IF(F72=0,"",SUMPRODUCT((Production!$A$2:$A$5000=$A72)*(Production!$B$2:$B$5000=$B72)*Production!$J$2:$J$5000,Production!$F$2:$F$5000)/F72)</f>
        <v/>
      </c>
      <c r="M72" s="10">
        <f>IF(D72&gt;C72,"Dispatched more than produced — opening stock / data gap","")</f>
        <v/>
      </c>
    </row>
    <row r="73">
      <c r="A73" s="9" t="inlineStr">
        <is>
          <t>Hyderabad</t>
        </is>
      </c>
      <c r="B73" s="9" t="inlineStr">
        <is>
          <t>20X20X2</t>
        </is>
      </c>
      <c r="C73" s="11">
        <f>SUMIFS(Production!$D$2:$D$5000,Production!$A$2:$A$5000,$A73,Production!$B$2:$B$5000,$B73)</f>
        <v/>
      </c>
      <c r="D73" s="11">
        <f>SUMIFS(Dispatched!$C$2:$C$5000,Dispatched!$A$2:$A$5000,$A73,Dispatched!$B$2:$B$5000,$B73)</f>
        <v/>
      </c>
      <c r="E73" s="11">
        <f>SUMIFS(Production!$I$2:$I$5000,Production!$A$2:$A$5000,$A73,Production!$B$2:$B$5000,$B73)</f>
        <v/>
      </c>
      <c r="F73" s="23">
        <f>SUMIFS(Production!$J$2:$J$5000,Production!$A$2:$A$5000,$A73,Production!$B$2:$B$5000,$B73)</f>
        <v/>
      </c>
      <c r="G73" s="23">
        <f>SUMIFS(Production!$J$2:$J$5000,Production!$A$2:$A$5000,$A73,Production!$B$2:$B$5000,$B73,Production!$K$2:$K$5000,"0-30")</f>
        <v/>
      </c>
      <c r="H73" s="23">
        <f>SUMIFS(Production!$J$2:$J$5000,Production!$A$2:$A$5000,$A73,Production!$B$2:$B$5000,$B73,Production!$K$2:$K$5000,"31-60")</f>
        <v/>
      </c>
      <c r="I73" s="23">
        <f>SUMIFS(Production!$J$2:$J$5000,Production!$A$2:$A$5000,$A73,Production!$B$2:$B$5000,$B73,Production!$K$2:$K$5000,"61-90")</f>
        <v/>
      </c>
      <c r="J73" s="23">
        <f>SUMIFS(Production!$J$2:$J$5000,Production!$A$2:$A$5000,$A73,Production!$B$2:$B$5000,$B73,Production!$K$2:$K$5000,"90+")</f>
        <v/>
      </c>
      <c r="K73" s="14">
        <f>IF(E73=0,"",_xlfn.MAXIFS(Production!$F$2:$F$5000,Production!$A$2:$A$5000,$A73,Production!$B$2:$B$5000,$B73,Production!$I$2:$I$5000,"&gt;0"))</f>
        <v/>
      </c>
      <c r="L73" s="15">
        <f>IF(F73=0,"",SUMPRODUCT((Production!$A$2:$A$5000=$A73)*(Production!$B$2:$B$5000=$B73)*Production!$J$2:$J$5000,Production!$F$2:$F$5000)/F73)</f>
        <v/>
      </c>
      <c r="M73" s="10">
        <f>IF(D73&gt;C73,"Dispatched more than produced — opening stock / data gap","")</f>
        <v/>
      </c>
    </row>
    <row r="74">
      <c r="A74" s="9" t="inlineStr">
        <is>
          <t>Hyderabad</t>
        </is>
      </c>
      <c r="B74" s="9" t="inlineStr">
        <is>
          <t>38X38X1.6</t>
        </is>
      </c>
      <c r="C74" s="11">
        <f>SUMIFS(Production!$D$2:$D$5000,Production!$A$2:$A$5000,$A74,Production!$B$2:$B$5000,$B74)</f>
        <v/>
      </c>
      <c r="D74" s="11">
        <f>SUMIFS(Dispatched!$C$2:$C$5000,Dispatched!$A$2:$A$5000,$A74,Dispatched!$B$2:$B$5000,$B74)</f>
        <v/>
      </c>
      <c r="E74" s="11">
        <f>SUMIFS(Production!$I$2:$I$5000,Production!$A$2:$A$5000,$A74,Production!$B$2:$B$5000,$B74)</f>
        <v/>
      </c>
      <c r="F74" s="23">
        <f>SUMIFS(Production!$J$2:$J$5000,Production!$A$2:$A$5000,$A74,Production!$B$2:$B$5000,$B74)</f>
        <v/>
      </c>
      <c r="G74" s="23">
        <f>SUMIFS(Production!$J$2:$J$5000,Production!$A$2:$A$5000,$A74,Production!$B$2:$B$5000,$B74,Production!$K$2:$K$5000,"0-30")</f>
        <v/>
      </c>
      <c r="H74" s="23">
        <f>SUMIFS(Production!$J$2:$J$5000,Production!$A$2:$A$5000,$A74,Production!$B$2:$B$5000,$B74,Production!$K$2:$K$5000,"31-60")</f>
        <v/>
      </c>
      <c r="I74" s="23">
        <f>SUMIFS(Production!$J$2:$J$5000,Production!$A$2:$A$5000,$A74,Production!$B$2:$B$5000,$B74,Production!$K$2:$K$5000,"61-90")</f>
        <v/>
      </c>
      <c r="J74" s="23">
        <f>SUMIFS(Production!$J$2:$J$5000,Production!$A$2:$A$5000,$A74,Production!$B$2:$B$5000,$B74,Production!$K$2:$K$5000,"90+")</f>
        <v/>
      </c>
      <c r="K74" s="14">
        <f>IF(E74=0,"",_xlfn.MAXIFS(Production!$F$2:$F$5000,Production!$A$2:$A$5000,$A74,Production!$B$2:$B$5000,$B74,Production!$I$2:$I$5000,"&gt;0"))</f>
        <v/>
      </c>
      <c r="L74" s="15">
        <f>IF(F74=0,"",SUMPRODUCT((Production!$A$2:$A$5000=$A74)*(Production!$B$2:$B$5000=$B74)*Production!$J$2:$J$5000,Production!$F$2:$F$5000)/F74)</f>
        <v/>
      </c>
      <c r="M74" s="10">
        <f>IF(D74&gt;C74,"Dispatched more than produced — opening stock / data gap","")</f>
        <v/>
      </c>
    </row>
    <row r="75">
      <c r="A75" s="9" t="inlineStr">
        <is>
          <t>Hyderabad</t>
        </is>
      </c>
      <c r="B75" s="9" t="inlineStr">
        <is>
          <t>40X20X2.8</t>
        </is>
      </c>
      <c r="C75" s="11">
        <f>SUMIFS(Production!$D$2:$D$5000,Production!$A$2:$A$5000,$A75,Production!$B$2:$B$5000,$B75)</f>
        <v/>
      </c>
      <c r="D75" s="11">
        <f>SUMIFS(Dispatched!$C$2:$C$5000,Dispatched!$A$2:$A$5000,$A75,Dispatched!$B$2:$B$5000,$B75)</f>
        <v/>
      </c>
      <c r="E75" s="11">
        <f>SUMIFS(Production!$I$2:$I$5000,Production!$A$2:$A$5000,$A75,Production!$B$2:$B$5000,$B75)</f>
        <v/>
      </c>
      <c r="F75" s="23">
        <f>SUMIFS(Production!$J$2:$J$5000,Production!$A$2:$A$5000,$A75,Production!$B$2:$B$5000,$B75)</f>
        <v/>
      </c>
      <c r="G75" s="23">
        <f>SUMIFS(Production!$J$2:$J$5000,Production!$A$2:$A$5000,$A75,Production!$B$2:$B$5000,$B75,Production!$K$2:$K$5000,"0-30")</f>
        <v/>
      </c>
      <c r="H75" s="23">
        <f>SUMIFS(Production!$J$2:$J$5000,Production!$A$2:$A$5000,$A75,Production!$B$2:$B$5000,$B75,Production!$K$2:$K$5000,"31-60")</f>
        <v/>
      </c>
      <c r="I75" s="23">
        <f>SUMIFS(Production!$J$2:$J$5000,Production!$A$2:$A$5000,$A75,Production!$B$2:$B$5000,$B75,Production!$K$2:$K$5000,"61-90")</f>
        <v/>
      </c>
      <c r="J75" s="23">
        <f>SUMIFS(Production!$J$2:$J$5000,Production!$A$2:$A$5000,$A75,Production!$B$2:$B$5000,$B75,Production!$K$2:$K$5000,"90+")</f>
        <v/>
      </c>
      <c r="K75" s="14">
        <f>IF(E75=0,"",_xlfn.MAXIFS(Production!$F$2:$F$5000,Production!$A$2:$A$5000,$A75,Production!$B$2:$B$5000,$B75,Production!$I$2:$I$5000,"&gt;0"))</f>
        <v/>
      </c>
      <c r="L75" s="15">
        <f>IF(F75=0,"",SUMPRODUCT((Production!$A$2:$A$5000=$A75)*(Production!$B$2:$B$5000=$B75)*Production!$J$2:$J$5000,Production!$F$2:$F$5000)/F75)</f>
        <v/>
      </c>
      <c r="M75" s="10">
        <f>IF(D75&gt;C75,"Dispatched more than produced — opening stock / data gap","")</f>
        <v/>
      </c>
    </row>
    <row r="76">
      <c r="A76" s="9" t="inlineStr">
        <is>
          <t>Hyderabad</t>
        </is>
      </c>
      <c r="B76" s="9" t="inlineStr">
        <is>
          <t>38X38X4</t>
        </is>
      </c>
      <c r="C76" s="11">
        <f>SUMIFS(Production!$D$2:$D$5000,Production!$A$2:$A$5000,$A76,Production!$B$2:$B$5000,$B76)</f>
        <v/>
      </c>
      <c r="D76" s="11">
        <f>SUMIFS(Dispatched!$C$2:$C$5000,Dispatched!$A$2:$A$5000,$A76,Dispatched!$B$2:$B$5000,$B76)</f>
        <v/>
      </c>
      <c r="E76" s="11">
        <f>SUMIFS(Production!$I$2:$I$5000,Production!$A$2:$A$5000,$A76,Production!$B$2:$B$5000,$B76)</f>
        <v/>
      </c>
      <c r="F76" s="23">
        <f>SUMIFS(Production!$J$2:$J$5000,Production!$A$2:$A$5000,$A76,Production!$B$2:$B$5000,$B76)</f>
        <v/>
      </c>
      <c r="G76" s="23">
        <f>SUMIFS(Production!$J$2:$J$5000,Production!$A$2:$A$5000,$A76,Production!$B$2:$B$5000,$B76,Production!$K$2:$K$5000,"0-30")</f>
        <v/>
      </c>
      <c r="H76" s="23">
        <f>SUMIFS(Production!$J$2:$J$5000,Production!$A$2:$A$5000,$A76,Production!$B$2:$B$5000,$B76,Production!$K$2:$K$5000,"31-60")</f>
        <v/>
      </c>
      <c r="I76" s="23">
        <f>SUMIFS(Production!$J$2:$J$5000,Production!$A$2:$A$5000,$A76,Production!$B$2:$B$5000,$B76,Production!$K$2:$K$5000,"61-90")</f>
        <v/>
      </c>
      <c r="J76" s="23">
        <f>SUMIFS(Production!$J$2:$J$5000,Production!$A$2:$A$5000,$A76,Production!$B$2:$B$5000,$B76,Production!$K$2:$K$5000,"90+")</f>
        <v/>
      </c>
      <c r="K76" s="14">
        <f>IF(E76=0,"",_xlfn.MAXIFS(Production!$F$2:$F$5000,Production!$A$2:$A$5000,$A76,Production!$B$2:$B$5000,$B76,Production!$I$2:$I$5000,"&gt;0"))</f>
        <v/>
      </c>
      <c r="L76" s="15">
        <f>IF(F76=0,"",SUMPRODUCT((Production!$A$2:$A$5000=$A76)*(Production!$B$2:$B$5000=$B76)*Production!$J$2:$J$5000,Production!$F$2:$F$5000)/F76)</f>
        <v/>
      </c>
      <c r="M76" s="10">
        <f>IF(D76&gt;C76,"Dispatched more than produced — opening stock / data gap","")</f>
        <v/>
      </c>
    </row>
    <row r="77">
      <c r="A77" s="9" t="inlineStr">
        <is>
          <t>Hyderabad</t>
        </is>
      </c>
      <c r="B77" s="9" t="inlineStr">
        <is>
          <t>75X75X2</t>
        </is>
      </c>
      <c r="C77" s="11">
        <f>SUMIFS(Production!$D$2:$D$5000,Production!$A$2:$A$5000,$A77,Production!$B$2:$B$5000,$B77)</f>
        <v/>
      </c>
      <c r="D77" s="11">
        <f>SUMIFS(Dispatched!$C$2:$C$5000,Dispatched!$A$2:$A$5000,$A77,Dispatched!$B$2:$B$5000,$B77)</f>
        <v/>
      </c>
      <c r="E77" s="11">
        <f>SUMIFS(Production!$I$2:$I$5000,Production!$A$2:$A$5000,$A77,Production!$B$2:$B$5000,$B77)</f>
        <v/>
      </c>
      <c r="F77" s="23">
        <f>SUMIFS(Production!$J$2:$J$5000,Production!$A$2:$A$5000,$A77,Production!$B$2:$B$5000,$B77)</f>
        <v/>
      </c>
      <c r="G77" s="23">
        <f>SUMIFS(Production!$J$2:$J$5000,Production!$A$2:$A$5000,$A77,Production!$B$2:$B$5000,$B77,Production!$K$2:$K$5000,"0-30")</f>
        <v/>
      </c>
      <c r="H77" s="23">
        <f>SUMIFS(Production!$J$2:$J$5000,Production!$A$2:$A$5000,$A77,Production!$B$2:$B$5000,$B77,Production!$K$2:$K$5000,"31-60")</f>
        <v/>
      </c>
      <c r="I77" s="23">
        <f>SUMIFS(Production!$J$2:$J$5000,Production!$A$2:$A$5000,$A77,Production!$B$2:$B$5000,$B77,Production!$K$2:$K$5000,"61-90")</f>
        <v/>
      </c>
      <c r="J77" s="23">
        <f>SUMIFS(Production!$J$2:$J$5000,Production!$A$2:$A$5000,$A77,Production!$B$2:$B$5000,$B77,Production!$K$2:$K$5000,"90+")</f>
        <v/>
      </c>
      <c r="K77" s="14">
        <f>IF(E77=0,"",_xlfn.MAXIFS(Production!$F$2:$F$5000,Production!$A$2:$A$5000,$A77,Production!$B$2:$B$5000,$B77,Production!$I$2:$I$5000,"&gt;0"))</f>
        <v/>
      </c>
      <c r="L77" s="15">
        <f>IF(F77=0,"",SUMPRODUCT((Production!$A$2:$A$5000=$A77)*(Production!$B$2:$B$5000=$B77)*Production!$J$2:$J$5000,Production!$F$2:$F$5000)/F77)</f>
        <v/>
      </c>
      <c r="M77" s="10">
        <f>IF(D77&gt;C77,"Dispatched more than produced — opening stock / data gap","")</f>
        <v/>
      </c>
    </row>
    <row r="78">
      <c r="A78" s="9" t="inlineStr">
        <is>
          <t>Hyderabad</t>
        </is>
      </c>
      <c r="B78" s="9" t="inlineStr">
        <is>
          <t>25X25X1.6</t>
        </is>
      </c>
      <c r="C78" s="11">
        <f>SUMIFS(Production!$D$2:$D$5000,Production!$A$2:$A$5000,$A78,Production!$B$2:$B$5000,$B78)</f>
        <v/>
      </c>
      <c r="D78" s="11">
        <f>SUMIFS(Dispatched!$C$2:$C$5000,Dispatched!$A$2:$A$5000,$A78,Dispatched!$B$2:$B$5000,$B78)</f>
        <v/>
      </c>
      <c r="E78" s="11">
        <f>SUMIFS(Production!$I$2:$I$5000,Production!$A$2:$A$5000,$A78,Production!$B$2:$B$5000,$B78)</f>
        <v/>
      </c>
      <c r="F78" s="23">
        <f>SUMIFS(Production!$J$2:$J$5000,Production!$A$2:$A$5000,$A78,Production!$B$2:$B$5000,$B78)</f>
        <v/>
      </c>
      <c r="G78" s="23">
        <f>SUMIFS(Production!$J$2:$J$5000,Production!$A$2:$A$5000,$A78,Production!$B$2:$B$5000,$B78,Production!$K$2:$K$5000,"0-30")</f>
        <v/>
      </c>
      <c r="H78" s="23">
        <f>SUMIFS(Production!$J$2:$J$5000,Production!$A$2:$A$5000,$A78,Production!$B$2:$B$5000,$B78,Production!$K$2:$K$5000,"31-60")</f>
        <v/>
      </c>
      <c r="I78" s="23">
        <f>SUMIFS(Production!$J$2:$J$5000,Production!$A$2:$A$5000,$A78,Production!$B$2:$B$5000,$B78,Production!$K$2:$K$5000,"61-90")</f>
        <v/>
      </c>
      <c r="J78" s="23">
        <f>SUMIFS(Production!$J$2:$J$5000,Production!$A$2:$A$5000,$A78,Production!$B$2:$B$5000,$B78,Production!$K$2:$K$5000,"90+")</f>
        <v/>
      </c>
      <c r="K78" s="14">
        <f>IF(E78=0,"",_xlfn.MAXIFS(Production!$F$2:$F$5000,Production!$A$2:$A$5000,$A78,Production!$B$2:$B$5000,$B78,Production!$I$2:$I$5000,"&gt;0"))</f>
        <v/>
      </c>
      <c r="L78" s="15">
        <f>IF(F78=0,"",SUMPRODUCT((Production!$A$2:$A$5000=$A78)*(Production!$B$2:$B$5000=$B78)*Production!$J$2:$J$5000,Production!$F$2:$F$5000)/F78)</f>
        <v/>
      </c>
      <c r="M78" s="10">
        <f>IF(D78&gt;C78,"Dispatched more than produced — opening stock / data gap","")</f>
        <v/>
      </c>
    </row>
    <row r="79">
      <c r="A79" s="9" t="inlineStr">
        <is>
          <t>Hyderabad</t>
        </is>
      </c>
      <c r="B79" s="9" t="inlineStr">
        <is>
          <t>30X30X1.6</t>
        </is>
      </c>
      <c r="C79" s="11">
        <f>SUMIFS(Production!$D$2:$D$5000,Production!$A$2:$A$5000,$A79,Production!$B$2:$B$5000,$B79)</f>
        <v/>
      </c>
      <c r="D79" s="11">
        <f>SUMIFS(Dispatched!$C$2:$C$5000,Dispatched!$A$2:$A$5000,$A79,Dispatched!$B$2:$B$5000,$B79)</f>
        <v/>
      </c>
      <c r="E79" s="11">
        <f>SUMIFS(Production!$I$2:$I$5000,Production!$A$2:$A$5000,$A79,Production!$B$2:$B$5000,$B79)</f>
        <v/>
      </c>
      <c r="F79" s="23">
        <f>SUMIFS(Production!$J$2:$J$5000,Production!$A$2:$A$5000,$A79,Production!$B$2:$B$5000,$B79)</f>
        <v/>
      </c>
      <c r="G79" s="23">
        <f>SUMIFS(Production!$J$2:$J$5000,Production!$A$2:$A$5000,$A79,Production!$B$2:$B$5000,$B79,Production!$K$2:$K$5000,"0-30")</f>
        <v/>
      </c>
      <c r="H79" s="23">
        <f>SUMIFS(Production!$J$2:$J$5000,Production!$A$2:$A$5000,$A79,Production!$B$2:$B$5000,$B79,Production!$K$2:$K$5000,"31-60")</f>
        <v/>
      </c>
      <c r="I79" s="23">
        <f>SUMIFS(Production!$J$2:$J$5000,Production!$A$2:$A$5000,$A79,Production!$B$2:$B$5000,$B79,Production!$K$2:$K$5000,"61-90")</f>
        <v/>
      </c>
      <c r="J79" s="23">
        <f>SUMIFS(Production!$J$2:$J$5000,Production!$A$2:$A$5000,$A79,Production!$B$2:$B$5000,$B79,Production!$K$2:$K$5000,"90+")</f>
        <v/>
      </c>
      <c r="K79" s="14">
        <f>IF(E79=0,"",_xlfn.MAXIFS(Production!$F$2:$F$5000,Production!$A$2:$A$5000,$A79,Production!$B$2:$B$5000,$B79,Production!$I$2:$I$5000,"&gt;0"))</f>
        <v/>
      </c>
      <c r="L79" s="15">
        <f>IF(F79=0,"",SUMPRODUCT((Production!$A$2:$A$5000=$A79)*(Production!$B$2:$B$5000=$B79)*Production!$J$2:$J$5000,Production!$F$2:$F$5000)/F79)</f>
        <v/>
      </c>
      <c r="M79" s="10">
        <f>IF(D79&gt;C79,"Dispatched more than produced — opening stock / data gap","")</f>
        <v/>
      </c>
    </row>
    <row r="80">
      <c r="A80" s="9" t="inlineStr">
        <is>
          <t>Hyderabad</t>
        </is>
      </c>
      <c r="B80" s="9" t="inlineStr">
        <is>
          <t>75X75X2.5</t>
        </is>
      </c>
      <c r="C80" s="11">
        <f>SUMIFS(Production!$D$2:$D$5000,Production!$A$2:$A$5000,$A80,Production!$B$2:$B$5000,$B80)</f>
        <v/>
      </c>
      <c r="D80" s="11">
        <f>SUMIFS(Dispatched!$C$2:$C$5000,Dispatched!$A$2:$A$5000,$A80,Dispatched!$B$2:$B$5000,$B80)</f>
        <v/>
      </c>
      <c r="E80" s="11">
        <f>SUMIFS(Production!$I$2:$I$5000,Production!$A$2:$A$5000,$A80,Production!$B$2:$B$5000,$B80)</f>
        <v/>
      </c>
      <c r="F80" s="23">
        <f>SUMIFS(Production!$J$2:$J$5000,Production!$A$2:$A$5000,$A80,Production!$B$2:$B$5000,$B80)</f>
        <v/>
      </c>
      <c r="G80" s="23">
        <f>SUMIFS(Production!$J$2:$J$5000,Production!$A$2:$A$5000,$A80,Production!$B$2:$B$5000,$B80,Production!$K$2:$K$5000,"0-30")</f>
        <v/>
      </c>
      <c r="H80" s="23">
        <f>SUMIFS(Production!$J$2:$J$5000,Production!$A$2:$A$5000,$A80,Production!$B$2:$B$5000,$B80,Production!$K$2:$K$5000,"31-60")</f>
        <v/>
      </c>
      <c r="I80" s="23">
        <f>SUMIFS(Production!$J$2:$J$5000,Production!$A$2:$A$5000,$A80,Production!$B$2:$B$5000,$B80,Production!$K$2:$K$5000,"61-90")</f>
        <v/>
      </c>
      <c r="J80" s="23">
        <f>SUMIFS(Production!$J$2:$J$5000,Production!$A$2:$A$5000,$A80,Production!$B$2:$B$5000,$B80,Production!$K$2:$K$5000,"90+")</f>
        <v/>
      </c>
      <c r="K80" s="14">
        <f>IF(E80=0,"",_xlfn.MAXIFS(Production!$F$2:$F$5000,Production!$A$2:$A$5000,$A80,Production!$B$2:$B$5000,$B80,Production!$I$2:$I$5000,"&gt;0"))</f>
        <v/>
      </c>
      <c r="L80" s="15">
        <f>IF(F80=0,"",SUMPRODUCT((Production!$A$2:$A$5000=$A80)*(Production!$B$2:$B$5000=$B80)*Production!$J$2:$J$5000,Production!$F$2:$F$5000)/F80)</f>
        <v/>
      </c>
      <c r="M80" s="10">
        <f>IF(D80&gt;C80,"Dispatched more than produced — opening stock / data gap","")</f>
        <v/>
      </c>
    </row>
    <row r="81">
      <c r="A81" s="9" t="inlineStr">
        <is>
          <t>Hyderabad</t>
        </is>
      </c>
      <c r="B81" s="9" t="inlineStr">
        <is>
          <t>25NBX4</t>
        </is>
      </c>
      <c r="C81" s="11">
        <f>SUMIFS(Production!$D$2:$D$5000,Production!$A$2:$A$5000,$A81,Production!$B$2:$B$5000,$B81)</f>
        <v/>
      </c>
      <c r="D81" s="11">
        <f>SUMIFS(Dispatched!$C$2:$C$5000,Dispatched!$A$2:$A$5000,$A81,Dispatched!$B$2:$B$5000,$B81)</f>
        <v/>
      </c>
      <c r="E81" s="11">
        <f>SUMIFS(Production!$I$2:$I$5000,Production!$A$2:$A$5000,$A81,Production!$B$2:$B$5000,$B81)</f>
        <v/>
      </c>
      <c r="F81" s="23">
        <f>SUMIFS(Production!$J$2:$J$5000,Production!$A$2:$A$5000,$A81,Production!$B$2:$B$5000,$B81)</f>
        <v/>
      </c>
      <c r="G81" s="23">
        <f>SUMIFS(Production!$J$2:$J$5000,Production!$A$2:$A$5000,$A81,Production!$B$2:$B$5000,$B81,Production!$K$2:$K$5000,"0-30")</f>
        <v/>
      </c>
      <c r="H81" s="23">
        <f>SUMIFS(Production!$J$2:$J$5000,Production!$A$2:$A$5000,$A81,Production!$B$2:$B$5000,$B81,Production!$K$2:$K$5000,"31-60")</f>
        <v/>
      </c>
      <c r="I81" s="23">
        <f>SUMIFS(Production!$J$2:$J$5000,Production!$A$2:$A$5000,$A81,Production!$B$2:$B$5000,$B81,Production!$K$2:$K$5000,"61-90")</f>
        <v/>
      </c>
      <c r="J81" s="23">
        <f>SUMIFS(Production!$J$2:$J$5000,Production!$A$2:$A$5000,$A81,Production!$B$2:$B$5000,$B81,Production!$K$2:$K$5000,"90+")</f>
        <v/>
      </c>
      <c r="K81" s="14">
        <f>IF(E81=0,"",_xlfn.MAXIFS(Production!$F$2:$F$5000,Production!$A$2:$A$5000,$A81,Production!$B$2:$B$5000,$B81,Production!$I$2:$I$5000,"&gt;0"))</f>
        <v/>
      </c>
      <c r="L81" s="15">
        <f>IF(F81=0,"",SUMPRODUCT((Production!$A$2:$A$5000=$A81)*(Production!$B$2:$B$5000=$B81)*Production!$J$2:$J$5000,Production!$F$2:$F$5000)/F81)</f>
        <v/>
      </c>
      <c r="M81" s="10">
        <f>IF(D81&gt;C81,"Dispatched more than produced — opening stock / data gap","")</f>
        <v/>
      </c>
    </row>
    <row r="82">
      <c r="A82" s="9" t="inlineStr">
        <is>
          <t>Hyderabad</t>
        </is>
      </c>
      <c r="B82" s="9" t="inlineStr">
        <is>
          <t>40X20X2.2</t>
        </is>
      </c>
      <c r="C82" s="11">
        <f>SUMIFS(Production!$D$2:$D$5000,Production!$A$2:$A$5000,$A82,Production!$B$2:$B$5000,$B82)</f>
        <v/>
      </c>
      <c r="D82" s="11">
        <f>SUMIFS(Dispatched!$C$2:$C$5000,Dispatched!$A$2:$A$5000,$A82,Dispatched!$B$2:$B$5000,$B82)</f>
        <v/>
      </c>
      <c r="E82" s="11">
        <f>SUMIFS(Production!$I$2:$I$5000,Production!$A$2:$A$5000,$A82,Production!$B$2:$B$5000,$B82)</f>
        <v/>
      </c>
      <c r="F82" s="23">
        <f>SUMIFS(Production!$J$2:$J$5000,Production!$A$2:$A$5000,$A82,Production!$B$2:$B$5000,$B82)</f>
        <v/>
      </c>
      <c r="G82" s="23">
        <f>SUMIFS(Production!$J$2:$J$5000,Production!$A$2:$A$5000,$A82,Production!$B$2:$B$5000,$B82,Production!$K$2:$K$5000,"0-30")</f>
        <v/>
      </c>
      <c r="H82" s="23">
        <f>SUMIFS(Production!$J$2:$J$5000,Production!$A$2:$A$5000,$A82,Production!$B$2:$B$5000,$B82,Production!$K$2:$K$5000,"31-60")</f>
        <v/>
      </c>
      <c r="I82" s="23">
        <f>SUMIFS(Production!$J$2:$J$5000,Production!$A$2:$A$5000,$A82,Production!$B$2:$B$5000,$B82,Production!$K$2:$K$5000,"61-90")</f>
        <v/>
      </c>
      <c r="J82" s="23">
        <f>SUMIFS(Production!$J$2:$J$5000,Production!$A$2:$A$5000,$A82,Production!$B$2:$B$5000,$B82,Production!$K$2:$K$5000,"90+")</f>
        <v/>
      </c>
      <c r="K82" s="14">
        <f>IF(E82=0,"",_xlfn.MAXIFS(Production!$F$2:$F$5000,Production!$A$2:$A$5000,$A82,Production!$B$2:$B$5000,$B82,Production!$I$2:$I$5000,"&gt;0"))</f>
        <v/>
      </c>
      <c r="L82" s="15">
        <f>IF(F82=0,"",SUMPRODUCT((Production!$A$2:$A$5000=$A82)*(Production!$B$2:$B$5000=$B82)*Production!$J$2:$J$5000,Production!$F$2:$F$5000)/F82)</f>
        <v/>
      </c>
      <c r="M82" s="10">
        <f>IF(D82&gt;C82,"Dispatched more than produced — opening stock / data gap","")</f>
        <v/>
      </c>
    </row>
    <row r="83">
      <c r="A83" s="9" t="inlineStr">
        <is>
          <t>Hyderabad</t>
        </is>
      </c>
      <c r="B83" s="9" t="inlineStr">
        <is>
          <t>80X40X4</t>
        </is>
      </c>
      <c r="C83" s="11">
        <f>SUMIFS(Production!$D$2:$D$5000,Production!$A$2:$A$5000,$A83,Production!$B$2:$B$5000,$B83)</f>
        <v/>
      </c>
      <c r="D83" s="11">
        <f>SUMIFS(Dispatched!$C$2:$C$5000,Dispatched!$A$2:$A$5000,$A83,Dispatched!$B$2:$B$5000,$B83)</f>
        <v/>
      </c>
      <c r="E83" s="11">
        <f>SUMIFS(Production!$I$2:$I$5000,Production!$A$2:$A$5000,$A83,Production!$B$2:$B$5000,$B83)</f>
        <v/>
      </c>
      <c r="F83" s="23">
        <f>SUMIFS(Production!$J$2:$J$5000,Production!$A$2:$A$5000,$A83,Production!$B$2:$B$5000,$B83)</f>
        <v/>
      </c>
      <c r="G83" s="23">
        <f>SUMIFS(Production!$J$2:$J$5000,Production!$A$2:$A$5000,$A83,Production!$B$2:$B$5000,$B83,Production!$K$2:$K$5000,"0-30")</f>
        <v/>
      </c>
      <c r="H83" s="23">
        <f>SUMIFS(Production!$J$2:$J$5000,Production!$A$2:$A$5000,$A83,Production!$B$2:$B$5000,$B83,Production!$K$2:$K$5000,"31-60")</f>
        <v/>
      </c>
      <c r="I83" s="23">
        <f>SUMIFS(Production!$J$2:$J$5000,Production!$A$2:$A$5000,$A83,Production!$B$2:$B$5000,$B83,Production!$K$2:$K$5000,"61-90")</f>
        <v/>
      </c>
      <c r="J83" s="23">
        <f>SUMIFS(Production!$J$2:$J$5000,Production!$A$2:$A$5000,$A83,Production!$B$2:$B$5000,$B83,Production!$K$2:$K$5000,"90+")</f>
        <v/>
      </c>
      <c r="K83" s="14">
        <f>IF(E83=0,"",_xlfn.MAXIFS(Production!$F$2:$F$5000,Production!$A$2:$A$5000,$A83,Production!$B$2:$B$5000,$B83,Production!$I$2:$I$5000,"&gt;0"))</f>
        <v/>
      </c>
      <c r="L83" s="15">
        <f>IF(F83=0,"",SUMPRODUCT((Production!$A$2:$A$5000=$A83)*(Production!$B$2:$B$5000=$B83)*Production!$J$2:$J$5000,Production!$F$2:$F$5000)/F83)</f>
        <v/>
      </c>
      <c r="M83" s="10">
        <f>IF(D83&gt;C83,"Dispatched more than produced — opening stock / data gap","")</f>
        <v/>
      </c>
    </row>
    <row r="84">
      <c r="A84" s="9" t="inlineStr">
        <is>
          <t>Hyderabad</t>
        </is>
      </c>
      <c r="B84" s="9" t="inlineStr">
        <is>
          <t>20X20X1.2</t>
        </is>
      </c>
      <c r="C84" s="11">
        <f>SUMIFS(Production!$D$2:$D$5000,Production!$A$2:$A$5000,$A84,Production!$B$2:$B$5000,$B84)</f>
        <v/>
      </c>
      <c r="D84" s="11">
        <f>SUMIFS(Dispatched!$C$2:$C$5000,Dispatched!$A$2:$A$5000,$A84,Dispatched!$B$2:$B$5000,$B84)</f>
        <v/>
      </c>
      <c r="E84" s="11">
        <f>SUMIFS(Production!$I$2:$I$5000,Production!$A$2:$A$5000,$A84,Production!$B$2:$B$5000,$B84)</f>
        <v/>
      </c>
      <c r="F84" s="23">
        <f>SUMIFS(Production!$J$2:$J$5000,Production!$A$2:$A$5000,$A84,Production!$B$2:$B$5000,$B84)</f>
        <v/>
      </c>
      <c r="G84" s="23">
        <f>SUMIFS(Production!$J$2:$J$5000,Production!$A$2:$A$5000,$A84,Production!$B$2:$B$5000,$B84,Production!$K$2:$K$5000,"0-30")</f>
        <v/>
      </c>
      <c r="H84" s="23">
        <f>SUMIFS(Production!$J$2:$J$5000,Production!$A$2:$A$5000,$A84,Production!$B$2:$B$5000,$B84,Production!$K$2:$K$5000,"31-60")</f>
        <v/>
      </c>
      <c r="I84" s="23">
        <f>SUMIFS(Production!$J$2:$J$5000,Production!$A$2:$A$5000,$A84,Production!$B$2:$B$5000,$B84,Production!$K$2:$K$5000,"61-90")</f>
        <v/>
      </c>
      <c r="J84" s="23">
        <f>SUMIFS(Production!$J$2:$J$5000,Production!$A$2:$A$5000,$A84,Production!$B$2:$B$5000,$B84,Production!$K$2:$K$5000,"90+")</f>
        <v/>
      </c>
      <c r="K84" s="14">
        <f>IF(E84=0,"",_xlfn.MAXIFS(Production!$F$2:$F$5000,Production!$A$2:$A$5000,$A84,Production!$B$2:$B$5000,$B84,Production!$I$2:$I$5000,"&gt;0"))</f>
        <v/>
      </c>
      <c r="L84" s="15">
        <f>IF(F84=0,"",SUMPRODUCT((Production!$A$2:$A$5000=$A84)*(Production!$B$2:$B$5000=$B84)*Production!$J$2:$J$5000,Production!$F$2:$F$5000)/F84)</f>
        <v/>
      </c>
      <c r="M84" s="10">
        <f>IF(D84&gt;C84,"Dispatched more than produced — opening stock / data gap","")</f>
        <v/>
      </c>
    </row>
    <row r="85">
      <c r="A85" s="9" t="inlineStr">
        <is>
          <t>Hyderabad</t>
        </is>
      </c>
      <c r="B85" s="9" t="inlineStr">
        <is>
          <t>40X20X1.2</t>
        </is>
      </c>
      <c r="C85" s="11">
        <f>SUMIFS(Production!$D$2:$D$5000,Production!$A$2:$A$5000,$A85,Production!$B$2:$B$5000,$B85)</f>
        <v/>
      </c>
      <c r="D85" s="11">
        <f>SUMIFS(Dispatched!$C$2:$C$5000,Dispatched!$A$2:$A$5000,$A85,Dispatched!$B$2:$B$5000,$B85)</f>
        <v/>
      </c>
      <c r="E85" s="11">
        <f>SUMIFS(Production!$I$2:$I$5000,Production!$A$2:$A$5000,$A85,Production!$B$2:$B$5000,$B85)</f>
        <v/>
      </c>
      <c r="F85" s="23">
        <f>SUMIFS(Production!$J$2:$J$5000,Production!$A$2:$A$5000,$A85,Production!$B$2:$B$5000,$B85)</f>
        <v/>
      </c>
      <c r="G85" s="23">
        <f>SUMIFS(Production!$J$2:$J$5000,Production!$A$2:$A$5000,$A85,Production!$B$2:$B$5000,$B85,Production!$K$2:$K$5000,"0-30")</f>
        <v/>
      </c>
      <c r="H85" s="23">
        <f>SUMIFS(Production!$J$2:$J$5000,Production!$A$2:$A$5000,$A85,Production!$B$2:$B$5000,$B85,Production!$K$2:$K$5000,"31-60")</f>
        <v/>
      </c>
      <c r="I85" s="23">
        <f>SUMIFS(Production!$J$2:$J$5000,Production!$A$2:$A$5000,$A85,Production!$B$2:$B$5000,$B85,Production!$K$2:$K$5000,"61-90")</f>
        <v/>
      </c>
      <c r="J85" s="23">
        <f>SUMIFS(Production!$J$2:$J$5000,Production!$A$2:$A$5000,$A85,Production!$B$2:$B$5000,$B85,Production!$K$2:$K$5000,"90+")</f>
        <v/>
      </c>
      <c r="K85" s="14">
        <f>IF(E85=0,"",_xlfn.MAXIFS(Production!$F$2:$F$5000,Production!$A$2:$A$5000,$A85,Production!$B$2:$B$5000,$B85,Production!$I$2:$I$5000,"&gt;0"))</f>
        <v/>
      </c>
      <c r="L85" s="15">
        <f>IF(F85=0,"",SUMPRODUCT((Production!$A$2:$A$5000=$A85)*(Production!$B$2:$B$5000=$B85)*Production!$J$2:$J$5000,Production!$F$2:$F$5000)/F85)</f>
        <v/>
      </c>
      <c r="M85" s="10">
        <f>IF(D85&gt;C85,"Dispatched more than produced — opening stock / data gap","")</f>
        <v/>
      </c>
    </row>
    <row r="86">
      <c r="A86" s="9" t="inlineStr">
        <is>
          <t>Hyderabad</t>
        </is>
      </c>
      <c r="B86" s="9" t="inlineStr">
        <is>
          <t>100X50X3</t>
        </is>
      </c>
      <c r="C86" s="11">
        <f>SUMIFS(Production!$D$2:$D$5000,Production!$A$2:$A$5000,$A86,Production!$B$2:$B$5000,$B86)</f>
        <v/>
      </c>
      <c r="D86" s="11">
        <f>SUMIFS(Dispatched!$C$2:$C$5000,Dispatched!$A$2:$A$5000,$A86,Dispatched!$B$2:$B$5000,$B86)</f>
        <v/>
      </c>
      <c r="E86" s="11">
        <f>SUMIFS(Production!$I$2:$I$5000,Production!$A$2:$A$5000,$A86,Production!$B$2:$B$5000,$B86)</f>
        <v/>
      </c>
      <c r="F86" s="23">
        <f>SUMIFS(Production!$J$2:$J$5000,Production!$A$2:$A$5000,$A86,Production!$B$2:$B$5000,$B86)</f>
        <v/>
      </c>
      <c r="G86" s="23">
        <f>SUMIFS(Production!$J$2:$J$5000,Production!$A$2:$A$5000,$A86,Production!$B$2:$B$5000,$B86,Production!$K$2:$K$5000,"0-30")</f>
        <v/>
      </c>
      <c r="H86" s="23">
        <f>SUMIFS(Production!$J$2:$J$5000,Production!$A$2:$A$5000,$A86,Production!$B$2:$B$5000,$B86,Production!$K$2:$K$5000,"31-60")</f>
        <v/>
      </c>
      <c r="I86" s="23">
        <f>SUMIFS(Production!$J$2:$J$5000,Production!$A$2:$A$5000,$A86,Production!$B$2:$B$5000,$B86,Production!$K$2:$K$5000,"61-90")</f>
        <v/>
      </c>
      <c r="J86" s="23">
        <f>SUMIFS(Production!$J$2:$J$5000,Production!$A$2:$A$5000,$A86,Production!$B$2:$B$5000,$B86,Production!$K$2:$K$5000,"90+")</f>
        <v/>
      </c>
      <c r="K86" s="14">
        <f>IF(E86=0,"",_xlfn.MAXIFS(Production!$F$2:$F$5000,Production!$A$2:$A$5000,$A86,Production!$B$2:$B$5000,$B86,Production!$I$2:$I$5000,"&gt;0"))</f>
        <v/>
      </c>
      <c r="L86" s="15">
        <f>IF(F86=0,"",SUMPRODUCT((Production!$A$2:$A$5000=$A86)*(Production!$B$2:$B$5000=$B86)*Production!$J$2:$J$5000,Production!$F$2:$F$5000)/F86)</f>
        <v/>
      </c>
      <c r="M86" s="10">
        <f>IF(D86&gt;C86,"Dispatched more than produced — opening stock / data gap","")</f>
        <v/>
      </c>
    </row>
    <row r="87">
      <c r="A87" s="9" t="inlineStr">
        <is>
          <t>Hyderabad</t>
        </is>
      </c>
      <c r="B87" s="9" t="inlineStr">
        <is>
          <t>15X15X1.6</t>
        </is>
      </c>
      <c r="C87" s="11">
        <f>SUMIFS(Production!$D$2:$D$5000,Production!$A$2:$A$5000,$A87,Production!$B$2:$B$5000,$B87)</f>
        <v/>
      </c>
      <c r="D87" s="11">
        <f>SUMIFS(Dispatched!$C$2:$C$5000,Dispatched!$A$2:$A$5000,$A87,Dispatched!$B$2:$B$5000,$B87)</f>
        <v/>
      </c>
      <c r="E87" s="11">
        <f>SUMIFS(Production!$I$2:$I$5000,Production!$A$2:$A$5000,$A87,Production!$B$2:$B$5000,$B87)</f>
        <v/>
      </c>
      <c r="F87" s="23">
        <f>SUMIFS(Production!$J$2:$J$5000,Production!$A$2:$A$5000,$A87,Production!$B$2:$B$5000,$B87)</f>
        <v/>
      </c>
      <c r="G87" s="23">
        <f>SUMIFS(Production!$J$2:$J$5000,Production!$A$2:$A$5000,$A87,Production!$B$2:$B$5000,$B87,Production!$K$2:$K$5000,"0-30")</f>
        <v/>
      </c>
      <c r="H87" s="23">
        <f>SUMIFS(Production!$J$2:$J$5000,Production!$A$2:$A$5000,$A87,Production!$B$2:$B$5000,$B87,Production!$K$2:$K$5000,"31-60")</f>
        <v/>
      </c>
      <c r="I87" s="23">
        <f>SUMIFS(Production!$J$2:$J$5000,Production!$A$2:$A$5000,$A87,Production!$B$2:$B$5000,$B87,Production!$K$2:$K$5000,"61-90")</f>
        <v/>
      </c>
      <c r="J87" s="23">
        <f>SUMIFS(Production!$J$2:$J$5000,Production!$A$2:$A$5000,$A87,Production!$B$2:$B$5000,$B87,Production!$K$2:$K$5000,"90+")</f>
        <v/>
      </c>
      <c r="K87" s="14">
        <f>IF(E87=0,"",_xlfn.MAXIFS(Production!$F$2:$F$5000,Production!$A$2:$A$5000,$A87,Production!$B$2:$B$5000,$B87,Production!$I$2:$I$5000,"&gt;0"))</f>
        <v/>
      </c>
      <c r="L87" s="15">
        <f>IF(F87=0,"",SUMPRODUCT((Production!$A$2:$A$5000=$A87)*(Production!$B$2:$B$5000=$B87)*Production!$J$2:$J$5000,Production!$F$2:$F$5000)/F87)</f>
        <v/>
      </c>
      <c r="M87" s="10">
        <f>IF(D87&gt;C87,"Dispatched more than produced — opening stock / data gap","")</f>
        <v/>
      </c>
    </row>
    <row r="88">
      <c r="A88" s="9" t="inlineStr">
        <is>
          <t>Hyderabad</t>
        </is>
      </c>
      <c r="B88" s="9" t="inlineStr">
        <is>
          <t>20X20X1.6</t>
        </is>
      </c>
      <c r="C88" s="11">
        <f>SUMIFS(Production!$D$2:$D$5000,Production!$A$2:$A$5000,$A88,Production!$B$2:$B$5000,$B88)</f>
        <v/>
      </c>
      <c r="D88" s="11">
        <f>SUMIFS(Dispatched!$C$2:$C$5000,Dispatched!$A$2:$A$5000,$A88,Dispatched!$B$2:$B$5000,$B88)</f>
        <v/>
      </c>
      <c r="E88" s="11">
        <f>SUMIFS(Production!$I$2:$I$5000,Production!$A$2:$A$5000,$A88,Production!$B$2:$B$5000,$B88)</f>
        <v/>
      </c>
      <c r="F88" s="23">
        <f>SUMIFS(Production!$J$2:$J$5000,Production!$A$2:$A$5000,$A88,Production!$B$2:$B$5000,$B88)</f>
        <v/>
      </c>
      <c r="G88" s="23">
        <f>SUMIFS(Production!$J$2:$J$5000,Production!$A$2:$A$5000,$A88,Production!$B$2:$B$5000,$B88,Production!$K$2:$K$5000,"0-30")</f>
        <v/>
      </c>
      <c r="H88" s="23">
        <f>SUMIFS(Production!$J$2:$J$5000,Production!$A$2:$A$5000,$A88,Production!$B$2:$B$5000,$B88,Production!$K$2:$K$5000,"31-60")</f>
        <v/>
      </c>
      <c r="I88" s="23">
        <f>SUMIFS(Production!$J$2:$J$5000,Production!$A$2:$A$5000,$A88,Production!$B$2:$B$5000,$B88,Production!$K$2:$K$5000,"61-90")</f>
        <v/>
      </c>
      <c r="J88" s="23">
        <f>SUMIFS(Production!$J$2:$J$5000,Production!$A$2:$A$5000,$A88,Production!$B$2:$B$5000,$B88,Production!$K$2:$K$5000,"90+")</f>
        <v/>
      </c>
      <c r="K88" s="14">
        <f>IF(E88=0,"",_xlfn.MAXIFS(Production!$F$2:$F$5000,Production!$A$2:$A$5000,$A88,Production!$B$2:$B$5000,$B88,Production!$I$2:$I$5000,"&gt;0"))</f>
        <v/>
      </c>
      <c r="L88" s="15">
        <f>IF(F88=0,"",SUMPRODUCT((Production!$A$2:$A$5000=$A88)*(Production!$B$2:$B$5000=$B88)*Production!$J$2:$J$5000,Production!$F$2:$F$5000)/F88)</f>
        <v/>
      </c>
      <c r="M88" s="10">
        <f>IF(D88&gt;C88,"Dispatched more than produced — opening stock / data gap","")</f>
        <v/>
      </c>
    </row>
    <row r="89">
      <c r="A89" s="9" t="inlineStr">
        <is>
          <t>Hyderabad</t>
        </is>
      </c>
      <c r="B89" s="9" t="inlineStr">
        <is>
          <t>25NBX2.8</t>
        </is>
      </c>
      <c r="C89" s="11">
        <f>SUMIFS(Production!$D$2:$D$5000,Production!$A$2:$A$5000,$A89,Production!$B$2:$B$5000,$B89)</f>
        <v/>
      </c>
      <c r="D89" s="11">
        <f>SUMIFS(Dispatched!$C$2:$C$5000,Dispatched!$A$2:$A$5000,$A89,Dispatched!$B$2:$B$5000,$B89)</f>
        <v/>
      </c>
      <c r="E89" s="11">
        <f>SUMIFS(Production!$I$2:$I$5000,Production!$A$2:$A$5000,$A89,Production!$B$2:$B$5000,$B89)</f>
        <v/>
      </c>
      <c r="F89" s="23">
        <f>SUMIFS(Production!$J$2:$J$5000,Production!$A$2:$A$5000,$A89,Production!$B$2:$B$5000,$B89)</f>
        <v/>
      </c>
      <c r="G89" s="23">
        <f>SUMIFS(Production!$J$2:$J$5000,Production!$A$2:$A$5000,$A89,Production!$B$2:$B$5000,$B89,Production!$K$2:$K$5000,"0-30")</f>
        <v/>
      </c>
      <c r="H89" s="23">
        <f>SUMIFS(Production!$J$2:$J$5000,Production!$A$2:$A$5000,$A89,Production!$B$2:$B$5000,$B89,Production!$K$2:$K$5000,"31-60")</f>
        <v/>
      </c>
      <c r="I89" s="23">
        <f>SUMIFS(Production!$J$2:$J$5000,Production!$A$2:$A$5000,$A89,Production!$B$2:$B$5000,$B89,Production!$K$2:$K$5000,"61-90")</f>
        <v/>
      </c>
      <c r="J89" s="23">
        <f>SUMIFS(Production!$J$2:$J$5000,Production!$A$2:$A$5000,$A89,Production!$B$2:$B$5000,$B89,Production!$K$2:$K$5000,"90+")</f>
        <v/>
      </c>
      <c r="K89" s="14">
        <f>IF(E89=0,"",_xlfn.MAXIFS(Production!$F$2:$F$5000,Production!$A$2:$A$5000,$A89,Production!$B$2:$B$5000,$B89,Production!$I$2:$I$5000,"&gt;0"))</f>
        <v/>
      </c>
      <c r="L89" s="15">
        <f>IF(F89=0,"",SUMPRODUCT((Production!$A$2:$A$5000=$A89)*(Production!$B$2:$B$5000=$B89)*Production!$J$2:$J$5000,Production!$F$2:$F$5000)/F89)</f>
        <v/>
      </c>
      <c r="M89" s="10">
        <f>IF(D89&gt;C89,"Dispatched more than produced — opening stock / data gap","")</f>
        <v/>
      </c>
    </row>
    <row r="90">
      <c r="A90" s="9" t="inlineStr">
        <is>
          <t>Hyderabad</t>
        </is>
      </c>
      <c r="B90" s="9" t="inlineStr">
        <is>
          <t>25X25X1.2</t>
        </is>
      </c>
      <c r="C90" s="11">
        <f>SUMIFS(Production!$D$2:$D$5000,Production!$A$2:$A$5000,$A90,Production!$B$2:$B$5000,$B90)</f>
        <v/>
      </c>
      <c r="D90" s="11">
        <f>SUMIFS(Dispatched!$C$2:$C$5000,Dispatched!$A$2:$A$5000,$A90,Dispatched!$B$2:$B$5000,$B90)</f>
        <v/>
      </c>
      <c r="E90" s="11">
        <f>SUMIFS(Production!$I$2:$I$5000,Production!$A$2:$A$5000,$A90,Production!$B$2:$B$5000,$B90)</f>
        <v/>
      </c>
      <c r="F90" s="23">
        <f>SUMIFS(Production!$J$2:$J$5000,Production!$A$2:$A$5000,$A90,Production!$B$2:$B$5000,$B90)</f>
        <v/>
      </c>
      <c r="G90" s="23">
        <f>SUMIFS(Production!$J$2:$J$5000,Production!$A$2:$A$5000,$A90,Production!$B$2:$B$5000,$B90,Production!$K$2:$K$5000,"0-30")</f>
        <v/>
      </c>
      <c r="H90" s="23">
        <f>SUMIFS(Production!$J$2:$J$5000,Production!$A$2:$A$5000,$A90,Production!$B$2:$B$5000,$B90,Production!$K$2:$K$5000,"31-60")</f>
        <v/>
      </c>
      <c r="I90" s="23">
        <f>SUMIFS(Production!$J$2:$J$5000,Production!$A$2:$A$5000,$A90,Production!$B$2:$B$5000,$B90,Production!$K$2:$K$5000,"61-90")</f>
        <v/>
      </c>
      <c r="J90" s="23">
        <f>SUMIFS(Production!$J$2:$J$5000,Production!$A$2:$A$5000,$A90,Production!$B$2:$B$5000,$B90,Production!$K$2:$K$5000,"90+")</f>
        <v/>
      </c>
      <c r="K90" s="14">
        <f>IF(E90=0,"",_xlfn.MAXIFS(Production!$F$2:$F$5000,Production!$A$2:$A$5000,$A90,Production!$B$2:$B$5000,$B90,Production!$I$2:$I$5000,"&gt;0"))</f>
        <v/>
      </c>
      <c r="L90" s="15">
        <f>IF(F90=0,"",SUMPRODUCT((Production!$A$2:$A$5000=$A90)*(Production!$B$2:$B$5000=$B90)*Production!$J$2:$J$5000,Production!$F$2:$F$5000)/F90)</f>
        <v/>
      </c>
      <c r="M90" s="10">
        <f>IF(D90&gt;C90,"Dispatched more than produced — opening stock / data gap","")</f>
        <v/>
      </c>
    </row>
    <row r="91">
      <c r="A91" s="9" t="inlineStr">
        <is>
          <t>Hyderabad</t>
        </is>
      </c>
      <c r="B91" s="9" t="inlineStr">
        <is>
          <t>25X25X2.5</t>
        </is>
      </c>
      <c r="C91" s="11">
        <f>SUMIFS(Production!$D$2:$D$5000,Production!$A$2:$A$5000,$A91,Production!$B$2:$B$5000,$B91)</f>
        <v/>
      </c>
      <c r="D91" s="11">
        <f>SUMIFS(Dispatched!$C$2:$C$5000,Dispatched!$A$2:$A$5000,$A91,Dispatched!$B$2:$B$5000,$B91)</f>
        <v/>
      </c>
      <c r="E91" s="11">
        <f>SUMIFS(Production!$I$2:$I$5000,Production!$A$2:$A$5000,$A91,Production!$B$2:$B$5000,$B91)</f>
        <v/>
      </c>
      <c r="F91" s="23">
        <f>SUMIFS(Production!$J$2:$J$5000,Production!$A$2:$A$5000,$A91,Production!$B$2:$B$5000,$B91)</f>
        <v/>
      </c>
      <c r="G91" s="23">
        <f>SUMIFS(Production!$J$2:$J$5000,Production!$A$2:$A$5000,$A91,Production!$B$2:$B$5000,$B91,Production!$K$2:$K$5000,"0-30")</f>
        <v/>
      </c>
      <c r="H91" s="23">
        <f>SUMIFS(Production!$J$2:$J$5000,Production!$A$2:$A$5000,$A91,Production!$B$2:$B$5000,$B91,Production!$K$2:$K$5000,"31-60")</f>
        <v/>
      </c>
      <c r="I91" s="23">
        <f>SUMIFS(Production!$J$2:$J$5000,Production!$A$2:$A$5000,$A91,Production!$B$2:$B$5000,$B91,Production!$K$2:$K$5000,"61-90")</f>
        <v/>
      </c>
      <c r="J91" s="23">
        <f>SUMIFS(Production!$J$2:$J$5000,Production!$A$2:$A$5000,$A91,Production!$B$2:$B$5000,$B91,Production!$K$2:$K$5000,"90+")</f>
        <v/>
      </c>
      <c r="K91" s="14">
        <f>IF(E91=0,"",_xlfn.MAXIFS(Production!$F$2:$F$5000,Production!$A$2:$A$5000,$A91,Production!$B$2:$B$5000,$B91,Production!$I$2:$I$5000,"&gt;0"))</f>
        <v/>
      </c>
      <c r="L91" s="15">
        <f>IF(F91=0,"",SUMPRODUCT((Production!$A$2:$A$5000=$A91)*(Production!$B$2:$B$5000=$B91)*Production!$J$2:$J$5000,Production!$F$2:$F$5000)/F91)</f>
        <v/>
      </c>
      <c r="M91" s="10">
        <f>IF(D91&gt;C91,"Dispatched more than produced — opening stock / data gap","")</f>
        <v/>
      </c>
    </row>
    <row r="92">
      <c r="A92" s="9" t="inlineStr">
        <is>
          <t>Hyderabad</t>
        </is>
      </c>
      <c r="B92" s="9" t="inlineStr">
        <is>
          <t>25X25X2.8</t>
        </is>
      </c>
      <c r="C92" s="11">
        <f>SUMIFS(Production!$D$2:$D$5000,Production!$A$2:$A$5000,$A92,Production!$B$2:$B$5000,$B92)</f>
        <v/>
      </c>
      <c r="D92" s="11">
        <f>SUMIFS(Dispatched!$C$2:$C$5000,Dispatched!$A$2:$A$5000,$A92,Dispatched!$B$2:$B$5000,$B92)</f>
        <v/>
      </c>
      <c r="E92" s="11">
        <f>SUMIFS(Production!$I$2:$I$5000,Production!$A$2:$A$5000,$A92,Production!$B$2:$B$5000,$B92)</f>
        <v/>
      </c>
      <c r="F92" s="23">
        <f>SUMIFS(Production!$J$2:$J$5000,Production!$A$2:$A$5000,$A92,Production!$B$2:$B$5000,$B92)</f>
        <v/>
      </c>
      <c r="G92" s="23">
        <f>SUMIFS(Production!$J$2:$J$5000,Production!$A$2:$A$5000,$A92,Production!$B$2:$B$5000,$B92,Production!$K$2:$K$5000,"0-30")</f>
        <v/>
      </c>
      <c r="H92" s="23">
        <f>SUMIFS(Production!$J$2:$J$5000,Production!$A$2:$A$5000,$A92,Production!$B$2:$B$5000,$B92,Production!$K$2:$K$5000,"31-60")</f>
        <v/>
      </c>
      <c r="I92" s="23">
        <f>SUMIFS(Production!$J$2:$J$5000,Production!$A$2:$A$5000,$A92,Production!$B$2:$B$5000,$B92,Production!$K$2:$K$5000,"61-90")</f>
        <v/>
      </c>
      <c r="J92" s="23">
        <f>SUMIFS(Production!$J$2:$J$5000,Production!$A$2:$A$5000,$A92,Production!$B$2:$B$5000,$B92,Production!$K$2:$K$5000,"90+")</f>
        <v/>
      </c>
      <c r="K92" s="14">
        <f>IF(E92=0,"",_xlfn.MAXIFS(Production!$F$2:$F$5000,Production!$A$2:$A$5000,$A92,Production!$B$2:$B$5000,$B92,Production!$I$2:$I$5000,"&gt;0"))</f>
        <v/>
      </c>
      <c r="L92" s="15">
        <f>IF(F92=0,"",SUMPRODUCT((Production!$A$2:$A$5000=$A92)*(Production!$B$2:$B$5000=$B92)*Production!$J$2:$J$5000,Production!$F$2:$F$5000)/F92)</f>
        <v/>
      </c>
      <c r="M92" s="10">
        <f>IF(D92&gt;C92,"Dispatched more than produced — opening stock / data gap","")</f>
        <v/>
      </c>
    </row>
    <row r="93">
      <c r="A93" s="9" t="inlineStr">
        <is>
          <t>Hyderabad</t>
        </is>
      </c>
      <c r="B93" s="9" t="inlineStr">
        <is>
          <t>30X30X2</t>
        </is>
      </c>
      <c r="C93" s="11">
        <f>SUMIFS(Production!$D$2:$D$5000,Production!$A$2:$A$5000,$A93,Production!$B$2:$B$5000,$B93)</f>
        <v/>
      </c>
      <c r="D93" s="11">
        <f>SUMIFS(Dispatched!$C$2:$C$5000,Dispatched!$A$2:$A$5000,$A93,Dispatched!$B$2:$B$5000,$B93)</f>
        <v/>
      </c>
      <c r="E93" s="11">
        <f>SUMIFS(Production!$I$2:$I$5000,Production!$A$2:$A$5000,$A93,Production!$B$2:$B$5000,$B93)</f>
        <v/>
      </c>
      <c r="F93" s="23">
        <f>SUMIFS(Production!$J$2:$J$5000,Production!$A$2:$A$5000,$A93,Production!$B$2:$B$5000,$B93)</f>
        <v/>
      </c>
      <c r="G93" s="23">
        <f>SUMIFS(Production!$J$2:$J$5000,Production!$A$2:$A$5000,$A93,Production!$B$2:$B$5000,$B93,Production!$K$2:$K$5000,"0-30")</f>
        <v/>
      </c>
      <c r="H93" s="23">
        <f>SUMIFS(Production!$J$2:$J$5000,Production!$A$2:$A$5000,$A93,Production!$B$2:$B$5000,$B93,Production!$K$2:$K$5000,"31-60")</f>
        <v/>
      </c>
      <c r="I93" s="23">
        <f>SUMIFS(Production!$J$2:$J$5000,Production!$A$2:$A$5000,$A93,Production!$B$2:$B$5000,$B93,Production!$K$2:$K$5000,"61-90")</f>
        <v/>
      </c>
      <c r="J93" s="23">
        <f>SUMIFS(Production!$J$2:$J$5000,Production!$A$2:$A$5000,$A93,Production!$B$2:$B$5000,$B93,Production!$K$2:$K$5000,"90+")</f>
        <v/>
      </c>
      <c r="K93" s="14">
        <f>IF(E93=0,"",_xlfn.MAXIFS(Production!$F$2:$F$5000,Production!$A$2:$A$5000,$A93,Production!$B$2:$B$5000,$B93,Production!$I$2:$I$5000,"&gt;0"))</f>
        <v/>
      </c>
      <c r="L93" s="15">
        <f>IF(F93=0,"",SUMPRODUCT((Production!$A$2:$A$5000=$A93)*(Production!$B$2:$B$5000=$B93)*Production!$J$2:$J$5000,Production!$F$2:$F$5000)/F93)</f>
        <v/>
      </c>
      <c r="M93" s="10">
        <f>IF(D93&gt;C93,"Dispatched more than produced — opening stock / data gap","")</f>
        <v/>
      </c>
    </row>
    <row r="94">
      <c r="A94" s="9" t="inlineStr">
        <is>
          <t>Hyderabad</t>
        </is>
      </c>
      <c r="B94" s="9" t="inlineStr">
        <is>
          <t>38X38X2.9</t>
        </is>
      </c>
      <c r="C94" s="11">
        <f>SUMIFS(Production!$D$2:$D$5000,Production!$A$2:$A$5000,$A94,Production!$B$2:$B$5000,$B94)</f>
        <v/>
      </c>
      <c r="D94" s="11">
        <f>SUMIFS(Dispatched!$C$2:$C$5000,Dispatched!$A$2:$A$5000,$A94,Dispatched!$B$2:$B$5000,$B94)</f>
        <v/>
      </c>
      <c r="E94" s="11">
        <f>SUMIFS(Production!$I$2:$I$5000,Production!$A$2:$A$5000,$A94,Production!$B$2:$B$5000,$B94)</f>
        <v/>
      </c>
      <c r="F94" s="23">
        <f>SUMIFS(Production!$J$2:$J$5000,Production!$A$2:$A$5000,$A94,Production!$B$2:$B$5000,$B94)</f>
        <v/>
      </c>
      <c r="G94" s="23">
        <f>SUMIFS(Production!$J$2:$J$5000,Production!$A$2:$A$5000,$A94,Production!$B$2:$B$5000,$B94,Production!$K$2:$K$5000,"0-30")</f>
        <v/>
      </c>
      <c r="H94" s="23">
        <f>SUMIFS(Production!$J$2:$J$5000,Production!$A$2:$A$5000,$A94,Production!$B$2:$B$5000,$B94,Production!$K$2:$K$5000,"31-60")</f>
        <v/>
      </c>
      <c r="I94" s="23">
        <f>SUMIFS(Production!$J$2:$J$5000,Production!$A$2:$A$5000,$A94,Production!$B$2:$B$5000,$B94,Production!$K$2:$K$5000,"61-90")</f>
        <v/>
      </c>
      <c r="J94" s="23">
        <f>SUMIFS(Production!$J$2:$J$5000,Production!$A$2:$A$5000,$A94,Production!$B$2:$B$5000,$B94,Production!$K$2:$K$5000,"90+")</f>
        <v/>
      </c>
      <c r="K94" s="14">
        <f>IF(E94=0,"",_xlfn.MAXIFS(Production!$F$2:$F$5000,Production!$A$2:$A$5000,$A94,Production!$B$2:$B$5000,$B94,Production!$I$2:$I$5000,"&gt;0"))</f>
        <v/>
      </c>
      <c r="L94" s="15">
        <f>IF(F94=0,"",SUMPRODUCT((Production!$A$2:$A$5000=$A94)*(Production!$B$2:$B$5000=$B94)*Production!$J$2:$J$5000,Production!$F$2:$F$5000)/F94)</f>
        <v/>
      </c>
      <c r="M94" s="10">
        <f>IF(D94&gt;C94,"Dispatched more than produced — opening stock / data gap","")</f>
        <v/>
      </c>
    </row>
    <row r="95">
      <c r="A95" s="9" t="inlineStr">
        <is>
          <t>Hyderabad</t>
        </is>
      </c>
      <c r="B95" s="9" t="inlineStr">
        <is>
          <t>38X38X3.2</t>
        </is>
      </c>
      <c r="C95" s="11">
        <f>SUMIFS(Production!$D$2:$D$5000,Production!$A$2:$A$5000,$A95,Production!$B$2:$B$5000,$B95)</f>
        <v/>
      </c>
      <c r="D95" s="11">
        <f>SUMIFS(Dispatched!$C$2:$C$5000,Dispatched!$A$2:$A$5000,$A95,Dispatched!$B$2:$B$5000,$B95)</f>
        <v/>
      </c>
      <c r="E95" s="11">
        <f>SUMIFS(Production!$I$2:$I$5000,Production!$A$2:$A$5000,$A95,Production!$B$2:$B$5000,$B95)</f>
        <v/>
      </c>
      <c r="F95" s="23">
        <f>SUMIFS(Production!$J$2:$J$5000,Production!$A$2:$A$5000,$A95,Production!$B$2:$B$5000,$B95)</f>
        <v/>
      </c>
      <c r="G95" s="23">
        <f>SUMIFS(Production!$J$2:$J$5000,Production!$A$2:$A$5000,$A95,Production!$B$2:$B$5000,$B95,Production!$K$2:$K$5000,"0-30")</f>
        <v/>
      </c>
      <c r="H95" s="23">
        <f>SUMIFS(Production!$J$2:$J$5000,Production!$A$2:$A$5000,$A95,Production!$B$2:$B$5000,$B95,Production!$K$2:$K$5000,"31-60")</f>
        <v/>
      </c>
      <c r="I95" s="23">
        <f>SUMIFS(Production!$J$2:$J$5000,Production!$A$2:$A$5000,$A95,Production!$B$2:$B$5000,$B95,Production!$K$2:$K$5000,"61-90")</f>
        <v/>
      </c>
      <c r="J95" s="23">
        <f>SUMIFS(Production!$J$2:$J$5000,Production!$A$2:$A$5000,$A95,Production!$B$2:$B$5000,$B95,Production!$K$2:$K$5000,"90+")</f>
        <v/>
      </c>
      <c r="K95" s="14">
        <f>IF(E95=0,"",_xlfn.MAXIFS(Production!$F$2:$F$5000,Production!$A$2:$A$5000,$A95,Production!$B$2:$B$5000,$B95,Production!$I$2:$I$5000,"&gt;0"))</f>
        <v/>
      </c>
      <c r="L95" s="15">
        <f>IF(F95=0,"",SUMPRODUCT((Production!$A$2:$A$5000=$A95)*(Production!$B$2:$B$5000=$B95)*Production!$J$2:$J$5000,Production!$F$2:$F$5000)/F95)</f>
        <v/>
      </c>
      <c r="M95" s="10">
        <f>IF(D95&gt;C95,"Dispatched more than produced — opening stock / data gap","")</f>
        <v/>
      </c>
    </row>
    <row r="96">
      <c r="A96" s="9" t="inlineStr">
        <is>
          <t>Hyderabad</t>
        </is>
      </c>
      <c r="B96" s="9" t="inlineStr">
        <is>
          <t>40NBX1.6</t>
        </is>
      </c>
      <c r="C96" s="11">
        <f>SUMIFS(Production!$D$2:$D$5000,Production!$A$2:$A$5000,$A96,Production!$B$2:$B$5000,$B96)</f>
        <v/>
      </c>
      <c r="D96" s="11">
        <f>SUMIFS(Dispatched!$C$2:$C$5000,Dispatched!$A$2:$A$5000,$A96,Dispatched!$B$2:$B$5000,$B96)</f>
        <v/>
      </c>
      <c r="E96" s="11">
        <f>SUMIFS(Production!$I$2:$I$5000,Production!$A$2:$A$5000,$A96,Production!$B$2:$B$5000,$B96)</f>
        <v/>
      </c>
      <c r="F96" s="23">
        <f>SUMIFS(Production!$J$2:$J$5000,Production!$A$2:$A$5000,$A96,Production!$B$2:$B$5000,$B96)</f>
        <v/>
      </c>
      <c r="G96" s="23">
        <f>SUMIFS(Production!$J$2:$J$5000,Production!$A$2:$A$5000,$A96,Production!$B$2:$B$5000,$B96,Production!$K$2:$K$5000,"0-30")</f>
        <v/>
      </c>
      <c r="H96" s="23">
        <f>SUMIFS(Production!$J$2:$J$5000,Production!$A$2:$A$5000,$A96,Production!$B$2:$B$5000,$B96,Production!$K$2:$K$5000,"31-60")</f>
        <v/>
      </c>
      <c r="I96" s="23">
        <f>SUMIFS(Production!$J$2:$J$5000,Production!$A$2:$A$5000,$A96,Production!$B$2:$B$5000,$B96,Production!$K$2:$K$5000,"61-90")</f>
        <v/>
      </c>
      <c r="J96" s="23">
        <f>SUMIFS(Production!$J$2:$J$5000,Production!$A$2:$A$5000,$A96,Production!$B$2:$B$5000,$B96,Production!$K$2:$K$5000,"90+")</f>
        <v/>
      </c>
      <c r="K96" s="14">
        <f>IF(E96=0,"",_xlfn.MAXIFS(Production!$F$2:$F$5000,Production!$A$2:$A$5000,$A96,Production!$B$2:$B$5000,$B96,Production!$I$2:$I$5000,"&gt;0"))</f>
        <v/>
      </c>
      <c r="L96" s="15">
        <f>IF(F96=0,"",SUMPRODUCT((Production!$A$2:$A$5000=$A96)*(Production!$B$2:$B$5000=$B96)*Production!$J$2:$J$5000,Production!$F$2:$F$5000)/F96)</f>
        <v/>
      </c>
      <c r="M96" s="10">
        <f>IF(D96&gt;C96,"Dispatched more than produced — opening stock / data gap","")</f>
        <v/>
      </c>
    </row>
    <row r="97">
      <c r="A97" s="9" t="inlineStr">
        <is>
          <t>Hyderabad</t>
        </is>
      </c>
      <c r="B97" s="9" t="inlineStr">
        <is>
          <t>40NBX2.9</t>
        </is>
      </c>
      <c r="C97" s="11">
        <f>SUMIFS(Production!$D$2:$D$5000,Production!$A$2:$A$5000,$A97,Production!$B$2:$B$5000,$B97)</f>
        <v/>
      </c>
      <c r="D97" s="11">
        <f>SUMIFS(Dispatched!$C$2:$C$5000,Dispatched!$A$2:$A$5000,$A97,Dispatched!$B$2:$B$5000,$B97)</f>
        <v/>
      </c>
      <c r="E97" s="11">
        <f>SUMIFS(Production!$I$2:$I$5000,Production!$A$2:$A$5000,$A97,Production!$B$2:$B$5000,$B97)</f>
        <v/>
      </c>
      <c r="F97" s="23">
        <f>SUMIFS(Production!$J$2:$J$5000,Production!$A$2:$A$5000,$A97,Production!$B$2:$B$5000,$B97)</f>
        <v/>
      </c>
      <c r="G97" s="23">
        <f>SUMIFS(Production!$J$2:$J$5000,Production!$A$2:$A$5000,$A97,Production!$B$2:$B$5000,$B97,Production!$K$2:$K$5000,"0-30")</f>
        <v/>
      </c>
      <c r="H97" s="23">
        <f>SUMIFS(Production!$J$2:$J$5000,Production!$A$2:$A$5000,$A97,Production!$B$2:$B$5000,$B97,Production!$K$2:$K$5000,"31-60")</f>
        <v/>
      </c>
      <c r="I97" s="23">
        <f>SUMIFS(Production!$J$2:$J$5000,Production!$A$2:$A$5000,$A97,Production!$B$2:$B$5000,$B97,Production!$K$2:$K$5000,"61-90")</f>
        <v/>
      </c>
      <c r="J97" s="23">
        <f>SUMIFS(Production!$J$2:$J$5000,Production!$A$2:$A$5000,$A97,Production!$B$2:$B$5000,$B97,Production!$K$2:$K$5000,"90+")</f>
        <v/>
      </c>
      <c r="K97" s="14">
        <f>IF(E97=0,"",_xlfn.MAXIFS(Production!$F$2:$F$5000,Production!$A$2:$A$5000,$A97,Production!$B$2:$B$5000,$B97,Production!$I$2:$I$5000,"&gt;0"))</f>
        <v/>
      </c>
      <c r="L97" s="15">
        <f>IF(F97=0,"",SUMPRODUCT((Production!$A$2:$A$5000=$A97)*(Production!$B$2:$B$5000=$B97)*Production!$J$2:$J$5000,Production!$F$2:$F$5000)/F97)</f>
        <v/>
      </c>
      <c r="M97" s="10">
        <f>IF(D97&gt;C97,"Dispatched more than produced — opening stock / data gap","")</f>
        <v/>
      </c>
    </row>
    <row r="98">
      <c r="A98" s="9" t="inlineStr">
        <is>
          <t>Hyderabad</t>
        </is>
      </c>
      <c r="B98" s="9" t="inlineStr">
        <is>
          <t>40X20X1.6</t>
        </is>
      </c>
      <c r="C98" s="11">
        <f>SUMIFS(Production!$D$2:$D$5000,Production!$A$2:$A$5000,$A98,Production!$B$2:$B$5000,$B98)</f>
        <v/>
      </c>
      <c r="D98" s="11">
        <f>SUMIFS(Dispatched!$C$2:$C$5000,Dispatched!$A$2:$A$5000,$A98,Dispatched!$B$2:$B$5000,$B98)</f>
        <v/>
      </c>
      <c r="E98" s="11">
        <f>SUMIFS(Production!$I$2:$I$5000,Production!$A$2:$A$5000,$A98,Production!$B$2:$B$5000,$B98)</f>
        <v/>
      </c>
      <c r="F98" s="23">
        <f>SUMIFS(Production!$J$2:$J$5000,Production!$A$2:$A$5000,$A98,Production!$B$2:$B$5000,$B98)</f>
        <v/>
      </c>
      <c r="G98" s="23">
        <f>SUMIFS(Production!$J$2:$J$5000,Production!$A$2:$A$5000,$A98,Production!$B$2:$B$5000,$B98,Production!$K$2:$K$5000,"0-30")</f>
        <v/>
      </c>
      <c r="H98" s="23">
        <f>SUMIFS(Production!$J$2:$J$5000,Production!$A$2:$A$5000,$A98,Production!$B$2:$B$5000,$B98,Production!$K$2:$K$5000,"31-60")</f>
        <v/>
      </c>
      <c r="I98" s="23">
        <f>SUMIFS(Production!$J$2:$J$5000,Production!$A$2:$A$5000,$A98,Production!$B$2:$B$5000,$B98,Production!$K$2:$K$5000,"61-90")</f>
        <v/>
      </c>
      <c r="J98" s="23">
        <f>SUMIFS(Production!$J$2:$J$5000,Production!$A$2:$A$5000,$A98,Production!$B$2:$B$5000,$B98,Production!$K$2:$K$5000,"90+")</f>
        <v/>
      </c>
      <c r="K98" s="14">
        <f>IF(E98=0,"",_xlfn.MAXIFS(Production!$F$2:$F$5000,Production!$A$2:$A$5000,$A98,Production!$B$2:$B$5000,$B98,Production!$I$2:$I$5000,"&gt;0"))</f>
        <v/>
      </c>
      <c r="L98" s="15">
        <f>IF(F98=0,"",SUMPRODUCT((Production!$A$2:$A$5000=$A98)*(Production!$B$2:$B$5000=$B98)*Production!$J$2:$J$5000,Production!$F$2:$F$5000)/F98)</f>
        <v/>
      </c>
      <c r="M98" s="10">
        <f>IF(D98&gt;C98,"Dispatched more than produced — opening stock / data gap","")</f>
        <v/>
      </c>
    </row>
    <row r="99">
      <c r="A99" s="9" t="inlineStr">
        <is>
          <t>Hyderabad</t>
        </is>
      </c>
      <c r="B99" s="9" t="inlineStr">
        <is>
          <t>40X20X2.5</t>
        </is>
      </c>
      <c r="C99" s="11">
        <f>SUMIFS(Production!$D$2:$D$5000,Production!$A$2:$A$5000,$A99,Production!$B$2:$B$5000,$B99)</f>
        <v/>
      </c>
      <c r="D99" s="11">
        <f>SUMIFS(Dispatched!$C$2:$C$5000,Dispatched!$A$2:$A$5000,$A99,Dispatched!$B$2:$B$5000,$B99)</f>
        <v/>
      </c>
      <c r="E99" s="11">
        <f>SUMIFS(Production!$I$2:$I$5000,Production!$A$2:$A$5000,$A99,Production!$B$2:$B$5000,$B99)</f>
        <v/>
      </c>
      <c r="F99" s="23">
        <f>SUMIFS(Production!$J$2:$J$5000,Production!$A$2:$A$5000,$A99,Production!$B$2:$B$5000,$B99)</f>
        <v/>
      </c>
      <c r="G99" s="23">
        <f>SUMIFS(Production!$J$2:$J$5000,Production!$A$2:$A$5000,$A99,Production!$B$2:$B$5000,$B99,Production!$K$2:$K$5000,"0-30")</f>
        <v/>
      </c>
      <c r="H99" s="23">
        <f>SUMIFS(Production!$J$2:$J$5000,Production!$A$2:$A$5000,$A99,Production!$B$2:$B$5000,$B99,Production!$K$2:$K$5000,"31-60")</f>
        <v/>
      </c>
      <c r="I99" s="23">
        <f>SUMIFS(Production!$J$2:$J$5000,Production!$A$2:$A$5000,$A99,Production!$B$2:$B$5000,$B99,Production!$K$2:$K$5000,"61-90")</f>
        <v/>
      </c>
      <c r="J99" s="23">
        <f>SUMIFS(Production!$J$2:$J$5000,Production!$A$2:$A$5000,$A99,Production!$B$2:$B$5000,$B99,Production!$K$2:$K$5000,"90+")</f>
        <v/>
      </c>
      <c r="K99" s="14">
        <f>IF(E99=0,"",_xlfn.MAXIFS(Production!$F$2:$F$5000,Production!$A$2:$A$5000,$A99,Production!$B$2:$B$5000,$B99,Production!$I$2:$I$5000,"&gt;0"))</f>
        <v/>
      </c>
      <c r="L99" s="15">
        <f>IF(F99=0,"",SUMPRODUCT((Production!$A$2:$A$5000=$A99)*(Production!$B$2:$B$5000=$B99)*Production!$J$2:$J$5000,Production!$F$2:$F$5000)/F99)</f>
        <v/>
      </c>
      <c r="M99" s="10">
        <f>IF(D99&gt;C99,"Dispatched more than produced — opening stock / data gap","")</f>
        <v/>
      </c>
    </row>
    <row r="100">
      <c r="A100" s="9" t="inlineStr">
        <is>
          <t>Hyderabad</t>
        </is>
      </c>
      <c r="B100" s="9" t="inlineStr">
        <is>
          <t>50NBX4</t>
        </is>
      </c>
      <c r="C100" s="11">
        <f>SUMIFS(Production!$D$2:$D$5000,Production!$A$2:$A$5000,$A100,Production!$B$2:$B$5000,$B100)</f>
        <v/>
      </c>
      <c r="D100" s="11">
        <f>SUMIFS(Dispatched!$C$2:$C$5000,Dispatched!$A$2:$A$5000,$A100,Dispatched!$B$2:$B$5000,$B100)</f>
        <v/>
      </c>
      <c r="E100" s="11">
        <f>SUMIFS(Production!$I$2:$I$5000,Production!$A$2:$A$5000,$A100,Production!$B$2:$B$5000,$B100)</f>
        <v/>
      </c>
      <c r="F100" s="23">
        <f>SUMIFS(Production!$J$2:$J$5000,Production!$A$2:$A$5000,$A100,Production!$B$2:$B$5000,$B100)</f>
        <v/>
      </c>
      <c r="G100" s="23">
        <f>SUMIFS(Production!$J$2:$J$5000,Production!$A$2:$A$5000,$A100,Production!$B$2:$B$5000,$B100,Production!$K$2:$K$5000,"0-30")</f>
        <v/>
      </c>
      <c r="H100" s="23">
        <f>SUMIFS(Production!$J$2:$J$5000,Production!$A$2:$A$5000,$A100,Production!$B$2:$B$5000,$B100,Production!$K$2:$K$5000,"31-60")</f>
        <v/>
      </c>
      <c r="I100" s="23">
        <f>SUMIFS(Production!$J$2:$J$5000,Production!$A$2:$A$5000,$A100,Production!$B$2:$B$5000,$B100,Production!$K$2:$K$5000,"61-90")</f>
        <v/>
      </c>
      <c r="J100" s="23">
        <f>SUMIFS(Production!$J$2:$J$5000,Production!$A$2:$A$5000,$A100,Production!$B$2:$B$5000,$B100,Production!$K$2:$K$5000,"90+")</f>
        <v/>
      </c>
      <c r="K100" s="14">
        <f>IF(E100=0,"",_xlfn.MAXIFS(Production!$F$2:$F$5000,Production!$A$2:$A$5000,$A100,Production!$B$2:$B$5000,$B100,Production!$I$2:$I$5000,"&gt;0"))</f>
        <v/>
      </c>
      <c r="L100" s="15">
        <f>IF(F100=0,"",SUMPRODUCT((Production!$A$2:$A$5000=$A100)*(Production!$B$2:$B$5000=$B100)*Production!$J$2:$J$5000,Production!$F$2:$F$5000)/F100)</f>
        <v/>
      </c>
      <c r="M100" s="10">
        <f>IF(D100&gt;C100,"Dispatched more than produced — opening stock / data gap","")</f>
        <v/>
      </c>
    </row>
    <row r="101">
      <c r="A101" s="9" t="inlineStr">
        <is>
          <t>Hyderabad</t>
        </is>
      </c>
      <c r="B101" s="9" t="inlineStr">
        <is>
          <t>50X50X1.2</t>
        </is>
      </c>
      <c r="C101" s="11">
        <f>SUMIFS(Production!$D$2:$D$5000,Production!$A$2:$A$5000,$A101,Production!$B$2:$B$5000,$B101)</f>
        <v/>
      </c>
      <c r="D101" s="11">
        <f>SUMIFS(Dispatched!$C$2:$C$5000,Dispatched!$A$2:$A$5000,$A101,Dispatched!$B$2:$B$5000,$B101)</f>
        <v/>
      </c>
      <c r="E101" s="11">
        <f>SUMIFS(Production!$I$2:$I$5000,Production!$A$2:$A$5000,$A101,Production!$B$2:$B$5000,$B101)</f>
        <v/>
      </c>
      <c r="F101" s="23">
        <f>SUMIFS(Production!$J$2:$J$5000,Production!$A$2:$A$5000,$A101,Production!$B$2:$B$5000,$B101)</f>
        <v/>
      </c>
      <c r="G101" s="23">
        <f>SUMIFS(Production!$J$2:$J$5000,Production!$A$2:$A$5000,$A101,Production!$B$2:$B$5000,$B101,Production!$K$2:$K$5000,"0-30")</f>
        <v/>
      </c>
      <c r="H101" s="23">
        <f>SUMIFS(Production!$J$2:$J$5000,Production!$A$2:$A$5000,$A101,Production!$B$2:$B$5000,$B101,Production!$K$2:$K$5000,"31-60")</f>
        <v/>
      </c>
      <c r="I101" s="23">
        <f>SUMIFS(Production!$J$2:$J$5000,Production!$A$2:$A$5000,$A101,Production!$B$2:$B$5000,$B101,Production!$K$2:$K$5000,"61-90")</f>
        <v/>
      </c>
      <c r="J101" s="23">
        <f>SUMIFS(Production!$J$2:$J$5000,Production!$A$2:$A$5000,$A101,Production!$B$2:$B$5000,$B101,Production!$K$2:$K$5000,"90+")</f>
        <v/>
      </c>
      <c r="K101" s="14">
        <f>IF(E101=0,"",_xlfn.MAXIFS(Production!$F$2:$F$5000,Production!$A$2:$A$5000,$A101,Production!$B$2:$B$5000,$B101,Production!$I$2:$I$5000,"&gt;0"))</f>
        <v/>
      </c>
      <c r="L101" s="15">
        <f>IF(F101=0,"",SUMPRODUCT((Production!$A$2:$A$5000=$A101)*(Production!$B$2:$B$5000=$B101)*Production!$J$2:$J$5000,Production!$F$2:$F$5000)/F101)</f>
        <v/>
      </c>
      <c r="M101" s="10">
        <f>IF(D101&gt;C101,"Dispatched more than produced — opening stock / data gap","")</f>
        <v/>
      </c>
    </row>
    <row r="102">
      <c r="A102" s="9" t="inlineStr">
        <is>
          <t>Hyderabad</t>
        </is>
      </c>
      <c r="B102" s="9" t="inlineStr">
        <is>
          <t>50X50X2.9</t>
        </is>
      </c>
      <c r="C102" s="11">
        <f>SUMIFS(Production!$D$2:$D$5000,Production!$A$2:$A$5000,$A102,Production!$B$2:$B$5000,$B102)</f>
        <v/>
      </c>
      <c r="D102" s="11">
        <f>SUMIFS(Dispatched!$C$2:$C$5000,Dispatched!$A$2:$A$5000,$A102,Dispatched!$B$2:$B$5000,$B102)</f>
        <v/>
      </c>
      <c r="E102" s="11">
        <f>SUMIFS(Production!$I$2:$I$5000,Production!$A$2:$A$5000,$A102,Production!$B$2:$B$5000,$B102)</f>
        <v/>
      </c>
      <c r="F102" s="23">
        <f>SUMIFS(Production!$J$2:$J$5000,Production!$A$2:$A$5000,$A102,Production!$B$2:$B$5000,$B102)</f>
        <v/>
      </c>
      <c r="G102" s="23">
        <f>SUMIFS(Production!$J$2:$J$5000,Production!$A$2:$A$5000,$A102,Production!$B$2:$B$5000,$B102,Production!$K$2:$K$5000,"0-30")</f>
        <v/>
      </c>
      <c r="H102" s="23">
        <f>SUMIFS(Production!$J$2:$J$5000,Production!$A$2:$A$5000,$A102,Production!$B$2:$B$5000,$B102,Production!$K$2:$K$5000,"31-60")</f>
        <v/>
      </c>
      <c r="I102" s="23">
        <f>SUMIFS(Production!$J$2:$J$5000,Production!$A$2:$A$5000,$A102,Production!$B$2:$B$5000,$B102,Production!$K$2:$K$5000,"61-90")</f>
        <v/>
      </c>
      <c r="J102" s="23">
        <f>SUMIFS(Production!$J$2:$J$5000,Production!$A$2:$A$5000,$A102,Production!$B$2:$B$5000,$B102,Production!$K$2:$K$5000,"90+")</f>
        <v/>
      </c>
      <c r="K102" s="14">
        <f>IF(E102=0,"",_xlfn.MAXIFS(Production!$F$2:$F$5000,Production!$A$2:$A$5000,$A102,Production!$B$2:$B$5000,$B102,Production!$I$2:$I$5000,"&gt;0"))</f>
        <v/>
      </c>
      <c r="L102" s="15">
        <f>IF(F102=0,"",SUMPRODUCT((Production!$A$2:$A$5000=$A102)*(Production!$B$2:$B$5000=$B102)*Production!$J$2:$J$5000,Production!$F$2:$F$5000)/F102)</f>
        <v/>
      </c>
      <c r="M102" s="10">
        <f>IF(D102&gt;C102,"Dispatched more than produced — opening stock / data gap","")</f>
        <v/>
      </c>
    </row>
    <row r="103">
      <c r="A103" s="9" t="inlineStr">
        <is>
          <t>Hyderabad</t>
        </is>
      </c>
      <c r="B103" s="9" t="inlineStr">
        <is>
          <t>50X50X3</t>
        </is>
      </c>
      <c r="C103" s="11">
        <f>SUMIFS(Production!$D$2:$D$5000,Production!$A$2:$A$5000,$A103,Production!$B$2:$B$5000,$B103)</f>
        <v/>
      </c>
      <c r="D103" s="11">
        <f>SUMIFS(Dispatched!$C$2:$C$5000,Dispatched!$A$2:$A$5000,$A103,Dispatched!$B$2:$B$5000,$B103)</f>
        <v/>
      </c>
      <c r="E103" s="11">
        <f>SUMIFS(Production!$I$2:$I$5000,Production!$A$2:$A$5000,$A103,Production!$B$2:$B$5000,$B103)</f>
        <v/>
      </c>
      <c r="F103" s="23">
        <f>SUMIFS(Production!$J$2:$J$5000,Production!$A$2:$A$5000,$A103,Production!$B$2:$B$5000,$B103)</f>
        <v/>
      </c>
      <c r="G103" s="23">
        <f>SUMIFS(Production!$J$2:$J$5000,Production!$A$2:$A$5000,$A103,Production!$B$2:$B$5000,$B103,Production!$K$2:$K$5000,"0-30")</f>
        <v/>
      </c>
      <c r="H103" s="23">
        <f>SUMIFS(Production!$J$2:$J$5000,Production!$A$2:$A$5000,$A103,Production!$B$2:$B$5000,$B103,Production!$K$2:$K$5000,"31-60")</f>
        <v/>
      </c>
      <c r="I103" s="23">
        <f>SUMIFS(Production!$J$2:$J$5000,Production!$A$2:$A$5000,$A103,Production!$B$2:$B$5000,$B103,Production!$K$2:$K$5000,"61-90")</f>
        <v/>
      </c>
      <c r="J103" s="23">
        <f>SUMIFS(Production!$J$2:$J$5000,Production!$A$2:$A$5000,$A103,Production!$B$2:$B$5000,$B103,Production!$K$2:$K$5000,"90+")</f>
        <v/>
      </c>
      <c r="K103" s="14">
        <f>IF(E103=0,"",_xlfn.MAXIFS(Production!$F$2:$F$5000,Production!$A$2:$A$5000,$A103,Production!$B$2:$B$5000,$B103,Production!$I$2:$I$5000,"&gt;0"))</f>
        <v/>
      </c>
      <c r="L103" s="15">
        <f>IF(F103=0,"",SUMPRODUCT((Production!$A$2:$A$5000=$A103)*(Production!$B$2:$B$5000=$B103)*Production!$J$2:$J$5000,Production!$F$2:$F$5000)/F103)</f>
        <v/>
      </c>
      <c r="M103" s="10">
        <f>IF(D103&gt;C103,"Dispatched more than produced — opening stock / data gap","")</f>
        <v/>
      </c>
    </row>
    <row r="104">
      <c r="A104" s="9" t="inlineStr">
        <is>
          <t>Hyderabad</t>
        </is>
      </c>
      <c r="B104" s="9" t="inlineStr">
        <is>
          <t>60X60X2.8</t>
        </is>
      </c>
      <c r="C104" s="11">
        <f>SUMIFS(Production!$D$2:$D$5000,Production!$A$2:$A$5000,$A104,Production!$B$2:$B$5000,$B104)</f>
        <v/>
      </c>
      <c r="D104" s="11">
        <f>SUMIFS(Dispatched!$C$2:$C$5000,Dispatched!$A$2:$A$5000,$A104,Dispatched!$B$2:$B$5000,$B104)</f>
        <v/>
      </c>
      <c r="E104" s="11">
        <f>SUMIFS(Production!$I$2:$I$5000,Production!$A$2:$A$5000,$A104,Production!$B$2:$B$5000,$B104)</f>
        <v/>
      </c>
      <c r="F104" s="23">
        <f>SUMIFS(Production!$J$2:$J$5000,Production!$A$2:$A$5000,$A104,Production!$B$2:$B$5000,$B104)</f>
        <v/>
      </c>
      <c r="G104" s="23">
        <f>SUMIFS(Production!$J$2:$J$5000,Production!$A$2:$A$5000,$A104,Production!$B$2:$B$5000,$B104,Production!$K$2:$K$5000,"0-30")</f>
        <v/>
      </c>
      <c r="H104" s="23">
        <f>SUMIFS(Production!$J$2:$J$5000,Production!$A$2:$A$5000,$A104,Production!$B$2:$B$5000,$B104,Production!$K$2:$K$5000,"31-60")</f>
        <v/>
      </c>
      <c r="I104" s="23">
        <f>SUMIFS(Production!$J$2:$J$5000,Production!$A$2:$A$5000,$A104,Production!$B$2:$B$5000,$B104,Production!$K$2:$K$5000,"61-90")</f>
        <v/>
      </c>
      <c r="J104" s="23">
        <f>SUMIFS(Production!$J$2:$J$5000,Production!$A$2:$A$5000,$A104,Production!$B$2:$B$5000,$B104,Production!$K$2:$K$5000,"90+")</f>
        <v/>
      </c>
      <c r="K104" s="14">
        <f>IF(E104=0,"",_xlfn.MAXIFS(Production!$F$2:$F$5000,Production!$A$2:$A$5000,$A104,Production!$B$2:$B$5000,$B104,Production!$I$2:$I$5000,"&gt;0"))</f>
        <v/>
      </c>
      <c r="L104" s="15">
        <f>IF(F104=0,"",SUMPRODUCT((Production!$A$2:$A$5000=$A104)*(Production!$B$2:$B$5000=$B104)*Production!$J$2:$J$5000,Production!$F$2:$F$5000)/F104)</f>
        <v/>
      </c>
      <c r="M104" s="10">
        <f>IF(D104&gt;C104,"Dispatched more than produced — opening stock / data gap","")</f>
        <v/>
      </c>
    </row>
    <row r="105">
      <c r="A105" s="9" t="inlineStr">
        <is>
          <t>Hyderabad</t>
        </is>
      </c>
      <c r="B105" s="9" t="inlineStr">
        <is>
          <t>75X25X1.6</t>
        </is>
      </c>
      <c r="C105" s="11">
        <f>SUMIFS(Production!$D$2:$D$5000,Production!$A$2:$A$5000,$A105,Production!$B$2:$B$5000,$B105)</f>
        <v/>
      </c>
      <c r="D105" s="11">
        <f>SUMIFS(Dispatched!$C$2:$C$5000,Dispatched!$A$2:$A$5000,$A105,Dispatched!$B$2:$B$5000,$B105)</f>
        <v/>
      </c>
      <c r="E105" s="11">
        <f>SUMIFS(Production!$I$2:$I$5000,Production!$A$2:$A$5000,$A105,Production!$B$2:$B$5000,$B105)</f>
        <v/>
      </c>
      <c r="F105" s="23">
        <f>SUMIFS(Production!$J$2:$J$5000,Production!$A$2:$A$5000,$A105,Production!$B$2:$B$5000,$B105)</f>
        <v/>
      </c>
      <c r="G105" s="23">
        <f>SUMIFS(Production!$J$2:$J$5000,Production!$A$2:$A$5000,$A105,Production!$B$2:$B$5000,$B105,Production!$K$2:$K$5000,"0-30")</f>
        <v/>
      </c>
      <c r="H105" s="23">
        <f>SUMIFS(Production!$J$2:$J$5000,Production!$A$2:$A$5000,$A105,Production!$B$2:$B$5000,$B105,Production!$K$2:$K$5000,"31-60")</f>
        <v/>
      </c>
      <c r="I105" s="23">
        <f>SUMIFS(Production!$J$2:$J$5000,Production!$A$2:$A$5000,$A105,Production!$B$2:$B$5000,$B105,Production!$K$2:$K$5000,"61-90")</f>
        <v/>
      </c>
      <c r="J105" s="23">
        <f>SUMIFS(Production!$J$2:$J$5000,Production!$A$2:$A$5000,$A105,Production!$B$2:$B$5000,$B105,Production!$K$2:$K$5000,"90+")</f>
        <v/>
      </c>
      <c r="K105" s="14">
        <f>IF(E105=0,"",_xlfn.MAXIFS(Production!$F$2:$F$5000,Production!$A$2:$A$5000,$A105,Production!$B$2:$B$5000,$B105,Production!$I$2:$I$5000,"&gt;0"))</f>
        <v/>
      </c>
      <c r="L105" s="15">
        <f>IF(F105=0,"",SUMPRODUCT((Production!$A$2:$A$5000=$A105)*(Production!$B$2:$B$5000=$B105)*Production!$J$2:$J$5000,Production!$F$2:$F$5000)/F105)</f>
        <v/>
      </c>
      <c r="M105" s="10">
        <f>IF(D105&gt;C105,"Dispatched more than produced — opening stock / data gap","")</f>
        <v/>
      </c>
    </row>
    <row r="106">
      <c r="A106" s="9" t="inlineStr">
        <is>
          <t>Hyderabad</t>
        </is>
      </c>
      <c r="B106" s="9" t="inlineStr">
        <is>
          <t>80X40X1.6</t>
        </is>
      </c>
      <c r="C106" s="11">
        <f>SUMIFS(Production!$D$2:$D$5000,Production!$A$2:$A$5000,$A106,Production!$B$2:$B$5000,$B106)</f>
        <v/>
      </c>
      <c r="D106" s="11">
        <f>SUMIFS(Dispatched!$C$2:$C$5000,Dispatched!$A$2:$A$5000,$A106,Dispatched!$B$2:$B$5000,$B106)</f>
        <v/>
      </c>
      <c r="E106" s="11">
        <f>SUMIFS(Production!$I$2:$I$5000,Production!$A$2:$A$5000,$A106,Production!$B$2:$B$5000,$B106)</f>
        <v/>
      </c>
      <c r="F106" s="23">
        <f>SUMIFS(Production!$J$2:$J$5000,Production!$A$2:$A$5000,$A106,Production!$B$2:$B$5000,$B106)</f>
        <v/>
      </c>
      <c r="G106" s="23">
        <f>SUMIFS(Production!$J$2:$J$5000,Production!$A$2:$A$5000,$A106,Production!$B$2:$B$5000,$B106,Production!$K$2:$K$5000,"0-30")</f>
        <v/>
      </c>
      <c r="H106" s="23">
        <f>SUMIFS(Production!$J$2:$J$5000,Production!$A$2:$A$5000,$A106,Production!$B$2:$B$5000,$B106,Production!$K$2:$K$5000,"31-60")</f>
        <v/>
      </c>
      <c r="I106" s="23">
        <f>SUMIFS(Production!$J$2:$J$5000,Production!$A$2:$A$5000,$A106,Production!$B$2:$B$5000,$B106,Production!$K$2:$K$5000,"61-90")</f>
        <v/>
      </c>
      <c r="J106" s="23">
        <f>SUMIFS(Production!$J$2:$J$5000,Production!$A$2:$A$5000,$A106,Production!$B$2:$B$5000,$B106,Production!$K$2:$K$5000,"90+")</f>
        <v/>
      </c>
      <c r="K106" s="14">
        <f>IF(E106=0,"",_xlfn.MAXIFS(Production!$F$2:$F$5000,Production!$A$2:$A$5000,$A106,Production!$B$2:$B$5000,$B106,Production!$I$2:$I$5000,"&gt;0"))</f>
        <v/>
      </c>
      <c r="L106" s="15">
        <f>IF(F106=0,"",SUMPRODUCT((Production!$A$2:$A$5000=$A106)*(Production!$B$2:$B$5000=$B106)*Production!$J$2:$J$5000,Production!$F$2:$F$5000)/F106)</f>
        <v/>
      </c>
      <c r="M106" s="10">
        <f>IF(D106&gt;C106,"Dispatched more than produced — opening stock / data gap","")</f>
        <v/>
      </c>
    </row>
    <row r="107">
      <c r="A107" s="9" t="inlineStr">
        <is>
          <t>Lepakshi</t>
        </is>
      </c>
      <c r="B107" s="9" t="inlineStr">
        <is>
          <t>72X72X5</t>
        </is>
      </c>
      <c r="C107" s="11">
        <f>SUMIFS(Production!$D$2:$D$5000,Production!$A$2:$A$5000,$A107,Production!$B$2:$B$5000,$B107)</f>
        <v/>
      </c>
      <c r="D107" s="11">
        <f>SUMIFS(Dispatched!$C$2:$C$5000,Dispatched!$A$2:$A$5000,$A107,Dispatched!$B$2:$B$5000,$B107)</f>
        <v/>
      </c>
      <c r="E107" s="11">
        <f>SUMIFS(Production!$I$2:$I$5000,Production!$A$2:$A$5000,$A107,Production!$B$2:$B$5000,$B107)</f>
        <v/>
      </c>
      <c r="F107" s="23">
        <f>SUMIFS(Production!$J$2:$J$5000,Production!$A$2:$A$5000,$A107,Production!$B$2:$B$5000,$B107)</f>
        <v/>
      </c>
      <c r="G107" s="23">
        <f>SUMIFS(Production!$J$2:$J$5000,Production!$A$2:$A$5000,$A107,Production!$B$2:$B$5000,$B107,Production!$K$2:$K$5000,"0-30")</f>
        <v/>
      </c>
      <c r="H107" s="23">
        <f>SUMIFS(Production!$J$2:$J$5000,Production!$A$2:$A$5000,$A107,Production!$B$2:$B$5000,$B107,Production!$K$2:$K$5000,"31-60")</f>
        <v/>
      </c>
      <c r="I107" s="23">
        <f>SUMIFS(Production!$J$2:$J$5000,Production!$A$2:$A$5000,$A107,Production!$B$2:$B$5000,$B107,Production!$K$2:$K$5000,"61-90")</f>
        <v/>
      </c>
      <c r="J107" s="23">
        <f>SUMIFS(Production!$J$2:$J$5000,Production!$A$2:$A$5000,$A107,Production!$B$2:$B$5000,$B107,Production!$K$2:$K$5000,"90+")</f>
        <v/>
      </c>
      <c r="K107" s="14">
        <f>IF(E107=0,"",_xlfn.MAXIFS(Production!$F$2:$F$5000,Production!$A$2:$A$5000,$A107,Production!$B$2:$B$5000,$B107,Production!$I$2:$I$5000,"&gt;0"))</f>
        <v/>
      </c>
      <c r="L107" s="15">
        <f>IF(F107=0,"",SUMPRODUCT((Production!$A$2:$A$5000=$A107)*(Production!$B$2:$B$5000=$B107)*Production!$J$2:$J$5000,Production!$F$2:$F$5000)/F107)</f>
        <v/>
      </c>
      <c r="M107" s="10">
        <f>IF(D107&gt;C107,"Dispatched more than produced — opening stock / data gap","")</f>
        <v/>
      </c>
    </row>
    <row r="108">
      <c r="A108" s="9" t="inlineStr">
        <is>
          <t>Lepakshi</t>
        </is>
      </c>
      <c r="B108" s="9" t="inlineStr">
        <is>
          <t>122X61X4</t>
        </is>
      </c>
      <c r="C108" s="11">
        <f>SUMIFS(Production!$D$2:$D$5000,Production!$A$2:$A$5000,$A108,Production!$B$2:$B$5000,$B108)</f>
        <v/>
      </c>
      <c r="D108" s="11">
        <f>SUMIFS(Dispatched!$C$2:$C$5000,Dispatched!$A$2:$A$5000,$A108,Dispatched!$B$2:$B$5000,$B108)</f>
        <v/>
      </c>
      <c r="E108" s="11">
        <f>SUMIFS(Production!$I$2:$I$5000,Production!$A$2:$A$5000,$A108,Production!$B$2:$B$5000,$B108)</f>
        <v/>
      </c>
      <c r="F108" s="23">
        <f>SUMIFS(Production!$J$2:$J$5000,Production!$A$2:$A$5000,$A108,Production!$B$2:$B$5000,$B108)</f>
        <v/>
      </c>
      <c r="G108" s="23">
        <f>SUMIFS(Production!$J$2:$J$5000,Production!$A$2:$A$5000,$A108,Production!$B$2:$B$5000,$B108,Production!$K$2:$K$5000,"0-30")</f>
        <v/>
      </c>
      <c r="H108" s="23">
        <f>SUMIFS(Production!$J$2:$J$5000,Production!$A$2:$A$5000,$A108,Production!$B$2:$B$5000,$B108,Production!$K$2:$K$5000,"31-60")</f>
        <v/>
      </c>
      <c r="I108" s="23">
        <f>SUMIFS(Production!$J$2:$J$5000,Production!$A$2:$A$5000,$A108,Production!$B$2:$B$5000,$B108,Production!$K$2:$K$5000,"61-90")</f>
        <v/>
      </c>
      <c r="J108" s="23">
        <f>SUMIFS(Production!$J$2:$J$5000,Production!$A$2:$A$5000,$A108,Production!$B$2:$B$5000,$B108,Production!$K$2:$K$5000,"90+")</f>
        <v/>
      </c>
      <c r="K108" s="14">
        <f>IF(E108=0,"",_xlfn.MAXIFS(Production!$F$2:$F$5000,Production!$A$2:$A$5000,$A108,Production!$B$2:$B$5000,$B108,Production!$I$2:$I$5000,"&gt;0"))</f>
        <v/>
      </c>
      <c r="L108" s="15">
        <f>IF(F108=0,"",SUMPRODUCT((Production!$A$2:$A$5000=$A108)*(Production!$B$2:$B$5000=$B108)*Production!$J$2:$J$5000,Production!$F$2:$F$5000)/F108)</f>
        <v/>
      </c>
      <c r="M108" s="10">
        <f>IF(D108&gt;C108,"Dispatched more than produced — opening stock / data gap","")</f>
        <v/>
      </c>
    </row>
    <row r="109">
      <c r="A109" s="9" t="inlineStr">
        <is>
          <t>Lepakshi</t>
        </is>
      </c>
      <c r="B109" s="9" t="inlineStr">
        <is>
          <t>40X40X3</t>
        </is>
      </c>
      <c r="C109" s="11">
        <f>SUMIFS(Production!$D$2:$D$5000,Production!$A$2:$A$5000,$A109,Production!$B$2:$B$5000,$B109)</f>
        <v/>
      </c>
      <c r="D109" s="11">
        <f>SUMIFS(Dispatched!$C$2:$C$5000,Dispatched!$A$2:$A$5000,$A109,Dispatched!$B$2:$B$5000,$B109)</f>
        <v/>
      </c>
      <c r="E109" s="11">
        <f>SUMIFS(Production!$I$2:$I$5000,Production!$A$2:$A$5000,$A109,Production!$B$2:$B$5000,$B109)</f>
        <v/>
      </c>
      <c r="F109" s="23">
        <f>SUMIFS(Production!$J$2:$J$5000,Production!$A$2:$A$5000,$A109,Production!$B$2:$B$5000,$B109)</f>
        <v/>
      </c>
      <c r="G109" s="23">
        <f>SUMIFS(Production!$J$2:$J$5000,Production!$A$2:$A$5000,$A109,Production!$B$2:$B$5000,$B109,Production!$K$2:$K$5000,"0-30")</f>
        <v/>
      </c>
      <c r="H109" s="23">
        <f>SUMIFS(Production!$J$2:$J$5000,Production!$A$2:$A$5000,$A109,Production!$B$2:$B$5000,$B109,Production!$K$2:$K$5000,"31-60")</f>
        <v/>
      </c>
      <c r="I109" s="23">
        <f>SUMIFS(Production!$J$2:$J$5000,Production!$A$2:$A$5000,$A109,Production!$B$2:$B$5000,$B109,Production!$K$2:$K$5000,"61-90")</f>
        <v/>
      </c>
      <c r="J109" s="23">
        <f>SUMIFS(Production!$J$2:$J$5000,Production!$A$2:$A$5000,$A109,Production!$B$2:$B$5000,$B109,Production!$K$2:$K$5000,"90+")</f>
        <v/>
      </c>
      <c r="K109" s="14">
        <f>IF(E109=0,"",_xlfn.MAXIFS(Production!$F$2:$F$5000,Production!$A$2:$A$5000,$A109,Production!$B$2:$B$5000,$B109,Production!$I$2:$I$5000,"&gt;0"))</f>
        <v/>
      </c>
      <c r="L109" s="15">
        <f>IF(F109=0,"",SUMPRODUCT((Production!$A$2:$A$5000=$A109)*(Production!$B$2:$B$5000=$B109)*Production!$J$2:$J$5000,Production!$F$2:$F$5000)/F109)</f>
        <v/>
      </c>
      <c r="M109" s="10">
        <f>IF(D109&gt;C109,"Dispatched more than produced — opening stock / data gap","")</f>
        <v/>
      </c>
    </row>
    <row r="110">
      <c r="A110" s="9" t="inlineStr">
        <is>
          <t>Lepakshi</t>
        </is>
      </c>
      <c r="B110" s="9" t="inlineStr">
        <is>
          <t>122X61X5</t>
        </is>
      </c>
      <c r="C110" s="11">
        <f>SUMIFS(Production!$D$2:$D$5000,Production!$A$2:$A$5000,$A110,Production!$B$2:$B$5000,$B110)</f>
        <v/>
      </c>
      <c r="D110" s="11">
        <f>SUMIFS(Dispatched!$C$2:$C$5000,Dispatched!$A$2:$A$5000,$A110,Dispatched!$B$2:$B$5000,$B110)</f>
        <v/>
      </c>
      <c r="E110" s="11">
        <f>SUMIFS(Production!$I$2:$I$5000,Production!$A$2:$A$5000,$A110,Production!$B$2:$B$5000,$B110)</f>
        <v/>
      </c>
      <c r="F110" s="23">
        <f>SUMIFS(Production!$J$2:$J$5000,Production!$A$2:$A$5000,$A110,Production!$B$2:$B$5000,$B110)</f>
        <v/>
      </c>
      <c r="G110" s="23">
        <f>SUMIFS(Production!$J$2:$J$5000,Production!$A$2:$A$5000,$A110,Production!$B$2:$B$5000,$B110,Production!$K$2:$K$5000,"0-30")</f>
        <v/>
      </c>
      <c r="H110" s="23">
        <f>SUMIFS(Production!$J$2:$J$5000,Production!$A$2:$A$5000,$A110,Production!$B$2:$B$5000,$B110,Production!$K$2:$K$5000,"31-60")</f>
        <v/>
      </c>
      <c r="I110" s="23">
        <f>SUMIFS(Production!$J$2:$J$5000,Production!$A$2:$A$5000,$A110,Production!$B$2:$B$5000,$B110,Production!$K$2:$K$5000,"61-90")</f>
        <v/>
      </c>
      <c r="J110" s="23">
        <f>SUMIFS(Production!$J$2:$J$5000,Production!$A$2:$A$5000,$A110,Production!$B$2:$B$5000,$B110,Production!$K$2:$K$5000,"90+")</f>
        <v/>
      </c>
      <c r="K110" s="14">
        <f>IF(E110=0,"",_xlfn.MAXIFS(Production!$F$2:$F$5000,Production!$A$2:$A$5000,$A110,Production!$B$2:$B$5000,$B110,Production!$I$2:$I$5000,"&gt;0"))</f>
        <v/>
      </c>
      <c r="L110" s="15">
        <f>IF(F110=0,"",SUMPRODUCT((Production!$A$2:$A$5000=$A110)*(Production!$B$2:$B$5000=$B110)*Production!$J$2:$J$5000,Production!$F$2:$F$5000)/F110)</f>
        <v/>
      </c>
      <c r="M110" s="10">
        <f>IF(D110&gt;C110,"Dispatched more than produced — opening stock / data gap","")</f>
        <v/>
      </c>
    </row>
    <row r="111">
      <c r="A111" s="9" t="inlineStr">
        <is>
          <t>Lepakshi</t>
        </is>
      </c>
      <c r="B111" s="9" t="inlineStr">
        <is>
          <t>96X48X5</t>
        </is>
      </c>
      <c r="C111" s="11">
        <f>SUMIFS(Production!$D$2:$D$5000,Production!$A$2:$A$5000,$A111,Production!$B$2:$B$5000,$B111)</f>
        <v/>
      </c>
      <c r="D111" s="11">
        <f>SUMIFS(Dispatched!$C$2:$C$5000,Dispatched!$A$2:$A$5000,$A111,Dispatched!$B$2:$B$5000,$B111)</f>
        <v/>
      </c>
      <c r="E111" s="11">
        <f>SUMIFS(Production!$I$2:$I$5000,Production!$A$2:$A$5000,$A111,Production!$B$2:$B$5000,$B111)</f>
        <v/>
      </c>
      <c r="F111" s="23">
        <f>SUMIFS(Production!$J$2:$J$5000,Production!$A$2:$A$5000,$A111,Production!$B$2:$B$5000,$B111)</f>
        <v/>
      </c>
      <c r="G111" s="23">
        <f>SUMIFS(Production!$J$2:$J$5000,Production!$A$2:$A$5000,$A111,Production!$B$2:$B$5000,$B111,Production!$K$2:$K$5000,"0-30")</f>
        <v/>
      </c>
      <c r="H111" s="23">
        <f>SUMIFS(Production!$J$2:$J$5000,Production!$A$2:$A$5000,$A111,Production!$B$2:$B$5000,$B111,Production!$K$2:$K$5000,"31-60")</f>
        <v/>
      </c>
      <c r="I111" s="23">
        <f>SUMIFS(Production!$J$2:$J$5000,Production!$A$2:$A$5000,$A111,Production!$B$2:$B$5000,$B111,Production!$K$2:$K$5000,"61-90")</f>
        <v/>
      </c>
      <c r="J111" s="23">
        <f>SUMIFS(Production!$J$2:$J$5000,Production!$A$2:$A$5000,$A111,Production!$B$2:$B$5000,$B111,Production!$K$2:$K$5000,"90+")</f>
        <v/>
      </c>
      <c r="K111" s="14">
        <f>IF(E111=0,"",_xlfn.MAXIFS(Production!$F$2:$F$5000,Production!$A$2:$A$5000,$A111,Production!$B$2:$B$5000,$B111,Production!$I$2:$I$5000,"&gt;0"))</f>
        <v/>
      </c>
      <c r="L111" s="15">
        <f>IF(F111=0,"",SUMPRODUCT((Production!$A$2:$A$5000=$A111)*(Production!$B$2:$B$5000=$B111)*Production!$J$2:$J$5000,Production!$F$2:$F$5000)/F111)</f>
        <v/>
      </c>
      <c r="M111" s="10">
        <f>IF(D111&gt;C111,"Dispatched more than produced — opening stock / data gap","")</f>
        <v/>
      </c>
    </row>
    <row r="112">
      <c r="A112" s="9" t="inlineStr">
        <is>
          <t>Lepakshi</t>
        </is>
      </c>
      <c r="B112" s="9" t="inlineStr">
        <is>
          <t>122X61X2.5</t>
        </is>
      </c>
      <c r="C112" s="11">
        <f>SUMIFS(Production!$D$2:$D$5000,Production!$A$2:$A$5000,$A112,Production!$B$2:$B$5000,$B112)</f>
        <v/>
      </c>
      <c r="D112" s="11">
        <f>SUMIFS(Dispatched!$C$2:$C$5000,Dispatched!$A$2:$A$5000,$A112,Dispatched!$B$2:$B$5000,$B112)</f>
        <v/>
      </c>
      <c r="E112" s="11">
        <f>SUMIFS(Production!$I$2:$I$5000,Production!$A$2:$A$5000,$A112,Production!$B$2:$B$5000,$B112)</f>
        <v/>
      </c>
      <c r="F112" s="23">
        <f>SUMIFS(Production!$J$2:$J$5000,Production!$A$2:$A$5000,$A112,Production!$B$2:$B$5000,$B112)</f>
        <v/>
      </c>
      <c r="G112" s="23">
        <f>SUMIFS(Production!$J$2:$J$5000,Production!$A$2:$A$5000,$A112,Production!$B$2:$B$5000,$B112,Production!$K$2:$K$5000,"0-30")</f>
        <v/>
      </c>
      <c r="H112" s="23">
        <f>SUMIFS(Production!$J$2:$J$5000,Production!$A$2:$A$5000,$A112,Production!$B$2:$B$5000,$B112,Production!$K$2:$K$5000,"31-60")</f>
        <v/>
      </c>
      <c r="I112" s="23">
        <f>SUMIFS(Production!$J$2:$J$5000,Production!$A$2:$A$5000,$A112,Production!$B$2:$B$5000,$B112,Production!$K$2:$K$5000,"61-90")</f>
        <v/>
      </c>
      <c r="J112" s="23">
        <f>SUMIFS(Production!$J$2:$J$5000,Production!$A$2:$A$5000,$A112,Production!$B$2:$B$5000,$B112,Production!$K$2:$K$5000,"90+")</f>
        <v/>
      </c>
      <c r="K112" s="14">
        <f>IF(E112=0,"",_xlfn.MAXIFS(Production!$F$2:$F$5000,Production!$A$2:$A$5000,$A112,Production!$B$2:$B$5000,$B112,Production!$I$2:$I$5000,"&gt;0"))</f>
        <v/>
      </c>
      <c r="L112" s="15">
        <f>IF(F112=0,"",SUMPRODUCT((Production!$A$2:$A$5000=$A112)*(Production!$B$2:$B$5000=$B112)*Production!$J$2:$J$5000,Production!$F$2:$F$5000)/F112)</f>
        <v/>
      </c>
      <c r="M112" s="10">
        <f>IF(D112&gt;C112,"Dispatched more than produced — opening stock / data gap","")</f>
        <v/>
      </c>
    </row>
    <row r="113">
      <c r="A113" s="9" t="inlineStr">
        <is>
          <t>Lepakshi</t>
        </is>
      </c>
      <c r="B113" s="9" t="inlineStr">
        <is>
          <t>96X48X4</t>
        </is>
      </c>
      <c r="C113" s="11">
        <f>SUMIFS(Production!$D$2:$D$5000,Production!$A$2:$A$5000,$A113,Production!$B$2:$B$5000,$B113)</f>
        <v/>
      </c>
      <c r="D113" s="11">
        <f>SUMIFS(Dispatched!$C$2:$C$5000,Dispatched!$A$2:$A$5000,$A113,Dispatched!$B$2:$B$5000,$B113)</f>
        <v/>
      </c>
      <c r="E113" s="11">
        <f>SUMIFS(Production!$I$2:$I$5000,Production!$A$2:$A$5000,$A113,Production!$B$2:$B$5000,$B113)</f>
        <v/>
      </c>
      <c r="F113" s="23">
        <f>SUMIFS(Production!$J$2:$J$5000,Production!$A$2:$A$5000,$A113,Production!$B$2:$B$5000,$B113)</f>
        <v/>
      </c>
      <c r="G113" s="23">
        <f>SUMIFS(Production!$J$2:$J$5000,Production!$A$2:$A$5000,$A113,Production!$B$2:$B$5000,$B113,Production!$K$2:$K$5000,"0-30")</f>
        <v/>
      </c>
      <c r="H113" s="23">
        <f>SUMIFS(Production!$J$2:$J$5000,Production!$A$2:$A$5000,$A113,Production!$B$2:$B$5000,$B113,Production!$K$2:$K$5000,"31-60")</f>
        <v/>
      </c>
      <c r="I113" s="23">
        <f>SUMIFS(Production!$J$2:$J$5000,Production!$A$2:$A$5000,$A113,Production!$B$2:$B$5000,$B113,Production!$K$2:$K$5000,"61-90")</f>
        <v/>
      </c>
      <c r="J113" s="23">
        <f>SUMIFS(Production!$J$2:$J$5000,Production!$A$2:$A$5000,$A113,Production!$B$2:$B$5000,$B113,Production!$K$2:$K$5000,"90+")</f>
        <v/>
      </c>
      <c r="K113" s="14">
        <f>IF(E113=0,"",_xlfn.MAXIFS(Production!$F$2:$F$5000,Production!$A$2:$A$5000,$A113,Production!$B$2:$B$5000,$B113,Production!$I$2:$I$5000,"&gt;0"))</f>
        <v/>
      </c>
      <c r="L113" s="15">
        <f>IF(F113=0,"",SUMPRODUCT((Production!$A$2:$A$5000=$A113)*(Production!$B$2:$B$5000=$B113)*Production!$J$2:$J$5000,Production!$F$2:$F$5000)/F113)</f>
        <v/>
      </c>
      <c r="M113" s="10">
        <f>IF(D113&gt;C113,"Dispatched more than produced — opening stock / data gap","")</f>
        <v/>
      </c>
    </row>
    <row r="114">
      <c r="A114" s="9" t="inlineStr">
        <is>
          <t>Lepakshi</t>
        </is>
      </c>
      <c r="B114" s="9" t="inlineStr">
        <is>
          <t>122X61X3</t>
        </is>
      </c>
      <c r="C114" s="11">
        <f>SUMIFS(Production!$D$2:$D$5000,Production!$A$2:$A$5000,$A114,Production!$B$2:$B$5000,$B114)</f>
        <v/>
      </c>
      <c r="D114" s="11">
        <f>SUMIFS(Dispatched!$C$2:$C$5000,Dispatched!$A$2:$A$5000,$A114,Dispatched!$B$2:$B$5000,$B114)</f>
        <v/>
      </c>
      <c r="E114" s="11">
        <f>SUMIFS(Production!$I$2:$I$5000,Production!$A$2:$A$5000,$A114,Production!$B$2:$B$5000,$B114)</f>
        <v/>
      </c>
      <c r="F114" s="23">
        <f>SUMIFS(Production!$J$2:$J$5000,Production!$A$2:$A$5000,$A114,Production!$B$2:$B$5000,$B114)</f>
        <v/>
      </c>
      <c r="G114" s="23">
        <f>SUMIFS(Production!$J$2:$J$5000,Production!$A$2:$A$5000,$A114,Production!$B$2:$B$5000,$B114,Production!$K$2:$K$5000,"0-30")</f>
        <v/>
      </c>
      <c r="H114" s="23">
        <f>SUMIFS(Production!$J$2:$J$5000,Production!$A$2:$A$5000,$A114,Production!$B$2:$B$5000,$B114,Production!$K$2:$K$5000,"31-60")</f>
        <v/>
      </c>
      <c r="I114" s="23">
        <f>SUMIFS(Production!$J$2:$J$5000,Production!$A$2:$A$5000,$A114,Production!$B$2:$B$5000,$B114,Production!$K$2:$K$5000,"61-90")</f>
        <v/>
      </c>
      <c r="J114" s="23">
        <f>SUMIFS(Production!$J$2:$J$5000,Production!$A$2:$A$5000,$A114,Production!$B$2:$B$5000,$B114,Production!$K$2:$K$5000,"90+")</f>
        <v/>
      </c>
      <c r="K114" s="14">
        <f>IF(E114=0,"",_xlfn.MAXIFS(Production!$F$2:$F$5000,Production!$A$2:$A$5000,$A114,Production!$B$2:$B$5000,$B114,Production!$I$2:$I$5000,"&gt;0"))</f>
        <v/>
      </c>
      <c r="L114" s="15">
        <f>IF(F114=0,"",SUMPRODUCT((Production!$A$2:$A$5000=$A114)*(Production!$B$2:$B$5000=$B114)*Production!$J$2:$J$5000,Production!$F$2:$F$5000)/F114)</f>
        <v/>
      </c>
      <c r="M114" s="10">
        <f>IF(D114&gt;C114,"Dispatched more than produced — opening stock / data gap","")</f>
        <v/>
      </c>
    </row>
    <row r="115">
      <c r="A115" s="9" t="inlineStr">
        <is>
          <t>Lepakshi</t>
        </is>
      </c>
      <c r="B115" s="9" t="inlineStr">
        <is>
          <t>72X72X3</t>
        </is>
      </c>
      <c r="C115" s="11">
        <f>SUMIFS(Production!$D$2:$D$5000,Production!$A$2:$A$5000,$A115,Production!$B$2:$B$5000,$B115)</f>
        <v/>
      </c>
      <c r="D115" s="11">
        <f>SUMIFS(Dispatched!$C$2:$C$5000,Dispatched!$A$2:$A$5000,$A115,Dispatched!$B$2:$B$5000,$B115)</f>
        <v/>
      </c>
      <c r="E115" s="11">
        <f>SUMIFS(Production!$I$2:$I$5000,Production!$A$2:$A$5000,$A115,Production!$B$2:$B$5000,$B115)</f>
        <v/>
      </c>
      <c r="F115" s="23">
        <f>SUMIFS(Production!$J$2:$J$5000,Production!$A$2:$A$5000,$A115,Production!$B$2:$B$5000,$B115)</f>
        <v/>
      </c>
      <c r="G115" s="23">
        <f>SUMIFS(Production!$J$2:$J$5000,Production!$A$2:$A$5000,$A115,Production!$B$2:$B$5000,$B115,Production!$K$2:$K$5000,"0-30")</f>
        <v/>
      </c>
      <c r="H115" s="23">
        <f>SUMIFS(Production!$J$2:$J$5000,Production!$A$2:$A$5000,$A115,Production!$B$2:$B$5000,$B115,Production!$K$2:$K$5000,"31-60")</f>
        <v/>
      </c>
      <c r="I115" s="23">
        <f>SUMIFS(Production!$J$2:$J$5000,Production!$A$2:$A$5000,$A115,Production!$B$2:$B$5000,$B115,Production!$K$2:$K$5000,"61-90")</f>
        <v/>
      </c>
      <c r="J115" s="23">
        <f>SUMIFS(Production!$J$2:$J$5000,Production!$A$2:$A$5000,$A115,Production!$B$2:$B$5000,$B115,Production!$K$2:$K$5000,"90+")</f>
        <v/>
      </c>
      <c r="K115" s="14">
        <f>IF(E115=0,"",_xlfn.MAXIFS(Production!$F$2:$F$5000,Production!$A$2:$A$5000,$A115,Production!$B$2:$B$5000,$B115,Production!$I$2:$I$5000,"&gt;0"))</f>
        <v/>
      </c>
      <c r="L115" s="15">
        <f>IF(F115=0,"",SUMPRODUCT((Production!$A$2:$A$5000=$A115)*(Production!$B$2:$B$5000=$B115)*Production!$J$2:$J$5000,Production!$F$2:$F$5000)/F115)</f>
        <v/>
      </c>
      <c r="M115" s="10">
        <f>IF(D115&gt;C115,"Dispatched more than produced — opening stock / data gap","")</f>
        <v/>
      </c>
    </row>
    <row r="116">
      <c r="A116" s="9" t="inlineStr">
        <is>
          <t>Lepakshi</t>
        </is>
      </c>
      <c r="B116" s="9" t="inlineStr">
        <is>
          <t>72X72X2</t>
        </is>
      </c>
      <c r="C116" s="11">
        <f>SUMIFS(Production!$D$2:$D$5000,Production!$A$2:$A$5000,$A116,Production!$B$2:$B$5000,$B116)</f>
        <v/>
      </c>
      <c r="D116" s="11">
        <f>SUMIFS(Dispatched!$C$2:$C$5000,Dispatched!$A$2:$A$5000,$A116,Dispatched!$B$2:$B$5000,$B116)</f>
        <v/>
      </c>
      <c r="E116" s="11">
        <f>SUMIFS(Production!$I$2:$I$5000,Production!$A$2:$A$5000,$A116,Production!$B$2:$B$5000,$B116)</f>
        <v/>
      </c>
      <c r="F116" s="23">
        <f>SUMIFS(Production!$J$2:$J$5000,Production!$A$2:$A$5000,$A116,Production!$B$2:$B$5000,$B116)</f>
        <v/>
      </c>
      <c r="G116" s="23">
        <f>SUMIFS(Production!$J$2:$J$5000,Production!$A$2:$A$5000,$A116,Production!$B$2:$B$5000,$B116,Production!$K$2:$K$5000,"0-30")</f>
        <v/>
      </c>
      <c r="H116" s="23">
        <f>SUMIFS(Production!$J$2:$J$5000,Production!$A$2:$A$5000,$A116,Production!$B$2:$B$5000,$B116,Production!$K$2:$K$5000,"31-60")</f>
        <v/>
      </c>
      <c r="I116" s="23">
        <f>SUMIFS(Production!$J$2:$J$5000,Production!$A$2:$A$5000,$A116,Production!$B$2:$B$5000,$B116,Production!$K$2:$K$5000,"61-90")</f>
        <v/>
      </c>
      <c r="J116" s="23">
        <f>SUMIFS(Production!$J$2:$J$5000,Production!$A$2:$A$5000,$A116,Production!$B$2:$B$5000,$B116,Production!$K$2:$K$5000,"90+")</f>
        <v/>
      </c>
      <c r="K116" s="14">
        <f>IF(E116=0,"",_xlfn.MAXIFS(Production!$F$2:$F$5000,Production!$A$2:$A$5000,$A116,Production!$B$2:$B$5000,$B116,Production!$I$2:$I$5000,"&gt;0"))</f>
        <v/>
      </c>
      <c r="L116" s="15">
        <f>IF(F116=0,"",SUMPRODUCT((Production!$A$2:$A$5000=$A116)*(Production!$B$2:$B$5000=$B116)*Production!$J$2:$J$5000,Production!$F$2:$F$5000)/F116)</f>
        <v/>
      </c>
      <c r="M116" s="10">
        <f>IF(D116&gt;C116,"Dispatched more than produced — opening stock / data gap","")</f>
        <v/>
      </c>
    </row>
    <row r="117">
      <c r="A117" s="9" t="inlineStr">
        <is>
          <t>Lepakshi</t>
        </is>
      </c>
      <c r="B117" s="9" t="inlineStr">
        <is>
          <t>72X72X2.5</t>
        </is>
      </c>
      <c r="C117" s="11">
        <f>SUMIFS(Production!$D$2:$D$5000,Production!$A$2:$A$5000,$A117,Production!$B$2:$B$5000,$B117)</f>
        <v/>
      </c>
      <c r="D117" s="11">
        <f>SUMIFS(Dispatched!$C$2:$C$5000,Dispatched!$A$2:$A$5000,$A117,Dispatched!$B$2:$B$5000,$B117)</f>
        <v/>
      </c>
      <c r="E117" s="11">
        <f>SUMIFS(Production!$I$2:$I$5000,Production!$A$2:$A$5000,$A117,Production!$B$2:$B$5000,$B117)</f>
        <v/>
      </c>
      <c r="F117" s="23">
        <f>SUMIFS(Production!$J$2:$J$5000,Production!$A$2:$A$5000,$A117,Production!$B$2:$B$5000,$B117)</f>
        <v/>
      </c>
      <c r="G117" s="23">
        <f>SUMIFS(Production!$J$2:$J$5000,Production!$A$2:$A$5000,$A117,Production!$B$2:$B$5000,$B117,Production!$K$2:$K$5000,"0-30")</f>
        <v/>
      </c>
      <c r="H117" s="23">
        <f>SUMIFS(Production!$J$2:$J$5000,Production!$A$2:$A$5000,$A117,Production!$B$2:$B$5000,$B117,Production!$K$2:$K$5000,"31-60")</f>
        <v/>
      </c>
      <c r="I117" s="23">
        <f>SUMIFS(Production!$J$2:$J$5000,Production!$A$2:$A$5000,$A117,Production!$B$2:$B$5000,$B117,Production!$K$2:$K$5000,"61-90")</f>
        <v/>
      </c>
      <c r="J117" s="23">
        <f>SUMIFS(Production!$J$2:$J$5000,Production!$A$2:$A$5000,$A117,Production!$B$2:$B$5000,$B117,Production!$K$2:$K$5000,"90+")</f>
        <v/>
      </c>
      <c r="K117" s="14">
        <f>IF(E117=0,"",_xlfn.MAXIFS(Production!$F$2:$F$5000,Production!$A$2:$A$5000,$A117,Production!$B$2:$B$5000,$B117,Production!$I$2:$I$5000,"&gt;0"))</f>
        <v/>
      </c>
      <c r="L117" s="15">
        <f>IF(F117=0,"",SUMPRODUCT((Production!$A$2:$A$5000=$A117)*(Production!$B$2:$B$5000=$B117)*Production!$J$2:$J$5000,Production!$F$2:$F$5000)/F117)</f>
        <v/>
      </c>
      <c r="M117" s="10">
        <f>IF(D117&gt;C117,"Dispatched more than produced — opening stock / data gap","")</f>
        <v/>
      </c>
    </row>
    <row r="118">
      <c r="A118" s="9" t="inlineStr">
        <is>
          <t>Lepakshi</t>
        </is>
      </c>
      <c r="B118" s="9" t="inlineStr">
        <is>
          <t>72X72X4</t>
        </is>
      </c>
      <c r="C118" s="11">
        <f>SUMIFS(Production!$D$2:$D$5000,Production!$A$2:$A$5000,$A118,Production!$B$2:$B$5000,$B118)</f>
        <v/>
      </c>
      <c r="D118" s="11">
        <f>SUMIFS(Dispatched!$C$2:$C$5000,Dispatched!$A$2:$A$5000,$A118,Dispatched!$B$2:$B$5000,$B118)</f>
        <v/>
      </c>
      <c r="E118" s="11">
        <f>SUMIFS(Production!$I$2:$I$5000,Production!$A$2:$A$5000,$A118,Production!$B$2:$B$5000,$B118)</f>
        <v/>
      </c>
      <c r="F118" s="23">
        <f>SUMIFS(Production!$J$2:$J$5000,Production!$A$2:$A$5000,$A118,Production!$B$2:$B$5000,$B118)</f>
        <v/>
      </c>
      <c r="G118" s="23">
        <f>SUMIFS(Production!$J$2:$J$5000,Production!$A$2:$A$5000,$A118,Production!$B$2:$B$5000,$B118,Production!$K$2:$K$5000,"0-30")</f>
        <v/>
      </c>
      <c r="H118" s="23">
        <f>SUMIFS(Production!$J$2:$J$5000,Production!$A$2:$A$5000,$A118,Production!$B$2:$B$5000,$B118,Production!$K$2:$K$5000,"31-60")</f>
        <v/>
      </c>
      <c r="I118" s="23">
        <f>SUMIFS(Production!$J$2:$J$5000,Production!$A$2:$A$5000,$A118,Production!$B$2:$B$5000,$B118,Production!$K$2:$K$5000,"61-90")</f>
        <v/>
      </c>
      <c r="J118" s="23">
        <f>SUMIFS(Production!$J$2:$J$5000,Production!$A$2:$A$5000,$A118,Production!$B$2:$B$5000,$B118,Production!$K$2:$K$5000,"90+")</f>
        <v/>
      </c>
      <c r="K118" s="14">
        <f>IF(E118=0,"",_xlfn.MAXIFS(Production!$F$2:$F$5000,Production!$A$2:$A$5000,$A118,Production!$B$2:$B$5000,$B118,Production!$I$2:$I$5000,"&gt;0"))</f>
        <v/>
      </c>
      <c r="L118" s="15">
        <f>IF(F118=0,"",SUMPRODUCT((Production!$A$2:$A$5000=$A118)*(Production!$B$2:$B$5000=$B118)*Production!$J$2:$J$5000,Production!$F$2:$F$5000)/F118)</f>
        <v/>
      </c>
      <c r="M118" s="10">
        <f>IF(D118&gt;C118,"Dispatched more than produced — opening stock / data gap","")</f>
        <v/>
      </c>
    </row>
    <row r="119">
      <c r="A119" s="9" t="inlineStr">
        <is>
          <t>Lepakshi</t>
        </is>
      </c>
      <c r="B119" s="9" t="inlineStr">
        <is>
          <t>96X48X2</t>
        </is>
      </c>
      <c r="C119" s="11">
        <f>SUMIFS(Production!$D$2:$D$5000,Production!$A$2:$A$5000,$A119,Production!$B$2:$B$5000,$B119)</f>
        <v/>
      </c>
      <c r="D119" s="11">
        <f>SUMIFS(Dispatched!$C$2:$C$5000,Dispatched!$A$2:$A$5000,$A119,Dispatched!$B$2:$B$5000,$B119)</f>
        <v/>
      </c>
      <c r="E119" s="11">
        <f>SUMIFS(Production!$I$2:$I$5000,Production!$A$2:$A$5000,$A119,Production!$B$2:$B$5000,$B119)</f>
        <v/>
      </c>
      <c r="F119" s="23">
        <f>SUMIFS(Production!$J$2:$J$5000,Production!$A$2:$A$5000,$A119,Production!$B$2:$B$5000,$B119)</f>
        <v/>
      </c>
      <c r="G119" s="23">
        <f>SUMIFS(Production!$J$2:$J$5000,Production!$A$2:$A$5000,$A119,Production!$B$2:$B$5000,$B119,Production!$K$2:$K$5000,"0-30")</f>
        <v/>
      </c>
      <c r="H119" s="23">
        <f>SUMIFS(Production!$J$2:$J$5000,Production!$A$2:$A$5000,$A119,Production!$B$2:$B$5000,$B119,Production!$K$2:$K$5000,"31-60")</f>
        <v/>
      </c>
      <c r="I119" s="23">
        <f>SUMIFS(Production!$J$2:$J$5000,Production!$A$2:$A$5000,$A119,Production!$B$2:$B$5000,$B119,Production!$K$2:$K$5000,"61-90")</f>
        <v/>
      </c>
      <c r="J119" s="23">
        <f>SUMIFS(Production!$J$2:$J$5000,Production!$A$2:$A$5000,$A119,Production!$B$2:$B$5000,$B119,Production!$K$2:$K$5000,"90+")</f>
        <v/>
      </c>
      <c r="K119" s="14">
        <f>IF(E119=0,"",_xlfn.MAXIFS(Production!$F$2:$F$5000,Production!$A$2:$A$5000,$A119,Production!$B$2:$B$5000,$B119,Production!$I$2:$I$5000,"&gt;0"))</f>
        <v/>
      </c>
      <c r="L119" s="15">
        <f>IF(F119=0,"",SUMPRODUCT((Production!$A$2:$A$5000=$A119)*(Production!$B$2:$B$5000=$B119)*Production!$J$2:$J$5000,Production!$F$2:$F$5000)/F119)</f>
        <v/>
      </c>
      <c r="M119" s="10">
        <f>IF(D119&gt;C119,"Dispatched more than produced — opening stock / data gap","")</f>
        <v/>
      </c>
    </row>
    <row r="120">
      <c r="A120" s="9" t="inlineStr">
        <is>
          <t>Lepakshi</t>
        </is>
      </c>
      <c r="B120" s="9" t="inlineStr">
        <is>
          <t>96X48X3</t>
        </is>
      </c>
      <c r="C120" s="11">
        <f>SUMIFS(Production!$D$2:$D$5000,Production!$A$2:$A$5000,$A120,Production!$B$2:$B$5000,$B120)</f>
        <v/>
      </c>
      <c r="D120" s="11">
        <f>SUMIFS(Dispatched!$C$2:$C$5000,Dispatched!$A$2:$A$5000,$A120,Dispatched!$B$2:$B$5000,$B120)</f>
        <v/>
      </c>
      <c r="E120" s="11">
        <f>SUMIFS(Production!$I$2:$I$5000,Production!$A$2:$A$5000,$A120,Production!$B$2:$B$5000,$B120)</f>
        <v/>
      </c>
      <c r="F120" s="23">
        <f>SUMIFS(Production!$J$2:$J$5000,Production!$A$2:$A$5000,$A120,Production!$B$2:$B$5000,$B120)</f>
        <v/>
      </c>
      <c r="G120" s="23">
        <f>SUMIFS(Production!$J$2:$J$5000,Production!$A$2:$A$5000,$A120,Production!$B$2:$B$5000,$B120,Production!$K$2:$K$5000,"0-30")</f>
        <v/>
      </c>
      <c r="H120" s="23">
        <f>SUMIFS(Production!$J$2:$J$5000,Production!$A$2:$A$5000,$A120,Production!$B$2:$B$5000,$B120,Production!$K$2:$K$5000,"31-60")</f>
        <v/>
      </c>
      <c r="I120" s="23">
        <f>SUMIFS(Production!$J$2:$J$5000,Production!$A$2:$A$5000,$A120,Production!$B$2:$B$5000,$B120,Production!$K$2:$K$5000,"61-90")</f>
        <v/>
      </c>
      <c r="J120" s="23">
        <f>SUMIFS(Production!$J$2:$J$5000,Production!$A$2:$A$5000,$A120,Production!$B$2:$B$5000,$B120,Production!$K$2:$K$5000,"90+")</f>
        <v/>
      </c>
      <c r="K120" s="14">
        <f>IF(E120=0,"",_xlfn.MAXIFS(Production!$F$2:$F$5000,Production!$A$2:$A$5000,$A120,Production!$B$2:$B$5000,$B120,Production!$I$2:$I$5000,"&gt;0"))</f>
        <v/>
      </c>
      <c r="L120" s="15">
        <f>IF(F120=0,"",SUMPRODUCT((Production!$A$2:$A$5000=$A120)*(Production!$B$2:$B$5000=$B120)*Production!$J$2:$J$5000,Production!$F$2:$F$5000)/F120)</f>
        <v/>
      </c>
      <c r="M120" s="10">
        <f>IF(D120&gt;C120,"Dispatched more than produced — opening stock / data gap","")</f>
        <v/>
      </c>
    </row>
    <row r="121">
      <c r="A121" s="9" t="inlineStr">
        <is>
          <t>Lepakshi</t>
        </is>
      </c>
      <c r="B121" s="9" t="inlineStr">
        <is>
          <t>122X61X2</t>
        </is>
      </c>
      <c r="C121" s="11">
        <f>SUMIFS(Production!$D$2:$D$5000,Production!$A$2:$A$5000,$A121,Production!$B$2:$B$5000,$B121)</f>
        <v/>
      </c>
      <c r="D121" s="11">
        <f>SUMIFS(Dispatched!$C$2:$C$5000,Dispatched!$A$2:$A$5000,$A121,Dispatched!$B$2:$B$5000,$B121)</f>
        <v/>
      </c>
      <c r="E121" s="11">
        <f>SUMIFS(Production!$I$2:$I$5000,Production!$A$2:$A$5000,$A121,Production!$B$2:$B$5000,$B121)</f>
        <v/>
      </c>
      <c r="F121" s="23">
        <f>SUMIFS(Production!$J$2:$J$5000,Production!$A$2:$A$5000,$A121,Production!$B$2:$B$5000,$B121)</f>
        <v/>
      </c>
      <c r="G121" s="23">
        <f>SUMIFS(Production!$J$2:$J$5000,Production!$A$2:$A$5000,$A121,Production!$B$2:$B$5000,$B121,Production!$K$2:$K$5000,"0-30")</f>
        <v/>
      </c>
      <c r="H121" s="23">
        <f>SUMIFS(Production!$J$2:$J$5000,Production!$A$2:$A$5000,$A121,Production!$B$2:$B$5000,$B121,Production!$K$2:$K$5000,"31-60")</f>
        <v/>
      </c>
      <c r="I121" s="23">
        <f>SUMIFS(Production!$J$2:$J$5000,Production!$A$2:$A$5000,$A121,Production!$B$2:$B$5000,$B121,Production!$K$2:$K$5000,"61-90")</f>
        <v/>
      </c>
      <c r="J121" s="23">
        <f>SUMIFS(Production!$J$2:$J$5000,Production!$A$2:$A$5000,$A121,Production!$B$2:$B$5000,$B121,Production!$K$2:$K$5000,"90+")</f>
        <v/>
      </c>
      <c r="K121" s="14">
        <f>IF(E121=0,"",_xlfn.MAXIFS(Production!$F$2:$F$5000,Production!$A$2:$A$5000,$A121,Production!$B$2:$B$5000,$B121,Production!$I$2:$I$5000,"&gt;0"))</f>
        <v/>
      </c>
      <c r="L121" s="15">
        <f>IF(F121=0,"",SUMPRODUCT((Production!$A$2:$A$5000=$A121)*(Production!$B$2:$B$5000=$B121)*Production!$J$2:$J$5000,Production!$F$2:$F$5000)/F121)</f>
        <v/>
      </c>
      <c r="M121" s="10">
        <f>IF(D121&gt;C121,"Dispatched more than produced — opening stock / data gap","")</f>
        <v/>
      </c>
    </row>
    <row r="122">
      <c r="A122" s="9" t="inlineStr">
        <is>
          <t>Lepakshi</t>
        </is>
      </c>
      <c r="B122" s="9" t="inlineStr">
        <is>
          <t>96X48X2.5</t>
        </is>
      </c>
      <c r="C122" s="11">
        <f>SUMIFS(Production!$D$2:$D$5000,Production!$A$2:$A$5000,$A122,Production!$B$2:$B$5000,$B122)</f>
        <v/>
      </c>
      <c r="D122" s="11">
        <f>SUMIFS(Dispatched!$C$2:$C$5000,Dispatched!$A$2:$A$5000,$A122,Dispatched!$B$2:$B$5000,$B122)</f>
        <v/>
      </c>
      <c r="E122" s="11">
        <f>SUMIFS(Production!$I$2:$I$5000,Production!$A$2:$A$5000,$A122,Production!$B$2:$B$5000,$B122)</f>
        <v/>
      </c>
      <c r="F122" s="23">
        <f>SUMIFS(Production!$J$2:$J$5000,Production!$A$2:$A$5000,$A122,Production!$B$2:$B$5000,$B122)</f>
        <v/>
      </c>
      <c r="G122" s="23">
        <f>SUMIFS(Production!$J$2:$J$5000,Production!$A$2:$A$5000,$A122,Production!$B$2:$B$5000,$B122,Production!$K$2:$K$5000,"0-30")</f>
        <v/>
      </c>
      <c r="H122" s="23">
        <f>SUMIFS(Production!$J$2:$J$5000,Production!$A$2:$A$5000,$A122,Production!$B$2:$B$5000,$B122,Production!$K$2:$K$5000,"31-60")</f>
        <v/>
      </c>
      <c r="I122" s="23">
        <f>SUMIFS(Production!$J$2:$J$5000,Production!$A$2:$A$5000,$A122,Production!$B$2:$B$5000,$B122,Production!$K$2:$K$5000,"61-90")</f>
        <v/>
      </c>
      <c r="J122" s="23">
        <f>SUMIFS(Production!$J$2:$J$5000,Production!$A$2:$A$5000,$A122,Production!$B$2:$B$5000,$B122,Production!$K$2:$K$5000,"90+")</f>
        <v/>
      </c>
      <c r="K122" s="14">
        <f>IF(E122=0,"",_xlfn.MAXIFS(Production!$F$2:$F$5000,Production!$A$2:$A$5000,$A122,Production!$B$2:$B$5000,$B122,Production!$I$2:$I$5000,"&gt;0"))</f>
        <v/>
      </c>
      <c r="L122" s="15">
        <f>IF(F122=0,"",SUMPRODUCT((Production!$A$2:$A$5000=$A122)*(Production!$B$2:$B$5000=$B122)*Production!$J$2:$J$5000,Production!$F$2:$F$5000)/F122)</f>
        <v/>
      </c>
      <c r="M122" s="10">
        <f>IF(D122&gt;C122,"Dispatched more than produced — opening stock / data gap","")</f>
        <v/>
      </c>
    </row>
    <row r="123">
      <c r="A123" s="9" t="inlineStr">
        <is>
          <t>Lepakshi</t>
        </is>
      </c>
      <c r="B123" s="9" t="inlineStr">
        <is>
          <t>40X40X2</t>
        </is>
      </c>
      <c r="C123" s="11">
        <f>SUMIFS(Production!$D$2:$D$5000,Production!$A$2:$A$5000,$A123,Production!$B$2:$B$5000,$B123)</f>
        <v/>
      </c>
      <c r="D123" s="11">
        <f>SUMIFS(Dispatched!$C$2:$C$5000,Dispatched!$A$2:$A$5000,$A123,Dispatched!$B$2:$B$5000,$B123)</f>
        <v/>
      </c>
      <c r="E123" s="11">
        <f>SUMIFS(Production!$I$2:$I$5000,Production!$A$2:$A$5000,$A123,Production!$B$2:$B$5000,$B123)</f>
        <v/>
      </c>
      <c r="F123" s="23">
        <f>SUMIFS(Production!$J$2:$J$5000,Production!$A$2:$A$5000,$A123,Production!$B$2:$B$5000,$B123)</f>
        <v/>
      </c>
      <c r="G123" s="23">
        <f>SUMIFS(Production!$J$2:$J$5000,Production!$A$2:$A$5000,$A123,Production!$B$2:$B$5000,$B123,Production!$K$2:$K$5000,"0-30")</f>
        <v/>
      </c>
      <c r="H123" s="23">
        <f>SUMIFS(Production!$J$2:$J$5000,Production!$A$2:$A$5000,$A123,Production!$B$2:$B$5000,$B123,Production!$K$2:$K$5000,"31-60")</f>
        <v/>
      </c>
      <c r="I123" s="23">
        <f>SUMIFS(Production!$J$2:$J$5000,Production!$A$2:$A$5000,$A123,Production!$B$2:$B$5000,$B123,Production!$K$2:$K$5000,"61-90")</f>
        <v/>
      </c>
      <c r="J123" s="23">
        <f>SUMIFS(Production!$J$2:$J$5000,Production!$A$2:$A$5000,$A123,Production!$B$2:$B$5000,$B123,Production!$K$2:$K$5000,"90+")</f>
        <v/>
      </c>
      <c r="K123" s="14">
        <f>IF(E123=0,"",_xlfn.MAXIFS(Production!$F$2:$F$5000,Production!$A$2:$A$5000,$A123,Production!$B$2:$B$5000,$B123,Production!$I$2:$I$5000,"&gt;0"))</f>
        <v/>
      </c>
      <c r="L123" s="15">
        <f>IF(F123=0,"",SUMPRODUCT((Production!$A$2:$A$5000=$A123)*(Production!$B$2:$B$5000=$B123)*Production!$J$2:$J$5000,Production!$F$2:$F$5000)/F123)</f>
        <v/>
      </c>
      <c r="M123" s="10">
        <f>IF(D123&gt;C123,"Dispatched more than produced — opening stock / data gap","")</f>
        <v/>
      </c>
    </row>
    <row r="124">
      <c r="A124" s="9" t="inlineStr">
        <is>
          <t>Lepakshi</t>
        </is>
      </c>
      <c r="B124" s="9" t="inlineStr">
        <is>
          <t>100X100X5</t>
        </is>
      </c>
      <c r="C124" s="11">
        <f>SUMIFS(Production!$D$2:$D$5000,Production!$A$2:$A$5000,$A124,Production!$B$2:$B$5000,$B124)</f>
        <v/>
      </c>
      <c r="D124" s="11">
        <f>SUMIFS(Dispatched!$C$2:$C$5000,Dispatched!$A$2:$A$5000,$A124,Dispatched!$B$2:$B$5000,$B124)</f>
        <v/>
      </c>
      <c r="E124" s="11">
        <f>SUMIFS(Production!$I$2:$I$5000,Production!$A$2:$A$5000,$A124,Production!$B$2:$B$5000,$B124)</f>
        <v/>
      </c>
      <c r="F124" s="23">
        <f>SUMIFS(Production!$J$2:$J$5000,Production!$A$2:$A$5000,$A124,Production!$B$2:$B$5000,$B124)</f>
        <v/>
      </c>
      <c r="G124" s="23">
        <f>SUMIFS(Production!$J$2:$J$5000,Production!$A$2:$A$5000,$A124,Production!$B$2:$B$5000,$B124,Production!$K$2:$K$5000,"0-30")</f>
        <v/>
      </c>
      <c r="H124" s="23">
        <f>SUMIFS(Production!$J$2:$J$5000,Production!$A$2:$A$5000,$A124,Production!$B$2:$B$5000,$B124,Production!$K$2:$K$5000,"31-60")</f>
        <v/>
      </c>
      <c r="I124" s="23">
        <f>SUMIFS(Production!$J$2:$J$5000,Production!$A$2:$A$5000,$A124,Production!$B$2:$B$5000,$B124,Production!$K$2:$K$5000,"61-90")</f>
        <v/>
      </c>
      <c r="J124" s="23">
        <f>SUMIFS(Production!$J$2:$J$5000,Production!$A$2:$A$5000,$A124,Production!$B$2:$B$5000,$B124,Production!$K$2:$K$5000,"90+")</f>
        <v/>
      </c>
      <c r="K124" s="14">
        <f>IF(E124=0,"",_xlfn.MAXIFS(Production!$F$2:$F$5000,Production!$A$2:$A$5000,$A124,Production!$B$2:$B$5000,$B124,Production!$I$2:$I$5000,"&gt;0"))</f>
        <v/>
      </c>
      <c r="L124" s="15">
        <f>IF(F124=0,"",SUMPRODUCT((Production!$A$2:$A$5000=$A124)*(Production!$B$2:$B$5000=$B124)*Production!$J$2:$J$5000,Production!$F$2:$F$5000)/F124)</f>
        <v/>
      </c>
      <c r="M124" s="10">
        <f>IF(D124&gt;C124,"Dispatched more than produced — opening stock / data gap","")</f>
        <v/>
      </c>
    </row>
    <row r="125">
      <c r="A125" s="9" t="inlineStr">
        <is>
          <t>Lepakshi</t>
        </is>
      </c>
      <c r="B125" s="9" t="inlineStr">
        <is>
          <t>100X100X3</t>
        </is>
      </c>
      <c r="C125" s="11">
        <f>SUMIFS(Production!$D$2:$D$5000,Production!$A$2:$A$5000,$A125,Production!$B$2:$B$5000,$B125)</f>
        <v/>
      </c>
      <c r="D125" s="11">
        <f>SUMIFS(Dispatched!$C$2:$C$5000,Dispatched!$A$2:$A$5000,$A125,Dispatched!$B$2:$B$5000,$B125)</f>
        <v/>
      </c>
      <c r="E125" s="11">
        <f>SUMIFS(Production!$I$2:$I$5000,Production!$A$2:$A$5000,$A125,Production!$B$2:$B$5000,$B125)</f>
        <v/>
      </c>
      <c r="F125" s="23">
        <f>SUMIFS(Production!$J$2:$J$5000,Production!$A$2:$A$5000,$A125,Production!$B$2:$B$5000,$B125)</f>
        <v/>
      </c>
      <c r="G125" s="23">
        <f>SUMIFS(Production!$J$2:$J$5000,Production!$A$2:$A$5000,$A125,Production!$B$2:$B$5000,$B125,Production!$K$2:$K$5000,"0-30")</f>
        <v/>
      </c>
      <c r="H125" s="23">
        <f>SUMIFS(Production!$J$2:$J$5000,Production!$A$2:$A$5000,$A125,Production!$B$2:$B$5000,$B125,Production!$K$2:$K$5000,"31-60")</f>
        <v/>
      </c>
      <c r="I125" s="23">
        <f>SUMIFS(Production!$J$2:$J$5000,Production!$A$2:$A$5000,$A125,Production!$B$2:$B$5000,$B125,Production!$K$2:$K$5000,"61-90")</f>
        <v/>
      </c>
      <c r="J125" s="23">
        <f>SUMIFS(Production!$J$2:$J$5000,Production!$A$2:$A$5000,$A125,Production!$B$2:$B$5000,$B125,Production!$K$2:$K$5000,"90+")</f>
        <v/>
      </c>
      <c r="K125" s="14">
        <f>IF(E125=0,"",_xlfn.MAXIFS(Production!$F$2:$F$5000,Production!$A$2:$A$5000,$A125,Production!$B$2:$B$5000,$B125,Production!$I$2:$I$5000,"&gt;0"))</f>
        <v/>
      </c>
      <c r="L125" s="15">
        <f>IF(F125=0,"",SUMPRODUCT((Production!$A$2:$A$5000=$A125)*(Production!$B$2:$B$5000=$B125)*Production!$J$2:$J$5000,Production!$F$2:$F$5000)/F125)</f>
        <v/>
      </c>
      <c r="M125" s="10">
        <f>IF(D125&gt;C125,"Dispatched more than produced — opening stock / data gap","")</f>
        <v/>
      </c>
    </row>
    <row r="126">
      <c r="A126" s="9" t="inlineStr">
        <is>
          <t>Lepakshi</t>
        </is>
      </c>
      <c r="B126" s="9" t="inlineStr">
        <is>
          <t>100X100X2</t>
        </is>
      </c>
      <c r="C126" s="11">
        <f>SUMIFS(Production!$D$2:$D$5000,Production!$A$2:$A$5000,$A126,Production!$B$2:$B$5000,$B126)</f>
        <v/>
      </c>
      <c r="D126" s="11">
        <f>SUMIFS(Dispatched!$C$2:$C$5000,Dispatched!$A$2:$A$5000,$A126,Dispatched!$B$2:$B$5000,$B126)</f>
        <v/>
      </c>
      <c r="E126" s="11">
        <f>SUMIFS(Production!$I$2:$I$5000,Production!$A$2:$A$5000,$A126,Production!$B$2:$B$5000,$B126)</f>
        <v/>
      </c>
      <c r="F126" s="23">
        <f>SUMIFS(Production!$J$2:$J$5000,Production!$A$2:$A$5000,$A126,Production!$B$2:$B$5000,$B126)</f>
        <v/>
      </c>
      <c r="G126" s="23">
        <f>SUMIFS(Production!$J$2:$J$5000,Production!$A$2:$A$5000,$A126,Production!$B$2:$B$5000,$B126,Production!$K$2:$K$5000,"0-30")</f>
        <v/>
      </c>
      <c r="H126" s="23">
        <f>SUMIFS(Production!$J$2:$J$5000,Production!$A$2:$A$5000,$A126,Production!$B$2:$B$5000,$B126,Production!$K$2:$K$5000,"31-60")</f>
        <v/>
      </c>
      <c r="I126" s="23">
        <f>SUMIFS(Production!$J$2:$J$5000,Production!$A$2:$A$5000,$A126,Production!$B$2:$B$5000,$B126,Production!$K$2:$K$5000,"61-90")</f>
        <v/>
      </c>
      <c r="J126" s="23">
        <f>SUMIFS(Production!$J$2:$J$5000,Production!$A$2:$A$5000,$A126,Production!$B$2:$B$5000,$B126,Production!$K$2:$K$5000,"90+")</f>
        <v/>
      </c>
      <c r="K126" s="14">
        <f>IF(E126=0,"",_xlfn.MAXIFS(Production!$F$2:$F$5000,Production!$A$2:$A$5000,$A126,Production!$B$2:$B$5000,$B126,Production!$I$2:$I$5000,"&gt;0"))</f>
        <v/>
      </c>
      <c r="L126" s="15">
        <f>IF(F126=0,"",SUMPRODUCT((Production!$A$2:$A$5000=$A126)*(Production!$B$2:$B$5000=$B126)*Production!$J$2:$J$5000,Production!$F$2:$F$5000)/F126)</f>
        <v/>
      </c>
      <c r="M126" s="10">
        <f>IF(D126&gt;C126,"Dispatched more than produced — opening stock / data gap","")</f>
        <v/>
      </c>
    </row>
    <row r="127">
      <c r="A127" s="9" t="inlineStr">
        <is>
          <t>Lepakshi</t>
        </is>
      </c>
      <c r="B127" s="9" t="inlineStr">
        <is>
          <t>100X100X2.5</t>
        </is>
      </c>
      <c r="C127" s="11">
        <f>SUMIFS(Production!$D$2:$D$5000,Production!$A$2:$A$5000,$A127,Production!$B$2:$B$5000,$B127)</f>
        <v/>
      </c>
      <c r="D127" s="11">
        <f>SUMIFS(Dispatched!$C$2:$C$5000,Dispatched!$A$2:$A$5000,$A127,Dispatched!$B$2:$B$5000,$B127)</f>
        <v/>
      </c>
      <c r="E127" s="11">
        <f>SUMIFS(Production!$I$2:$I$5000,Production!$A$2:$A$5000,$A127,Production!$B$2:$B$5000,$B127)</f>
        <v/>
      </c>
      <c r="F127" s="23">
        <f>SUMIFS(Production!$J$2:$J$5000,Production!$A$2:$A$5000,$A127,Production!$B$2:$B$5000,$B127)</f>
        <v/>
      </c>
      <c r="G127" s="23">
        <f>SUMIFS(Production!$J$2:$J$5000,Production!$A$2:$A$5000,$A127,Production!$B$2:$B$5000,$B127,Production!$K$2:$K$5000,"0-30")</f>
        <v/>
      </c>
      <c r="H127" s="23">
        <f>SUMIFS(Production!$J$2:$J$5000,Production!$A$2:$A$5000,$A127,Production!$B$2:$B$5000,$B127,Production!$K$2:$K$5000,"31-60")</f>
        <v/>
      </c>
      <c r="I127" s="23">
        <f>SUMIFS(Production!$J$2:$J$5000,Production!$A$2:$A$5000,$A127,Production!$B$2:$B$5000,$B127,Production!$K$2:$K$5000,"61-90")</f>
        <v/>
      </c>
      <c r="J127" s="23">
        <f>SUMIFS(Production!$J$2:$J$5000,Production!$A$2:$A$5000,$A127,Production!$B$2:$B$5000,$B127,Production!$K$2:$K$5000,"90+")</f>
        <v/>
      </c>
      <c r="K127" s="14">
        <f>IF(E127=0,"",_xlfn.MAXIFS(Production!$F$2:$F$5000,Production!$A$2:$A$5000,$A127,Production!$B$2:$B$5000,$B127,Production!$I$2:$I$5000,"&gt;0"))</f>
        <v/>
      </c>
      <c r="L127" s="15">
        <f>IF(F127=0,"",SUMPRODUCT((Production!$A$2:$A$5000=$A127)*(Production!$B$2:$B$5000=$B127)*Production!$J$2:$J$5000,Production!$F$2:$F$5000)/F127)</f>
        <v/>
      </c>
      <c r="M127" s="10">
        <f>IF(D127&gt;C127,"Dispatched more than produced — opening stock / data gap","")</f>
        <v/>
      </c>
    </row>
    <row r="128">
      <c r="A128" s="9" t="inlineStr">
        <is>
          <t>Lepakshi</t>
        </is>
      </c>
      <c r="B128" s="9" t="inlineStr">
        <is>
          <t>100X100X4</t>
        </is>
      </c>
      <c r="C128" s="11">
        <f>SUMIFS(Production!$D$2:$D$5000,Production!$A$2:$A$5000,$A128,Production!$B$2:$B$5000,$B128)</f>
        <v/>
      </c>
      <c r="D128" s="11">
        <f>SUMIFS(Dispatched!$C$2:$C$5000,Dispatched!$A$2:$A$5000,$A128,Dispatched!$B$2:$B$5000,$B128)</f>
        <v/>
      </c>
      <c r="E128" s="11">
        <f>SUMIFS(Production!$I$2:$I$5000,Production!$A$2:$A$5000,$A128,Production!$B$2:$B$5000,$B128)</f>
        <v/>
      </c>
      <c r="F128" s="23">
        <f>SUMIFS(Production!$J$2:$J$5000,Production!$A$2:$A$5000,$A128,Production!$B$2:$B$5000,$B128)</f>
        <v/>
      </c>
      <c r="G128" s="23">
        <f>SUMIFS(Production!$J$2:$J$5000,Production!$A$2:$A$5000,$A128,Production!$B$2:$B$5000,$B128,Production!$K$2:$K$5000,"0-30")</f>
        <v/>
      </c>
      <c r="H128" s="23">
        <f>SUMIFS(Production!$J$2:$J$5000,Production!$A$2:$A$5000,$A128,Production!$B$2:$B$5000,$B128,Production!$K$2:$K$5000,"31-60")</f>
        <v/>
      </c>
      <c r="I128" s="23">
        <f>SUMIFS(Production!$J$2:$J$5000,Production!$A$2:$A$5000,$A128,Production!$B$2:$B$5000,$B128,Production!$K$2:$K$5000,"61-90")</f>
        <v/>
      </c>
      <c r="J128" s="23">
        <f>SUMIFS(Production!$J$2:$J$5000,Production!$A$2:$A$5000,$A128,Production!$B$2:$B$5000,$B128,Production!$K$2:$K$5000,"90+")</f>
        <v/>
      </c>
      <c r="K128" s="14">
        <f>IF(E128=0,"",_xlfn.MAXIFS(Production!$F$2:$F$5000,Production!$A$2:$A$5000,$A128,Production!$B$2:$B$5000,$B128,Production!$I$2:$I$5000,"&gt;0"))</f>
        <v/>
      </c>
      <c r="L128" s="15">
        <f>IF(F128=0,"",SUMPRODUCT((Production!$A$2:$A$5000=$A128)*(Production!$B$2:$B$5000=$B128)*Production!$J$2:$J$5000,Production!$F$2:$F$5000)/F128)</f>
        <v/>
      </c>
      <c r="M128" s="10">
        <f>IF(D128&gt;C128,"Dispatched more than produced — opening stock / data gap","")</f>
        <v/>
      </c>
    </row>
    <row r="129">
      <c r="A129" s="9" t="inlineStr">
        <is>
          <t>Lepakshi</t>
        </is>
      </c>
      <c r="B129" s="9" t="inlineStr">
        <is>
          <t>40X40X2.5</t>
        </is>
      </c>
      <c r="C129" s="11">
        <f>SUMIFS(Production!$D$2:$D$5000,Production!$A$2:$A$5000,$A129,Production!$B$2:$B$5000,$B129)</f>
        <v/>
      </c>
      <c r="D129" s="11">
        <f>SUMIFS(Dispatched!$C$2:$C$5000,Dispatched!$A$2:$A$5000,$A129,Dispatched!$B$2:$B$5000,$B129)</f>
        <v/>
      </c>
      <c r="E129" s="11">
        <f>SUMIFS(Production!$I$2:$I$5000,Production!$A$2:$A$5000,$A129,Production!$B$2:$B$5000,$B129)</f>
        <v/>
      </c>
      <c r="F129" s="23">
        <f>SUMIFS(Production!$J$2:$J$5000,Production!$A$2:$A$5000,$A129,Production!$B$2:$B$5000,$B129)</f>
        <v/>
      </c>
      <c r="G129" s="23">
        <f>SUMIFS(Production!$J$2:$J$5000,Production!$A$2:$A$5000,$A129,Production!$B$2:$B$5000,$B129,Production!$K$2:$K$5000,"0-30")</f>
        <v/>
      </c>
      <c r="H129" s="23">
        <f>SUMIFS(Production!$J$2:$J$5000,Production!$A$2:$A$5000,$A129,Production!$B$2:$B$5000,$B129,Production!$K$2:$K$5000,"31-60")</f>
        <v/>
      </c>
      <c r="I129" s="23">
        <f>SUMIFS(Production!$J$2:$J$5000,Production!$A$2:$A$5000,$A129,Production!$B$2:$B$5000,$B129,Production!$K$2:$K$5000,"61-90")</f>
        <v/>
      </c>
      <c r="J129" s="23">
        <f>SUMIFS(Production!$J$2:$J$5000,Production!$A$2:$A$5000,$A129,Production!$B$2:$B$5000,$B129,Production!$K$2:$K$5000,"90+")</f>
        <v/>
      </c>
      <c r="K129" s="14">
        <f>IF(E129=0,"",_xlfn.MAXIFS(Production!$F$2:$F$5000,Production!$A$2:$A$5000,$A129,Production!$B$2:$B$5000,$B129,Production!$I$2:$I$5000,"&gt;0"))</f>
        <v/>
      </c>
      <c r="L129" s="15">
        <f>IF(F129=0,"",SUMPRODUCT((Production!$A$2:$A$5000=$A129)*(Production!$B$2:$B$5000=$B129)*Production!$J$2:$J$5000,Production!$F$2:$F$5000)/F129)</f>
        <v/>
      </c>
      <c r="M129" s="10">
        <f>IF(D129&gt;C129,"Dispatched more than produced — opening stock / data gap","")</f>
        <v/>
      </c>
    </row>
    <row r="130">
      <c r="A130" s="9" t="inlineStr">
        <is>
          <t>NPMD</t>
        </is>
      </c>
      <c r="B130" s="9" t="inlineStr">
        <is>
          <t>60X40X1.6</t>
        </is>
      </c>
      <c r="C130" s="11">
        <f>SUMIFS(Production!$D$2:$D$5000,Production!$A$2:$A$5000,$A130,Production!$B$2:$B$5000,$B130)</f>
        <v/>
      </c>
      <c r="D130" s="11">
        <f>SUMIFS(Dispatched!$C$2:$C$5000,Dispatched!$A$2:$A$5000,$A130,Dispatched!$B$2:$B$5000,$B130)</f>
        <v/>
      </c>
      <c r="E130" s="11">
        <f>SUMIFS(Production!$I$2:$I$5000,Production!$A$2:$A$5000,$A130,Production!$B$2:$B$5000,$B130)</f>
        <v/>
      </c>
      <c r="F130" s="23">
        <f>SUMIFS(Production!$J$2:$J$5000,Production!$A$2:$A$5000,$A130,Production!$B$2:$B$5000,$B130)</f>
        <v/>
      </c>
      <c r="G130" s="23">
        <f>SUMIFS(Production!$J$2:$J$5000,Production!$A$2:$A$5000,$A130,Production!$B$2:$B$5000,$B130,Production!$K$2:$K$5000,"0-30")</f>
        <v/>
      </c>
      <c r="H130" s="23">
        <f>SUMIFS(Production!$J$2:$J$5000,Production!$A$2:$A$5000,$A130,Production!$B$2:$B$5000,$B130,Production!$K$2:$K$5000,"31-60")</f>
        <v/>
      </c>
      <c r="I130" s="23">
        <f>SUMIFS(Production!$J$2:$J$5000,Production!$A$2:$A$5000,$A130,Production!$B$2:$B$5000,$B130,Production!$K$2:$K$5000,"61-90")</f>
        <v/>
      </c>
      <c r="J130" s="23">
        <f>SUMIFS(Production!$J$2:$J$5000,Production!$A$2:$A$5000,$A130,Production!$B$2:$B$5000,$B130,Production!$K$2:$K$5000,"90+")</f>
        <v/>
      </c>
      <c r="K130" s="14">
        <f>IF(E130=0,"",_xlfn.MAXIFS(Production!$F$2:$F$5000,Production!$A$2:$A$5000,$A130,Production!$B$2:$B$5000,$B130,Production!$I$2:$I$5000,"&gt;0"))</f>
        <v/>
      </c>
      <c r="L130" s="15">
        <f>IF(F130=0,"",SUMPRODUCT((Production!$A$2:$A$5000=$A130)*(Production!$B$2:$B$5000=$B130)*Production!$J$2:$J$5000,Production!$F$2:$F$5000)/F130)</f>
        <v/>
      </c>
      <c r="M130" s="10">
        <f>IF(D130&gt;C130,"Dispatched more than produced — opening stock / data gap","")</f>
        <v/>
      </c>
    </row>
    <row r="131">
      <c r="A131" s="9" t="inlineStr">
        <is>
          <t>NPMD</t>
        </is>
      </c>
      <c r="B131" s="9" t="inlineStr">
        <is>
          <t>50X50X1.6</t>
        </is>
      </c>
      <c r="C131" s="11">
        <f>SUMIFS(Production!$D$2:$D$5000,Production!$A$2:$A$5000,$A131,Production!$B$2:$B$5000,$B131)</f>
        <v/>
      </c>
      <c r="D131" s="11">
        <f>SUMIFS(Dispatched!$C$2:$C$5000,Dispatched!$A$2:$A$5000,$A131,Dispatched!$B$2:$B$5000,$B131)</f>
        <v/>
      </c>
      <c r="E131" s="11">
        <f>SUMIFS(Production!$I$2:$I$5000,Production!$A$2:$A$5000,$A131,Production!$B$2:$B$5000,$B131)</f>
        <v/>
      </c>
      <c r="F131" s="23">
        <f>SUMIFS(Production!$J$2:$J$5000,Production!$A$2:$A$5000,$A131,Production!$B$2:$B$5000,$B131)</f>
        <v/>
      </c>
      <c r="G131" s="23">
        <f>SUMIFS(Production!$J$2:$J$5000,Production!$A$2:$A$5000,$A131,Production!$B$2:$B$5000,$B131,Production!$K$2:$K$5000,"0-30")</f>
        <v/>
      </c>
      <c r="H131" s="23">
        <f>SUMIFS(Production!$J$2:$J$5000,Production!$A$2:$A$5000,$A131,Production!$B$2:$B$5000,$B131,Production!$K$2:$K$5000,"31-60")</f>
        <v/>
      </c>
      <c r="I131" s="23">
        <f>SUMIFS(Production!$J$2:$J$5000,Production!$A$2:$A$5000,$A131,Production!$B$2:$B$5000,$B131,Production!$K$2:$K$5000,"61-90")</f>
        <v/>
      </c>
      <c r="J131" s="23">
        <f>SUMIFS(Production!$J$2:$J$5000,Production!$A$2:$A$5000,$A131,Production!$B$2:$B$5000,$B131,Production!$K$2:$K$5000,"90+")</f>
        <v/>
      </c>
      <c r="K131" s="14">
        <f>IF(E131=0,"",_xlfn.MAXIFS(Production!$F$2:$F$5000,Production!$A$2:$A$5000,$A131,Production!$B$2:$B$5000,$B131,Production!$I$2:$I$5000,"&gt;0"))</f>
        <v/>
      </c>
      <c r="L131" s="15">
        <f>IF(F131=0,"",SUMPRODUCT((Production!$A$2:$A$5000=$A131)*(Production!$B$2:$B$5000=$B131)*Production!$J$2:$J$5000,Production!$F$2:$F$5000)/F131)</f>
        <v/>
      </c>
      <c r="M131" s="10">
        <f>IF(D131&gt;C131,"Dispatched more than produced — opening stock / data gap","")</f>
        <v/>
      </c>
    </row>
    <row r="132">
      <c r="A132" s="9" t="inlineStr">
        <is>
          <t>NPMD</t>
        </is>
      </c>
      <c r="B132" s="9" t="inlineStr">
        <is>
          <t>50X50X2</t>
        </is>
      </c>
      <c r="C132" s="11">
        <f>SUMIFS(Production!$D$2:$D$5000,Production!$A$2:$A$5000,$A132,Production!$B$2:$B$5000,$B132)</f>
        <v/>
      </c>
      <c r="D132" s="11">
        <f>SUMIFS(Dispatched!$C$2:$C$5000,Dispatched!$A$2:$A$5000,$A132,Dispatched!$B$2:$B$5000,$B132)</f>
        <v/>
      </c>
      <c r="E132" s="11">
        <f>SUMIFS(Production!$I$2:$I$5000,Production!$A$2:$A$5000,$A132,Production!$B$2:$B$5000,$B132)</f>
        <v/>
      </c>
      <c r="F132" s="23">
        <f>SUMIFS(Production!$J$2:$J$5000,Production!$A$2:$A$5000,$A132,Production!$B$2:$B$5000,$B132)</f>
        <v/>
      </c>
      <c r="G132" s="23">
        <f>SUMIFS(Production!$J$2:$J$5000,Production!$A$2:$A$5000,$A132,Production!$B$2:$B$5000,$B132,Production!$K$2:$K$5000,"0-30")</f>
        <v/>
      </c>
      <c r="H132" s="23">
        <f>SUMIFS(Production!$J$2:$J$5000,Production!$A$2:$A$5000,$A132,Production!$B$2:$B$5000,$B132,Production!$K$2:$K$5000,"31-60")</f>
        <v/>
      </c>
      <c r="I132" s="23">
        <f>SUMIFS(Production!$J$2:$J$5000,Production!$A$2:$A$5000,$A132,Production!$B$2:$B$5000,$B132,Production!$K$2:$K$5000,"61-90")</f>
        <v/>
      </c>
      <c r="J132" s="23">
        <f>SUMIFS(Production!$J$2:$J$5000,Production!$A$2:$A$5000,$A132,Production!$B$2:$B$5000,$B132,Production!$K$2:$K$5000,"90+")</f>
        <v/>
      </c>
      <c r="K132" s="14">
        <f>IF(E132=0,"",_xlfn.MAXIFS(Production!$F$2:$F$5000,Production!$A$2:$A$5000,$A132,Production!$B$2:$B$5000,$B132,Production!$I$2:$I$5000,"&gt;0"))</f>
        <v/>
      </c>
      <c r="L132" s="15">
        <f>IF(F132=0,"",SUMPRODUCT((Production!$A$2:$A$5000=$A132)*(Production!$B$2:$B$5000=$B132)*Production!$J$2:$J$5000,Production!$F$2:$F$5000)/F132)</f>
        <v/>
      </c>
      <c r="M132" s="10">
        <f>IF(D132&gt;C132,"Dispatched more than produced — opening stock / data gap","")</f>
        <v/>
      </c>
    </row>
    <row r="133">
      <c r="A133" s="9" t="inlineStr">
        <is>
          <t>NPMD</t>
        </is>
      </c>
      <c r="B133" s="9" t="inlineStr">
        <is>
          <t>60X40X2</t>
        </is>
      </c>
      <c r="C133" s="11">
        <f>SUMIFS(Production!$D$2:$D$5000,Production!$A$2:$A$5000,$A133,Production!$B$2:$B$5000,$B133)</f>
        <v/>
      </c>
      <c r="D133" s="11">
        <f>SUMIFS(Dispatched!$C$2:$C$5000,Dispatched!$A$2:$A$5000,$A133,Dispatched!$B$2:$B$5000,$B133)</f>
        <v/>
      </c>
      <c r="E133" s="11">
        <f>SUMIFS(Production!$I$2:$I$5000,Production!$A$2:$A$5000,$A133,Production!$B$2:$B$5000,$B133)</f>
        <v/>
      </c>
      <c r="F133" s="23">
        <f>SUMIFS(Production!$J$2:$J$5000,Production!$A$2:$A$5000,$A133,Production!$B$2:$B$5000,$B133)</f>
        <v/>
      </c>
      <c r="G133" s="23">
        <f>SUMIFS(Production!$J$2:$J$5000,Production!$A$2:$A$5000,$A133,Production!$B$2:$B$5000,$B133,Production!$K$2:$K$5000,"0-30")</f>
        <v/>
      </c>
      <c r="H133" s="23">
        <f>SUMIFS(Production!$J$2:$J$5000,Production!$A$2:$A$5000,$A133,Production!$B$2:$B$5000,$B133,Production!$K$2:$K$5000,"31-60")</f>
        <v/>
      </c>
      <c r="I133" s="23">
        <f>SUMIFS(Production!$J$2:$J$5000,Production!$A$2:$A$5000,$A133,Production!$B$2:$B$5000,$B133,Production!$K$2:$K$5000,"61-90")</f>
        <v/>
      </c>
      <c r="J133" s="23">
        <f>SUMIFS(Production!$J$2:$J$5000,Production!$A$2:$A$5000,$A133,Production!$B$2:$B$5000,$B133,Production!$K$2:$K$5000,"90+")</f>
        <v/>
      </c>
      <c r="K133" s="14">
        <f>IF(E133=0,"",_xlfn.MAXIFS(Production!$F$2:$F$5000,Production!$A$2:$A$5000,$A133,Production!$B$2:$B$5000,$B133,Production!$I$2:$I$5000,"&gt;0"))</f>
        <v/>
      </c>
      <c r="L133" s="15">
        <f>IF(F133=0,"",SUMPRODUCT((Production!$A$2:$A$5000=$A133)*(Production!$B$2:$B$5000=$B133)*Production!$J$2:$J$5000,Production!$F$2:$F$5000)/F133)</f>
        <v/>
      </c>
      <c r="M133" s="10">
        <f>IF(D133&gt;C133,"Dispatched more than produced — opening stock / data gap","")</f>
        <v/>
      </c>
    </row>
    <row r="134">
      <c r="A134" s="9" t="inlineStr">
        <is>
          <t>NPMD</t>
        </is>
      </c>
      <c r="B134" s="9" t="inlineStr">
        <is>
          <t>80X40X2</t>
        </is>
      </c>
      <c r="C134" s="11">
        <f>SUMIFS(Production!$D$2:$D$5000,Production!$A$2:$A$5000,$A134,Production!$B$2:$B$5000,$B134)</f>
        <v/>
      </c>
      <c r="D134" s="11">
        <f>SUMIFS(Dispatched!$C$2:$C$5000,Dispatched!$A$2:$A$5000,$A134,Dispatched!$B$2:$B$5000,$B134)</f>
        <v/>
      </c>
      <c r="E134" s="11">
        <f>SUMIFS(Production!$I$2:$I$5000,Production!$A$2:$A$5000,$A134,Production!$B$2:$B$5000,$B134)</f>
        <v/>
      </c>
      <c r="F134" s="23">
        <f>SUMIFS(Production!$J$2:$J$5000,Production!$A$2:$A$5000,$A134,Production!$B$2:$B$5000,$B134)</f>
        <v/>
      </c>
      <c r="G134" s="23">
        <f>SUMIFS(Production!$J$2:$J$5000,Production!$A$2:$A$5000,$A134,Production!$B$2:$B$5000,$B134,Production!$K$2:$K$5000,"0-30")</f>
        <v/>
      </c>
      <c r="H134" s="23">
        <f>SUMIFS(Production!$J$2:$J$5000,Production!$A$2:$A$5000,$A134,Production!$B$2:$B$5000,$B134,Production!$K$2:$K$5000,"31-60")</f>
        <v/>
      </c>
      <c r="I134" s="23">
        <f>SUMIFS(Production!$J$2:$J$5000,Production!$A$2:$A$5000,$A134,Production!$B$2:$B$5000,$B134,Production!$K$2:$K$5000,"61-90")</f>
        <v/>
      </c>
      <c r="J134" s="23">
        <f>SUMIFS(Production!$J$2:$J$5000,Production!$A$2:$A$5000,$A134,Production!$B$2:$B$5000,$B134,Production!$K$2:$K$5000,"90+")</f>
        <v/>
      </c>
      <c r="K134" s="14">
        <f>IF(E134=0,"",_xlfn.MAXIFS(Production!$F$2:$F$5000,Production!$A$2:$A$5000,$A134,Production!$B$2:$B$5000,$B134,Production!$I$2:$I$5000,"&gt;0"))</f>
        <v/>
      </c>
      <c r="L134" s="15">
        <f>IF(F134=0,"",SUMPRODUCT((Production!$A$2:$A$5000=$A134)*(Production!$B$2:$B$5000=$B134)*Production!$J$2:$J$5000,Production!$F$2:$F$5000)/F134)</f>
        <v/>
      </c>
      <c r="M134" s="10">
        <f>IF(D134&gt;C134,"Dispatched more than produced — opening stock / data gap","")</f>
        <v/>
      </c>
    </row>
    <row r="135">
      <c r="A135" s="9" t="inlineStr">
        <is>
          <t>NPMD</t>
        </is>
      </c>
      <c r="B135" s="9" t="inlineStr">
        <is>
          <t>50X50X2.5</t>
        </is>
      </c>
      <c r="C135" s="11">
        <f>SUMIFS(Production!$D$2:$D$5000,Production!$A$2:$A$5000,$A135,Production!$B$2:$B$5000,$B135)</f>
        <v/>
      </c>
      <c r="D135" s="11">
        <f>SUMIFS(Dispatched!$C$2:$C$5000,Dispatched!$A$2:$A$5000,$A135,Dispatched!$B$2:$B$5000,$B135)</f>
        <v/>
      </c>
      <c r="E135" s="11">
        <f>SUMIFS(Production!$I$2:$I$5000,Production!$A$2:$A$5000,$A135,Production!$B$2:$B$5000,$B135)</f>
        <v/>
      </c>
      <c r="F135" s="23">
        <f>SUMIFS(Production!$J$2:$J$5000,Production!$A$2:$A$5000,$A135,Production!$B$2:$B$5000,$B135)</f>
        <v/>
      </c>
      <c r="G135" s="23">
        <f>SUMIFS(Production!$J$2:$J$5000,Production!$A$2:$A$5000,$A135,Production!$B$2:$B$5000,$B135,Production!$K$2:$K$5000,"0-30")</f>
        <v/>
      </c>
      <c r="H135" s="23">
        <f>SUMIFS(Production!$J$2:$J$5000,Production!$A$2:$A$5000,$A135,Production!$B$2:$B$5000,$B135,Production!$K$2:$K$5000,"31-60")</f>
        <v/>
      </c>
      <c r="I135" s="23">
        <f>SUMIFS(Production!$J$2:$J$5000,Production!$A$2:$A$5000,$A135,Production!$B$2:$B$5000,$B135,Production!$K$2:$K$5000,"61-90")</f>
        <v/>
      </c>
      <c r="J135" s="23">
        <f>SUMIFS(Production!$J$2:$J$5000,Production!$A$2:$A$5000,$A135,Production!$B$2:$B$5000,$B135,Production!$K$2:$K$5000,"90+")</f>
        <v/>
      </c>
      <c r="K135" s="14">
        <f>IF(E135=0,"",_xlfn.MAXIFS(Production!$F$2:$F$5000,Production!$A$2:$A$5000,$A135,Production!$B$2:$B$5000,$B135,Production!$I$2:$I$5000,"&gt;0"))</f>
        <v/>
      </c>
      <c r="L135" s="15">
        <f>IF(F135=0,"",SUMPRODUCT((Production!$A$2:$A$5000=$A135)*(Production!$B$2:$B$5000=$B135)*Production!$J$2:$J$5000,Production!$F$2:$F$5000)/F135)</f>
        <v/>
      </c>
      <c r="M135" s="10">
        <f>IF(D135&gt;C135,"Dispatched more than produced — opening stock / data gap","")</f>
        <v/>
      </c>
    </row>
    <row r="136">
      <c r="A136" s="9" t="inlineStr">
        <is>
          <t>NPMD</t>
        </is>
      </c>
      <c r="B136" s="9" t="inlineStr">
        <is>
          <t>80X40X3</t>
        </is>
      </c>
      <c r="C136" s="11">
        <f>SUMIFS(Production!$D$2:$D$5000,Production!$A$2:$A$5000,$A136,Production!$B$2:$B$5000,$B136)</f>
        <v/>
      </c>
      <c r="D136" s="11">
        <f>SUMIFS(Dispatched!$C$2:$C$5000,Dispatched!$A$2:$A$5000,$A136,Dispatched!$B$2:$B$5000,$B136)</f>
        <v/>
      </c>
      <c r="E136" s="11">
        <f>SUMIFS(Production!$I$2:$I$5000,Production!$A$2:$A$5000,$A136,Production!$B$2:$B$5000,$B136)</f>
        <v/>
      </c>
      <c r="F136" s="23">
        <f>SUMIFS(Production!$J$2:$J$5000,Production!$A$2:$A$5000,$A136,Production!$B$2:$B$5000,$B136)</f>
        <v/>
      </c>
      <c r="G136" s="23">
        <f>SUMIFS(Production!$J$2:$J$5000,Production!$A$2:$A$5000,$A136,Production!$B$2:$B$5000,$B136,Production!$K$2:$K$5000,"0-30")</f>
        <v/>
      </c>
      <c r="H136" s="23">
        <f>SUMIFS(Production!$J$2:$J$5000,Production!$A$2:$A$5000,$A136,Production!$B$2:$B$5000,$B136,Production!$K$2:$K$5000,"31-60")</f>
        <v/>
      </c>
      <c r="I136" s="23">
        <f>SUMIFS(Production!$J$2:$J$5000,Production!$A$2:$A$5000,$A136,Production!$B$2:$B$5000,$B136,Production!$K$2:$K$5000,"61-90")</f>
        <v/>
      </c>
      <c r="J136" s="23">
        <f>SUMIFS(Production!$J$2:$J$5000,Production!$A$2:$A$5000,$A136,Production!$B$2:$B$5000,$B136,Production!$K$2:$K$5000,"90+")</f>
        <v/>
      </c>
      <c r="K136" s="14">
        <f>IF(E136=0,"",_xlfn.MAXIFS(Production!$F$2:$F$5000,Production!$A$2:$A$5000,$A136,Production!$B$2:$B$5000,$B136,Production!$I$2:$I$5000,"&gt;0"))</f>
        <v/>
      </c>
      <c r="L136" s="15">
        <f>IF(F136=0,"",SUMPRODUCT((Production!$A$2:$A$5000=$A136)*(Production!$B$2:$B$5000=$B136)*Production!$J$2:$J$5000,Production!$F$2:$F$5000)/F136)</f>
        <v/>
      </c>
      <c r="M136" s="10">
        <f>IF(D136&gt;C136,"Dispatched more than produced — opening stock / data gap","")</f>
        <v/>
      </c>
    </row>
    <row r="137">
      <c r="A137" s="9" t="inlineStr">
        <is>
          <t>NPMD</t>
        </is>
      </c>
      <c r="B137" s="9" t="inlineStr">
        <is>
          <t>60X40X2.5</t>
        </is>
      </c>
      <c r="C137" s="11">
        <f>SUMIFS(Production!$D$2:$D$5000,Production!$A$2:$A$5000,$A137,Production!$B$2:$B$5000,$B137)</f>
        <v/>
      </c>
      <c r="D137" s="11">
        <f>SUMIFS(Dispatched!$C$2:$C$5000,Dispatched!$A$2:$A$5000,$A137,Dispatched!$B$2:$B$5000,$B137)</f>
        <v/>
      </c>
      <c r="E137" s="11">
        <f>SUMIFS(Production!$I$2:$I$5000,Production!$A$2:$A$5000,$A137,Production!$B$2:$B$5000,$B137)</f>
        <v/>
      </c>
      <c r="F137" s="23">
        <f>SUMIFS(Production!$J$2:$J$5000,Production!$A$2:$A$5000,$A137,Production!$B$2:$B$5000,$B137)</f>
        <v/>
      </c>
      <c r="G137" s="23">
        <f>SUMIFS(Production!$J$2:$J$5000,Production!$A$2:$A$5000,$A137,Production!$B$2:$B$5000,$B137,Production!$K$2:$K$5000,"0-30")</f>
        <v/>
      </c>
      <c r="H137" s="23">
        <f>SUMIFS(Production!$J$2:$J$5000,Production!$A$2:$A$5000,$A137,Production!$B$2:$B$5000,$B137,Production!$K$2:$K$5000,"31-60")</f>
        <v/>
      </c>
      <c r="I137" s="23">
        <f>SUMIFS(Production!$J$2:$J$5000,Production!$A$2:$A$5000,$A137,Production!$B$2:$B$5000,$B137,Production!$K$2:$K$5000,"61-90")</f>
        <v/>
      </c>
      <c r="J137" s="23">
        <f>SUMIFS(Production!$J$2:$J$5000,Production!$A$2:$A$5000,$A137,Production!$B$2:$B$5000,$B137,Production!$K$2:$K$5000,"90+")</f>
        <v/>
      </c>
      <c r="K137" s="14">
        <f>IF(E137=0,"",_xlfn.MAXIFS(Production!$F$2:$F$5000,Production!$A$2:$A$5000,$A137,Production!$B$2:$B$5000,$B137,Production!$I$2:$I$5000,"&gt;0"))</f>
        <v/>
      </c>
      <c r="L137" s="15">
        <f>IF(F137=0,"",SUMPRODUCT((Production!$A$2:$A$5000=$A137)*(Production!$B$2:$B$5000=$B137)*Production!$J$2:$J$5000,Production!$F$2:$F$5000)/F137)</f>
        <v/>
      </c>
      <c r="M137" s="10">
        <f>IF(D137&gt;C137,"Dispatched more than produced — opening stock / data gap","")</f>
        <v/>
      </c>
    </row>
    <row r="138">
      <c r="A138" s="9" t="inlineStr">
        <is>
          <t>NPMD</t>
        </is>
      </c>
      <c r="B138" s="9" t="inlineStr">
        <is>
          <t>60X40X3</t>
        </is>
      </c>
      <c r="C138" s="11">
        <f>SUMIFS(Production!$D$2:$D$5000,Production!$A$2:$A$5000,$A138,Production!$B$2:$B$5000,$B138)</f>
        <v/>
      </c>
      <c r="D138" s="11">
        <f>SUMIFS(Dispatched!$C$2:$C$5000,Dispatched!$A$2:$A$5000,$A138,Dispatched!$B$2:$B$5000,$B138)</f>
        <v/>
      </c>
      <c r="E138" s="11">
        <f>SUMIFS(Production!$I$2:$I$5000,Production!$A$2:$A$5000,$A138,Production!$B$2:$B$5000,$B138)</f>
        <v/>
      </c>
      <c r="F138" s="23">
        <f>SUMIFS(Production!$J$2:$J$5000,Production!$A$2:$A$5000,$A138,Production!$B$2:$B$5000,$B138)</f>
        <v/>
      </c>
      <c r="G138" s="23">
        <f>SUMIFS(Production!$J$2:$J$5000,Production!$A$2:$A$5000,$A138,Production!$B$2:$B$5000,$B138,Production!$K$2:$K$5000,"0-30")</f>
        <v/>
      </c>
      <c r="H138" s="23">
        <f>SUMIFS(Production!$J$2:$J$5000,Production!$A$2:$A$5000,$A138,Production!$B$2:$B$5000,$B138,Production!$K$2:$K$5000,"31-60")</f>
        <v/>
      </c>
      <c r="I138" s="23">
        <f>SUMIFS(Production!$J$2:$J$5000,Production!$A$2:$A$5000,$A138,Production!$B$2:$B$5000,$B138,Production!$K$2:$K$5000,"61-90")</f>
        <v/>
      </c>
      <c r="J138" s="23">
        <f>SUMIFS(Production!$J$2:$J$5000,Production!$A$2:$A$5000,$A138,Production!$B$2:$B$5000,$B138,Production!$K$2:$K$5000,"90+")</f>
        <v/>
      </c>
      <c r="K138" s="14">
        <f>IF(E138=0,"",_xlfn.MAXIFS(Production!$F$2:$F$5000,Production!$A$2:$A$5000,$A138,Production!$B$2:$B$5000,$B138,Production!$I$2:$I$5000,"&gt;0"))</f>
        <v/>
      </c>
      <c r="L138" s="15">
        <f>IF(F138=0,"",SUMPRODUCT((Production!$A$2:$A$5000=$A138)*(Production!$B$2:$B$5000=$B138)*Production!$J$2:$J$5000,Production!$F$2:$F$5000)/F138)</f>
        <v/>
      </c>
      <c r="M138" s="10">
        <f>IF(D138&gt;C138,"Dispatched more than produced — opening stock / data gap","")</f>
        <v/>
      </c>
    </row>
    <row r="139">
      <c r="A139" s="9" t="inlineStr">
        <is>
          <t>NPMD</t>
        </is>
      </c>
      <c r="B139" s="9" t="inlineStr">
        <is>
          <t>50X25X1.6</t>
        </is>
      </c>
      <c r="C139" s="11">
        <f>SUMIFS(Production!$D$2:$D$5000,Production!$A$2:$A$5000,$A139,Production!$B$2:$B$5000,$B139)</f>
        <v/>
      </c>
      <c r="D139" s="11">
        <f>SUMIFS(Dispatched!$C$2:$C$5000,Dispatched!$A$2:$A$5000,$A139,Dispatched!$B$2:$B$5000,$B139)</f>
        <v/>
      </c>
      <c r="E139" s="11">
        <f>SUMIFS(Production!$I$2:$I$5000,Production!$A$2:$A$5000,$A139,Production!$B$2:$B$5000,$B139)</f>
        <v/>
      </c>
      <c r="F139" s="23">
        <f>SUMIFS(Production!$J$2:$J$5000,Production!$A$2:$A$5000,$A139,Production!$B$2:$B$5000,$B139)</f>
        <v/>
      </c>
      <c r="G139" s="23">
        <f>SUMIFS(Production!$J$2:$J$5000,Production!$A$2:$A$5000,$A139,Production!$B$2:$B$5000,$B139,Production!$K$2:$K$5000,"0-30")</f>
        <v/>
      </c>
      <c r="H139" s="23">
        <f>SUMIFS(Production!$J$2:$J$5000,Production!$A$2:$A$5000,$A139,Production!$B$2:$B$5000,$B139,Production!$K$2:$K$5000,"31-60")</f>
        <v/>
      </c>
      <c r="I139" s="23">
        <f>SUMIFS(Production!$J$2:$J$5000,Production!$A$2:$A$5000,$A139,Production!$B$2:$B$5000,$B139,Production!$K$2:$K$5000,"61-90")</f>
        <v/>
      </c>
      <c r="J139" s="23">
        <f>SUMIFS(Production!$J$2:$J$5000,Production!$A$2:$A$5000,$A139,Production!$B$2:$B$5000,$B139,Production!$K$2:$K$5000,"90+")</f>
        <v/>
      </c>
      <c r="K139" s="14">
        <f>IF(E139=0,"",_xlfn.MAXIFS(Production!$F$2:$F$5000,Production!$A$2:$A$5000,$A139,Production!$B$2:$B$5000,$B139,Production!$I$2:$I$5000,"&gt;0"))</f>
        <v/>
      </c>
      <c r="L139" s="15">
        <f>IF(F139=0,"",SUMPRODUCT((Production!$A$2:$A$5000=$A139)*(Production!$B$2:$B$5000=$B139)*Production!$J$2:$J$5000,Production!$F$2:$F$5000)/F139)</f>
        <v/>
      </c>
      <c r="M139" s="10">
        <f>IF(D139&gt;C139,"Dispatched more than produced — opening stock / data gap","")</f>
        <v/>
      </c>
    </row>
    <row r="140">
      <c r="A140" s="9" t="inlineStr">
        <is>
          <t>NPMD</t>
        </is>
      </c>
      <c r="B140" s="9" t="inlineStr">
        <is>
          <t>50X25X2.5</t>
        </is>
      </c>
      <c r="C140" s="11">
        <f>SUMIFS(Production!$D$2:$D$5000,Production!$A$2:$A$5000,$A140,Production!$B$2:$B$5000,$B140)</f>
        <v/>
      </c>
      <c r="D140" s="11">
        <f>SUMIFS(Dispatched!$C$2:$C$5000,Dispatched!$A$2:$A$5000,$A140,Dispatched!$B$2:$B$5000,$B140)</f>
        <v/>
      </c>
      <c r="E140" s="11">
        <f>SUMIFS(Production!$I$2:$I$5000,Production!$A$2:$A$5000,$A140,Production!$B$2:$B$5000,$B140)</f>
        <v/>
      </c>
      <c r="F140" s="23">
        <f>SUMIFS(Production!$J$2:$J$5000,Production!$A$2:$A$5000,$A140,Production!$B$2:$B$5000,$B140)</f>
        <v/>
      </c>
      <c r="G140" s="23">
        <f>SUMIFS(Production!$J$2:$J$5000,Production!$A$2:$A$5000,$A140,Production!$B$2:$B$5000,$B140,Production!$K$2:$K$5000,"0-30")</f>
        <v/>
      </c>
      <c r="H140" s="23">
        <f>SUMIFS(Production!$J$2:$J$5000,Production!$A$2:$A$5000,$A140,Production!$B$2:$B$5000,$B140,Production!$K$2:$K$5000,"31-60")</f>
        <v/>
      </c>
      <c r="I140" s="23">
        <f>SUMIFS(Production!$J$2:$J$5000,Production!$A$2:$A$5000,$A140,Production!$B$2:$B$5000,$B140,Production!$K$2:$K$5000,"61-90")</f>
        <v/>
      </c>
      <c r="J140" s="23">
        <f>SUMIFS(Production!$J$2:$J$5000,Production!$A$2:$A$5000,$A140,Production!$B$2:$B$5000,$B140,Production!$K$2:$K$5000,"90+")</f>
        <v/>
      </c>
      <c r="K140" s="14">
        <f>IF(E140=0,"",_xlfn.MAXIFS(Production!$F$2:$F$5000,Production!$A$2:$A$5000,$A140,Production!$B$2:$B$5000,$B140,Production!$I$2:$I$5000,"&gt;0"))</f>
        <v/>
      </c>
      <c r="L140" s="15">
        <f>IF(F140=0,"",SUMPRODUCT((Production!$A$2:$A$5000=$A140)*(Production!$B$2:$B$5000=$B140)*Production!$J$2:$J$5000,Production!$F$2:$F$5000)/F140)</f>
        <v/>
      </c>
      <c r="M140" s="10">
        <f>IF(D140&gt;C140,"Dispatched more than produced — opening stock / data gap","")</f>
        <v/>
      </c>
    </row>
    <row r="141">
      <c r="A141" s="9" t="inlineStr">
        <is>
          <t>NPMD</t>
        </is>
      </c>
      <c r="B141" s="9" t="inlineStr">
        <is>
          <t>50X25X3</t>
        </is>
      </c>
      <c r="C141" s="11">
        <f>SUMIFS(Production!$D$2:$D$5000,Production!$A$2:$A$5000,$A141,Production!$B$2:$B$5000,$B141)</f>
        <v/>
      </c>
      <c r="D141" s="11">
        <f>SUMIFS(Dispatched!$C$2:$C$5000,Dispatched!$A$2:$A$5000,$A141,Dispatched!$B$2:$B$5000,$B141)</f>
        <v/>
      </c>
      <c r="E141" s="11">
        <f>SUMIFS(Production!$I$2:$I$5000,Production!$A$2:$A$5000,$A141,Production!$B$2:$B$5000,$B141)</f>
        <v/>
      </c>
      <c r="F141" s="23">
        <f>SUMIFS(Production!$J$2:$J$5000,Production!$A$2:$A$5000,$A141,Production!$B$2:$B$5000,$B141)</f>
        <v/>
      </c>
      <c r="G141" s="23">
        <f>SUMIFS(Production!$J$2:$J$5000,Production!$A$2:$A$5000,$A141,Production!$B$2:$B$5000,$B141,Production!$K$2:$K$5000,"0-30")</f>
        <v/>
      </c>
      <c r="H141" s="23">
        <f>SUMIFS(Production!$J$2:$J$5000,Production!$A$2:$A$5000,$A141,Production!$B$2:$B$5000,$B141,Production!$K$2:$K$5000,"31-60")</f>
        <v/>
      </c>
      <c r="I141" s="23">
        <f>SUMIFS(Production!$J$2:$J$5000,Production!$A$2:$A$5000,$A141,Production!$B$2:$B$5000,$B141,Production!$K$2:$K$5000,"61-90")</f>
        <v/>
      </c>
      <c r="J141" s="23">
        <f>SUMIFS(Production!$J$2:$J$5000,Production!$A$2:$A$5000,$A141,Production!$B$2:$B$5000,$B141,Production!$K$2:$K$5000,"90+")</f>
        <v/>
      </c>
      <c r="K141" s="14">
        <f>IF(E141=0,"",_xlfn.MAXIFS(Production!$F$2:$F$5000,Production!$A$2:$A$5000,$A141,Production!$B$2:$B$5000,$B141,Production!$I$2:$I$5000,"&gt;0"))</f>
        <v/>
      </c>
      <c r="L141" s="15">
        <f>IF(F141=0,"",SUMPRODUCT((Production!$A$2:$A$5000=$A141)*(Production!$B$2:$B$5000=$B141)*Production!$J$2:$J$5000,Production!$F$2:$F$5000)/F141)</f>
        <v/>
      </c>
      <c r="M141" s="10">
        <f>IF(D141&gt;C141,"Dispatched more than produced — opening stock / data gap","")</f>
        <v/>
      </c>
    </row>
    <row r="142">
      <c r="A142" s="9" t="inlineStr">
        <is>
          <t>NPMD</t>
        </is>
      </c>
      <c r="B142" s="9" t="inlineStr">
        <is>
          <t>50X50X1.2</t>
        </is>
      </c>
      <c r="C142" s="11">
        <f>SUMIFS(Production!$D$2:$D$5000,Production!$A$2:$A$5000,$A142,Production!$B$2:$B$5000,$B142)</f>
        <v/>
      </c>
      <c r="D142" s="11">
        <f>SUMIFS(Dispatched!$C$2:$C$5000,Dispatched!$A$2:$A$5000,$A142,Dispatched!$B$2:$B$5000,$B142)</f>
        <v/>
      </c>
      <c r="E142" s="11">
        <f>SUMIFS(Production!$I$2:$I$5000,Production!$A$2:$A$5000,$A142,Production!$B$2:$B$5000,$B142)</f>
        <v/>
      </c>
      <c r="F142" s="23">
        <f>SUMIFS(Production!$J$2:$J$5000,Production!$A$2:$A$5000,$A142,Production!$B$2:$B$5000,$B142)</f>
        <v/>
      </c>
      <c r="G142" s="23">
        <f>SUMIFS(Production!$J$2:$J$5000,Production!$A$2:$A$5000,$A142,Production!$B$2:$B$5000,$B142,Production!$K$2:$K$5000,"0-30")</f>
        <v/>
      </c>
      <c r="H142" s="23">
        <f>SUMIFS(Production!$J$2:$J$5000,Production!$A$2:$A$5000,$A142,Production!$B$2:$B$5000,$B142,Production!$K$2:$K$5000,"31-60")</f>
        <v/>
      </c>
      <c r="I142" s="23">
        <f>SUMIFS(Production!$J$2:$J$5000,Production!$A$2:$A$5000,$A142,Production!$B$2:$B$5000,$B142,Production!$K$2:$K$5000,"61-90")</f>
        <v/>
      </c>
      <c r="J142" s="23">
        <f>SUMIFS(Production!$J$2:$J$5000,Production!$A$2:$A$5000,$A142,Production!$B$2:$B$5000,$B142,Production!$K$2:$K$5000,"90+")</f>
        <v/>
      </c>
      <c r="K142" s="14">
        <f>IF(E142=0,"",_xlfn.MAXIFS(Production!$F$2:$F$5000,Production!$A$2:$A$5000,$A142,Production!$B$2:$B$5000,$B142,Production!$I$2:$I$5000,"&gt;0"))</f>
        <v/>
      </c>
      <c r="L142" s="15">
        <f>IF(F142=0,"",SUMPRODUCT((Production!$A$2:$A$5000=$A142)*(Production!$B$2:$B$5000=$B142)*Production!$J$2:$J$5000,Production!$F$2:$F$5000)/F142)</f>
        <v/>
      </c>
      <c r="M142" s="10">
        <f>IF(D142&gt;C142,"Dispatched more than produced — opening stock / data gap","")</f>
        <v/>
      </c>
    </row>
    <row r="143">
      <c r="A143" s="9" t="inlineStr">
        <is>
          <t>NPMD</t>
        </is>
      </c>
      <c r="B143" s="9" t="inlineStr">
        <is>
          <t>80X40X1.6</t>
        </is>
      </c>
      <c r="C143" s="11">
        <f>SUMIFS(Production!$D$2:$D$5000,Production!$A$2:$A$5000,$A143,Production!$B$2:$B$5000,$B143)</f>
        <v/>
      </c>
      <c r="D143" s="11">
        <f>SUMIFS(Dispatched!$C$2:$C$5000,Dispatched!$A$2:$A$5000,$A143,Dispatched!$B$2:$B$5000,$B143)</f>
        <v/>
      </c>
      <c r="E143" s="11">
        <f>SUMIFS(Production!$I$2:$I$5000,Production!$A$2:$A$5000,$A143,Production!$B$2:$B$5000,$B143)</f>
        <v/>
      </c>
      <c r="F143" s="23">
        <f>SUMIFS(Production!$J$2:$J$5000,Production!$A$2:$A$5000,$A143,Production!$B$2:$B$5000,$B143)</f>
        <v/>
      </c>
      <c r="G143" s="23">
        <f>SUMIFS(Production!$J$2:$J$5000,Production!$A$2:$A$5000,$A143,Production!$B$2:$B$5000,$B143,Production!$K$2:$K$5000,"0-30")</f>
        <v/>
      </c>
      <c r="H143" s="23">
        <f>SUMIFS(Production!$J$2:$J$5000,Production!$A$2:$A$5000,$A143,Production!$B$2:$B$5000,$B143,Production!$K$2:$K$5000,"31-60")</f>
        <v/>
      </c>
      <c r="I143" s="23">
        <f>SUMIFS(Production!$J$2:$J$5000,Production!$A$2:$A$5000,$A143,Production!$B$2:$B$5000,$B143,Production!$K$2:$K$5000,"61-90")</f>
        <v/>
      </c>
      <c r="J143" s="23">
        <f>SUMIFS(Production!$J$2:$J$5000,Production!$A$2:$A$5000,$A143,Production!$B$2:$B$5000,$B143,Production!$K$2:$K$5000,"90+")</f>
        <v/>
      </c>
      <c r="K143" s="14">
        <f>IF(E143=0,"",_xlfn.MAXIFS(Production!$F$2:$F$5000,Production!$A$2:$A$5000,$A143,Production!$B$2:$B$5000,$B143,Production!$I$2:$I$5000,"&gt;0"))</f>
        <v/>
      </c>
      <c r="L143" s="15">
        <f>IF(F143=0,"",SUMPRODUCT((Production!$A$2:$A$5000=$A143)*(Production!$B$2:$B$5000=$B143)*Production!$J$2:$J$5000,Production!$F$2:$F$5000)/F143)</f>
        <v/>
      </c>
      <c r="M143" s="10">
        <f>IF(D143&gt;C143,"Dispatched more than produced — opening stock / data gap","")</f>
        <v/>
      </c>
    </row>
    <row r="144">
      <c r="A144" s="9" t="inlineStr">
        <is>
          <t>NPMD</t>
        </is>
      </c>
      <c r="B144" s="9" t="inlineStr">
        <is>
          <t>50X50X3</t>
        </is>
      </c>
      <c r="C144" s="11">
        <f>SUMIFS(Production!$D$2:$D$5000,Production!$A$2:$A$5000,$A144,Production!$B$2:$B$5000,$B144)</f>
        <v/>
      </c>
      <c r="D144" s="11">
        <f>SUMIFS(Dispatched!$C$2:$C$5000,Dispatched!$A$2:$A$5000,$A144,Dispatched!$B$2:$B$5000,$B144)</f>
        <v/>
      </c>
      <c r="E144" s="11">
        <f>SUMIFS(Production!$I$2:$I$5000,Production!$A$2:$A$5000,$A144,Production!$B$2:$B$5000,$B144)</f>
        <v/>
      </c>
      <c r="F144" s="23">
        <f>SUMIFS(Production!$J$2:$J$5000,Production!$A$2:$A$5000,$A144,Production!$B$2:$B$5000,$B144)</f>
        <v/>
      </c>
      <c r="G144" s="23">
        <f>SUMIFS(Production!$J$2:$J$5000,Production!$A$2:$A$5000,$A144,Production!$B$2:$B$5000,$B144,Production!$K$2:$K$5000,"0-30")</f>
        <v/>
      </c>
      <c r="H144" s="23">
        <f>SUMIFS(Production!$J$2:$J$5000,Production!$A$2:$A$5000,$A144,Production!$B$2:$B$5000,$B144,Production!$K$2:$K$5000,"31-60")</f>
        <v/>
      </c>
      <c r="I144" s="23">
        <f>SUMIFS(Production!$J$2:$J$5000,Production!$A$2:$A$5000,$A144,Production!$B$2:$B$5000,$B144,Production!$K$2:$K$5000,"61-90")</f>
        <v/>
      </c>
      <c r="J144" s="23">
        <f>SUMIFS(Production!$J$2:$J$5000,Production!$A$2:$A$5000,$A144,Production!$B$2:$B$5000,$B144,Production!$K$2:$K$5000,"90+")</f>
        <v/>
      </c>
      <c r="K144" s="14">
        <f>IF(E144=0,"",_xlfn.MAXIFS(Production!$F$2:$F$5000,Production!$A$2:$A$5000,$A144,Production!$B$2:$B$5000,$B144,Production!$I$2:$I$5000,"&gt;0"))</f>
        <v/>
      </c>
      <c r="L144" s="15">
        <f>IF(F144=0,"",SUMPRODUCT((Production!$A$2:$A$5000=$A144)*(Production!$B$2:$B$5000=$B144)*Production!$J$2:$J$5000,Production!$F$2:$F$5000)/F144)</f>
        <v/>
      </c>
      <c r="M144" s="10">
        <f>IF(D144&gt;C144,"Dispatched more than produced — opening stock / data gap","")</f>
        <v/>
      </c>
    </row>
    <row r="145">
      <c r="A145" s="9" t="inlineStr">
        <is>
          <t>Tapi</t>
        </is>
      </c>
      <c r="B145" s="9" t="inlineStr">
        <is>
          <t>150X150X3</t>
        </is>
      </c>
      <c r="C145" s="11">
        <f>SUMIFS(Production!$D$2:$D$5000,Production!$A$2:$A$5000,$A145,Production!$B$2:$B$5000,$B145)</f>
        <v/>
      </c>
      <c r="D145" s="11">
        <f>SUMIFS(Dispatched!$C$2:$C$5000,Dispatched!$A$2:$A$5000,$A145,Dispatched!$B$2:$B$5000,$B145)</f>
        <v/>
      </c>
      <c r="E145" s="11">
        <f>SUMIFS(Production!$I$2:$I$5000,Production!$A$2:$A$5000,$A145,Production!$B$2:$B$5000,$B145)</f>
        <v/>
      </c>
      <c r="F145" s="23">
        <f>SUMIFS(Production!$J$2:$J$5000,Production!$A$2:$A$5000,$A145,Production!$B$2:$B$5000,$B145)</f>
        <v/>
      </c>
      <c r="G145" s="23">
        <f>SUMIFS(Production!$J$2:$J$5000,Production!$A$2:$A$5000,$A145,Production!$B$2:$B$5000,$B145,Production!$K$2:$K$5000,"0-30")</f>
        <v/>
      </c>
      <c r="H145" s="23">
        <f>SUMIFS(Production!$J$2:$J$5000,Production!$A$2:$A$5000,$A145,Production!$B$2:$B$5000,$B145,Production!$K$2:$K$5000,"31-60")</f>
        <v/>
      </c>
      <c r="I145" s="23">
        <f>SUMIFS(Production!$J$2:$J$5000,Production!$A$2:$A$5000,$A145,Production!$B$2:$B$5000,$B145,Production!$K$2:$K$5000,"61-90")</f>
        <v/>
      </c>
      <c r="J145" s="23">
        <f>SUMIFS(Production!$J$2:$J$5000,Production!$A$2:$A$5000,$A145,Production!$B$2:$B$5000,$B145,Production!$K$2:$K$5000,"90+")</f>
        <v/>
      </c>
      <c r="K145" s="14">
        <f>IF(E145=0,"",_xlfn.MAXIFS(Production!$F$2:$F$5000,Production!$A$2:$A$5000,$A145,Production!$B$2:$B$5000,$B145,Production!$I$2:$I$5000,"&gt;0"))</f>
        <v/>
      </c>
      <c r="L145" s="15">
        <f>IF(F145=0,"",SUMPRODUCT((Production!$A$2:$A$5000=$A145)*(Production!$B$2:$B$5000=$B145)*Production!$J$2:$J$5000,Production!$F$2:$F$5000)/F145)</f>
        <v/>
      </c>
      <c r="M145" s="10">
        <f>IF(D145&gt;C145,"Dispatched more than produced — opening stock / data gap","")</f>
        <v/>
      </c>
    </row>
    <row r="146">
      <c r="A146" s="9" t="inlineStr">
        <is>
          <t>Tapi</t>
        </is>
      </c>
      <c r="B146" s="9" t="inlineStr">
        <is>
          <t>122X61X3</t>
        </is>
      </c>
      <c r="C146" s="11">
        <f>SUMIFS(Production!$D$2:$D$5000,Production!$A$2:$A$5000,$A146,Production!$B$2:$B$5000,$B146)</f>
        <v/>
      </c>
      <c r="D146" s="11">
        <f>SUMIFS(Dispatched!$C$2:$C$5000,Dispatched!$A$2:$A$5000,$A146,Dispatched!$B$2:$B$5000,$B146)</f>
        <v/>
      </c>
      <c r="E146" s="11">
        <f>SUMIFS(Production!$I$2:$I$5000,Production!$A$2:$A$5000,$A146,Production!$B$2:$B$5000,$B146)</f>
        <v/>
      </c>
      <c r="F146" s="23">
        <f>SUMIFS(Production!$J$2:$J$5000,Production!$A$2:$A$5000,$A146,Production!$B$2:$B$5000,$B146)</f>
        <v/>
      </c>
      <c r="G146" s="23">
        <f>SUMIFS(Production!$J$2:$J$5000,Production!$A$2:$A$5000,$A146,Production!$B$2:$B$5000,$B146,Production!$K$2:$K$5000,"0-30")</f>
        <v/>
      </c>
      <c r="H146" s="23">
        <f>SUMIFS(Production!$J$2:$J$5000,Production!$A$2:$A$5000,$A146,Production!$B$2:$B$5000,$B146,Production!$K$2:$K$5000,"31-60")</f>
        <v/>
      </c>
      <c r="I146" s="23">
        <f>SUMIFS(Production!$J$2:$J$5000,Production!$A$2:$A$5000,$A146,Production!$B$2:$B$5000,$B146,Production!$K$2:$K$5000,"61-90")</f>
        <v/>
      </c>
      <c r="J146" s="23">
        <f>SUMIFS(Production!$J$2:$J$5000,Production!$A$2:$A$5000,$A146,Production!$B$2:$B$5000,$B146,Production!$K$2:$K$5000,"90+")</f>
        <v/>
      </c>
      <c r="K146" s="14">
        <f>IF(E146=0,"",_xlfn.MAXIFS(Production!$F$2:$F$5000,Production!$A$2:$A$5000,$A146,Production!$B$2:$B$5000,$B146,Production!$I$2:$I$5000,"&gt;0"))</f>
        <v/>
      </c>
      <c r="L146" s="15">
        <f>IF(F146=0,"",SUMPRODUCT((Production!$A$2:$A$5000=$A146)*(Production!$B$2:$B$5000=$B146)*Production!$J$2:$J$5000,Production!$F$2:$F$5000)/F146)</f>
        <v/>
      </c>
      <c r="M146" s="10">
        <f>IF(D146&gt;C146,"Dispatched more than produced — opening stock / data gap","")</f>
        <v/>
      </c>
    </row>
    <row r="147">
      <c r="A147" s="9" t="inlineStr">
        <is>
          <t>Tapi</t>
        </is>
      </c>
      <c r="B147" s="9" t="inlineStr">
        <is>
          <t>150X150X2.5</t>
        </is>
      </c>
      <c r="C147" s="11">
        <f>SUMIFS(Production!$D$2:$D$5000,Production!$A$2:$A$5000,$A147,Production!$B$2:$B$5000,$B147)</f>
        <v/>
      </c>
      <c r="D147" s="11">
        <f>SUMIFS(Dispatched!$C$2:$C$5000,Dispatched!$A$2:$A$5000,$A147,Dispatched!$B$2:$B$5000,$B147)</f>
        <v/>
      </c>
      <c r="E147" s="11">
        <f>SUMIFS(Production!$I$2:$I$5000,Production!$A$2:$A$5000,$A147,Production!$B$2:$B$5000,$B147)</f>
        <v/>
      </c>
      <c r="F147" s="23">
        <f>SUMIFS(Production!$J$2:$J$5000,Production!$A$2:$A$5000,$A147,Production!$B$2:$B$5000,$B147)</f>
        <v/>
      </c>
      <c r="G147" s="23">
        <f>SUMIFS(Production!$J$2:$J$5000,Production!$A$2:$A$5000,$A147,Production!$B$2:$B$5000,$B147,Production!$K$2:$K$5000,"0-30")</f>
        <v/>
      </c>
      <c r="H147" s="23">
        <f>SUMIFS(Production!$J$2:$J$5000,Production!$A$2:$A$5000,$A147,Production!$B$2:$B$5000,$B147,Production!$K$2:$K$5000,"31-60")</f>
        <v/>
      </c>
      <c r="I147" s="23">
        <f>SUMIFS(Production!$J$2:$J$5000,Production!$A$2:$A$5000,$A147,Production!$B$2:$B$5000,$B147,Production!$K$2:$K$5000,"61-90")</f>
        <v/>
      </c>
      <c r="J147" s="23">
        <f>SUMIFS(Production!$J$2:$J$5000,Production!$A$2:$A$5000,$A147,Production!$B$2:$B$5000,$B147,Production!$K$2:$K$5000,"90+")</f>
        <v/>
      </c>
      <c r="K147" s="14">
        <f>IF(E147=0,"",_xlfn.MAXIFS(Production!$F$2:$F$5000,Production!$A$2:$A$5000,$A147,Production!$B$2:$B$5000,$B147,Production!$I$2:$I$5000,"&gt;0"))</f>
        <v/>
      </c>
      <c r="L147" s="15">
        <f>IF(F147=0,"",SUMPRODUCT((Production!$A$2:$A$5000=$A147)*(Production!$B$2:$B$5000=$B147)*Production!$J$2:$J$5000,Production!$F$2:$F$5000)/F147)</f>
        <v/>
      </c>
      <c r="M147" s="10">
        <f>IF(D147&gt;C147,"Dispatched more than produced — opening stock / data gap","")</f>
        <v/>
      </c>
    </row>
    <row r="148">
      <c r="A148" s="9" t="inlineStr">
        <is>
          <t>Tapi</t>
        </is>
      </c>
      <c r="B148" s="9" t="inlineStr">
        <is>
          <t>80X40X2</t>
        </is>
      </c>
      <c r="C148" s="11">
        <f>SUMIFS(Production!$D$2:$D$5000,Production!$A$2:$A$5000,$A148,Production!$B$2:$B$5000,$B148)</f>
        <v/>
      </c>
      <c r="D148" s="11">
        <f>SUMIFS(Dispatched!$C$2:$C$5000,Dispatched!$A$2:$A$5000,$A148,Dispatched!$B$2:$B$5000,$B148)</f>
        <v/>
      </c>
      <c r="E148" s="11">
        <f>SUMIFS(Production!$I$2:$I$5000,Production!$A$2:$A$5000,$A148,Production!$B$2:$B$5000,$B148)</f>
        <v/>
      </c>
      <c r="F148" s="23">
        <f>SUMIFS(Production!$J$2:$J$5000,Production!$A$2:$A$5000,$A148,Production!$B$2:$B$5000,$B148)</f>
        <v/>
      </c>
      <c r="G148" s="23">
        <f>SUMIFS(Production!$J$2:$J$5000,Production!$A$2:$A$5000,$A148,Production!$B$2:$B$5000,$B148,Production!$K$2:$K$5000,"0-30")</f>
        <v/>
      </c>
      <c r="H148" s="23">
        <f>SUMIFS(Production!$J$2:$J$5000,Production!$A$2:$A$5000,$A148,Production!$B$2:$B$5000,$B148,Production!$K$2:$K$5000,"31-60")</f>
        <v/>
      </c>
      <c r="I148" s="23">
        <f>SUMIFS(Production!$J$2:$J$5000,Production!$A$2:$A$5000,$A148,Production!$B$2:$B$5000,$B148,Production!$K$2:$K$5000,"61-90")</f>
        <v/>
      </c>
      <c r="J148" s="23">
        <f>SUMIFS(Production!$J$2:$J$5000,Production!$A$2:$A$5000,$A148,Production!$B$2:$B$5000,$B148,Production!$K$2:$K$5000,"90+")</f>
        <v/>
      </c>
      <c r="K148" s="14">
        <f>IF(E148=0,"",_xlfn.MAXIFS(Production!$F$2:$F$5000,Production!$A$2:$A$5000,$A148,Production!$B$2:$B$5000,$B148,Production!$I$2:$I$5000,"&gt;0"))</f>
        <v/>
      </c>
      <c r="L148" s="15">
        <f>IF(F148=0,"",SUMPRODUCT((Production!$A$2:$A$5000=$A148)*(Production!$B$2:$B$5000=$B148)*Production!$J$2:$J$5000,Production!$F$2:$F$5000)/F148)</f>
        <v/>
      </c>
      <c r="M148" s="10">
        <f>IF(D148&gt;C148,"Dispatched more than produced — opening stock / data gap","")</f>
        <v/>
      </c>
    </row>
    <row r="149">
      <c r="A149" s="9" t="inlineStr">
        <is>
          <t>Tapi</t>
        </is>
      </c>
      <c r="B149" s="9" t="inlineStr">
        <is>
          <t>122X61X2.5</t>
        </is>
      </c>
      <c r="C149" s="11">
        <f>SUMIFS(Production!$D$2:$D$5000,Production!$A$2:$A$5000,$A149,Production!$B$2:$B$5000,$B149)</f>
        <v/>
      </c>
      <c r="D149" s="11">
        <f>SUMIFS(Dispatched!$C$2:$C$5000,Dispatched!$A$2:$A$5000,$A149,Dispatched!$B$2:$B$5000,$B149)</f>
        <v/>
      </c>
      <c r="E149" s="11">
        <f>SUMIFS(Production!$I$2:$I$5000,Production!$A$2:$A$5000,$A149,Production!$B$2:$B$5000,$B149)</f>
        <v/>
      </c>
      <c r="F149" s="23">
        <f>SUMIFS(Production!$J$2:$J$5000,Production!$A$2:$A$5000,$A149,Production!$B$2:$B$5000,$B149)</f>
        <v/>
      </c>
      <c r="G149" s="23">
        <f>SUMIFS(Production!$J$2:$J$5000,Production!$A$2:$A$5000,$A149,Production!$B$2:$B$5000,$B149,Production!$K$2:$K$5000,"0-30")</f>
        <v/>
      </c>
      <c r="H149" s="23">
        <f>SUMIFS(Production!$J$2:$J$5000,Production!$A$2:$A$5000,$A149,Production!$B$2:$B$5000,$B149,Production!$K$2:$K$5000,"31-60")</f>
        <v/>
      </c>
      <c r="I149" s="23">
        <f>SUMIFS(Production!$J$2:$J$5000,Production!$A$2:$A$5000,$A149,Production!$B$2:$B$5000,$B149,Production!$K$2:$K$5000,"61-90")</f>
        <v/>
      </c>
      <c r="J149" s="23">
        <f>SUMIFS(Production!$J$2:$J$5000,Production!$A$2:$A$5000,$A149,Production!$B$2:$B$5000,$B149,Production!$K$2:$K$5000,"90+")</f>
        <v/>
      </c>
      <c r="K149" s="14">
        <f>IF(E149=0,"",_xlfn.MAXIFS(Production!$F$2:$F$5000,Production!$A$2:$A$5000,$A149,Production!$B$2:$B$5000,$B149,Production!$I$2:$I$5000,"&gt;0"))</f>
        <v/>
      </c>
      <c r="L149" s="15">
        <f>IF(F149=0,"",SUMPRODUCT((Production!$A$2:$A$5000=$A149)*(Production!$B$2:$B$5000=$B149)*Production!$J$2:$J$5000,Production!$F$2:$F$5000)/F149)</f>
        <v/>
      </c>
      <c r="M149" s="10">
        <f>IF(D149&gt;C149,"Dispatched more than produced — opening stock / data gap","")</f>
        <v/>
      </c>
    </row>
    <row r="150">
      <c r="A150" s="9" t="inlineStr">
        <is>
          <t>Tapi</t>
        </is>
      </c>
      <c r="B150" s="9" t="inlineStr">
        <is>
          <t>50X50X5</t>
        </is>
      </c>
      <c r="C150" s="11">
        <f>SUMIFS(Production!$D$2:$D$5000,Production!$A$2:$A$5000,$A150,Production!$B$2:$B$5000,$B150)</f>
        <v/>
      </c>
      <c r="D150" s="11">
        <f>SUMIFS(Dispatched!$C$2:$C$5000,Dispatched!$A$2:$A$5000,$A150,Dispatched!$B$2:$B$5000,$B150)</f>
        <v/>
      </c>
      <c r="E150" s="11">
        <f>SUMIFS(Production!$I$2:$I$5000,Production!$A$2:$A$5000,$A150,Production!$B$2:$B$5000,$B150)</f>
        <v/>
      </c>
      <c r="F150" s="23">
        <f>SUMIFS(Production!$J$2:$J$5000,Production!$A$2:$A$5000,$A150,Production!$B$2:$B$5000,$B150)</f>
        <v/>
      </c>
      <c r="G150" s="23">
        <f>SUMIFS(Production!$J$2:$J$5000,Production!$A$2:$A$5000,$A150,Production!$B$2:$B$5000,$B150,Production!$K$2:$K$5000,"0-30")</f>
        <v/>
      </c>
      <c r="H150" s="23">
        <f>SUMIFS(Production!$J$2:$J$5000,Production!$A$2:$A$5000,$A150,Production!$B$2:$B$5000,$B150,Production!$K$2:$K$5000,"31-60")</f>
        <v/>
      </c>
      <c r="I150" s="23">
        <f>SUMIFS(Production!$J$2:$J$5000,Production!$A$2:$A$5000,$A150,Production!$B$2:$B$5000,$B150,Production!$K$2:$K$5000,"61-90")</f>
        <v/>
      </c>
      <c r="J150" s="23">
        <f>SUMIFS(Production!$J$2:$J$5000,Production!$A$2:$A$5000,$A150,Production!$B$2:$B$5000,$B150,Production!$K$2:$K$5000,"90+")</f>
        <v/>
      </c>
      <c r="K150" s="14">
        <f>IF(E150=0,"",_xlfn.MAXIFS(Production!$F$2:$F$5000,Production!$A$2:$A$5000,$A150,Production!$B$2:$B$5000,$B150,Production!$I$2:$I$5000,"&gt;0"))</f>
        <v/>
      </c>
      <c r="L150" s="15">
        <f>IF(F150=0,"",SUMPRODUCT((Production!$A$2:$A$5000=$A150)*(Production!$B$2:$B$5000=$B150)*Production!$J$2:$J$5000,Production!$F$2:$F$5000)/F150)</f>
        <v/>
      </c>
      <c r="M150" s="10">
        <f>IF(D150&gt;C150,"Dispatched more than produced — opening stock / data gap","")</f>
        <v/>
      </c>
    </row>
    <row r="151">
      <c r="A151" s="9" t="inlineStr">
        <is>
          <t>Tapi</t>
        </is>
      </c>
      <c r="B151" s="9" t="inlineStr">
        <is>
          <t>50X50X2</t>
        </is>
      </c>
      <c r="C151" s="11">
        <f>SUMIFS(Production!$D$2:$D$5000,Production!$A$2:$A$5000,$A151,Production!$B$2:$B$5000,$B151)</f>
        <v/>
      </c>
      <c r="D151" s="11">
        <f>SUMIFS(Dispatched!$C$2:$C$5000,Dispatched!$A$2:$A$5000,$A151,Dispatched!$B$2:$B$5000,$B151)</f>
        <v/>
      </c>
      <c r="E151" s="11">
        <f>SUMIFS(Production!$I$2:$I$5000,Production!$A$2:$A$5000,$A151,Production!$B$2:$B$5000,$B151)</f>
        <v/>
      </c>
      <c r="F151" s="23">
        <f>SUMIFS(Production!$J$2:$J$5000,Production!$A$2:$A$5000,$A151,Production!$B$2:$B$5000,$B151)</f>
        <v/>
      </c>
      <c r="G151" s="23">
        <f>SUMIFS(Production!$J$2:$J$5000,Production!$A$2:$A$5000,$A151,Production!$B$2:$B$5000,$B151,Production!$K$2:$K$5000,"0-30")</f>
        <v/>
      </c>
      <c r="H151" s="23">
        <f>SUMIFS(Production!$J$2:$J$5000,Production!$A$2:$A$5000,$A151,Production!$B$2:$B$5000,$B151,Production!$K$2:$K$5000,"31-60")</f>
        <v/>
      </c>
      <c r="I151" s="23">
        <f>SUMIFS(Production!$J$2:$J$5000,Production!$A$2:$A$5000,$A151,Production!$B$2:$B$5000,$B151,Production!$K$2:$K$5000,"61-90")</f>
        <v/>
      </c>
      <c r="J151" s="23">
        <f>SUMIFS(Production!$J$2:$J$5000,Production!$A$2:$A$5000,$A151,Production!$B$2:$B$5000,$B151,Production!$K$2:$K$5000,"90+")</f>
        <v/>
      </c>
      <c r="K151" s="14">
        <f>IF(E151=0,"",_xlfn.MAXIFS(Production!$F$2:$F$5000,Production!$A$2:$A$5000,$A151,Production!$B$2:$B$5000,$B151,Production!$I$2:$I$5000,"&gt;0"))</f>
        <v/>
      </c>
      <c r="L151" s="15">
        <f>IF(F151=0,"",SUMPRODUCT((Production!$A$2:$A$5000=$A151)*(Production!$B$2:$B$5000=$B151)*Production!$J$2:$J$5000,Production!$F$2:$F$5000)/F151)</f>
        <v/>
      </c>
      <c r="M151" s="10">
        <f>IF(D151&gt;C151,"Dispatched more than produced — opening stock / data gap","")</f>
        <v/>
      </c>
    </row>
    <row r="152">
      <c r="A152" s="9" t="inlineStr">
        <is>
          <t>Tapi</t>
        </is>
      </c>
      <c r="B152" s="9" t="inlineStr">
        <is>
          <t>150X150X5</t>
        </is>
      </c>
      <c r="C152" s="11">
        <f>SUMIFS(Production!$D$2:$D$5000,Production!$A$2:$A$5000,$A152,Production!$B$2:$B$5000,$B152)</f>
        <v/>
      </c>
      <c r="D152" s="11">
        <f>SUMIFS(Dispatched!$C$2:$C$5000,Dispatched!$A$2:$A$5000,$A152,Dispatched!$B$2:$B$5000,$B152)</f>
        <v/>
      </c>
      <c r="E152" s="11">
        <f>SUMIFS(Production!$I$2:$I$5000,Production!$A$2:$A$5000,$A152,Production!$B$2:$B$5000,$B152)</f>
        <v/>
      </c>
      <c r="F152" s="23">
        <f>SUMIFS(Production!$J$2:$J$5000,Production!$A$2:$A$5000,$A152,Production!$B$2:$B$5000,$B152)</f>
        <v/>
      </c>
      <c r="G152" s="23">
        <f>SUMIFS(Production!$J$2:$J$5000,Production!$A$2:$A$5000,$A152,Production!$B$2:$B$5000,$B152,Production!$K$2:$K$5000,"0-30")</f>
        <v/>
      </c>
      <c r="H152" s="23">
        <f>SUMIFS(Production!$J$2:$J$5000,Production!$A$2:$A$5000,$A152,Production!$B$2:$B$5000,$B152,Production!$K$2:$K$5000,"31-60")</f>
        <v/>
      </c>
      <c r="I152" s="23">
        <f>SUMIFS(Production!$J$2:$J$5000,Production!$A$2:$A$5000,$A152,Production!$B$2:$B$5000,$B152,Production!$K$2:$K$5000,"61-90")</f>
        <v/>
      </c>
      <c r="J152" s="23">
        <f>SUMIFS(Production!$J$2:$J$5000,Production!$A$2:$A$5000,$A152,Production!$B$2:$B$5000,$B152,Production!$K$2:$K$5000,"90+")</f>
        <v/>
      </c>
      <c r="K152" s="14">
        <f>IF(E152=0,"",_xlfn.MAXIFS(Production!$F$2:$F$5000,Production!$A$2:$A$5000,$A152,Production!$B$2:$B$5000,$B152,Production!$I$2:$I$5000,"&gt;0"))</f>
        <v/>
      </c>
      <c r="L152" s="15">
        <f>IF(F152=0,"",SUMPRODUCT((Production!$A$2:$A$5000=$A152)*(Production!$B$2:$B$5000=$B152)*Production!$J$2:$J$5000,Production!$F$2:$F$5000)/F152)</f>
        <v/>
      </c>
      <c r="M152" s="10">
        <f>IF(D152&gt;C152,"Dispatched more than produced — opening stock / data gap","")</f>
        <v/>
      </c>
    </row>
    <row r="153">
      <c r="A153" s="9" t="inlineStr">
        <is>
          <t>Tapi</t>
        </is>
      </c>
      <c r="B153" s="9" t="inlineStr">
        <is>
          <t>80X40X2.5</t>
        </is>
      </c>
      <c r="C153" s="11">
        <f>SUMIFS(Production!$D$2:$D$5000,Production!$A$2:$A$5000,$A153,Production!$B$2:$B$5000,$B153)</f>
        <v/>
      </c>
      <c r="D153" s="11">
        <f>SUMIFS(Dispatched!$C$2:$C$5000,Dispatched!$A$2:$A$5000,$A153,Dispatched!$B$2:$B$5000,$B153)</f>
        <v/>
      </c>
      <c r="E153" s="11">
        <f>SUMIFS(Production!$I$2:$I$5000,Production!$A$2:$A$5000,$A153,Production!$B$2:$B$5000,$B153)</f>
        <v/>
      </c>
      <c r="F153" s="23">
        <f>SUMIFS(Production!$J$2:$J$5000,Production!$A$2:$A$5000,$A153,Production!$B$2:$B$5000,$B153)</f>
        <v/>
      </c>
      <c r="G153" s="23">
        <f>SUMIFS(Production!$J$2:$J$5000,Production!$A$2:$A$5000,$A153,Production!$B$2:$B$5000,$B153,Production!$K$2:$K$5000,"0-30")</f>
        <v/>
      </c>
      <c r="H153" s="23">
        <f>SUMIFS(Production!$J$2:$J$5000,Production!$A$2:$A$5000,$A153,Production!$B$2:$B$5000,$B153,Production!$K$2:$K$5000,"31-60")</f>
        <v/>
      </c>
      <c r="I153" s="23">
        <f>SUMIFS(Production!$J$2:$J$5000,Production!$A$2:$A$5000,$A153,Production!$B$2:$B$5000,$B153,Production!$K$2:$K$5000,"61-90")</f>
        <v/>
      </c>
      <c r="J153" s="23">
        <f>SUMIFS(Production!$J$2:$J$5000,Production!$A$2:$A$5000,$A153,Production!$B$2:$B$5000,$B153,Production!$K$2:$K$5000,"90+")</f>
        <v/>
      </c>
      <c r="K153" s="14">
        <f>IF(E153=0,"",_xlfn.MAXIFS(Production!$F$2:$F$5000,Production!$A$2:$A$5000,$A153,Production!$B$2:$B$5000,$B153,Production!$I$2:$I$5000,"&gt;0"))</f>
        <v/>
      </c>
      <c r="L153" s="15">
        <f>IF(F153=0,"",SUMPRODUCT((Production!$A$2:$A$5000=$A153)*(Production!$B$2:$B$5000=$B153)*Production!$J$2:$J$5000,Production!$F$2:$F$5000)/F153)</f>
        <v/>
      </c>
      <c r="M153" s="10">
        <f>IF(D153&gt;C153,"Dispatched more than produced — opening stock / data gap","")</f>
        <v/>
      </c>
    </row>
    <row r="154">
      <c r="A154" s="9" t="inlineStr">
        <is>
          <t>Tapi</t>
        </is>
      </c>
      <c r="B154" s="9" t="inlineStr">
        <is>
          <t>80X40X3</t>
        </is>
      </c>
      <c r="C154" s="11">
        <f>SUMIFS(Production!$D$2:$D$5000,Production!$A$2:$A$5000,$A154,Production!$B$2:$B$5000,$B154)</f>
        <v/>
      </c>
      <c r="D154" s="11">
        <f>SUMIFS(Dispatched!$C$2:$C$5000,Dispatched!$A$2:$A$5000,$A154,Dispatched!$B$2:$B$5000,$B154)</f>
        <v/>
      </c>
      <c r="E154" s="11">
        <f>SUMIFS(Production!$I$2:$I$5000,Production!$A$2:$A$5000,$A154,Production!$B$2:$B$5000,$B154)</f>
        <v/>
      </c>
      <c r="F154" s="23">
        <f>SUMIFS(Production!$J$2:$J$5000,Production!$A$2:$A$5000,$A154,Production!$B$2:$B$5000,$B154)</f>
        <v/>
      </c>
      <c r="G154" s="23">
        <f>SUMIFS(Production!$J$2:$J$5000,Production!$A$2:$A$5000,$A154,Production!$B$2:$B$5000,$B154,Production!$K$2:$K$5000,"0-30")</f>
        <v/>
      </c>
      <c r="H154" s="23">
        <f>SUMIFS(Production!$J$2:$J$5000,Production!$A$2:$A$5000,$A154,Production!$B$2:$B$5000,$B154,Production!$K$2:$K$5000,"31-60")</f>
        <v/>
      </c>
      <c r="I154" s="23">
        <f>SUMIFS(Production!$J$2:$J$5000,Production!$A$2:$A$5000,$A154,Production!$B$2:$B$5000,$B154,Production!$K$2:$K$5000,"61-90")</f>
        <v/>
      </c>
      <c r="J154" s="23">
        <f>SUMIFS(Production!$J$2:$J$5000,Production!$A$2:$A$5000,$A154,Production!$B$2:$B$5000,$B154,Production!$K$2:$K$5000,"90+")</f>
        <v/>
      </c>
      <c r="K154" s="14">
        <f>IF(E154=0,"",_xlfn.MAXIFS(Production!$F$2:$F$5000,Production!$A$2:$A$5000,$A154,Production!$B$2:$B$5000,$B154,Production!$I$2:$I$5000,"&gt;0"))</f>
        <v/>
      </c>
      <c r="L154" s="15">
        <f>IF(F154=0,"",SUMPRODUCT((Production!$A$2:$A$5000=$A154)*(Production!$B$2:$B$5000=$B154)*Production!$J$2:$J$5000,Production!$F$2:$F$5000)/F154)</f>
        <v/>
      </c>
      <c r="M154" s="10">
        <f>IF(D154&gt;C154,"Dispatched more than produced — opening stock / data gap","")</f>
        <v/>
      </c>
    </row>
    <row r="155">
      <c r="A155" s="9" t="inlineStr">
        <is>
          <t>Tapi</t>
        </is>
      </c>
      <c r="B155" s="9" t="inlineStr">
        <is>
          <t>132X132X4</t>
        </is>
      </c>
      <c r="C155" s="11">
        <f>SUMIFS(Production!$D$2:$D$5000,Production!$A$2:$A$5000,$A155,Production!$B$2:$B$5000,$B155)</f>
        <v/>
      </c>
      <c r="D155" s="11">
        <f>SUMIFS(Dispatched!$C$2:$C$5000,Dispatched!$A$2:$A$5000,$A155,Dispatched!$B$2:$B$5000,$B155)</f>
        <v/>
      </c>
      <c r="E155" s="11">
        <f>SUMIFS(Production!$I$2:$I$5000,Production!$A$2:$A$5000,$A155,Production!$B$2:$B$5000,$B155)</f>
        <v/>
      </c>
      <c r="F155" s="23">
        <f>SUMIFS(Production!$J$2:$J$5000,Production!$A$2:$A$5000,$A155,Production!$B$2:$B$5000,$B155)</f>
        <v/>
      </c>
      <c r="G155" s="23">
        <f>SUMIFS(Production!$J$2:$J$5000,Production!$A$2:$A$5000,$A155,Production!$B$2:$B$5000,$B155,Production!$K$2:$K$5000,"0-30")</f>
        <v/>
      </c>
      <c r="H155" s="23">
        <f>SUMIFS(Production!$J$2:$J$5000,Production!$A$2:$A$5000,$A155,Production!$B$2:$B$5000,$B155,Production!$K$2:$K$5000,"31-60")</f>
        <v/>
      </c>
      <c r="I155" s="23">
        <f>SUMIFS(Production!$J$2:$J$5000,Production!$A$2:$A$5000,$A155,Production!$B$2:$B$5000,$B155,Production!$K$2:$K$5000,"61-90")</f>
        <v/>
      </c>
      <c r="J155" s="23">
        <f>SUMIFS(Production!$J$2:$J$5000,Production!$A$2:$A$5000,$A155,Production!$B$2:$B$5000,$B155,Production!$K$2:$K$5000,"90+")</f>
        <v/>
      </c>
      <c r="K155" s="14">
        <f>IF(E155=0,"",_xlfn.MAXIFS(Production!$F$2:$F$5000,Production!$A$2:$A$5000,$A155,Production!$B$2:$B$5000,$B155,Production!$I$2:$I$5000,"&gt;0"))</f>
        <v/>
      </c>
      <c r="L155" s="15">
        <f>IF(F155=0,"",SUMPRODUCT((Production!$A$2:$A$5000=$A155)*(Production!$B$2:$B$5000=$B155)*Production!$J$2:$J$5000,Production!$F$2:$F$5000)/F155)</f>
        <v/>
      </c>
      <c r="M155" s="10">
        <f>IF(D155&gt;C155,"Dispatched more than produced — opening stock / data gap","")</f>
        <v/>
      </c>
    </row>
    <row r="156">
      <c r="A156" s="9" t="inlineStr">
        <is>
          <t>Tapi</t>
        </is>
      </c>
      <c r="B156" s="9" t="inlineStr">
        <is>
          <t>50X50X2.5</t>
        </is>
      </c>
      <c r="C156" s="11">
        <f>SUMIFS(Production!$D$2:$D$5000,Production!$A$2:$A$5000,$A156,Production!$B$2:$B$5000,$B156)</f>
        <v/>
      </c>
      <c r="D156" s="11">
        <f>SUMIFS(Dispatched!$C$2:$C$5000,Dispatched!$A$2:$A$5000,$A156,Dispatched!$B$2:$B$5000,$B156)</f>
        <v/>
      </c>
      <c r="E156" s="11">
        <f>SUMIFS(Production!$I$2:$I$5000,Production!$A$2:$A$5000,$A156,Production!$B$2:$B$5000,$B156)</f>
        <v/>
      </c>
      <c r="F156" s="23">
        <f>SUMIFS(Production!$J$2:$J$5000,Production!$A$2:$A$5000,$A156,Production!$B$2:$B$5000,$B156)</f>
        <v/>
      </c>
      <c r="G156" s="23">
        <f>SUMIFS(Production!$J$2:$J$5000,Production!$A$2:$A$5000,$A156,Production!$B$2:$B$5000,$B156,Production!$K$2:$K$5000,"0-30")</f>
        <v/>
      </c>
      <c r="H156" s="23">
        <f>SUMIFS(Production!$J$2:$J$5000,Production!$A$2:$A$5000,$A156,Production!$B$2:$B$5000,$B156,Production!$K$2:$K$5000,"31-60")</f>
        <v/>
      </c>
      <c r="I156" s="23">
        <f>SUMIFS(Production!$J$2:$J$5000,Production!$A$2:$A$5000,$A156,Production!$B$2:$B$5000,$B156,Production!$K$2:$K$5000,"61-90")</f>
        <v/>
      </c>
      <c r="J156" s="23">
        <f>SUMIFS(Production!$J$2:$J$5000,Production!$A$2:$A$5000,$A156,Production!$B$2:$B$5000,$B156,Production!$K$2:$K$5000,"90+")</f>
        <v/>
      </c>
      <c r="K156" s="14">
        <f>IF(E156=0,"",_xlfn.MAXIFS(Production!$F$2:$F$5000,Production!$A$2:$A$5000,$A156,Production!$B$2:$B$5000,$B156,Production!$I$2:$I$5000,"&gt;0"))</f>
        <v/>
      </c>
      <c r="L156" s="15">
        <f>IF(F156=0,"",SUMPRODUCT((Production!$A$2:$A$5000=$A156)*(Production!$B$2:$B$5000=$B156)*Production!$J$2:$J$5000,Production!$F$2:$F$5000)/F156)</f>
        <v/>
      </c>
      <c r="M156" s="10">
        <f>IF(D156&gt;C156,"Dispatched more than produced — opening stock / data gap","")</f>
        <v/>
      </c>
    </row>
    <row r="157">
      <c r="A157" s="9" t="inlineStr">
        <is>
          <t>Tapi</t>
        </is>
      </c>
      <c r="B157" s="9" t="inlineStr">
        <is>
          <t>60X40X2</t>
        </is>
      </c>
      <c r="C157" s="11">
        <f>SUMIFS(Production!$D$2:$D$5000,Production!$A$2:$A$5000,$A157,Production!$B$2:$B$5000,$B157)</f>
        <v/>
      </c>
      <c r="D157" s="11">
        <f>SUMIFS(Dispatched!$C$2:$C$5000,Dispatched!$A$2:$A$5000,$A157,Dispatched!$B$2:$B$5000,$B157)</f>
        <v/>
      </c>
      <c r="E157" s="11">
        <f>SUMIFS(Production!$I$2:$I$5000,Production!$A$2:$A$5000,$A157,Production!$B$2:$B$5000,$B157)</f>
        <v/>
      </c>
      <c r="F157" s="23">
        <f>SUMIFS(Production!$J$2:$J$5000,Production!$A$2:$A$5000,$A157,Production!$B$2:$B$5000,$B157)</f>
        <v/>
      </c>
      <c r="G157" s="23">
        <f>SUMIFS(Production!$J$2:$J$5000,Production!$A$2:$A$5000,$A157,Production!$B$2:$B$5000,$B157,Production!$K$2:$K$5000,"0-30")</f>
        <v/>
      </c>
      <c r="H157" s="23">
        <f>SUMIFS(Production!$J$2:$J$5000,Production!$A$2:$A$5000,$A157,Production!$B$2:$B$5000,$B157,Production!$K$2:$K$5000,"31-60")</f>
        <v/>
      </c>
      <c r="I157" s="23">
        <f>SUMIFS(Production!$J$2:$J$5000,Production!$A$2:$A$5000,$A157,Production!$B$2:$B$5000,$B157,Production!$K$2:$K$5000,"61-90")</f>
        <v/>
      </c>
      <c r="J157" s="23">
        <f>SUMIFS(Production!$J$2:$J$5000,Production!$A$2:$A$5000,$A157,Production!$B$2:$B$5000,$B157,Production!$K$2:$K$5000,"90+")</f>
        <v/>
      </c>
      <c r="K157" s="14">
        <f>IF(E157=0,"",_xlfn.MAXIFS(Production!$F$2:$F$5000,Production!$A$2:$A$5000,$A157,Production!$B$2:$B$5000,$B157,Production!$I$2:$I$5000,"&gt;0"))</f>
        <v/>
      </c>
      <c r="L157" s="15">
        <f>IF(F157=0,"",SUMPRODUCT((Production!$A$2:$A$5000=$A157)*(Production!$B$2:$B$5000=$B157)*Production!$J$2:$J$5000,Production!$F$2:$F$5000)/F157)</f>
        <v/>
      </c>
      <c r="M157" s="10">
        <f>IF(D157&gt;C157,"Dispatched more than produced — opening stock / data gap","")</f>
        <v/>
      </c>
    </row>
    <row r="158">
      <c r="A158" s="9" t="inlineStr">
        <is>
          <t>Tapi</t>
        </is>
      </c>
      <c r="B158" s="9" t="inlineStr">
        <is>
          <t>50X50X3</t>
        </is>
      </c>
      <c r="C158" s="11">
        <f>SUMIFS(Production!$D$2:$D$5000,Production!$A$2:$A$5000,$A158,Production!$B$2:$B$5000,$B158)</f>
        <v/>
      </c>
      <c r="D158" s="11">
        <f>SUMIFS(Dispatched!$C$2:$C$5000,Dispatched!$A$2:$A$5000,$A158,Dispatched!$B$2:$B$5000,$B158)</f>
        <v/>
      </c>
      <c r="E158" s="11">
        <f>SUMIFS(Production!$I$2:$I$5000,Production!$A$2:$A$5000,$A158,Production!$B$2:$B$5000,$B158)</f>
        <v/>
      </c>
      <c r="F158" s="23">
        <f>SUMIFS(Production!$J$2:$J$5000,Production!$A$2:$A$5000,$A158,Production!$B$2:$B$5000,$B158)</f>
        <v/>
      </c>
      <c r="G158" s="23">
        <f>SUMIFS(Production!$J$2:$J$5000,Production!$A$2:$A$5000,$A158,Production!$B$2:$B$5000,$B158,Production!$K$2:$K$5000,"0-30")</f>
        <v/>
      </c>
      <c r="H158" s="23">
        <f>SUMIFS(Production!$J$2:$J$5000,Production!$A$2:$A$5000,$A158,Production!$B$2:$B$5000,$B158,Production!$K$2:$K$5000,"31-60")</f>
        <v/>
      </c>
      <c r="I158" s="23">
        <f>SUMIFS(Production!$J$2:$J$5000,Production!$A$2:$A$5000,$A158,Production!$B$2:$B$5000,$B158,Production!$K$2:$K$5000,"61-90")</f>
        <v/>
      </c>
      <c r="J158" s="23">
        <f>SUMIFS(Production!$J$2:$J$5000,Production!$A$2:$A$5000,$A158,Production!$B$2:$B$5000,$B158,Production!$K$2:$K$5000,"90+")</f>
        <v/>
      </c>
      <c r="K158" s="14">
        <f>IF(E158=0,"",_xlfn.MAXIFS(Production!$F$2:$F$5000,Production!$A$2:$A$5000,$A158,Production!$B$2:$B$5000,$B158,Production!$I$2:$I$5000,"&gt;0"))</f>
        <v/>
      </c>
      <c r="L158" s="15">
        <f>IF(F158=0,"",SUMPRODUCT((Production!$A$2:$A$5000=$A158)*(Production!$B$2:$B$5000=$B158)*Production!$J$2:$J$5000,Production!$F$2:$F$5000)/F158)</f>
        <v/>
      </c>
      <c r="M158" s="10">
        <f>IF(D158&gt;C158,"Dispatched more than produced — opening stock / data gap","")</f>
        <v/>
      </c>
    </row>
    <row r="159">
      <c r="A159" s="9" t="inlineStr">
        <is>
          <t>Tapi</t>
        </is>
      </c>
      <c r="B159" s="9" t="inlineStr">
        <is>
          <t>50X50X4</t>
        </is>
      </c>
      <c r="C159" s="11">
        <f>SUMIFS(Production!$D$2:$D$5000,Production!$A$2:$A$5000,$A159,Production!$B$2:$B$5000,$B159)</f>
        <v/>
      </c>
      <c r="D159" s="11">
        <f>SUMIFS(Dispatched!$C$2:$C$5000,Dispatched!$A$2:$A$5000,$A159,Dispatched!$B$2:$B$5000,$B159)</f>
        <v/>
      </c>
      <c r="E159" s="11">
        <f>SUMIFS(Production!$I$2:$I$5000,Production!$A$2:$A$5000,$A159,Production!$B$2:$B$5000,$B159)</f>
        <v/>
      </c>
      <c r="F159" s="23">
        <f>SUMIFS(Production!$J$2:$J$5000,Production!$A$2:$A$5000,$A159,Production!$B$2:$B$5000,$B159)</f>
        <v/>
      </c>
      <c r="G159" s="23">
        <f>SUMIFS(Production!$J$2:$J$5000,Production!$A$2:$A$5000,$A159,Production!$B$2:$B$5000,$B159,Production!$K$2:$K$5000,"0-30")</f>
        <v/>
      </c>
      <c r="H159" s="23">
        <f>SUMIFS(Production!$J$2:$J$5000,Production!$A$2:$A$5000,$A159,Production!$B$2:$B$5000,$B159,Production!$K$2:$K$5000,"31-60")</f>
        <v/>
      </c>
      <c r="I159" s="23">
        <f>SUMIFS(Production!$J$2:$J$5000,Production!$A$2:$A$5000,$A159,Production!$B$2:$B$5000,$B159,Production!$K$2:$K$5000,"61-90")</f>
        <v/>
      </c>
      <c r="J159" s="23">
        <f>SUMIFS(Production!$J$2:$J$5000,Production!$A$2:$A$5000,$A159,Production!$B$2:$B$5000,$B159,Production!$K$2:$K$5000,"90+")</f>
        <v/>
      </c>
      <c r="K159" s="14">
        <f>IF(E159=0,"",_xlfn.MAXIFS(Production!$F$2:$F$5000,Production!$A$2:$A$5000,$A159,Production!$B$2:$B$5000,$B159,Production!$I$2:$I$5000,"&gt;0"))</f>
        <v/>
      </c>
      <c r="L159" s="15">
        <f>IF(F159=0,"",SUMPRODUCT((Production!$A$2:$A$5000=$A159)*(Production!$B$2:$B$5000=$B159)*Production!$J$2:$J$5000,Production!$F$2:$F$5000)/F159)</f>
        <v/>
      </c>
      <c r="M159" s="10">
        <f>IF(D159&gt;C159,"Dispatched more than produced — opening stock / data gap","")</f>
        <v/>
      </c>
    </row>
    <row r="160">
      <c r="A160" s="9" t="inlineStr">
        <is>
          <t>Tapi</t>
        </is>
      </c>
      <c r="B160" s="9" t="inlineStr">
        <is>
          <t>122X61X2</t>
        </is>
      </c>
      <c r="C160" s="11">
        <f>SUMIFS(Production!$D$2:$D$5000,Production!$A$2:$A$5000,$A160,Production!$B$2:$B$5000,$B160)</f>
        <v/>
      </c>
      <c r="D160" s="11">
        <f>SUMIFS(Dispatched!$C$2:$C$5000,Dispatched!$A$2:$A$5000,$A160,Dispatched!$B$2:$B$5000,$B160)</f>
        <v/>
      </c>
      <c r="E160" s="11">
        <f>SUMIFS(Production!$I$2:$I$5000,Production!$A$2:$A$5000,$A160,Production!$B$2:$B$5000,$B160)</f>
        <v/>
      </c>
      <c r="F160" s="23">
        <f>SUMIFS(Production!$J$2:$J$5000,Production!$A$2:$A$5000,$A160,Production!$B$2:$B$5000,$B160)</f>
        <v/>
      </c>
      <c r="G160" s="23">
        <f>SUMIFS(Production!$J$2:$J$5000,Production!$A$2:$A$5000,$A160,Production!$B$2:$B$5000,$B160,Production!$K$2:$K$5000,"0-30")</f>
        <v/>
      </c>
      <c r="H160" s="23">
        <f>SUMIFS(Production!$J$2:$J$5000,Production!$A$2:$A$5000,$A160,Production!$B$2:$B$5000,$B160,Production!$K$2:$K$5000,"31-60")</f>
        <v/>
      </c>
      <c r="I160" s="23">
        <f>SUMIFS(Production!$J$2:$J$5000,Production!$A$2:$A$5000,$A160,Production!$B$2:$B$5000,$B160,Production!$K$2:$K$5000,"61-90")</f>
        <v/>
      </c>
      <c r="J160" s="23">
        <f>SUMIFS(Production!$J$2:$J$5000,Production!$A$2:$A$5000,$A160,Production!$B$2:$B$5000,$B160,Production!$K$2:$K$5000,"90+")</f>
        <v/>
      </c>
      <c r="K160" s="14">
        <f>IF(E160=0,"",_xlfn.MAXIFS(Production!$F$2:$F$5000,Production!$A$2:$A$5000,$A160,Production!$B$2:$B$5000,$B160,Production!$I$2:$I$5000,"&gt;0"))</f>
        <v/>
      </c>
      <c r="L160" s="15">
        <f>IF(F160=0,"",SUMPRODUCT((Production!$A$2:$A$5000=$A160)*(Production!$B$2:$B$5000=$B160)*Production!$J$2:$J$5000,Production!$F$2:$F$5000)/F160)</f>
        <v/>
      </c>
      <c r="M160" s="10">
        <f>IF(D160&gt;C160,"Dispatched more than produced — opening stock / data gap","")</f>
        <v/>
      </c>
    </row>
    <row r="161">
      <c r="A161" s="9" t="inlineStr">
        <is>
          <t>Tapi</t>
        </is>
      </c>
      <c r="B161" s="9" t="inlineStr">
        <is>
          <t>80X40X4</t>
        </is>
      </c>
      <c r="C161" s="11">
        <f>SUMIFS(Production!$D$2:$D$5000,Production!$A$2:$A$5000,$A161,Production!$B$2:$B$5000,$B161)</f>
        <v/>
      </c>
      <c r="D161" s="11">
        <f>SUMIFS(Dispatched!$C$2:$C$5000,Dispatched!$A$2:$A$5000,$A161,Dispatched!$B$2:$B$5000,$B161)</f>
        <v/>
      </c>
      <c r="E161" s="11">
        <f>SUMIFS(Production!$I$2:$I$5000,Production!$A$2:$A$5000,$A161,Production!$B$2:$B$5000,$B161)</f>
        <v/>
      </c>
      <c r="F161" s="23">
        <f>SUMIFS(Production!$J$2:$J$5000,Production!$A$2:$A$5000,$A161,Production!$B$2:$B$5000,$B161)</f>
        <v/>
      </c>
      <c r="G161" s="23">
        <f>SUMIFS(Production!$J$2:$J$5000,Production!$A$2:$A$5000,$A161,Production!$B$2:$B$5000,$B161,Production!$K$2:$K$5000,"0-30")</f>
        <v/>
      </c>
      <c r="H161" s="23">
        <f>SUMIFS(Production!$J$2:$J$5000,Production!$A$2:$A$5000,$A161,Production!$B$2:$B$5000,$B161,Production!$K$2:$K$5000,"31-60")</f>
        <v/>
      </c>
      <c r="I161" s="23">
        <f>SUMIFS(Production!$J$2:$J$5000,Production!$A$2:$A$5000,$A161,Production!$B$2:$B$5000,$B161,Production!$K$2:$K$5000,"61-90")</f>
        <v/>
      </c>
      <c r="J161" s="23">
        <f>SUMIFS(Production!$J$2:$J$5000,Production!$A$2:$A$5000,$A161,Production!$B$2:$B$5000,$B161,Production!$K$2:$K$5000,"90+")</f>
        <v/>
      </c>
      <c r="K161" s="14">
        <f>IF(E161=0,"",_xlfn.MAXIFS(Production!$F$2:$F$5000,Production!$A$2:$A$5000,$A161,Production!$B$2:$B$5000,$B161,Production!$I$2:$I$5000,"&gt;0"))</f>
        <v/>
      </c>
      <c r="L161" s="15">
        <f>IF(F161=0,"",SUMPRODUCT((Production!$A$2:$A$5000=$A161)*(Production!$B$2:$B$5000=$B161)*Production!$J$2:$J$5000,Production!$F$2:$F$5000)/F161)</f>
        <v/>
      </c>
      <c r="M161" s="10">
        <f>IF(D161&gt;C161,"Dispatched more than produced — opening stock / data gap","")</f>
        <v/>
      </c>
    </row>
    <row r="162">
      <c r="A162" s="9" t="inlineStr">
        <is>
          <t>Tapi</t>
        </is>
      </c>
      <c r="B162" s="9" t="inlineStr">
        <is>
          <t>150X150X4</t>
        </is>
      </c>
      <c r="C162" s="11">
        <f>SUMIFS(Production!$D$2:$D$5000,Production!$A$2:$A$5000,$A162,Production!$B$2:$B$5000,$B162)</f>
        <v/>
      </c>
      <c r="D162" s="11">
        <f>SUMIFS(Dispatched!$C$2:$C$5000,Dispatched!$A$2:$A$5000,$A162,Dispatched!$B$2:$B$5000,$B162)</f>
        <v/>
      </c>
      <c r="E162" s="11">
        <f>SUMIFS(Production!$I$2:$I$5000,Production!$A$2:$A$5000,$A162,Production!$B$2:$B$5000,$B162)</f>
        <v/>
      </c>
      <c r="F162" s="23">
        <f>SUMIFS(Production!$J$2:$J$5000,Production!$A$2:$A$5000,$A162,Production!$B$2:$B$5000,$B162)</f>
        <v/>
      </c>
      <c r="G162" s="23">
        <f>SUMIFS(Production!$J$2:$J$5000,Production!$A$2:$A$5000,$A162,Production!$B$2:$B$5000,$B162,Production!$K$2:$K$5000,"0-30")</f>
        <v/>
      </c>
      <c r="H162" s="23">
        <f>SUMIFS(Production!$J$2:$J$5000,Production!$A$2:$A$5000,$A162,Production!$B$2:$B$5000,$B162,Production!$K$2:$K$5000,"31-60")</f>
        <v/>
      </c>
      <c r="I162" s="23">
        <f>SUMIFS(Production!$J$2:$J$5000,Production!$A$2:$A$5000,$A162,Production!$B$2:$B$5000,$B162,Production!$K$2:$K$5000,"61-90")</f>
        <v/>
      </c>
      <c r="J162" s="23">
        <f>SUMIFS(Production!$J$2:$J$5000,Production!$A$2:$A$5000,$A162,Production!$B$2:$B$5000,$B162,Production!$K$2:$K$5000,"90+")</f>
        <v/>
      </c>
      <c r="K162" s="14">
        <f>IF(E162=0,"",_xlfn.MAXIFS(Production!$F$2:$F$5000,Production!$A$2:$A$5000,$A162,Production!$B$2:$B$5000,$B162,Production!$I$2:$I$5000,"&gt;0"))</f>
        <v/>
      </c>
      <c r="L162" s="15">
        <f>IF(F162=0,"",SUMPRODUCT((Production!$A$2:$A$5000=$A162)*(Production!$B$2:$B$5000=$B162)*Production!$J$2:$J$5000,Production!$F$2:$F$5000)/F162)</f>
        <v/>
      </c>
      <c r="M162" s="10">
        <f>IF(D162&gt;C162,"Dispatched more than produced — opening stock / data gap","")</f>
        <v/>
      </c>
    </row>
    <row r="163">
      <c r="A163" s="9" t="inlineStr">
        <is>
          <t>Tapi</t>
        </is>
      </c>
      <c r="B163" s="9" t="inlineStr">
        <is>
          <t>60X40X2.5</t>
        </is>
      </c>
      <c r="C163" s="11">
        <f>SUMIFS(Production!$D$2:$D$5000,Production!$A$2:$A$5000,$A163,Production!$B$2:$B$5000,$B163)</f>
        <v/>
      </c>
      <c r="D163" s="11">
        <f>SUMIFS(Dispatched!$C$2:$C$5000,Dispatched!$A$2:$A$5000,$A163,Dispatched!$B$2:$B$5000,$B163)</f>
        <v/>
      </c>
      <c r="E163" s="11">
        <f>SUMIFS(Production!$I$2:$I$5000,Production!$A$2:$A$5000,$A163,Production!$B$2:$B$5000,$B163)</f>
        <v/>
      </c>
      <c r="F163" s="23">
        <f>SUMIFS(Production!$J$2:$J$5000,Production!$A$2:$A$5000,$A163,Production!$B$2:$B$5000,$B163)</f>
        <v/>
      </c>
      <c r="G163" s="23">
        <f>SUMIFS(Production!$J$2:$J$5000,Production!$A$2:$A$5000,$A163,Production!$B$2:$B$5000,$B163,Production!$K$2:$K$5000,"0-30")</f>
        <v/>
      </c>
      <c r="H163" s="23">
        <f>SUMIFS(Production!$J$2:$J$5000,Production!$A$2:$A$5000,$A163,Production!$B$2:$B$5000,$B163,Production!$K$2:$K$5000,"31-60")</f>
        <v/>
      </c>
      <c r="I163" s="23">
        <f>SUMIFS(Production!$J$2:$J$5000,Production!$A$2:$A$5000,$A163,Production!$B$2:$B$5000,$B163,Production!$K$2:$K$5000,"61-90")</f>
        <v/>
      </c>
      <c r="J163" s="23">
        <f>SUMIFS(Production!$J$2:$J$5000,Production!$A$2:$A$5000,$A163,Production!$B$2:$B$5000,$B163,Production!$K$2:$K$5000,"90+")</f>
        <v/>
      </c>
      <c r="K163" s="14">
        <f>IF(E163=0,"",_xlfn.MAXIFS(Production!$F$2:$F$5000,Production!$A$2:$A$5000,$A163,Production!$B$2:$B$5000,$B163,Production!$I$2:$I$5000,"&gt;0"))</f>
        <v/>
      </c>
      <c r="L163" s="15">
        <f>IF(F163=0,"",SUMPRODUCT((Production!$A$2:$A$5000=$A163)*(Production!$B$2:$B$5000=$B163)*Production!$J$2:$J$5000,Production!$F$2:$F$5000)/F163)</f>
        <v/>
      </c>
      <c r="M163" s="10">
        <f>IF(D163&gt;C163,"Dispatched more than produced — opening stock / data gap","")</f>
        <v/>
      </c>
    </row>
    <row r="164">
      <c r="A164" s="9" t="inlineStr">
        <is>
          <t>Tapi</t>
        </is>
      </c>
      <c r="B164" s="9" t="inlineStr">
        <is>
          <t>132X132X3</t>
        </is>
      </c>
      <c r="C164" s="11">
        <f>SUMIFS(Production!$D$2:$D$5000,Production!$A$2:$A$5000,$A164,Production!$B$2:$B$5000,$B164)</f>
        <v/>
      </c>
      <c r="D164" s="11">
        <f>SUMIFS(Dispatched!$C$2:$C$5000,Dispatched!$A$2:$A$5000,$A164,Dispatched!$B$2:$B$5000,$B164)</f>
        <v/>
      </c>
      <c r="E164" s="11">
        <f>SUMIFS(Production!$I$2:$I$5000,Production!$A$2:$A$5000,$A164,Production!$B$2:$B$5000,$B164)</f>
        <v/>
      </c>
      <c r="F164" s="23">
        <f>SUMIFS(Production!$J$2:$J$5000,Production!$A$2:$A$5000,$A164,Production!$B$2:$B$5000,$B164)</f>
        <v/>
      </c>
      <c r="G164" s="23">
        <f>SUMIFS(Production!$J$2:$J$5000,Production!$A$2:$A$5000,$A164,Production!$B$2:$B$5000,$B164,Production!$K$2:$K$5000,"0-30")</f>
        <v/>
      </c>
      <c r="H164" s="23">
        <f>SUMIFS(Production!$J$2:$J$5000,Production!$A$2:$A$5000,$A164,Production!$B$2:$B$5000,$B164,Production!$K$2:$K$5000,"31-60")</f>
        <v/>
      </c>
      <c r="I164" s="23">
        <f>SUMIFS(Production!$J$2:$J$5000,Production!$A$2:$A$5000,$A164,Production!$B$2:$B$5000,$B164,Production!$K$2:$K$5000,"61-90")</f>
        <v/>
      </c>
      <c r="J164" s="23">
        <f>SUMIFS(Production!$J$2:$J$5000,Production!$A$2:$A$5000,$A164,Production!$B$2:$B$5000,$B164,Production!$K$2:$K$5000,"90+")</f>
        <v/>
      </c>
      <c r="K164" s="14">
        <f>IF(E164=0,"",_xlfn.MAXIFS(Production!$F$2:$F$5000,Production!$A$2:$A$5000,$A164,Production!$B$2:$B$5000,$B164,Production!$I$2:$I$5000,"&gt;0"))</f>
        <v/>
      </c>
      <c r="L164" s="15">
        <f>IF(F164=0,"",SUMPRODUCT((Production!$A$2:$A$5000=$A164)*(Production!$B$2:$B$5000=$B164)*Production!$J$2:$J$5000,Production!$F$2:$F$5000)/F164)</f>
        <v/>
      </c>
      <c r="M164" s="10">
        <f>IF(D164&gt;C164,"Dispatched more than produced — opening stock / data gap","")</f>
        <v/>
      </c>
    </row>
    <row r="165">
      <c r="A165" s="9" t="inlineStr">
        <is>
          <t>Tapi</t>
        </is>
      </c>
      <c r="B165" s="9" t="inlineStr">
        <is>
          <t>60X40X4</t>
        </is>
      </c>
      <c r="C165" s="11">
        <f>SUMIFS(Production!$D$2:$D$5000,Production!$A$2:$A$5000,$A165,Production!$B$2:$B$5000,$B165)</f>
        <v/>
      </c>
      <c r="D165" s="11">
        <f>SUMIFS(Dispatched!$C$2:$C$5000,Dispatched!$A$2:$A$5000,$A165,Dispatched!$B$2:$B$5000,$B165)</f>
        <v/>
      </c>
      <c r="E165" s="11">
        <f>SUMIFS(Production!$I$2:$I$5000,Production!$A$2:$A$5000,$A165,Production!$B$2:$B$5000,$B165)</f>
        <v/>
      </c>
      <c r="F165" s="23">
        <f>SUMIFS(Production!$J$2:$J$5000,Production!$A$2:$A$5000,$A165,Production!$B$2:$B$5000,$B165)</f>
        <v/>
      </c>
      <c r="G165" s="23">
        <f>SUMIFS(Production!$J$2:$J$5000,Production!$A$2:$A$5000,$A165,Production!$B$2:$B$5000,$B165,Production!$K$2:$K$5000,"0-30")</f>
        <v/>
      </c>
      <c r="H165" s="23">
        <f>SUMIFS(Production!$J$2:$J$5000,Production!$A$2:$A$5000,$A165,Production!$B$2:$B$5000,$B165,Production!$K$2:$K$5000,"31-60")</f>
        <v/>
      </c>
      <c r="I165" s="23">
        <f>SUMIFS(Production!$J$2:$J$5000,Production!$A$2:$A$5000,$A165,Production!$B$2:$B$5000,$B165,Production!$K$2:$K$5000,"61-90")</f>
        <v/>
      </c>
      <c r="J165" s="23">
        <f>SUMIFS(Production!$J$2:$J$5000,Production!$A$2:$A$5000,$A165,Production!$B$2:$B$5000,$B165,Production!$K$2:$K$5000,"90+")</f>
        <v/>
      </c>
      <c r="K165" s="14">
        <f>IF(E165=0,"",_xlfn.MAXIFS(Production!$F$2:$F$5000,Production!$A$2:$A$5000,$A165,Production!$B$2:$B$5000,$B165,Production!$I$2:$I$5000,"&gt;0"))</f>
        <v/>
      </c>
      <c r="L165" s="15">
        <f>IF(F165=0,"",SUMPRODUCT((Production!$A$2:$A$5000=$A165)*(Production!$B$2:$B$5000=$B165)*Production!$J$2:$J$5000,Production!$F$2:$F$5000)/F165)</f>
        <v/>
      </c>
      <c r="M165" s="10">
        <f>IF(D165&gt;C165,"Dispatched more than produced — opening stock / data gap","")</f>
        <v/>
      </c>
    </row>
    <row r="166">
      <c r="A166" s="9" t="inlineStr">
        <is>
          <t>Tapi</t>
        </is>
      </c>
      <c r="B166" s="9" t="inlineStr">
        <is>
          <t>200X100X5</t>
        </is>
      </c>
      <c r="C166" s="11">
        <f>SUMIFS(Production!$D$2:$D$5000,Production!$A$2:$A$5000,$A166,Production!$B$2:$B$5000,$B166)</f>
        <v/>
      </c>
      <c r="D166" s="11">
        <f>SUMIFS(Dispatched!$C$2:$C$5000,Dispatched!$A$2:$A$5000,$A166,Dispatched!$B$2:$B$5000,$B166)</f>
        <v/>
      </c>
      <c r="E166" s="11">
        <f>SUMIFS(Production!$I$2:$I$5000,Production!$A$2:$A$5000,$A166,Production!$B$2:$B$5000,$B166)</f>
        <v/>
      </c>
      <c r="F166" s="23">
        <f>SUMIFS(Production!$J$2:$J$5000,Production!$A$2:$A$5000,$A166,Production!$B$2:$B$5000,$B166)</f>
        <v/>
      </c>
      <c r="G166" s="23">
        <f>SUMIFS(Production!$J$2:$J$5000,Production!$A$2:$A$5000,$A166,Production!$B$2:$B$5000,$B166,Production!$K$2:$K$5000,"0-30")</f>
        <v/>
      </c>
      <c r="H166" s="23">
        <f>SUMIFS(Production!$J$2:$J$5000,Production!$A$2:$A$5000,$A166,Production!$B$2:$B$5000,$B166,Production!$K$2:$K$5000,"31-60")</f>
        <v/>
      </c>
      <c r="I166" s="23">
        <f>SUMIFS(Production!$J$2:$J$5000,Production!$A$2:$A$5000,$A166,Production!$B$2:$B$5000,$B166,Production!$K$2:$K$5000,"61-90")</f>
        <v/>
      </c>
      <c r="J166" s="23">
        <f>SUMIFS(Production!$J$2:$J$5000,Production!$A$2:$A$5000,$A166,Production!$B$2:$B$5000,$B166,Production!$K$2:$K$5000,"90+")</f>
        <v/>
      </c>
      <c r="K166" s="14">
        <f>IF(E166=0,"",_xlfn.MAXIFS(Production!$F$2:$F$5000,Production!$A$2:$A$5000,$A166,Production!$B$2:$B$5000,$B166,Production!$I$2:$I$5000,"&gt;0"))</f>
        <v/>
      </c>
      <c r="L166" s="15">
        <f>IF(F166=0,"",SUMPRODUCT((Production!$A$2:$A$5000=$A166)*(Production!$B$2:$B$5000=$B166)*Production!$J$2:$J$5000,Production!$F$2:$F$5000)/F166)</f>
        <v/>
      </c>
      <c r="M166" s="10">
        <f>IF(D166&gt;C166,"Dispatched more than produced — opening stock / data gap","")</f>
        <v/>
      </c>
    </row>
    <row r="167">
      <c r="A167" s="9" t="inlineStr">
        <is>
          <t>Tapi</t>
        </is>
      </c>
      <c r="B167" s="9" t="inlineStr">
        <is>
          <t>200X100X4</t>
        </is>
      </c>
      <c r="C167" s="11">
        <f>SUMIFS(Production!$D$2:$D$5000,Production!$A$2:$A$5000,$A167,Production!$B$2:$B$5000,$B167)</f>
        <v/>
      </c>
      <c r="D167" s="11">
        <f>SUMIFS(Dispatched!$C$2:$C$5000,Dispatched!$A$2:$A$5000,$A167,Dispatched!$B$2:$B$5000,$B167)</f>
        <v/>
      </c>
      <c r="E167" s="11">
        <f>SUMIFS(Production!$I$2:$I$5000,Production!$A$2:$A$5000,$A167,Production!$B$2:$B$5000,$B167)</f>
        <v/>
      </c>
      <c r="F167" s="23">
        <f>SUMIFS(Production!$J$2:$J$5000,Production!$A$2:$A$5000,$A167,Production!$B$2:$B$5000,$B167)</f>
        <v/>
      </c>
      <c r="G167" s="23">
        <f>SUMIFS(Production!$J$2:$J$5000,Production!$A$2:$A$5000,$A167,Production!$B$2:$B$5000,$B167,Production!$K$2:$K$5000,"0-30")</f>
        <v/>
      </c>
      <c r="H167" s="23">
        <f>SUMIFS(Production!$J$2:$J$5000,Production!$A$2:$A$5000,$A167,Production!$B$2:$B$5000,$B167,Production!$K$2:$K$5000,"31-60")</f>
        <v/>
      </c>
      <c r="I167" s="23">
        <f>SUMIFS(Production!$J$2:$J$5000,Production!$A$2:$A$5000,$A167,Production!$B$2:$B$5000,$B167,Production!$K$2:$K$5000,"61-90")</f>
        <v/>
      </c>
      <c r="J167" s="23">
        <f>SUMIFS(Production!$J$2:$J$5000,Production!$A$2:$A$5000,$A167,Production!$B$2:$B$5000,$B167,Production!$K$2:$K$5000,"90+")</f>
        <v/>
      </c>
      <c r="K167" s="14">
        <f>IF(E167=0,"",_xlfn.MAXIFS(Production!$F$2:$F$5000,Production!$A$2:$A$5000,$A167,Production!$B$2:$B$5000,$B167,Production!$I$2:$I$5000,"&gt;0"))</f>
        <v/>
      </c>
      <c r="L167" s="15">
        <f>IF(F167=0,"",SUMPRODUCT((Production!$A$2:$A$5000=$A167)*(Production!$B$2:$B$5000=$B167)*Production!$J$2:$J$5000,Production!$F$2:$F$5000)/F167)</f>
        <v/>
      </c>
      <c r="M167" s="10">
        <f>IF(D167&gt;C167,"Dispatched more than produced — opening stock / data gap","")</f>
        <v/>
      </c>
    </row>
    <row r="168">
      <c r="A168" s="9" t="inlineStr">
        <is>
          <t>Tapi</t>
        </is>
      </c>
      <c r="B168" s="9" t="inlineStr">
        <is>
          <t>200X100X3</t>
        </is>
      </c>
      <c r="C168" s="11">
        <f>SUMIFS(Production!$D$2:$D$5000,Production!$A$2:$A$5000,$A168,Production!$B$2:$B$5000,$B168)</f>
        <v/>
      </c>
      <c r="D168" s="11">
        <f>SUMIFS(Dispatched!$C$2:$C$5000,Dispatched!$A$2:$A$5000,$A168,Dispatched!$B$2:$B$5000,$B168)</f>
        <v/>
      </c>
      <c r="E168" s="11">
        <f>SUMIFS(Production!$I$2:$I$5000,Production!$A$2:$A$5000,$A168,Production!$B$2:$B$5000,$B168)</f>
        <v/>
      </c>
      <c r="F168" s="23">
        <f>SUMIFS(Production!$J$2:$J$5000,Production!$A$2:$A$5000,$A168,Production!$B$2:$B$5000,$B168)</f>
        <v/>
      </c>
      <c r="G168" s="23">
        <f>SUMIFS(Production!$J$2:$J$5000,Production!$A$2:$A$5000,$A168,Production!$B$2:$B$5000,$B168,Production!$K$2:$K$5000,"0-30")</f>
        <v/>
      </c>
      <c r="H168" s="23">
        <f>SUMIFS(Production!$J$2:$J$5000,Production!$A$2:$A$5000,$A168,Production!$B$2:$B$5000,$B168,Production!$K$2:$K$5000,"31-60")</f>
        <v/>
      </c>
      <c r="I168" s="23">
        <f>SUMIFS(Production!$J$2:$J$5000,Production!$A$2:$A$5000,$A168,Production!$B$2:$B$5000,$B168,Production!$K$2:$K$5000,"61-90")</f>
        <v/>
      </c>
      <c r="J168" s="23">
        <f>SUMIFS(Production!$J$2:$J$5000,Production!$A$2:$A$5000,$A168,Production!$B$2:$B$5000,$B168,Production!$K$2:$K$5000,"90+")</f>
        <v/>
      </c>
      <c r="K168" s="14">
        <f>IF(E168=0,"",_xlfn.MAXIFS(Production!$F$2:$F$5000,Production!$A$2:$A$5000,$A168,Production!$B$2:$B$5000,$B168,Production!$I$2:$I$5000,"&gt;0"))</f>
        <v/>
      </c>
      <c r="L168" s="15">
        <f>IF(F168=0,"",SUMPRODUCT((Production!$A$2:$A$5000=$A168)*(Production!$B$2:$B$5000=$B168)*Production!$J$2:$J$5000,Production!$F$2:$F$5000)/F168)</f>
        <v/>
      </c>
      <c r="M168" s="10">
        <f>IF(D168&gt;C168,"Dispatched more than produced — opening stock / data gap","")</f>
        <v/>
      </c>
    </row>
    <row r="169">
      <c r="A169" s="9" t="inlineStr">
        <is>
          <t>Tapi</t>
        </is>
      </c>
      <c r="B169" s="9" t="inlineStr">
        <is>
          <t>72X72X5</t>
        </is>
      </c>
      <c r="C169" s="11">
        <f>SUMIFS(Production!$D$2:$D$5000,Production!$A$2:$A$5000,$A169,Production!$B$2:$B$5000,$B169)</f>
        <v/>
      </c>
      <c r="D169" s="11">
        <f>SUMIFS(Dispatched!$C$2:$C$5000,Dispatched!$A$2:$A$5000,$A169,Dispatched!$B$2:$B$5000,$B169)</f>
        <v/>
      </c>
      <c r="E169" s="11">
        <f>SUMIFS(Production!$I$2:$I$5000,Production!$A$2:$A$5000,$A169,Production!$B$2:$B$5000,$B169)</f>
        <v/>
      </c>
      <c r="F169" s="23">
        <f>SUMIFS(Production!$J$2:$J$5000,Production!$A$2:$A$5000,$A169,Production!$B$2:$B$5000,$B169)</f>
        <v/>
      </c>
      <c r="G169" s="23">
        <f>SUMIFS(Production!$J$2:$J$5000,Production!$A$2:$A$5000,$A169,Production!$B$2:$B$5000,$B169,Production!$K$2:$K$5000,"0-30")</f>
        <v/>
      </c>
      <c r="H169" s="23">
        <f>SUMIFS(Production!$J$2:$J$5000,Production!$A$2:$A$5000,$A169,Production!$B$2:$B$5000,$B169,Production!$K$2:$K$5000,"31-60")</f>
        <v/>
      </c>
      <c r="I169" s="23">
        <f>SUMIFS(Production!$J$2:$J$5000,Production!$A$2:$A$5000,$A169,Production!$B$2:$B$5000,$B169,Production!$K$2:$K$5000,"61-90")</f>
        <v/>
      </c>
      <c r="J169" s="23">
        <f>SUMIFS(Production!$J$2:$J$5000,Production!$A$2:$A$5000,$A169,Production!$B$2:$B$5000,$B169,Production!$K$2:$K$5000,"90+")</f>
        <v/>
      </c>
      <c r="K169" s="14">
        <f>IF(E169=0,"",_xlfn.MAXIFS(Production!$F$2:$F$5000,Production!$A$2:$A$5000,$A169,Production!$B$2:$B$5000,$B169,Production!$I$2:$I$5000,"&gt;0"))</f>
        <v/>
      </c>
      <c r="L169" s="15">
        <f>IF(F169=0,"",SUMPRODUCT((Production!$A$2:$A$5000=$A169)*(Production!$B$2:$B$5000=$B169)*Production!$J$2:$J$5000,Production!$F$2:$F$5000)/F169)</f>
        <v/>
      </c>
      <c r="M169" s="10">
        <f>IF(D169&gt;C169,"Dispatched more than produced — opening stock / data gap","")</f>
        <v/>
      </c>
    </row>
    <row r="170">
      <c r="A170" s="9" t="inlineStr">
        <is>
          <t>Tapi</t>
        </is>
      </c>
      <c r="B170" s="9" t="inlineStr">
        <is>
          <t>145X82X3</t>
        </is>
      </c>
      <c r="C170" s="11">
        <f>SUMIFS(Production!$D$2:$D$5000,Production!$A$2:$A$5000,$A170,Production!$B$2:$B$5000,$B170)</f>
        <v/>
      </c>
      <c r="D170" s="11">
        <f>SUMIFS(Dispatched!$C$2:$C$5000,Dispatched!$A$2:$A$5000,$A170,Dispatched!$B$2:$B$5000,$B170)</f>
        <v/>
      </c>
      <c r="E170" s="11">
        <f>SUMIFS(Production!$I$2:$I$5000,Production!$A$2:$A$5000,$A170,Production!$B$2:$B$5000,$B170)</f>
        <v/>
      </c>
      <c r="F170" s="23">
        <f>SUMIFS(Production!$J$2:$J$5000,Production!$A$2:$A$5000,$A170,Production!$B$2:$B$5000,$B170)</f>
        <v/>
      </c>
      <c r="G170" s="23">
        <f>SUMIFS(Production!$J$2:$J$5000,Production!$A$2:$A$5000,$A170,Production!$B$2:$B$5000,$B170,Production!$K$2:$K$5000,"0-30")</f>
        <v/>
      </c>
      <c r="H170" s="23">
        <f>SUMIFS(Production!$J$2:$J$5000,Production!$A$2:$A$5000,$A170,Production!$B$2:$B$5000,$B170,Production!$K$2:$K$5000,"31-60")</f>
        <v/>
      </c>
      <c r="I170" s="23">
        <f>SUMIFS(Production!$J$2:$J$5000,Production!$A$2:$A$5000,$A170,Production!$B$2:$B$5000,$B170,Production!$K$2:$K$5000,"61-90")</f>
        <v/>
      </c>
      <c r="J170" s="23">
        <f>SUMIFS(Production!$J$2:$J$5000,Production!$A$2:$A$5000,$A170,Production!$B$2:$B$5000,$B170,Production!$K$2:$K$5000,"90+")</f>
        <v/>
      </c>
      <c r="K170" s="14">
        <f>IF(E170=0,"",_xlfn.MAXIFS(Production!$F$2:$F$5000,Production!$A$2:$A$5000,$A170,Production!$B$2:$B$5000,$B170,Production!$I$2:$I$5000,"&gt;0"))</f>
        <v/>
      </c>
      <c r="L170" s="15">
        <f>IF(F170=0,"",SUMPRODUCT((Production!$A$2:$A$5000=$A170)*(Production!$B$2:$B$5000=$B170)*Production!$J$2:$J$5000,Production!$F$2:$F$5000)/F170)</f>
        <v/>
      </c>
      <c r="M170" s="10">
        <f>IF(D170&gt;C170,"Dispatched more than produced — opening stock / data gap","")</f>
        <v/>
      </c>
    </row>
    <row r="171">
      <c r="A171" s="9" t="inlineStr">
        <is>
          <t>Tapi</t>
        </is>
      </c>
      <c r="B171" s="9" t="inlineStr">
        <is>
          <t>100X100X2</t>
        </is>
      </c>
      <c r="C171" s="11">
        <f>SUMIFS(Production!$D$2:$D$5000,Production!$A$2:$A$5000,$A171,Production!$B$2:$B$5000,$B171)</f>
        <v/>
      </c>
      <c r="D171" s="11">
        <f>SUMIFS(Dispatched!$C$2:$C$5000,Dispatched!$A$2:$A$5000,$A171,Dispatched!$B$2:$B$5000,$B171)</f>
        <v/>
      </c>
      <c r="E171" s="11">
        <f>SUMIFS(Production!$I$2:$I$5000,Production!$A$2:$A$5000,$A171,Production!$B$2:$B$5000,$B171)</f>
        <v/>
      </c>
      <c r="F171" s="23">
        <f>SUMIFS(Production!$J$2:$J$5000,Production!$A$2:$A$5000,$A171,Production!$B$2:$B$5000,$B171)</f>
        <v/>
      </c>
      <c r="G171" s="23">
        <f>SUMIFS(Production!$J$2:$J$5000,Production!$A$2:$A$5000,$A171,Production!$B$2:$B$5000,$B171,Production!$K$2:$K$5000,"0-30")</f>
        <v/>
      </c>
      <c r="H171" s="23">
        <f>SUMIFS(Production!$J$2:$J$5000,Production!$A$2:$A$5000,$A171,Production!$B$2:$B$5000,$B171,Production!$K$2:$K$5000,"31-60")</f>
        <v/>
      </c>
      <c r="I171" s="23">
        <f>SUMIFS(Production!$J$2:$J$5000,Production!$A$2:$A$5000,$A171,Production!$B$2:$B$5000,$B171,Production!$K$2:$K$5000,"61-90")</f>
        <v/>
      </c>
      <c r="J171" s="23">
        <f>SUMIFS(Production!$J$2:$J$5000,Production!$A$2:$A$5000,$A171,Production!$B$2:$B$5000,$B171,Production!$K$2:$K$5000,"90+")</f>
        <v/>
      </c>
      <c r="K171" s="14">
        <f>IF(E171=0,"",_xlfn.MAXIFS(Production!$F$2:$F$5000,Production!$A$2:$A$5000,$A171,Production!$B$2:$B$5000,$B171,Production!$I$2:$I$5000,"&gt;0"))</f>
        <v/>
      </c>
      <c r="L171" s="15">
        <f>IF(F171=0,"",SUMPRODUCT((Production!$A$2:$A$5000=$A171)*(Production!$B$2:$B$5000=$B171)*Production!$J$2:$J$5000,Production!$F$2:$F$5000)/F171)</f>
        <v/>
      </c>
      <c r="M171" s="10">
        <f>IF(D171&gt;C171,"Dispatched more than produced — opening stock / data gap","")</f>
        <v/>
      </c>
    </row>
    <row r="172">
      <c r="A172" s="9" t="inlineStr">
        <is>
          <t>Tapi</t>
        </is>
      </c>
      <c r="B172" s="9" t="inlineStr">
        <is>
          <t>145X82X4</t>
        </is>
      </c>
      <c r="C172" s="11">
        <f>SUMIFS(Production!$D$2:$D$5000,Production!$A$2:$A$5000,$A172,Production!$B$2:$B$5000,$B172)</f>
        <v/>
      </c>
      <c r="D172" s="11">
        <f>SUMIFS(Dispatched!$C$2:$C$5000,Dispatched!$A$2:$A$5000,$A172,Dispatched!$B$2:$B$5000,$B172)</f>
        <v/>
      </c>
      <c r="E172" s="11">
        <f>SUMIFS(Production!$I$2:$I$5000,Production!$A$2:$A$5000,$A172,Production!$B$2:$B$5000,$B172)</f>
        <v/>
      </c>
      <c r="F172" s="23">
        <f>SUMIFS(Production!$J$2:$J$5000,Production!$A$2:$A$5000,$A172,Production!$B$2:$B$5000,$B172)</f>
        <v/>
      </c>
      <c r="G172" s="23">
        <f>SUMIFS(Production!$J$2:$J$5000,Production!$A$2:$A$5000,$A172,Production!$B$2:$B$5000,$B172,Production!$K$2:$K$5000,"0-30")</f>
        <v/>
      </c>
      <c r="H172" s="23">
        <f>SUMIFS(Production!$J$2:$J$5000,Production!$A$2:$A$5000,$A172,Production!$B$2:$B$5000,$B172,Production!$K$2:$K$5000,"31-60")</f>
        <v/>
      </c>
      <c r="I172" s="23">
        <f>SUMIFS(Production!$J$2:$J$5000,Production!$A$2:$A$5000,$A172,Production!$B$2:$B$5000,$B172,Production!$K$2:$K$5000,"61-90")</f>
        <v/>
      </c>
      <c r="J172" s="23">
        <f>SUMIFS(Production!$J$2:$J$5000,Production!$A$2:$A$5000,$A172,Production!$B$2:$B$5000,$B172,Production!$K$2:$K$5000,"90+")</f>
        <v/>
      </c>
      <c r="K172" s="14">
        <f>IF(E172=0,"",_xlfn.MAXIFS(Production!$F$2:$F$5000,Production!$A$2:$A$5000,$A172,Production!$B$2:$B$5000,$B172,Production!$I$2:$I$5000,"&gt;0"))</f>
        <v/>
      </c>
      <c r="L172" s="15">
        <f>IF(F172=0,"",SUMPRODUCT((Production!$A$2:$A$5000=$A172)*(Production!$B$2:$B$5000=$B172)*Production!$J$2:$J$5000,Production!$F$2:$F$5000)/F172)</f>
        <v/>
      </c>
      <c r="M172" s="10">
        <f>IF(D172&gt;C172,"Dispatched more than produced — opening stock / data gap","")</f>
        <v/>
      </c>
    </row>
    <row r="173">
      <c r="A173" s="9" t="inlineStr">
        <is>
          <t>Tapi</t>
        </is>
      </c>
      <c r="B173" s="9" t="inlineStr">
        <is>
          <t>100X100X4</t>
        </is>
      </c>
      <c r="C173" s="11">
        <f>SUMIFS(Production!$D$2:$D$5000,Production!$A$2:$A$5000,$A173,Production!$B$2:$B$5000,$B173)</f>
        <v/>
      </c>
      <c r="D173" s="11">
        <f>SUMIFS(Dispatched!$C$2:$C$5000,Dispatched!$A$2:$A$5000,$A173,Dispatched!$B$2:$B$5000,$B173)</f>
        <v/>
      </c>
      <c r="E173" s="11">
        <f>SUMIFS(Production!$I$2:$I$5000,Production!$A$2:$A$5000,$A173,Production!$B$2:$B$5000,$B173)</f>
        <v/>
      </c>
      <c r="F173" s="23">
        <f>SUMIFS(Production!$J$2:$J$5000,Production!$A$2:$A$5000,$A173,Production!$B$2:$B$5000,$B173)</f>
        <v/>
      </c>
      <c r="G173" s="23">
        <f>SUMIFS(Production!$J$2:$J$5000,Production!$A$2:$A$5000,$A173,Production!$B$2:$B$5000,$B173,Production!$K$2:$K$5000,"0-30")</f>
        <v/>
      </c>
      <c r="H173" s="23">
        <f>SUMIFS(Production!$J$2:$J$5000,Production!$A$2:$A$5000,$A173,Production!$B$2:$B$5000,$B173,Production!$K$2:$K$5000,"31-60")</f>
        <v/>
      </c>
      <c r="I173" s="23">
        <f>SUMIFS(Production!$J$2:$J$5000,Production!$A$2:$A$5000,$A173,Production!$B$2:$B$5000,$B173,Production!$K$2:$K$5000,"61-90")</f>
        <v/>
      </c>
      <c r="J173" s="23">
        <f>SUMIFS(Production!$J$2:$J$5000,Production!$A$2:$A$5000,$A173,Production!$B$2:$B$5000,$B173,Production!$K$2:$K$5000,"90+")</f>
        <v/>
      </c>
      <c r="K173" s="14">
        <f>IF(E173=0,"",_xlfn.MAXIFS(Production!$F$2:$F$5000,Production!$A$2:$A$5000,$A173,Production!$B$2:$B$5000,$B173,Production!$I$2:$I$5000,"&gt;0"))</f>
        <v/>
      </c>
      <c r="L173" s="15">
        <f>IF(F173=0,"",SUMPRODUCT((Production!$A$2:$A$5000=$A173)*(Production!$B$2:$B$5000=$B173)*Production!$J$2:$J$5000,Production!$F$2:$F$5000)/F173)</f>
        <v/>
      </c>
      <c r="M173" s="10">
        <f>IF(D173&gt;C173,"Dispatched more than produced — opening stock / data gap","")</f>
        <v/>
      </c>
    </row>
    <row r="174">
      <c r="A174" s="9" t="inlineStr">
        <is>
          <t>Tapi</t>
        </is>
      </c>
      <c r="B174" s="9" t="inlineStr">
        <is>
          <t>72X72X4</t>
        </is>
      </c>
      <c r="C174" s="11">
        <f>SUMIFS(Production!$D$2:$D$5000,Production!$A$2:$A$5000,$A174,Production!$B$2:$B$5000,$B174)</f>
        <v/>
      </c>
      <c r="D174" s="11">
        <f>SUMIFS(Dispatched!$C$2:$C$5000,Dispatched!$A$2:$A$5000,$A174,Dispatched!$B$2:$B$5000,$B174)</f>
        <v/>
      </c>
      <c r="E174" s="11">
        <f>SUMIFS(Production!$I$2:$I$5000,Production!$A$2:$A$5000,$A174,Production!$B$2:$B$5000,$B174)</f>
        <v/>
      </c>
      <c r="F174" s="23">
        <f>SUMIFS(Production!$J$2:$J$5000,Production!$A$2:$A$5000,$A174,Production!$B$2:$B$5000,$B174)</f>
        <v/>
      </c>
      <c r="G174" s="23">
        <f>SUMIFS(Production!$J$2:$J$5000,Production!$A$2:$A$5000,$A174,Production!$B$2:$B$5000,$B174,Production!$K$2:$K$5000,"0-30")</f>
        <v/>
      </c>
      <c r="H174" s="23">
        <f>SUMIFS(Production!$J$2:$J$5000,Production!$A$2:$A$5000,$A174,Production!$B$2:$B$5000,$B174,Production!$K$2:$K$5000,"31-60")</f>
        <v/>
      </c>
      <c r="I174" s="23">
        <f>SUMIFS(Production!$J$2:$J$5000,Production!$A$2:$A$5000,$A174,Production!$B$2:$B$5000,$B174,Production!$K$2:$K$5000,"61-90")</f>
        <v/>
      </c>
      <c r="J174" s="23">
        <f>SUMIFS(Production!$J$2:$J$5000,Production!$A$2:$A$5000,$A174,Production!$B$2:$B$5000,$B174,Production!$K$2:$K$5000,"90+")</f>
        <v/>
      </c>
      <c r="K174" s="14">
        <f>IF(E174=0,"",_xlfn.MAXIFS(Production!$F$2:$F$5000,Production!$A$2:$A$5000,$A174,Production!$B$2:$B$5000,$B174,Production!$I$2:$I$5000,"&gt;0"))</f>
        <v/>
      </c>
      <c r="L174" s="15">
        <f>IF(F174=0,"",SUMPRODUCT((Production!$A$2:$A$5000=$A174)*(Production!$B$2:$B$5000=$B174)*Production!$J$2:$J$5000,Production!$F$2:$F$5000)/F174)</f>
        <v/>
      </c>
      <c r="M174" s="10">
        <f>IF(D174&gt;C174,"Dispatched more than produced — opening stock / data gap","")</f>
        <v/>
      </c>
    </row>
    <row r="175">
      <c r="A175" s="9" t="inlineStr">
        <is>
          <t>Tapi</t>
        </is>
      </c>
      <c r="B175" s="9" t="inlineStr">
        <is>
          <t>40X40X2</t>
        </is>
      </c>
      <c r="C175" s="11">
        <f>SUMIFS(Production!$D$2:$D$5000,Production!$A$2:$A$5000,$A175,Production!$B$2:$B$5000,$B175)</f>
        <v/>
      </c>
      <c r="D175" s="11">
        <f>SUMIFS(Dispatched!$C$2:$C$5000,Dispatched!$A$2:$A$5000,$A175,Dispatched!$B$2:$B$5000,$B175)</f>
        <v/>
      </c>
      <c r="E175" s="11">
        <f>SUMIFS(Production!$I$2:$I$5000,Production!$A$2:$A$5000,$A175,Production!$B$2:$B$5000,$B175)</f>
        <v/>
      </c>
      <c r="F175" s="23">
        <f>SUMIFS(Production!$J$2:$J$5000,Production!$A$2:$A$5000,$A175,Production!$B$2:$B$5000,$B175)</f>
        <v/>
      </c>
      <c r="G175" s="23">
        <f>SUMIFS(Production!$J$2:$J$5000,Production!$A$2:$A$5000,$A175,Production!$B$2:$B$5000,$B175,Production!$K$2:$K$5000,"0-30")</f>
        <v/>
      </c>
      <c r="H175" s="23">
        <f>SUMIFS(Production!$J$2:$J$5000,Production!$A$2:$A$5000,$A175,Production!$B$2:$B$5000,$B175,Production!$K$2:$K$5000,"31-60")</f>
        <v/>
      </c>
      <c r="I175" s="23">
        <f>SUMIFS(Production!$J$2:$J$5000,Production!$A$2:$A$5000,$A175,Production!$B$2:$B$5000,$B175,Production!$K$2:$K$5000,"61-90")</f>
        <v/>
      </c>
      <c r="J175" s="23">
        <f>SUMIFS(Production!$J$2:$J$5000,Production!$A$2:$A$5000,$A175,Production!$B$2:$B$5000,$B175,Production!$K$2:$K$5000,"90+")</f>
        <v/>
      </c>
      <c r="K175" s="14">
        <f>IF(E175=0,"",_xlfn.MAXIFS(Production!$F$2:$F$5000,Production!$A$2:$A$5000,$A175,Production!$B$2:$B$5000,$B175,Production!$I$2:$I$5000,"&gt;0"))</f>
        <v/>
      </c>
      <c r="L175" s="15">
        <f>IF(F175=0,"",SUMPRODUCT((Production!$A$2:$A$5000=$A175)*(Production!$B$2:$B$5000=$B175)*Production!$J$2:$J$5000,Production!$F$2:$F$5000)/F175)</f>
        <v/>
      </c>
      <c r="M175" s="10">
        <f>IF(D175&gt;C175,"Dispatched more than produced — opening stock / data gap","")</f>
        <v/>
      </c>
    </row>
    <row r="176">
      <c r="A176" s="9" t="inlineStr">
        <is>
          <t>Tapi</t>
        </is>
      </c>
      <c r="B176" s="9" t="inlineStr">
        <is>
          <t>40X40X3</t>
        </is>
      </c>
      <c r="C176" s="11">
        <f>SUMIFS(Production!$D$2:$D$5000,Production!$A$2:$A$5000,$A176,Production!$B$2:$B$5000,$B176)</f>
        <v/>
      </c>
      <c r="D176" s="11">
        <f>SUMIFS(Dispatched!$C$2:$C$5000,Dispatched!$A$2:$A$5000,$A176,Dispatched!$B$2:$B$5000,$B176)</f>
        <v/>
      </c>
      <c r="E176" s="11">
        <f>SUMIFS(Production!$I$2:$I$5000,Production!$A$2:$A$5000,$A176,Production!$B$2:$B$5000,$B176)</f>
        <v/>
      </c>
      <c r="F176" s="23">
        <f>SUMIFS(Production!$J$2:$J$5000,Production!$A$2:$A$5000,$A176,Production!$B$2:$B$5000,$B176)</f>
        <v/>
      </c>
      <c r="G176" s="23">
        <f>SUMIFS(Production!$J$2:$J$5000,Production!$A$2:$A$5000,$A176,Production!$B$2:$B$5000,$B176,Production!$K$2:$K$5000,"0-30")</f>
        <v/>
      </c>
      <c r="H176" s="23">
        <f>SUMIFS(Production!$J$2:$J$5000,Production!$A$2:$A$5000,$A176,Production!$B$2:$B$5000,$B176,Production!$K$2:$K$5000,"31-60")</f>
        <v/>
      </c>
      <c r="I176" s="23">
        <f>SUMIFS(Production!$J$2:$J$5000,Production!$A$2:$A$5000,$A176,Production!$B$2:$B$5000,$B176,Production!$K$2:$K$5000,"61-90")</f>
        <v/>
      </c>
      <c r="J176" s="23">
        <f>SUMIFS(Production!$J$2:$J$5000,Production!$A$2:$A$5000,$A176,Production!$B$2:$B$5000,$B176,Production!$K$2:$K$5000,"90+")</f>
        <v/>
      </c>
      <c r="K176" s="14">
        <f>IF(E176=0,"",_xlfn.MAXIFS(Production!$F$2:$F$5000,Production!$A$2:$A$5000,$A176,Production!$B$2:$B$5000,$B176,Production!$I$2:$I$5000,"&gt;0"))</f>
        <v/>
      </c>
      <c r="L176" s="15">
        <f>IF(F176=0,"",SUMPRODUCT((Production!$A$2:$A$5000=$A176)*(Production!$B$2:$B$5000=$B176)*Production!$J$2:$J$5000,Production!$F$2:$F$5000)/F176)</f>
        <v/>
      </c>
      <c r="M176" s="10">
        <f>IF(D176&gt;C176,"Dispatched more than produced — opening stock / data gap","")</f>
        <v/>
      </c>
    </row>
    <row r="177">
      <c r="A177" s="9" t="inlineStr">
        <is>
          <t>Tapi</t>
        </is>
      </c>
      <c r="B177" s="9" t="inlineStr">
        <is>
          <t>100X100X2.5</t>
        </is>
      </c>
      <c r="C177" s="11">
        <f>SUMIFS(Production!$D$2:$D$5000,Production!$A$2:$A$5000,$A177,Production!$B$2:$B$5000,$B177)</f>
        <v/>
      </c>
      <c r="D177" s="11">
        <f>SUMIFS(Dispatched!$C$2:$C$5000,Dispatched!$A$2:$A$5000,$A177,Dispatched!$B$2:$B$5000,$B177)</f>
        <v/>
      </c>
      <c r="E177" s="11">
        <f>SUMIFS(Production!$I$2:$I$5000,Production!$A$2:$A$5000,$A177,Production!$B$2:$B$5000,$B177)</f>
        <v/>
      </c>
      <c r="F177" s="23">
        <f>SUMIFS(Production!$J$2:$J$5000,Production!$A$2:$A$5000,$A177,Production!$B$2:$B$5000,$B177)</f>
        <v/>
      </c>
      <c r="G177" s="23">
        <f>SUMIFS(Production!$J$2:$J$5000,Production!$A$2:$A$5000,$A177,Production!$B$2:$B$5000,$B177,Production!$K$2:$K$5000,"0-30")</f>
        <v/>
      </c>
      <c r="H177" s="23">
        <f>SUMIFS(Production!$J$2:$J$5000,Production!$A$2:$A$5000,$A177,Production!$B$2:$B$5000,$B177,Production!$K$2:$K$5000,"31-60")</f>
        <v/>
      </c>
      <c r="I177" s="23">
        <f>SUMIFS(Production!$J$2:$J$5000,Production!$A$2:$A$5000,$A177,Production!$B$2:$B$5000,$B177,Production!$K$2:$K$5000,"61-90")</f>
        <v/>
      </c>
      <c r="J177" s="23">
        <f>SUMIFS(Production!$J$2:$J$5000,Production!$A$2:$A$5000,$A177,Production!$B$2:$B$5000,$B177,Production!$K$2:$K$5000,"90+")</f>
        <v/>
      </c>
      <c r="K177" s="14">
        <f>IF(E177=0,"",_xlfn.MAXIFS(Production!$F$2:$F$5000,Production!$A$2:$A$5000,$A177,Production!$B$2:$B$5000,$B177,Production!$I$2:$I$5000,"&gt;0"))</f>
        <v/>
      </c>
      <c r="L177" s="15">
        <f>IF(F177=0,"",SUMPRODUCT((Production!$A$2:$A$5000=$A177)*(Production!$B$2:$B$5000=$B177)*Production!$J$2:$J$5000,Production!$F$2:$F$5000)/F177)</f>
        <v/>
      </c>
      <c r="M177" s="10">
        <f>IF(D177&gt;C177,"Dispatched more than produced — opening stock / data gap","")</f>
        <v/>
      </c>
    </row>
    <row r="178">
      <c r="A178" s="9" t="inlineStr">
        <is>
          <t>Tapi</t>
        </is>
      </c>
      <c r="B178" s="9" t="inlineStr">
        <is>
          <t>100X100X3</t>
        </is>
      </c>
      <c r="C178" s="11">
        <f>SUMIFS(Production!$D$2:$D$5000,Production!$A$2:$A$5000,$A178,Production!$B$2:$B$5000,$B178)</f>
        <v/>
      </c>
      <c r="D178" s="11">
        <f>SUMIFS(Dispatched!$C$2:$C$5000,Dispatched!$A$2:$A$5000,$A178,Dispatched!$B$2:$B$5000,$B178)</f>
        <v/>
      </c>
      <c r="E178" s="11">
        <f>SUMIFS(Production!$I$2:$I$5000,Production!$A$2:$A$5000,$A178,Production!$B$2:$B$5000,$B178)</f>
        <v/>
      </c>
      <c r="F178" s="23">
        <f>SUMIFS(Production!$J$2:$J$5000,Production!$A$2:$A$5000,$A178,Production!$B$2:$B$5000,$B178)</f>
        <v/>
      </c>
      <c r="G178" s="23">
        <f>SUMIFS(Production!$J$2:$J$5000,Production!$A$2:$A$5000,$A178,Production!$B$2:$B$5000,$B178,Production!$K$2:$K$5000,"0-30")</f>
        <v/>
      </c>
      <c r="H178" s="23">
        <f>SUMIFS(Production!$J$2:$J$5000,Production!$A$2:$A$5000,$A178,Production!$B$2:$B$5000,$B178,Production!$K$2:$K$5000,"31-60")</f>
        <v/>
      </c>
      <c r="I178" s="23">
        <f>SUMIFS(Production!$J$2:$J$5000,Production!$A$2:$A$5000,$A178,Production!$B$2:$B$5000,$B178,Production!$K$2:$K$5000,"61-90")</f>
        <v/>
      </c>
      <c r="J178" s="23">
        <f>SUMIFS(Production!$J$2:$J$5000,Production!$A$2:$A$5000,$A178,Production!$B$2:$B$5000,$B178,Production!$K$2:$K$5000,"90+")</f>
        <v/>
      </c>
      <c r="K178" s="14">
        <f>IF(E178=0,"",_xlfn.MAXIFS(Production!$F$2:$F$5000,Production!$A$2:$A$5000,$A178,Production!$B$2:$B$5000,$B178,Production!$I$2:$I$5000,"&gt;0"))</f>
        <v/>
      </c>
      <c r="L178" s="15">
        <f>IF(F178=0,"",SUMPRODUCT((Production!$A$2:$A$5000=$A178)*(Production!$B$2:$B$5000=$B178)*Production!$J$2:$J$5000,Production!$F$2:$F$5000)/F178)</f>
        <v/>
      </c>
      <c r="M178" s="10">
        <f>IF(D178&gt;C178,"Dispatched more than produced — opening stock / data gap","")</f>
        <v/>
      </c>
    </row>
    <row r="179">
      <c r="A179" s="9" t="inlineStr">
        <is>
          <t>Tapi</t>
        </is>
      </c>
      <c r="B179" s="9" t="inlineStr">
        <is>
          <t>100X100X5</t>
        </is>
      </c>
      <c r="C179" s="11">
        <f>SUMIFS(Production!$D$2:$D$5000,Production!$A$2:$A$5000,$A179,Production!$B$2:$B$5000,$B179)</f>
        <v/>
      </c>
      <c r="D179" s="11">
        <f>SUMIFS(Dispatched!$C$2:$C$5000,Dispatched!$A$2:$A$5000,$A179,Dispatched!$B$2:$B$5000,$B179)</f>
        <v/>
      </c>
      <c r="E179" s="11">
        <f>SUMIFS(Production!$I$2:$I$5000,Production!$A$2:$A$5000,$A179,Production!$B$2:$B$5000,$B179)</f>
        <v/>
      </c>
      <c r="F179" s="23">
        <f>SUMIFS(Production!$J$2:$J$5000,Production!$A$2:$A$5000,$A179,Production!$B$2:$B$5000,$B179)</f>
        <v/>
      </c>
      <c r="G179" s="23">
        <f>SUMIFS(Production!$J$2:$J$5000,Production!$A$2:$A$5000,$A179,Production!$B$2:$B$5000,$B179,Production!$K$2:$K$5000,"0-30")</f>
        <v/>
      </c>
      <c r="H179" s="23">
        <f>SUMIFS(Production!$J$2:$J$5000,Production!$A$2:$A$5000,$A179,Production!$B$2:$B$5000,$B179,Production!$K$2:$K$5000,"31-60")</f>
        <v/>
      </c>
      <c r="I179" s="23">
        <f>SUMIFS(Production!$J$2:$J$5000,Production!$A$2:$A$5000,$A179,Production!$B$2:$B$5000,$B179,Production!$K$2:$K$5000,"61-90")</f>
        <v/>
      </c>
      <c r="J179" s="23">
        <f>SUMIFS(Production!$J$2:$J$5000,Production!$A$2:$A$5000,$A179,Production!$B$2:$B$5000,$B179,Production!$K$2:$K$5000,"90+")</f>
        <v/>
      </c>
      <c r="K179" s="14">
        <f>IF(E179=0,"",_xlfn.MAXIFS(Production!$F$2:$F$5000,Production!$A$2:$A$5000,$A179,Production!$B$2:$B$5000,$B179,Production!$I$2:$I$5000,"&gt;0"))</f>
        <v/>
      </c>
      <c r="L179" s="15">
        <f>IF(F179=0,"",SUMPRODUCT((Production!$A$2:$A$5000=$A179)*(Production!$B$2:$B$5000=$B179)*Production!$J$2:$J$5000,Production!$F$2:$F$5000)/F179)</f>
        <v/>
      </c>
      <c r="M179" s="10">
        <f>IF(D179&gt;C179,"Dispatched more than produced — opening stock / data gap","")</f>
        <v/>
      </c>
    </row>
    <row r="180">
      <c r="A180" s="9" t="inlineStr">
        <is>
          <t>Tapi</t>
        </is>
      </c>
      <c r="B180" s="9" t="inlineStr">
        <is>
          <t>100X100X6</t>
        </is>
      </c>
      <c r="C180" s="11">
        <f>SUMIFS(Production!$D$2:$D$5000,Production!$A$2:$A$5000,$A180,Production!$B$2:$B$5000,$B180)</f>
        <v/>
      </c>
      <c r="D180" s="11">
        <f>SUMIFS(Dispatched!$C$2:$C$5000,Dispatched!$A$2:$A$5000,$A180,Dispatched!$B$2:$B$5000,$B180)</f>
        <v/>
      </c>
      <c r="E180" s="11">
        <f>SUMIFS(Production!$I$2:$I$5000,Production!$A$2:$A$5000,$A180,Production!$B$2:$B$5000,$B180)</f>
        <v/>
      </c>
      <c r="F180" s="23">
        <f>SUMIFS(Production!$J$2:$J$5000,Production!$A$2:$A$5000,$A180,Production!$B$2:$B$5000,$B180)</f>
        <v/>
      </c>
      <c r="G180" s="23">
        <f>SUMIFS(Production!$J$2:$J$5000,Production!$A$2:$A$5000,$A180,Production!$B$2:$B$5000,$B180,Production!$K$2:$K$5000,"0-30")</f>
        <v/>
      </c>
      <c r="H180" s="23">
        <f>SUMIFS(Production!$J$2:$J$5000,Production!$A$2:$A$5000,$A180,Production!$B$2:$B$5000,$B180,Production!$K$2:$K$5000,"31-60")</f>
        <v/>
      </c>
      <c r="I180" s="23">
        <f>SUMIFS(Production!$J$2:$J$5000,Production!$A$2:$A$5000,$A180,Production!$B$2:$B$5000,$B180,Production!$K$2:$K$5000,"61-90")</f>
        <v/>
      </c>
      <c r="J180" s="23">
        <f>SUMIFS(Production!$J$2:$J$5000,Production!$A$2:$A$5000,$A180,Production!$B$2:$B$5000,$B180,Production!$K$2:$K$5000,"90+")</f>
        <v/>
      </c>
      <c r="K180" s="14">
        <f>IF(E180=0,"",_xlfn.MAXIFS(Production!$F$2:$F$5000,Production!$A$2:$A$5000,$A180,Production!$B$2:$B$5000,$B180,Production!$I$2:$I$5000,"&gt;0"))</f>
        <v/>
      </c>
      <c r="L180" s="15">
        <f>IF(F180=0,"",SUMPRODUCT((Production!$A$2:$A$5000=$A180)*(Production!$B$2:$B$5000=$B180)*Production!$J$2:$J$5000,Production!$F$2:$F$5000)/F180)</f>
        <v/>
      </c>
      <c r="M180" s="10">
        <f>IF(D180&gt;C180,"Dispatched more than produced — opening stock / data gap","")</f>
        <v/>
      </c>
    </row>
    <row r="181">
      <c r="A181" s="9" t="inlineStr">
        <is>
          <t>Tapi</t>
        </is>
      </c>
      <c r="B181" s="9" t="inlineStr">
        <is>
          <t>122X61X4</t>
        </is>
      </c>
      <c r="C181" s="11">
        <f>SUMIFS(Production!$D$2:$D$5000,Production!$A$2:$A$5000,$A181,Production!$B$2:$B$5000,$B181)</f>
        <v/>
      </c>
      <c r="D181" s="11">
        <f>SUMIFS(Dispatched!$C$2:$C$5000,Dispatched!$A$2:$A$5000,$A181,Dispatched!$B$2:$B$5000,$B181)</f>
        <v/>
      </c>
      <c r="E181" s="11">
        <f>SUMIFS(Production!$I$2:$I$5000,Production!$A$2:$A$5000,$A181,Production!$B$2:$B$5000,$B181)</f>
        <v/>
      </c>
      <c r="F181" s="23">
        <f>SUMIFS(Production!$J$2:$J$5000,Production!$A$2:$A$5000,$A181,Production!$B$2:$B$5000,$B181)</f>
        <v/>
      </c>
      <c r="G181" s="23">
        <f>SUMIFS(Production!$J$2:$J$5000,Production!$A$2:$A$5000,$A181,Production!$B$2:$B$5000,$B181,Production!$K$2:$K$5000,"0-30")</f>
        <v/>
      </c>
      <c r="H181" s="23">
        <f>SUMIFS(Production!$J$2:$J$5000,Production!$A$2:$A$5000,$A181,Production!$B$2:$B$5000,$B181,Production!$K$2:$K$5000,"31-60")</f>
        <v/>
      </c>
      <c r="I181" s="23">
        <f>SUMIFS(Production!$J$2:$J$5000,Production!$A$2:$A$5000,$A181,Production!$B$2:$B$5000,$B181,Production!$K$2:$K$5000,"61-90")</f>
        <v/>
      </c>
      <c r="J181" s="23">
        <f>SUMIFS(Production!$J$2:$J$5000,Production!$A$2:$A$5000,$A181,Production!$B$2:$B$5000,$B181,Production!$K$2:$K$5000,"90+")</f>
        <v/>
      </c>
      <c r="K181" s="14">
        <f>IF(E181=0,"",_xlfn.MAXIFS(Production!$F$2:$F$5000,Production!$A$2:$A$5000,$A181,Production!$B$2:$B$5000,$B181,Production!$I$2:$I$5000,"&gt;0"))</f>
        <v/>
      </c>
      <c r="L181" s="15">
        <f>IF(F181=0,"",SUMPRODUCT((Production!$A$2:$A$5000=$A181)*(Production!$B$2:$B$5000=$B181)*Production!$J$2:$J$5000,Production!$F$2:$F$5000)/F181)</f>
        <v/>
      </c>
      <c r="M181" s="10">
        <f>IF(D181&gt;C181,"Dispatched more than produced — opening stock / data gap","")</f>
        <v/>
      </c>
    </row>
    <row r="182">
      <c r="A182" s="9" t="inlineStr">
        <is>
          <t>Tapi</t>
        </is>
      </c>
      <c r="B182" s="9" t="inlineStr">
        <is>
          <t>122X61X5</t>
        </is>
      </c>
      <c r="C182" s="11">
        <f>SUMIFS(Production!$D$2:$D$5000,Production!$A$2:$A$5000,$A182,Production!$B$2:$B$5000,$B182)</f>
        <v/>
      </c>
      <c r="D182" s="11">
        <f>SUMIFS(Dispatched!$C$2:$C$5000,Dispatched!$A$2:$A$5000,$A182,Dispatched!$B$2:$B$5000,$B182)</f>
        <v/>
      </c>
      <c r="E182" s="11">
        <f>SUMIFS(Production!$I$2:$I$5000,Production!$A$2:$A$5000,$A182,Production!$B$2:$B$5000,$B182)</f>
        <v/>
      </c>
      <c r="F182" s="23">
        <f>SUMIFS(Production!$J$2:$J$5000,Production!$A$2:$A$5000,$A182,Production!$B$2:$B$5000,$B182)</f>
        <v/>
      </c>
      <c r="G182" s="23">
        <f>SUMIFS(Production!$J$2:$J$5000,Production!$A$2:$A$5000,$A182,Production!$B$2:$B$5000,$B182,Production!$K$2:$K$5000,"0-30")</f>
        <v/>
      </c>
      <c r="H182" s="23">
        <f>SUMIFS(Production!$J$2:$J$5000,Production!$A$2:$A$5000,$A182,Production!$B$2:$B$5000,$B182,Production!$K$2:$K$5000,"31-60")</f>
        <v/>
      </c>
      <c r="I182" s="23">
        <f>SUMIFS(Production!$J$2:$J$5000,Production!$A$2:$A$5000,$A182,Production!$B$2:$B$5000,$B182,Production!$K$2:$K$5000,"61-90")</f>
        <v/>
      </c>
      <c r="J182" s="23">
        <f>SUMIFS(Production!$J$2:$J$5000,Production!$A$2:$A$5000,$A182,Production!$B$2:$B$5000,$B182,Production!$K$2:$K$5000,"90+")</f>
        <v/>
      </c>
      <c r="K182" s="14">
        <f>IF(E182=0,"",_xlfn.MAXIFS(Production!$F$2:$F$5000,Production!$A$2:$A$5000,$A182,Production!$B$2:$B$5000,$B182,Production!$I$2:$I$5000,"&gt;0"))</f>
        <v/>
      </c>
      <c r="L182" s="15">
        <f>IF(F182=0,"",SUMPRODUCT((Production!$A$2:$A$5000=$A182)*(Production!$B$2:$B$5000=$B182)*Production!$J$2:$J$5000,Production!$F$2:$F$5000)/F182)</f>
        <v/>
      </c>
      <c r="M182" s="10">
        <f>IF(D182&gt;C182,"Dispatched more than produced — opening stock / data gap","")</f>
        <v/>
      </c>
    </row>
    <row r="183">
      <c r="A183" s="9" t="inlineStr">
        <is>
          <t>Tapi</t>
        </is>
      </c>
      <c r="B183" s="9" t="inlineStr">
        <is>
          <t>72X72X2</t>
        </is>
      </c>
      <c r="C183" s="11">
        <f>SUMIFS(Production!$D$2:$D$5000,Production!$A$2:$A$5000,$A183,Production!$B$2:$B$5000,$B183)</f>
        <v/>
      </c>
      <c r="D183" s="11">
        <f>SUMIFS(Dispatched!$C$2:$C$5000,Dispatched!$A$2:$A$5000,$A183,Dispatched!$B$2:$B$5000,$B183)</f>
        <v/>
      </c>
      <c r="E183" s="11">
        <f>SUMIFS(Production!$I$2:$I$5000,Production!$A$2:$A$5000,$A183,Production!$B$2:$B$5000,$B183)</f>
        <v/>
      </c>
      <c r="F183" s="23">
        <f>SUMIFS(Production!$J$2:$J$5000,Production!$A$2:$A$5000,$A183,Production!$B$2:$B$5000,$B183)</f>
        <v/>
      </c>
      <c r="G183" s="23">
        <f>SUMIFS(Production!$J$2:$J$5000,Production!$A$2:$A$5000,$A183,Production!$B$2:$B$5000,$B183,Production!$K$2:$K$5000,"0-30")</f>
        <v/>
      </c>
      <c r="H183" s="23">
        <f>SUMIFS(Production!$J$2:$J$5000,Production!$A$2:$A$5000,$A183,Production!$B$2:$B$5000,$B183,Production!$K$2:$K$5000,"31-60")</f>
        <v/>
      </c>
      <c r="I183" s="23">
        <f>SUMIFS(Production!$J$2:$J$5000,Production!$A$2:$A$5000,$A183,Production!$B$2:$B$5000,$B183,Production!$K$2:$K$5000,"61-90")</f>
        <v/>
      </c>
      <c r="J183" s="23">
        <f>SUMIFS(Production!$J$2:$J$5000,Production!$A$2:$A$5000,$A183,Production!$B$2:$B$5000,$B183,Production!$K$2:$K$5000,"90+")</f>
        <v/>
      </c>
      <c r="K183" s="14">
        <f>IF(E183=0,"",_xlfn.MAXIFS(Production!$F$2:$F$5000,Production!$A$2:$A$5000,$A183,Production!$B$2:$B$5000,$B183,Production!$I$2:$I$5000,"&gt;0"))</f>
        <v/>
      </c>
      <c r="L183" s="15">
        <f>IF(F183=0,"",SUMPRODUCT((Production!$A$2:$A$5000=$A183)*(Production!$B$2:$B$5000=$B183)*Production!$J$2:$J$5000,Production!$F$2:$F$5000)/F183)</f>
        <v/>
      </c>
      <c r="M183" s="10">
        <f>IF(D183&gt;C183,"Dispatched more than produced — opening stock / data gap","")</f>
        <v/>
      </c>
    </row>
    <row r="184">
      <c r="A184" s="9" t="inlineStr">
        <is>
          <t>Tapi</t>
        </is>
      </c>
      <c r="B184" s="9" t="inlineStr">
        <is>
          <t>72X72X3</t>
        </is>
      </c>
      <c r="C184" s="11">
        <f>SUMIFS(Production!$D$2:$D$5000,Production!$A$2:$A$5000,$A184,Production!$B$2:$B$5000,$B184)</f>
        <v/>
      </c>
      <c r="D184" s="11">
        <f>SUMIFS(Dispatched!$C$2:$C$5000,Dispatched!$A$2:$A$5000,$A184,Dispatched!$B$2:$B$5000,$B184)</f>
        <v/>
      </c>
      <c r="E184" s="11">
        <f>SUMIFS(Production!$I$2:$I$5000,Production!$A$2:$A$5000,$A184,Production!$B$2:$B$5000,$B184)</f>
        <v/>
      </c>
      <c r="F184" s="23">
        <f>SUMIFS(Production!$J$2:$J$5000,Production!$A$2:$A$5000,$A184,Production!$B$2:$B$5000,$B184)</f>
        <v/>
      </c>
      <c r="G184" s="23">
        <f>SUMIFS(Production!$J$2:$J$5000,Production!$A$2:$A$5000,$A184,Production!$B$2:$B$5000,$B184,Production!$K$2:$K$5000,"0-30")</f>
        <v/>
      </c>
      <c r="H184" s="23">
        <f>SUMIFS(Production!$J$2:$J$5000,Production!$A$2:$A$5000,$A184,Production!$B$2:$B$5000,$B184,Production!$K$2:$K$5000,"31-60")</f>
        <v/>
      </c>
      <c r="I184" s="23">
        <f>SUMIFS(Production!$J$2:$J$5000,Production!$A$2:$A$5000,$A184,Production!$B$2:$B$5000,$B184,Production!$K$2:$K$5000,"61-90")</f>
        <v/>
      </c>
      <c r="J184" s="23">
        <f>SUMIFS(Production!$J$2:$J$5000,Production!$A$2:$A$5000,$A184,Production!$B$2:$B$5000,$B184,Production!$K$2:$K$5000,"90+")</f>
        <v/>
      </c>
      <c r="K184" s="14">
        <f>IF(E184=0,"",_xlfn.MAXIFS(Production!$F$2:$F$5000,Production!$A$2:$A$5000,$A184,Production!$B$2:$B$5000,$B184,Production!$I$2:$I$5000,"&gt;0"))</f>
        <v/>
      </c>
      <c r="L184" s="15">
        <f>IF(F184=0,"",SUMPRODUCT((Production!$A$2:$A$5000=$A184)*(Production!$B$2:$B$5000=$B184)*Production!$J$2:$J$5000,Production!$F$2:$F$5000)/F184)</f>
        <v/>
      </c>
      <c r="M184" s="10">
        <f>IF(D184&gt;C184,"Dispatched more than produced — opening stock / data gap","")</f>
        <v/>
      </c>
    </row>
    <row r="185">
      <c r="A185" s="9" t="inlineStr">
        <is>
          <t>Tapi</t>
        </is>
      </c>
      <c r="B185" s="9" t="inlineStr">
        <is>
          <t>80X40X5</t>
        </is>
      </c>
      <c r="C185" s="11">
        <f>SUMIFS(Production!$D$2:$D$5000,Production!$A$2:$A$5000,$A185,Production!$B$2:$B$5000,$B185)</f>
        <v/>
      </c>
      <c r="D185" s="11">
        <f>SUMIFS(Dispatched!$C$2:$C$5000,Dispatched!$A$2:$A$5000,$A185,Dispatched!$B$2:$B$5000,$B185)</f>
        <v/>
      </c>
      <c r="E185" s="11">
        <f>SUMIFS(Production!$I$2:$I$5000,Production!$A$2:$A$5000,$A185,Production!$B$2:$B$5000,$B185)</f>
        <v/>
      </c>
      <c r="F185" s="23">
        <f>SUMIFS(Production!$J$2:$J$5000,Production!$A$2:$A$5000,$A185,Production!$B$2:$B$5000,$B185)</f>
        <v/>
      </c>
      <c r="G185" s="23">
        <f>SUMIFS(Production!$J$2:$J$5000,Production!$A$2:$A$5000,$A185,Production!$B$2:$B$5000,$B185,Production!$K$2:$K$5000,"0-30")</f>
        <v/>
      </c>
      <c r="H185" s="23">
        <f>SUMIFS(Production!$J$2:$J$5000,Production!$A$2:$A$5000,$A185,Production!$B$2:$B$5000,$B185,Production!$K$2:$K$5000,"31-60")</f>
        <v/>
      </c>
      <c r="I185" s="23">
        <f>SUMIFS(Production!$J$2:$J$5000,Production!$A$2:$A$5000,$A185,Production!$B$2:$B$5000,$B185,Production!$K$2:$K$5000,"61-90")</f>
        <v/>
      </c>
      <c r="J185" s="23">
        <f>SUMIFS(Production!$J$2:$J$5000,Production!$A$2:$A$5000,$A185,Production!$B$2:$B$5000,$B185,Production!$K$2:$K$5000,"90+")</f>
        <v/>
      </c>
      <c r="K185" s="14">
        <f>IF(E185=0,"",_xlfn.MAXIFS(Production!$F$2:$F$5000,Production!$A$2:$A$5000,$A185,Production!$B$2:$B$5000,$B185,Production!$I$2:$I$5000,"&gt;0"))</f>
        <v/>
      </c>
      <c r="L185" s="15">
        <f>IF(F185=0,"",SUMPRODUCT((Production!$A$2:$A$5000=$A185)*(Production!$B$2:$B$5000=$B185)*Production!$J$2:$J$5000,Production!$F$2:$F$5000)/F185)</f>
        <v/>
      </c>
      <c r="M185" s="10">
        <f>IF(D185&gt;C185,"Dispatched more than produced — opening stock / data gap","")</f>
        <v/>
      </c>
    </row>
    <row r="186">
      <c r="A186" s="9" t="inlineStr">
        <is>
          <t>Tapi</t>
        </is>
      </c>
      <c r="B186" s="9" t="inlineStr">
        <is>
          <t>80X80X2.5</t>
        </is>
      </c>
      <c r="C186" s="11">
        <f>SUMIFS(Production!$D$2:$D$5000,Production!$A$2:$A$5000,$A186,Production!$B$2:$B$5000,$B186)</f>
        <v/>
      </c>
      <c r="D186" s="11">
        <f>SUMIFS(Dispatched!$C$2:$C$5000,Dispatched!$A$2:$A$5000,$A186,Dispatched!$B$2:$B$5000,$B186)</f>
        <v/>
      </c>
      <c r="E186" s="11">
        <f>SUMIFS(Production!$I$2:$I$5000,Production!$A$2:$A$5000,$A186,Production!$B$2:$B$5000,$B186)</f>
        <v/>
      </c>
      <c r="F186" s="23">
        <f>SUMIFS(Production!$J$2:$J$5000,Production!$A$2:$A$5000,$A186,Production!$B$2:$B$5000,$B186)</f>
        <v/>
      </c>
      <c r="G186" s="23">
        <f>SUMIFS(Production!$J$2:$J$5000,Production!$A$2:$A$5000,$A186,Production!$B$2:$B$5000,$B186,Production!$K$2:$K$5000,"0-30")</f>
        <v/>
      </c>
      <c r="H186" s="23">
        <f>SUMIFS(Production!$J$2:$J$5000,Production!$A$2:$A$5000,$A186,Production!$B$2:$B$5000,$B186,Production!$K$2:$K$5000,"31-60")</f>
        <v/>
      </c>
      <c r="I186" s="23">
        <f>SUMIFS(Production!$J$2:$J$5000,Production!$A$2:$A$5000,$A186,Production!$B$2:$B$5000,$B186,Production!$K$2:$K$5000,"61-90")</f>
        <v/>
      </c>
      <c r="J186" s="23">
        <f>SUMIFS(Production!$J$2:$J$5000,Production!$A$2:$A$5000,$A186,Production!$B$2:$B$5000,$B186,Production!$K$2:$K$5000,"90+")</f>
        <v/>
      </c>
      <c r="K186" s="14">
        <f>IF(E186=0,"",_xlfn.MAXIFS(Production!$F$2:$F$5000,Production!$A$2:$A$5000,$A186,Production!$B$2:$B$5000,$B186,Production!$I$2:$I$5000,"&gt;0"))</f>
        <v/>
      </c>
      <c r="L186" s="15">
        <f>IF(F186=0,"",SUMPRODUCT((Production!$A$2:$A$5000=$A186)*(Production!$B$2:$B$5000=$B186)*Production!$J$2:$J$5000,Production!$F$2:$F$5000)/F186)</f>
        <v/>
      </c>
      <c r="M186" s="10">
        <f>IF(D186&gt;C186,"Dispatched more than produced — opening stock / data gap","")</f>
        <v/>
      </c>
    </row>
    <row r="187">
      <c r="A187" s="9" t="inlineStr">
        <is>
          <t>Tapi</t>
        </is>
      </c>
      <c r="B187" s="9" t="inlineStr">
        <is>
          <t>80X80X3</t>
        </is>
      </c>
      <c r="C187" s="11">
        <f>SUMIFS(Production!$D$2:$D$5000,Production!$A$2:$A$5000,$A187,Production!$B$2:$B$5000,$B187)</f>
        <v/>
      </c>
      <c r="D187" s="11">
        <f>SUMIFS(Dispatched!$C$2:$C$5000,Dispatched!$A$2:$A$5000,$A187,Dispatched!$B$2:$B$5000,$B187)</f>
        <v/>
      </c>
      <c r="E187" s="11">
        <f>SUMIFS(Production!$I$2:$I$5000,Production!$A$2:$A$5000,$A187,Production!$B$2:$B$5000,$B187)</f>
        <v/>
      </c>
      <c r="F187" s="23">
        <f>SUMIFS(Production!$J$2:$J$5000,Production!$A$2:$A$5000,$A187,Production!$B$2:$B$5000,$B187)</f>
        <v/>
      </c>
      <c r="G187" s="23">
        <f>SUMIFS(Production!$J$2:$J$5000,Production!$A$2:$A$5000,$A187,Production!$B$2:$B$5000,$B187,Production!$K$2:$K$5000,"0-30")</f>
        <v/>
      </c>
      <c r="H187" s="23">
        <f>SUMIFS(Production!$J$2:$J$5000,Production!$A$2:$A$5000,$A187,Production!$B$2:$B$5000,$B187,Production!$K$2:$K$5000,"31-60")</f>
        <v/>
      </c>
      <c r="I187" s="23">
        <f>SUMIFS(Production!$J$2:$J$5000,Production!$A$2:$A$5000,$A187,Production!$B$2:$B$5000,$B187,Production!$K$2:$K$5000,"61-90")</f>
        <v/>
      </c>
      <c r="J187" s="23">
        <f>SUMIFS(Production!$J$2:$J$5000,Production!$A$2:$A$5000,$A187,Production!$B$2:$B$5000,$B187,Production!$K$2:$K$5000,"90+")</f>
        <v/>
      </c>
      <c r="K187" s="14">
        <f>IF(E187=0,"",_xlfn.MAXIFS(Production!$F$2:$F$5000,Production!$A$2:$A$5000,$A187,Production!$B$2:$B$5000,$B187,Production!$I$2:$I$5000,"&gt;0"))</f>
        <v/>
      </c>
      <c r="L187" s="15">
        <f>IF(F187=0,"",SUMPRODUCT((Production!$A$2:$A$5000=$A187)*(Production!$B$2:$B$5000=$B187)*Production!$J$2:$J$5000,Production!$F$2:$F$5000)/F187)</f>
        <v/>
      </c>
      <c r="M187" s="10">
        <f>IF(D187&gt;C187,"Dispatched more than produced — opening stock / data gap","")</f>
        <v/>
      </c>
    </row>
    <row r="188">
      <c r="A188" s="9" t="inlineStr">
        <is>
          <t>Tapi</t>
        </is>
      </c>
      <c r="B188" s="9" t="inlineStr">
        <is>
          <t>80X80X4</t>
        </is>
      </c>
      <c r="C188" s="11">
        <f>SUMIFS(Production!$D$2:$D$5000,Production!$A$2:$A$5000,$A188,Production!$B$2:$B$5000,$B188)</f>
        <v/>
      </c>
      <c r="D188" s="11">
        <f>SUMIFS(Dispatched!$C$2:$C$5000,Dispatched!$A$2:$A$5000,$A188,Dispatched!$B$2:$B$5000,$B188)</f>
        <v/>
      </c>
      <c r="E188" s="11">
        <f>SUMIFS(Production!$I$2:$I$5000,Production!$A$2:$A$5000,$A188,Production!$B$2:$B$5000,$B188)</f>
        <v/>
      </c>
      <c r="F188" s="23">
        <f>SUMIFS(Production!$J$2:$J$5000,Production!$A$2:$A$5000,$A188,Production!$B$2:$B$5000,$B188)</f>
        <v/>
      </c>
      <c r="G188" s="23">
        <f>SUMIFS(Production!$J$2:$J$5000,Production!$A$2:$A$5000,$A188,Production!$B$2:$B$5000,$B188,Production!$K$2:$K$5000,"0-30")</f>
        <v/>
      </c>
      <c r="H188" s="23">
        <f>SUMIFS(Production!$J$2:$J$5000,Production!$A$2:$A$5000,$A188,Production!$B$2:$B$5000,$B188,Production!$K$2:$K$5000,"31-60")</f>
        <v/>
      </c>
      <c r="I188" s="23">
        <f>SUMIFS(Production!$J$2:$J$5000,Production!$A$2:$A$5000,$A188,Production!$B$2:$B$5000,$B188,Production!$K$2:$K$5000,"61-90")</f>
        <v/>
      </c>
      <c r="J188" s="23">
        <f>SUMIFS(Production!$J$2:$J$5000,Production!$A$2:$A$5000,$A188,Production!$B$2:$B$5000,$B188,Production!$K$2:$K$5000,"90+")</f>
        <v/>
      </c>
      <c r="K188" s="14">
        <f>IF(E188=0,"",_xlfn.MAXIFS(Production!$F$2:$F$5000,Production!$A$2:$A$5000,$A188,Production!$B$2:$B$5000,$B188,Production!$I$2:$I$5000,"&gt;0"))</f>
        <v/>
      </c>
      <c r="L188" s="15">
        <f>IF(F188=0,"",SUMPRODUCT((Production!$A$2:$A$5000=$A188)*(Production!$B$2:$B$5000=$B188)*Production!$J$2:$J$5000,Production!$F$2:$F$5000)/F188)</f>
        <v/>
      </c>
      <c r="M188" s="10">
        <f>IF(D188&gt;C188,"Dispatched more than produced — opening stock / data gap","")</f>
        <v/>
      </c>
    </row>
    <row r="189">
      <c r="A189" s="9" t="inlineStr">
        <is>
          <t>Tapi</t>
        </is>
      </c>
      <c r="B189" s="9" t="inlineStr">
        <is>
          <t>80X80X5</t>
        </is>
      </c>
      <c r="C189" s="11">
        <f>SUMIFS(Production!$D$2:$D$5000,Production!$A$2:$A$5000,$A189,Production!$B$2:$B$5000,$B189)</f>
        <v/>
      </c>
      <c r="D189" s="11">
        <f>SUMIFS(Dispatched!$C$2:$C$5000,Dispatched!$A$2:$A$5000,$A189,Dispatched!$B$2:$B$5000,$B189)</f>
        <v/>
      </c>
      <c r="E189" s="11">
        <f>SUMIFS(Production!$I$2:$I$5000,Production!$A$2:$A$5000,$A189,Production!$B$2:$B$5000,$B189)</f>
        <v/>
      </c>
      <c r="F189" s="23">
        <f>SUMIFS(Production!$J$2:$J$5000,Production!$A$2:$A$5000,$A189,Production!$B$2:$B$5000,$B189)</f>
        <v/>
      </c>
      <c r="G189" s="23">
        <f>SUMIFS(Production!$J$2:$J$5000,Production!$A$2:$A$5000,$A189,Production!$B$2:$B$5000,$B189,Production!$K$2:$K$5000,"0-30")</f>
        <v/>
      </c>
      <c r="H189" s="23">
        <f>SUMIFS(Production!$J$2:$J$5000,Production!$A$2:$A$5000,$A189,Production!$B$2:$B$5000,$B189,Production!$K$2:$K$5000,"31-60")</f>
        <v/>
      </c>
      <c r="I189" s="23">
        <f>SUMIFS(Production!$J$2:$J$5000,Production!$A$2:$A$5000,$A189,Production!$B$2:$B$5000,$B189,Production!$K$2:$K$5000,"61-90")</f>
        <v/>
      </c>
      <c r="J189" s="23">
        <f>SUMIFS(Production!$J$2:$J$5000,Production!$A$2:$A$5000,$A189,Production!$B$2:$B$5000,$B189,Production!$K$2:$K$5000,"90+")</f>
        <v/>
      </c>
      <c r="K189" s="14">
        <f>IF(E189=0,"",_xlfn.MAXIFS(Production!$F$2:$F$5000,Production!$A$2:$A$5000,$A189,Production!$B$2:$B$5000,$B189,Production!$I$2:$I$5000,"&gt;0"))</f>
        <v/>
      </c>
      <c r="L189" s="15">
        <f>IF(F189=0,"",SUMPRODUCT((Production!$A$2:$A$5000=$A189)*(Production!$B$2:$B$5000=$B189)*Production!$J$2:$J$5000,Production!$F$2:$F$5000)/F189)</f>
        <v/>
      </c>
      <c r="M189" s="10">
        <f>IF(D189&gt;C189,"Dispatched more than produced — opening stock / data gap","")</f>
        <v/>
      </c>
    </row>
    <row r="190">
      <c r="A190" s="9" t="inlineStr">
        <is>
          <t>Tapi</t>
        </is>
      </c>
      <c r="B190" s="9" t="inlineStr">
        <is>
          <t>96X48X2</t>
        </is>
      </c>
      <c r="C190" s="11">
        <f>SUMIFS(Production!$D$2:$D$5000,Production!$A$2:$A$5000,$A190,Production!$B$2:$B$5000,$B190)</f>
        <v/>
      </c>
      <c r="D190" s="11">
        <f>SUMIFS(Dispatched!$C$2:$C$5000,Dispatched!$A$2:$A$5000,$A190,Dispatched!$B$2:$B$5000,$B190)</f>
        <v/>
      </c>
      <c r="E190" s="11">
        <f>SUMIFS(Production!$I$2:$I$5000,Production!$A$2:$A$5000,$A190,Production!$B$2:$B$5000,$B190)</f>
        <v/>
      </c>
      <c r="F190" s="23">
        <f>SUMIFS(Production!$J$2:$J$5000,Production!$A$2:$A$5000,$A190,Production!$B$2:$B$5000,$B190)</f>
        <v/>
      </c>
      <c r="G190" s="23">
        <f>SUMIFS(Production!$J$2:$J$5000,Production!$A$2:$A$5000,$A190,Production!$B$2:$B$5000,$B190,Production!$K$2:$K$5000,"0-30")</f>
        <v/>
      </c>
      <c r="H190" s="23">
        <f>SUMIFS(Production!$J$2:$J$5000,Production!$A$2:$A$5000,$A190,Production!$B$2:$B$5000,$B190,Production!$K$2:$K$5000,"31-60")</f>
        <v/>
      </c>
      <c r="I190" s="23">
        <f>SUMIFS(Production!$J$2:$J$5000,Production!$A$2:$A$5000,$A190,Production!$B$2:$B$5000,$B190,Production!$K$2:$K$5000,"61-90")</f>
        <v/>
      </c>
      <c r="J190" s="23">
        <f>SUMIFS(Production!$J$2:$J$5000,Production!$A$2:$A$5000,$A190,Production!$B$2:$B$5000,$B190,Production!$K$2:$K$5000,"90+")</f>
        <v/>
      </c>
      <c r="K190" s="14">
        <f>IF(E190=0,"",_xlfn.MAXIFS(Production!$F$2:$F$5000,Production!$A$2:$A$5000,$A190,Production!$B$2:$B$5000,$B190,Production!$I$2:$I$5000,"&gt;0"))</f>
        <v/>
      </c>
      <c r="L190" s="15">
        <f>IF(F190=0,"",SUMPRODUCT((Production!$A$2:$A$5000=$A190)*(Production!$B$2:$B$5000=$B190)*Production!$J$2:$J$5000,Production!$F$2:$F$5000)/F190)</f>
        <v/>
      </c>
      <c r="M190" s="10">
        <f>IF(D190&gt;C190,"Dispatched more than produced — opening stock / data gap","")</f>
        <v/>
      </c>
    </row>
    <row r="191">
      <c r="A191" s="9" t="inlineStr">
        <is>
          <t>Tapi</t>
        </is>
      </c>
      <c r="B191" s="9" t="inlineStr">
        <is>
          <t>96X48X2.5</t>
        </is>
      </c>
      <c r="C191" s="11">
        <f>SUMIFS(Production!$D$2:$D$5000,Production!$A$2:$A$5000,$A191,Production!$B$2:$B$5000,$B191)</f>
        <v/>
      </c>
      <c r="D191" s="11">
        <f>SUMIFS(Dispatched!$C$2:$C$5000,Dispatched!$A$2:$A$5000,$A191,Dispatched!$B$2:$B$5000,$B191)</f>
        <v/>
      </c>
      <c r="E191" s="11">
        <f>SUMIFS(Production!$I$2:$I$5000,Production!$A$2:$A$5000,$A191,Production!$B$2:$B$5000,$B191)</f>
        <v/>
      </c>
      <c r="F191" s="23">
        <f>SUMIFS(Production!$J$2:$J$5000,Production!$A$2:$A$5000,$A191,Production!$B$2:$B$5000,$B191)</f>
        <v/>
      </c>
      <c r="G191" s="23">
        <f>SUMIFS(Production!$J$2:$J$5000,Production!$A$2:$A$5000,$A191,Production!$B$2:$B$5000,$B191,Production!$K$2:$K$5000,"0-30")</f>
        <v/>
      </c>
      <c r="H191" s="23">
        <f>SUMIFS(Production!$J$2:$J$5000,Production!$A$2:$A$5000,$A191,Production!$B$2:$B$5000,$B191,Production!$K$2:$K$5000,"31-60")</f>
        <v/>
      </c>
      <c r="I191" s="23">
        <f>SUMIFS(Production!$J$2:$J$5000,Production!$A$2:$A$5000,$A191,Production!$B$2:$B$5000,$B191,Production!$K$2:$K$5000,"61-90")</f>
        <v/>
      </c>
      <c r="J191" s="23">
        <f>SUMIFS(Production!$J$2:$J$5000,Production!$A$2:$A$5000,$A191,Production!$B$2:$B$5000,$B191,Production!$K$2:$K$5000,"90+")</f>
        <v/>
      </c>
      <c r="K191" s="14">
        <f>IF(E191=0,"",_xlfn.MAXIFS(Production!$F$2:$F$5000,Production!$A$2:$A$5000,$A191,Production!$B$2:$B$5000,$B191,Production!$I$2:$I$5000,"&gt;0"))</f>
        <v/>
      </c>
      <c r="L191" s="15">
        <f>IF(F191=0,"",SUMPRODUCT((Production!$A$2:$A$5000=$A191)*(Production!$B$2:$B$5000=$B191)*Production!$J$2:$J$5000,Production!$F$2:$F$5000)/F191)</f>
        <v/>
      </c>
      <c r="M191" s="10">
        <f>IF(D191&gt;C191,"Dispatched more than produced — opening stock / data gap","")</f>
        <v/>
      </c>
    </row>
    <row r="192">
      <c r="A192" s="9" t="inlineStr">
        <is>
          <t>Tapi</t>
        </is>
      </c>
      <c r="B192" s="9" t="inlineStr">
        <is>
          <t>96X48X3</t>
        </is>
      </c>
      <c r="C192" s="11">
        <f>SUMIFS(Production!$D$2:$D$5000,Production!$A$2:$A$5000,$A192,Production!$B$2:$B$5000,$B192)</f>
        <v/>
      </c>
      <c r="D192" s="11">
        <f>SUMIFS(Dispatched!$C$2:$C$5000,Dispatched!$A$2:$A$5000,$A192,Dispatched!$B$2:$B$5000,$B192)</f>
        <v/>
      </c>
      <c r="E192" s="11">
        <f>SUMIFS(Production!$I$2:$I$5000,Production!$A$2:$A$5000,$A192,Production!$B$2:$B$5000,$B192)</f>
        <v/>
      </c>
      <c r="F192" s="23">
        <f>SUMIFS(Production!$J$2:$J$5000,Production!$A$2:$A$5000,$A192,Production!$B$2:$B$5000,$B192)</f>
        <v/>
      </c>
      <c r="G192" s="23">
        <f>SUMIFS(Production!$J$2:$J$5000,Production!$A$2:$A$5000,$A192,Production!$B$2:$B$5000,$B192,Production!$K$2:$K$5000,"0-30")</f>
        <v/>
      </c>
      <c r="H192" s="23">
        <f>SUMIFS(Production!$J$2:$J$5000,Production!$A$2:$A$5000,$A192,Production!$B$2:$B$5000,$B192,Production!$K$2:$K$5000,"31-60")</f>
        <v/>
      </c>
      <c r="I192" s="23">
        <f>SUMIFS(Production!$J$2:$J$5000,Production!$A$2:$A$5000,$A192,Production!$B$2:$B$5000,$B192,Production!$K$2:$K$5000,"61-90")</f>
        <v/>
      </c>
      <c r="J192" s="23">
        <f>SUMIFS(Production!$J$2:$J$5000,Production!$A$2:$A$5000,$A192,Production!$B$2:$B$5000,$B192,Production!$K$2:$K$5000,"90+")</f>
        <v/>
      </c>
      <c r="K192" s="14">
        <f>IF(E192=0,"",_xlfn.MAXIFS(Production!$F$2:$F$5000,Production!$A$2:$A$5000,$A192,Production!$B$2:$B$5000,$B192,Production!$I$2:$I$5000,"&gt;0"))</f>
        <v/>
      </c>
      <c r="L192" s="15">
        <f>IF(F192=0,"",SUMPRODUCT((Production!$A$2:$A$5000=$A192)*(Production!$B$2:$B$5000=$B192)*Production!$J$2:$J$5000,Production!$F$2:$F$5000)/F192)</f>
        <v/>
      </c>
      <c r="M192" s="10">
        <f>IF(D192&gt;C192,"Dispatched more than produced — opening stock / data gap","")</f>
        <v/>
      </c>
    </row>
    <row r="193">
      <c r="A193" s="9" t="inlineStr">
        <is>
          <t>Tapi</t>
        </is>
      </c>
      <c r="B193" s="9" t="inlineStr">
        <is>
          <t>96X48X4</t>
        </is>
      </c>
      <c r="C193" s="11">
        <f>SUMIFS(Production!$D$2:$D$5000,Production!$A$2:$A$5000,$A193,Production!$B$2:$B$5000,$B193)</f>
        <v/>
      </c>
      <c r="D193" s="11">
        <f>SUMIFS(Dispatched!$C$2:$C$5000,Dispatched!$A$2:$A$5000,$A193,Dispatched!$B$2:$B$5000,$B193)</f>
        <v/>
      </c>
      <c r="E193" s="11">
        <f>SUMIFS(Production!$I$2:$I$5000,Production!$A$2:$A$5000,$A193,Production!$B$2:$B$5000,$B193)</f>
        <v/>
      </c>
      <c r="F193" s="23">
        <f>SUMIFS(Production!$J$2:$J$5000,Production!$A$2:$A$5000,$A193,Production!$B$2:$B$5000,$B193)</f>
        <v/>
      </c>
      <c r="G193" s="23">
        <f>SUMIFS(Production!$J$2:$J$5000,Production!$A$2:$A$5000,$A193,Production!$B$2:$B$5000,$B193,Production!$K$2:$K$5000,"0-30")</f>
        <v/>
      </c>
      <c r="H193" s="23">
        <f>SUMIFS(Production!$J$2:$J$5000,Production!$A$2:$A$5000,$A193,Production!$B$2:$B$5000,$B193,Production!$K$2:$K$5000,"31-60")</f>
        <v/>
      </c>
      <c r="I193" s="23">
        <f>SUMIFS(Production!$J$2:$J$5000,Production!$A$2:$A$5000,$A193,Production!$B$2:$B$5000,$B193,Production!$K$2:$K$5000,"61-90")</f>
        <v/>
      </c>
      <c r="J193" s="23">
        <f>SUMIFS(Production!$J$2:$J$5000,Production!$A$2:$A$5000,$A193,Production!$B$2:$B$5000,$B193,Production!$K$2:$K$5000,"90+")</f>
        <v/>
      </c>
      <c r="K193" s="14">
        <f>IF(E193=0,"",_xlfn.MAXIFS(Production!$F$2:$F$5000,Production!$A$2:$A$5000,$A193,Production!$B$2:$B$5000,$B193,Production!$I$2:$I$5000,"&gt;0"))</f>
        <v/>
      </c>
      <c r="L193" s="15">
        <f>IF(F193=0,"",SUMPRODUCT((Production!$A$2:$A$5000=$A193)*(Production!$B$2:$B$5000=$B193)*Production!$J$2:$J$5000,Production!$F$2:$F$5000)/F193)</f>
        <v/>
      </c>
      <c r="M193" s="10">
        <f>IF(D193&gt;C193,"Dispatched more than produced — opening stock / data gap","")</f>
        <v/>
      </c>
    </row>
    <row r="194">
      <c r="A194" s="9" t="inlineStr">
        <is>
          <t>Tapi</t>
        </is>
      </c>
      <c r="B194" s="9" t="inlineStr">
        <is>
          <t>96X48X5</t>
        </is>
      </c>
      <c r="C194" s="11">
        <f>SUMIFS(Production!$D$2:$D$5000,Production!$A$2:$A$5000,$A194,Production!$B$2:$B$5000,$B194)</f>
        <v/>
      </c>
      <c r="D194" s="11">
        <f>SUMIFS(Dispatched!$C$2:$C$5000,Dispatched!$A$2:$A$5000,$A194,Dispatched!$B$2:$B$5000,$B194)</f>
        <v/>
      </c>
      <c r="E194" s="11">
        <f>SUMIFS(Production!$I$2:$I$5000,Production!$A$2:$A$5000,$A194,Production!$B$2:$B$5000,$B194)</f>
        <v/>
      </c>
      <c r="F194" s="23">
        <f>SUMIFS(Production!$J$2:$J$5000,Production!$A$2:$A$5000,$A194,Production!$B$2:$B$5000,$B194)</f>
        <v/>
      </c>
      <c r="G194" s="23">
        <f>SUMIFS(Production!$J$2:$J$5000,Production!$A$2:$A$5000,$A194,Production!$B$2:$B$5000,$B194,Production!$K$2:$K$5000,"0-30")</f>
        <v/>
      </c>
      <c r="H194" s="23">
        <f>SUMIFS(Production!$J$2:$J$5000,Production!$A$2:$A$5000,$A194,Production!$B$2:$B$5000,$B194,Production!$K$2:$K$5000,"31-60")</f>
        <v/>
      </c>
      <c r="I194" s="23">
        <f>SUMIFS(Production!$J$2:$J$5000,Production!$A$2:$A$5000,$A194,Production!$B$2:$B$5000,$B194,Production!$K$2:$K$5000,"61-90")</f>
        <v/>
      </c>
      <c r="J194" s="23">
        <f>SUMIFS(Production!$J$2:$J$5000,Production!$A$2:$A$5000,$A194,Production!$B$2:$B$5000,$B194,Production!$K$2:$K$5000,"90+")</f>
        <v/>
      </c>
      <c r="K194" s="14">
        <f>IF(E194=0,"",_xlfn.MAXIFS(Production!$F$2:$F$5000,Production!$A$2:$A$5000,$A194,Production!$B$2:$B$5000,$B194,Production!$I$2:$I$5000,"&gt;0"))</f>
        <v/>
      </c>
      <c r="L194" s="15">
        <f>IF(F194=0,"",SUMPRODUCT((Production!$A$2:$A$5000=$A194)*(Production!$B$2:$B$5000=$B194)*Production!$J$2:$J$5000,Production!$F$2:$F$5000)/F194)</f>
        <v/>
      </c>
      <c r="M194" s="10">
        <f>IF(D194&gt;C194,"Dispatched more than produced — opening stock / data gap","")</f>
        <v/>
      </c>
    </row>
  </sheetData>
  <autoFilter ref="A1:M194"/>
  <conditionalFormatting sqref="J2:J194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1" customWidth="1" min="5" max="5"/>
    <col width="9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8" t="inlineStr">
        <is>
          <t>Plant</t>
        </is>
      </c>
      <c r="B1" s="8" t="inlineStr">
        <is>
          <t>SKU</t>
        </is>
      </c>
      <c r="C1" s="8" t="inlineStr">
        <is>
          <t>Date of production</t>
        </is>
      </c>
      <c r="D1" s="8" t="inlineStr">
        <is>
          <t>Pcs produced</t>
        </is>
      </c>
      <c r="E1" s="8" t="inlineStr">
        <is>
          <t>MT produced</t>
        </is>
      </c>
      <c r="F1" s="8" t="inlineStr">
        <is>
          <t>Age (days)</t>
        </is>
      </c>
      <c r="G1" s="8" t="inlineStr">
        <is>
          <t>Cumulative pcs (oldest first)</t>
        </is>
      </c>
      <c r="H1" s="8" t="inlineStr">
        <is>
          <t>Dispatched pcs (plant+SKU)</t>
        </is>
      </c>
      <c r="I1" s="8" t="inlineStr">
        <is>
          <t>Still in stock pcs</t>
        </is>
      </c>
      <c r="J1" s="8" t="inlineStr">
        <is>
          <t>Still in stock MT</t>
        </is>
      </c>
      <c r="K1" s="8" t="inlineStr">
        <is>
          <t>Age bucket</t>
        </is>
      </c>
    </row>
    <row r="2">
      <c r="A2" s="24" t="inlineStr">
        <is>
          <t>Hyderabad</t>
        </is>
      </c>
      <c r="B2" s="24" t="inlineStr">
        <is>
          <t>100X50X1.6</t>
        </is>
      </c>
      <c r="C2" s="6" t="n">
        <v>46157</v>
      </c>
      <c r="D2" s="24" t="n">
        <v>684</v>
      </c>
      <c r="E2" s="25" t="n">
        <v>15.134</v>
      </c>
      <c r="F2" s="14">
        <f>AsOf-C2</f>
        <v/>
      </c>
      <c r="G2" s="11">
        <f>SUMIFS($D$2:$D$5000,$A$2:$A$5000,A2,$B$2:$B$5000,B2,$C$2:$C$5000,"&lt;="&amp;C2)</f>
        <v/>
      </c>
      <c r="H2" s="11">
        <f>SUMIFS(Dispatched!$C$2:$C$5000,Dispatched!$A$2:$A$5000,A2,Dispatched!$B$2:$B$5000,B2)</f>
        <v/>
      </c>
      <c r="I2" s="11">
        <f>MAX(0,MIN(D2,G2-H2))</f>
        <v/>
      </c>
      <c r="J2" s="26">
        <f>I2*E2/D2</f>
        <v/>
      </c>
      <c r="K2" s="10">
        <f>IF(I2=0,"Dispatched",IF(F2&lt;=30,"0-30",IF(F2&lt;=60,"31-60",IF(F2&lt;=90,"61-90","90+"))))</f>
        <v/>
      </c>
    </row>
    <row r="3">
      <c r="A3" s="24" t="inlineStr">
        <is>
          <t>Hyderabad</t>
        </is>
      </c>
      <c r="B3" s="24" t="inlineStr">
        <is>
          <t>100X50X1.6</t>
        </is>
      </c>
      <c r="C3" s="6" t="n">
        <v>46214</v>
      </c>
      <c r="D3" s="24" t="n">
        <v>1405</v>
      </c>
      <c r="E3" s="25" t="n">
        <v>31.087</v>
      </c>
      <c r="F3" s="14">
        <f>AsOf-C3</f>
        <v/>
      </c>
      <c r="G3" s="11">
        <f>SUMIFS($D$2:$D$5000,$A$2:$A$5000,A3,$B$2:$B$5000,B3,$C$2:$C$5000,"&lt;="&amp;C3)</f>
        <v/>
      </c>
      <c r="H3" s="11">
        <f>SUMIFS(Dispatched!$C$2:$C$5000,Dispatched!$A$2:$A$5000,A3,Dispatched!$B$2:$B$5000,B3)</f>
        <v/>
      </c>
      <c r="I3" s="11">
        <f>MAX(0,MIN(D3,G3-H3))</f>
        <v/>
      </c>
      <c r="J3" s="26">
        <f>I3*E3/D3</f>
        <v/>
      </c>
      <c r="K3" s="10">
        <f>IF(I3=0,"Dispatched",IF(F3&lt;=30,"0-30",IF(F3&lt;=60,"31-60",IF(F3&lt;=90,"61-90","90+"))))</f>
        <v/>
      </c>
    </row>
    <row r="4">
      <c r="A4" s="24" t="inlineStr">
        <is>
          <t>Hyderabad</t>
        </is>
      </c>
      <c r="B4" s="24" t="inlineStr">
        <is>
          <t>100X50X1.6</t>
        </is>
      </c>
      <c r="C4" s="6" t="n">
        <v>46231</v>
      </c>
      <c r="D4" s="24" t="n">
        <v>636</v>
      </c>
      <c r="E4" s="25" t="n">
        <v>14.072</v>
      </c>
      <c r="F4" s="14">
        <f>AsOf-C4</f>
        <v/>
      </c>
      <c r="G4" s="11">
        <f>SUMIFS($D$2:$D$5000,$A$2:$A$5000,A4,$B$2:$B$5000,B4,$C$2:$C$5000,"&lt;="&amp;C4)</f>
        <v/>
      </c>
      <c r="H4" s="11">
        <f>SUMIFS(Dispatched!$C$2:$C$5000,Dispatched!$A$2:$A$5000,A4,Dispatched!$B$2:$B$5000,B4)</f>
        <v/>
      </c>
      <c r="I4" s="11">
        <f>MAX(0,MIN(D4,G4-H4))</f>
        <v/>
      </c>
      <c r="J4" s="26">
        <f>I4*E4/D4</f>
        <v/>
      </c>
      <c r="K4" s="10">
        <f>IF(I4=0,"Dispatched",IF(F4&lt;=30,"0-30",IF(F4&lt;=60,"31-60",IF(F4&lt;=90,"61-90","90+"))))</f>
        <v/>
      </c>
    </row>
    <row r="5">
      <c r="A5" s="24" t="inlineStr">
        <is>
          <t>Hyderabad</t>
        </is>
      </c>
      <c r="B5" s="24" t="inlineStr">
        <is>
          <t>100X50X1.6</t>
        </is>
      </c>
      <c r="C5" s="6" t="n">
        <v>46301</v>
      </c>
      <c r="D5" s="24" t="n">
        <v>1343</v>
      </c>
      <c r="E5" s="25" t="n">
        <v>29.715</v>
      </c>
      <c r="F5" s="14">
        <f>AsOf-C5</f>
        <v/>
      </c>
      <c r="G5" s="11">
        <f>SUMIFS($D$2:$D$5000,$A$2:$A$5000,A5,$B$2:$B$5000,B5,$C$2:$C$5000,"&lt;="&amp;C5)</f>
        <v/>
      </c>
      <c r="H5" s="11">
        <f>SUMIFS(Dispatched!$C$2:$C$5000,Dispatched!$A$2:$A$5000,A5,Dispatched!$B$2:$B$5000,B5)</f>
        <v/>
      </c>
      <c r="I5" s="11">
        <f>MAX(0,MIN(D5,G5-H5))</f>
        <v/>
      </c>
      <c r="J5" s="26">
        <f>I5*E5/D5</f>
        <v/>
      </c>
      <c r="K5" s="10">
        <f>IF(I5=0,"Dispatched",IF(F5&lt;=30,"0-30",IF(F5&lt;=60,"31-60",IF(F5&lt;=90,"61-90","90+"))))</f>
        <v/>
      </c>
    </row>
    <row r="6">
      <c r="A6" s="24" t="inlineStr">
        <is>
          <t>Hyderabad</t>
        </is>
      </c>
      <c r="B6" s="24" t="inlineStr">
        <is>
          <t>100X50X2</t>
        </is>
      </c>
      <c r="C6" s="6" t="n">
        <v>46156</v>
      </c>
      <c r="D6" s="24" t="n">
        <v>1052</v>
      </c>
      <c r="E6" s="25" t="n">
        <v>28.937</v>
      </c>
      <c r="F6" s="14">
        <f>AsOf-C6</f>
        <v/>
      </c>
      <c r="G6" s="11">
        <f>SUMIFS($D$2:$D$5000,$A$2:$A$5000,A6,$B$2:$B$5000,B6,$C$2:$C$5000,"&lt;="&amp;C6)</f>
        <v/>
      </c>
      <c r="H6" s="11">
        <f>SUMIFS(Dispatched!$C$2:$C$5000,Dispatched!$A$2:$A$5000,A6,Dispatched!$B$2:$B$5000,B6)</f>
        <v/>
      </c>
      <c r="I6" s="11">
        <f>MAX(0,MIN(D6,G6-H6))</f>
        <v/>
      </c>
      <c r="J6" s="26">
        <f>I6*E6/D6</f>
        <v/>
      </c>
      <c r="K6" s="10">
        <f>IF(I6=0,"Dispatched",IF(F6&lt;=30,"0-30",IF(F6&lt;=60,"31-60",IF(F6&lt;=90,"61-90","90+"))))</f>
        <v/>
      </c>
    </row>
    <row r="7">
      <c r="A7" s="24" t="inlineStr">
        <is>
          <t>Hyderabad</t>
        </is>
      </c>
      <c r="B7" s="24" t="inlineStr">
        <is>
          <t>100X50X2</t>
        </is>
      </c>
      <c r="C7" s="6" t="n">
        <v>46203</v>
      </c>
      <c r="D7" s="24" t="n">
        <v>357</v>
      </c>
      <c r="E7" s="25" t="n">
        <v>9.82</v>
      </c>
      <c r="F7" s="14">
        <f>AsOf-C7</f>
        <v/>
      </c>
      <c r="G7" s="11">
        <f>SUMIFS($D$2:$D$5000,$A$2:$A$5000,A7,$B$2:$B$5000,B7,$C$2:$C$5000,"&lt;="&amp;C7)</f>
        <v/>
      </c>
      <c r="H7" s="11">
        <f>SUMIFS(Dispatched!$C$2:$C$5000,Dispatched!$A$2:$A$5000,A7,Dispatched!$B$2:$B$5000,B7)</f>
        <v/>
      </c>
      <c r="I7" s="11">
        <f>MAX(0,MIN(D7,G7-H7))</f>
        <v/>
      </c>
      <c r="J7" s="26">
        <f>I7*E7/D7</f>
        <v/>
      </c>
      <c r="K7" s="10">
        <f>IF(I7=0,"Dispatched",IF(F7&lt;=30,"0-30",IF(F7&lt;=60,"31-60",IF(F7&lt;=90,"61-90","90+"))))</f>
        <v/>
      </c>
    </row>
    <row r="8">
      <c r="A8" s="24" t="inlineStr">
        <is>
          <t>Hyderabad</t>
        </is>
      </c>
      <c r="B8" s="24" t="inlineStr">
        <is>
          <t>100X50X2</t>
        </is>
      </c>
      <c r="C8" s="6" t="n">
        <v>46207</v>
      </c>
      <c r="D8" s="24" t="n">
        <v>458</v>
      </c>
      <c r="E8" s="25" t="n">
        <v>12.598</v>
      </c>
      <c r="F8" s="14">
        <f>AsOf-C8</f>
        <v/>
      </c>
      <c r="G8" s="11">
        <f>SUMIFS($D$2:$D$5000,$A$2:$A$5000,A8,$B$2:$B$5000,B8,$C$2:$C$5000,"&lt;="&amp;C8)</f>
        <v/>
      </c>
      <c r="H8" s="11">
        <f>SUMIFS(Dispatched!$C$2:$C$5000,Dispatched!$A$2:$A$5000,A8,Dispatched!$B$2:$B$5000,B8)</f>
        <v/>
      </c>
      <c r="I8" s="11">
        <f>MAX(0,MIN(D8,G8-H8))</f>
        <v/>
      </c>
      <c r="J8" s="26">
        <f>I8*E8/D8</f>
        <v/>
      </c>
      <c r="K8" s="10">
        <f>IF(I8=0,"Dispatched",IF(F8&lt;=30,"0-30",IF(F8&lt;=60,"31-60",IF(F8&lt;=90,"61-90","90+"))))</f>
        <v/>
      </c>
    </row>
    <row r="9">
      <c r="A9" s="24" t="inlineStr">
        <is>
          <t>Hyderabad</t>
        </is>
      </c>
      <c r="B9" s="24" t="inlineStr">
        <is>
          <t>100X50X2</t>
        </is>
      </c>
      <c r="C9" s="6" t="n">
        <v>46209</v>
      </c>
      <c r="D9" s="24" t="n">
        <v>274</v>
      </c>
      <c r="E9" s="25" t="n">
        <v>7.537</v>
      </c>
      <c r="F9" s="14">
        <f>AsOf-C9</f>
        <v/>
      </c>
      <c r="G9" s="11">
        <f>SUMIFS($D$2:$D$5000,$A$2:$A$5000,A9,$B$2:$B$5000,B9,$C$2:$C$5000,"&lt;="&amp;C9)</f>
        <v/>
      </c>
      <c r="H9" s="11">
        <f>SUMIFS(Dispatched!$C$2:$C$5000,Dispatched!$A$2:$A$5000,A9,Dispatched!$B$2:$B$5000,B9)</f>
        <v/>
      </c>
      <c r="I9" s="11">
        <f>MAX(0,MIN(D9,G9-H9))</f>
        <v/>
      </c>
      <c r="J9" s="26">
        <f>I9*E9/D9</f>
        <v/>
      </c>
      <c r="K9" s="10">
        <f>IF(I9=0,"Dispatched",IF(F9&lt;=30,"0-30",IF(F9&lt;=60,"31-60",IF(F9&lt;=90,"61-90","90+"))))</f>
        <v/>
      </c>
    </row>
    <row r="10">
      <c r="A10" s="24" t="inlineStr">
        <is>
          <t>Hyderabad</t>
        </is>
      </c>
      <c r="B10" s="24" t="inlineStr">
        <is>
          <t>100X50X2</t>
        </is>
      </c>
      <c r="C10" s="6" t="n">
        <v>46213</v>
      </c>
      <c r="D10" s="24" t="n">
        <v>677</v>
      </c>
      <c r="E10" s="25" t="n">
        <v>18.622</v>
      </c>
      <c r="F10" s="14">
        <f>AsOf-C10</f>
        <v/>
      </c>
      <c r="G10" s="11">
        <f>SUMIFS($D$2:$D$5000,$A$2:$A$5000,A10,$B$2:$B$5000,B10,$C$2:$C$5000,"&lt;="&amp;C10)</f>
        <v/>
      </c>
      <c r="H10" s="11">
        <f>SUMIFS(Dispatched!$C$2:$C$5000,Dispatched!$A$2:$A$5000,A10,Dispatched!$B$2:$B$5000,B10)</f>
        <v/>
      </c>
      <c r="I10" s="11">
        <f>MAX(0,MIN(D10,G10-H10))</f>
        <v/>
      </c>
      <c r="J10" s="26">
        <f>I10*E10/D10</f>
        <v/>
      </c>
      <c r="K10" s="10">
        <f>IF(I10=0,"Dispatched",IF(F10&lt;=30,"0-30",IF(F10&lt;=60,"31-60",IF(F10&lt;=90,"61-90","90+"))))</f>
        <v/>
      </c>
    </row>
    <row r="11">
      <c r="A11" s="24" t="inlineStr">
        <is>
          <t>Hyderabad</t>
        </is>
      </c>
      <c r="B11" s="24" t="inlineStr">
        <is>
          <t>100X50X2</t>
        </is>
      </c>
      <c r="C11" s="6" t="n">
        <v>46214</v>
      </c>
      <c r="D11" s="24" t="n">
        <v>656</v>
      </c>
      <c r="E11" s="25" t="n">
        <v>18.044</v>
      </c>
      <c r="F11" s="14">
        <f>AsOf-C11</f>
        <v/>
      </c>
      <c r="G11" s="11">
        <f>SUMIFS($D$2:$D$5000,$A$2:$A$5000,A11,$B$2:$B$5000,B11,$C$2:$C$5000,"&lt;="&amp;C11)</f>
        <v/>
      </c>
      <c r="H11" s="11">
        <f>SUMIFS(Dispatched!$C$2:$C$5000,Dispatched!$A$2:$A$5000,A11,Dispatched!$B$2:$B$5000,B11)</f>
        <v/>
      </c>
      <c r="I11" s="11">
        <f>MAX(0,MIN(D11,G11-H11))</f>
        <v/>
      </c>
      <c r="J11" s="26">
        <f>I11*E11/D11</f>
        <v/>
      </c>
      <c r="K11" s="10">
        <f>IF(I11=0,"Dispatched",IF(F11&lt;=30,"0-30",IF(F11&lt;=60,"31-60",IF(F11&lt;=90,"61-90","90+"))))</f>
        <v/>
      </c>
    </row>
    <row r="12">
      <c r="A12" s="24" t="inlineStr">
        <is>
          <t>Hyderabad</t>
        </is>
      </c>
      <c r="B12" s="24" t="inlineStr">
        <is>
          <t>100X50X2</t>
        </is>
      </c>
      <c r="C12" s="6" t="n">
        <v>46231</v>
      </c>
      <c r="D12" s="24" t="n">
        <v>830</v>
      </c>
      <c r="E12" s="25" t="n">
        <v>22.83</v>
      </c>
      <c r="F12" s="14">
        <f>AsOf-C12</f>
        <v/>
      </c>
      <c r="G12" s="11">
        <f>SUMIFS($D$2:$D$5000,$A$2:$A$5000,A12,$B$2:$B$5000,B12,$C$2:$C$5000,"&lt;="&amp;C12)</f>
        <v/>
      </c>
      <c r="H12" s="11">
        <f>SUMIFS(Dispatched!$C$2:$C$5000,Dispatched!$A$2:$A$5000,A12,Dispatched!$B$2:$B$5000,B12)</f>
        <v/>
      </c>
      <c r="I12" s="11">
        <f>MAX(0,MIN(D12,G12-H12))</f>
        <v/>
      </c>
      <c r="J12" s="26">
        <f>I12*E12/D12</f>
        <v/>
      </c>
      <c r="K12" s="10">
        <f>IF(I12=0,"Dispatched",IF(F12&lt;=30,"0-30",IF(F12&lt;=60,"31-60",IF(F12&lt;=90,"61-90","90+"))))</f>
        <v/>
      </c>
    </row>
    <row r="13">
      <c r="A13" s="24" t="inlineStr">
        <is>
          <t>Hyderabad</t>
        </is>
      </c>
      <c r="B13" s="24" t="inlineStr">
        <is>
          <t>100X50X2</t>
        </is>
      </c>
      <c r="C13" s="6" t="n">
        <v>46255</v>
      </c>
      <c r="D13" s="24" t="n">
        <v>1098</v>
      </c>
      <c r="E13" s="25" t="n">
        <v>30.202</v>
      </c>
      <c r="F13" s="14">
        <f>AsOf-C13</f>
        <v/>
      </c>
      <c r="G13" s="11">
        <f>SUMIFS($D$2:$D$5000,$A$2:$A$5000,A13,$B$2:$B$5000,B13,$C$2:$C$5000,"&lt;="&amp;C13)</f>
        <v/>
      </c>
      <c r="H13" s="11">
        <f>SUMIFS(Dispatched!$C$2:$C$5000,Dispatched!$A$2:$A$5000,A13,Dispatched!$B$2:$B$5000,B13)</f>
        <v/>
      </c>
      <c r="I13" s="11">
        <f>MAX(0,MIN(D13,G13-H13))</f>
        <v/>
      </c>
      <c r="J13" s="26">
        <f>I13*E13/D13</f>
        <v/>
      </c>
      <c r="K13" s="10">
        <f>IF(I13=0,"Dispatched",IF(F13&lt;=30,"0-30",IF(F13&lt;=60,"31-60",IF(F13&lt;=90,"61-90","90+"))))</f>
        <v/>
      </c>
    </row>
    <row r="14">
      <c r="A14" s="24" t="inlineStr">
        <is>
          <t>Hyderabad</t>
        </is>
      </c>
      <c r="B14" s="24" t="inlineStr">
        <is>
          <t>100X50X2</t>
        </is>
      </c>
      <c r="C14" s="6" t="n">
        <v>46290</v>
      </c>
      <c r="D14" s="24" t="n">
        <v>864</v>
      </c>
      <c r="E14" s="25" t="n">
        <v>23.766</v>
      </c>
      <c r="F14" s="14">
        <f>AsOf-C14</f>
        <v/>
      </c>
      <c r="G14" s="11">
        <f>SUMIFS($D$2:$D$5000,$A$2:$A$5000,A14,$B$2:$B$5000,B14,$C$2:$C$5000,"&lt;="&amp;C14)</f>
        <v/>
      </c>
      <c r="H14" s="11">
        <f>SUMIFS(Dispatched!$C$2:$C$5000,Dispatched!$A$2:$A$5000,A14,Dispatched!$B$2:$B$5000,B14)</f>
        <v/>
      </c>
      <c r="I14" s="11">
        <f>MAX(0,MIN(D14,G14-H14))</f>
        <v/>
      </c>
      <c r="J14" s="26">
        <f>I14*E14/D14</f>
        <v/>
      </c>
      <c r="K14" s="10">
        <f>IF(I14=0,"Dispatched",IF(F14&lt;=30,"0-30",IF(F14&lt;=60,"31-60",IF(F14&lt;=90,"61-90","90+"))))</f>
        <v/>
      </c>
    </row>
    <row r="15">
      <c r="A15" s="24" t="inlineStr">
        <is>
          <t>Hyderabad</t>
        </is>
      </c>
      <c r="B15" s="24" t="inlineStr">
        <is>
          <t>100X50X2</t>
        </is>
      </c>
      <c r="C15" s="6" t="n">
        <v>46295</v>
      </c>
      <c r="D15" s="24" t="n">
        <v>1580</v>
      </c>
      <c r="E15" s="25" t="n">
        <v>43.46</v>
      </c>
      <c r="F15" s="14">
        <f>AsOf-C15</f>
        <v/>
      </c>
      <c r="G15" s="11">
        <f>SUMIFS($D$2:$D$5000,$A$2:$A$5000,A15,$B$2:$B$5000,B15,$C$2:$C$5000,"&lt;="&amp;C15)</f>
        <v/>
      </c>
      <c r="H15" s="11">
        <f>SUMIFS(Dispatched!$C$2:$C$5000,Dispatched!$A$2:$A$5000,A15,Dispatched!$B$2:$B$5000,B15)</f>
        <v/>
      </c>
      <c r="I15" s="11">
        <f>MAX(0,MIN(D15,G15-H15))</f>
        <v/>
      </c>
      <c r="J15" s="26">
        <f>I15*E15/D15</f>
        <v/>
      </c>
      <c r="K15" s="10">
        <f>IF(I15=0,"Dispatched",IF(F15&lt;=30,"0-30",IF(F15&lt;=60,"31-60",IF(F15&lt;=90,"61-90","90+"))))</f>
        <v/>
      </c>
    </row>
    <row r="16">
      <c r="A16" s="24" t="inlineStr">
        <is>
          <t>Hyderabad</t>
        </is>
      </c>
      <c r="B16" s="24" t="inlineStr">
        <is>
          <t>100X50X2.5</t>
        </is>
      </c>
      <c r="C16" s="6" t="n">
        <v>46151</v>
      </c>
      <c r="D16" s="24" t="n">
        <v>140</v>
      </c>
      <c r="E16" s="25" t="n">
        <v>4.781</v>
      </c>
      <c r="F16" s="14">
        <f>AsOf-C16</f>
        <v/>
      </c>
      <c r="G16" s="11">
        <f>SUMIFS($D$2:$D$5000,$A$2:$A$5000,A16,$B$2:$B$5000,B16,$C$2:$C$5000,"&lt;="&amp;C16)</f>
        <v/>
      </c>
      <c r="H16" s="11">
        <f>SUMIFS(Dispatched!$C$2:$C$5000,Dispatched!$A$2:$A$5000,A16,Dispatched!$B$2:$B$5000,B16)</f>
        <v/>
      </c>
      <c r="I16" s="11">
        <f>MAX(0,MIN(D16,G16-H16))</f>
        <v/>
      </c>
      <c r="J16" s="26">
        <f>I16*E16/D16</f>
        <v/>
      </c>
      <c r="K16" s="10">
        <f>IF(I16=0,"Dispatched",IF(F16&lt;=30,"0-30",IF(F16&lt;=60,"31-60",IF(F16&lt;=90,"61-90","90+"))))</f>
        <v/>
      </c>
    </row>
    <row r="17">
      <c r="A17" s="24" t="inlineStr">
        <is>
          <t>Hyderabad</t>
        </is>
      </c>
      <c r="B17" s="24" t="inlineStr">
        <is>
          <t>100X50X2.5</t>
        </is>
      </c>
      <c r="C17" s="6" t="n">
        <v>46155</v>
      </c>
      <c r="D17" s="24" t="n">
        <v>764</v>
      </c>
      <c r="E17" s="25" t="n">
        <v>26.089</v>
      </c>
      <c r="F17" s="14">
        <f>AsOf-C17</f>
        <v/>
      </c>
      <c r="G17" s="11">
        <f>SUMIFS($D$2:$D$5000,$A$2:$A$5000,A17,$B$2:$B$5000,B17,$C$2:$C$5000,"&lt;="&amp;C17)</f>
        <v/>
      </c>
      <c r="H17" s="11">
        <f>SUMIFS(Dispatched!$C$2:$C$5000,Dispatched!$A$2:$A$5000,A17,Dispatched!$B$2:$B$5000,B17)</f>
        <v/>
      </c>
      <c r="I17" s="11">
        <f>MAX(0,MIN(D17,G17-H17))</f>
        <v/>
      </c>
      <c r="J17" s="26">
        <f>I17*E17/D17</f>
        <v/>
      </c>
      <c r="K17" s="10">
        <f>IF(I17=0,"Dispatched",IF(F17&lt;=30,"0-30",IF(F17&lt;=60,"31-60",IF(F17&lt;=90,"61-90","90+"))))</f>
        <v/>
      </c>
    </row>
    <row r="18">
      <c r="A18" s="24" t="inlineStr">
        <is>
          <t>Hyderabad</t>
        </is>
      </c>
      <c r="B18" s="24" t="inlineStr">
        <is>
          <t>100X50X2.5</t>
        </is>
      </c>
      <c r="C18" s="6" t="n">
        <v>46209</v>
      </c>
      <c r="D18" s="24" t="n">
        <v>796</v>
      </c>
      <c r="E18" s="25" t="n">
        <v>27.181</v>
      </c>
      <c r="F18" s="14">
        <f>AsOf-C18</f>
        <v/>
      </c>
      <c r="G18" s="11">
        <f>SUMIFS($D$2:$D$5000,$A$2:$A$5000,A18,$B$2:$B$5000,B18,$C$2:$C$5000,"&lt;="&amp;C18)</f>
        <v/>
      </c>
      <c r="H18" s="11">
        <f>SUMIFS(Dispatched!$C$2:$C$5000,Dispatched!$A$2:$A$5000,A18,Dispatched!$B$2:$B$5000,B18)</f>
        <v/>
      </c>
      <c r="I18" s="11">
        <f>MAX(0,MIN(D18,G18-H18))</f>
        <v/>
      </c>
      <c r="J18" s="26">
        <f>I18*E18/D18</f>
        <v/>
      </c>
      <c r="K18" s="10">
        <f>IF(I18=0,"Dispatched",IF(F18&lt;=30,"0-30",IF(F18&lt;=60,"31-60",IF(F18&lt;=90,"61-90","90+"))))</f>
        <v/>
      </c>
    </row>
    <row r="19">
      <c r="A19" s="24" t="inlineStr">
        <is>
          <t>Hyderabad</t>
        </is>
      </c>
      <c r="B19" s="24" t="inlineStr">
        <is>
          <t>100X50X2.5</t>
        </is>
      </c>
      <c r="C19" s="6" t="n">
        <v>46210</v>
      </c>
      <c r="D19" s="24" t="n">
        <v>141</v>
      </c>
      <c r="E19" s="25" t="n">
        <v>4.815</v>
      </c>
      <c r="F19" s="14">
        <f>AsOf-C19</f>
        <v/>
      </c>
      <c r="G19" s="11">
        <f>SUMIFS($D$2:$D$5000,$A$2:$A$5000,A19,$B$2:$B$5000,B19,$C$2:$C$5000,"&lt;="&amp;C19)</f>
        <v/>
      </c>
      <c r="H19" s="11">
        <f>SUMIFS(Dispatched!$C$2:$C$5000,Dispatched!$A$2:$A$5000,A19,Dispatched!$B$2:$B$5000,B19)</f>
        <v/>
      </c>
      <c r="I19" s="11">
        <f>MAX(0,MIN(D19,G19-H19))</f>
        <v/>
      </c>
      <c r="J19" s="26">
        <f>I19*E19/D19</f>
        <v/>
      </c>
      <c r="K19" s="10">
        <f>IF(I19=0,"Dispatched",IF(F19&lt;=30,"0-30",IF(F19&lt;=60,"31-60",IF(F19&lt;=90,"61-90","90+"))))</f>
        <v/>
      </c>
    </row>
    <row r="20">
      <c r="A20" s="24" t="inlineStr">
        <is>
          <t>Hyderabad</t>
        </is>
      </c>
      <c r="B20" s="24" t="inlineStr">
        <is>
          <t>100X50X2.5</t>
        </is>
      </c>
      <c r="C20" s="6" t="n">
        <v>46231</v>
      </c>
      <c r="D20" s="24" t="n">
        <v>277</v>
      </c>
      <c r="E20" s="25" t="n">
        <v>9.459</v>
      </c>
      <c r="F20" s="14">
        <f>AsOf-C20</f>
        <v/>
      </c>
      <c r="G20" s="11">
        <f>SUMIFS($D$2:$D$5000,$A$2:$A$5000,A20,$B$2:$B$5000,B20,$C$2:$C$5000,"&lt;="&amp;C20)</f>
        <v/>
      </c>
      <c r="H20" s="11">
        <f>SUMIFS(Dispatched!$C$2:$C$5000,Dispatched!$A$2:$A$5000,A20,Dispatched!$B$2:$B$5000,B20)</f>
        <v/>
      </c>
      <c r="I20" s="11">
        <f>MAX(0,MIN(D20,G20-H20))</f>
        <v/>
      </c>
      <c r="J20" s="26">
        <f>I20*E20/D20</f>
        <v/>
      </c>
      <c r="K20" s="10">
        <f>IF(I20=0,"Dispatched",IF(F20&lt;=30,"0-30",IF(F20&lt;=60,"31-60",IF(F20&lt;=90,"61-90","90+"))))</f>
        <v/>
      </c>
    </row>
    <row r="21">
      <c r="A21" s="24" t="inlineStr">
        <is>
          <t>Hyderabad</t>
        </is>
      </c>
      <c r="B21" s="24" t="inlineStr">
        <is>
          <t>100X50X2.5</t>
        </is>
      </c>
      <c r="C21" s="6" t="n">
        <v>46232</v>
      </c>
      <c r="D21" s="24" t="n">
        <v>277</v>
      </c>
      <c r="E21" s="25" t="n">
        <v>9.459</v>
      </c>
      <c r="F21" s="14">
        <f>AsOf-C21</f>
        <v/>
      </c>
      <c r="G21" s="11">
        <f>SUMIFS($D$2:$D$5000,$A$2:$A$5000,A21,$B$2:$B$5000,B21,$C$2:$C$5000,"&lt;="&amp;C21)</f>
        <v/>
      </c>
      <c r="H21" s="11">
        <f>SUMIFS(Dispatched!$C$2:$C$5000,Dispatched!$A$2:$A$5000,A21,Dispatched!$B$2:$B$5000,B21)</f>
        <v/>
      </c>
      <c r="I21" s="11">
        <f>MAX(0,MIN(D21,G21-H21))</f>
        <v/>
      </c>
      <c r="J21" s="26">
        <f>I21*E21/D21</f>
        <v/>
      </c>
      <c r="K21" s="10">
        <f>IF(I21=0,"Dispatched",IF(F21&lt;=30,"0-30",IF(F21&lt;=60,"31-60",IF(F21&lt;=90,"61-90","90+"))))</f>
        <v/>
      </c>
    </row>
    <row r="22">
      <c r="A22" s="24" t="inlineStr">
        <is>
          <t>Hyderabad</t>
        </is>
      </c>
      <c r="B22" s="24" t="inlineStr">
        <is>
          <t>100X50X2.5</t>
        </is>
      </c>
      <c r="C22" s="6" t="n">
        <v>46255</v>
      </c>
      <c r="D22" s="24" t="n">
        <v>422</v>
      </c>
      <c r="E22" s="25" t="n">
        <v>14.41</v>
      </c>
      <c r="F22" s="14">
        <f>AsOf-C22</f>
        <v/>
      </c>
      <c r="G22" s="11">
        <f>SUMIFS($D$2:$D$5000,$A$2:$A$5000,A22,$B$2:$B$5000,B22,$C$2:$C$5000,"&lt;="&amp;C22)</f>
        <v/>
      </c>
      <c r="H22" s="11">
        <f>SUMIFS(Dispatched!$C$2:$C$5000,Dispatched!$A$2:$A$5000,A22,Dispatched!$B$2:$B$5000,B22)</f>
        <v/>
      </c>
      <c r="I22" s="11">
        <f>MAX(0,MIN(D22,G22-H22))</f>
        <v/>
      </c>
      <c r="J22" s="26">
        <f>I22*E22/D22</f>
        <v/>
      </c>
      <c r="K22" s="10">
        <f>IF(I22=0,"Dispatched",IF(F22&lt;=30,"0-30",IF(F22&lt;=60,"31-60",IF(F22&lt;=90,"61-90","90+"))))</f>
        <v/>
      </c>
    </row>
    <row r="23">
      <c r="A23" s="24" t="inlineStr">
        <is>
          <t>Hyderabad</t>
        </is>
      </c>
      <c r="B23" s="24" t="inlineStr">
        <is>
          <t>100X50X2.8</t>
        </is>
      </c>
      <c r="C23" s="6" t="n">
        <v>46155</v>
      </c>
      <c r="D23" s="24" t="n">
        <v>828</v>
      </c>
      <c r="E23" s="25" t="n">
        <v>31.536</v>
      </c>
      <c r="F23" s="14">
        <f>AsOf-C23</f>
        <v/>
      </c>
      <c r="G23" s="11">
        <f>SUMIFS($D$2:$D$5000,$A$2:$A$5000,A23,$B$2:$B$5000,B23,$C$2:$C$5000,"&lt;="&amp;C23)</f>
        <v/>
      </c>
      <c r="H23" s="11">
        <f>SUMIFS(Dispatched!$C$2:$C$5000,Dispatched!$A$2:$A$5000,A23,Dispatched!$B$2:$B$5000,B23)</f>
        <v/>
      </c>
      <c r="I23" s="11">
        <f>MAX(0,MIN(D23,G23-H23))</f>
        <v/>
      </c>
      <c r="J23" s="26">
        <f>I23*E23/D23</f>
        <v/>
      </c>
      <c r="K23" s="10">
        <f>IF(I23=0,"Dispatched",IF(F23&lt;=30,"0-30",IF(F23&lt;=60,"31-60",IF(F23&lt;=90,"61-90","90+"))))</f>
        <v/>
      </c>
    </row>
    <row r="24">
      <c r="A24" s="24" t="inlineStr">
        <is>
          <t>Hyderabad</t>
        </is>
      </c>
      <c r="B24" s="24" t="inlineStr">
        <is>
          <t>100X50X2.8</t>
        </is>
      </c>
      <c r="C24" s="6" t="n">
        <v>46209</v>
      </c>
      <c r="D24" s="24" t="n">
        <v>756</v>
      </c>
      <c r="E24" s="25" t="n">
        <v>28.794</v>
      </c>
      <c r="F24" s="14">
        <f>AsOf-C24</f>
        <v/>
      </c>
      <c r="G24" s="11">
        <f>SUMIFS($D$2:$D$5000,$A$2:$A$5000,A24,$B$2:$B$5000,B24,$C$2:$C$5000,"&lt;="&amp;C24)</f>
        <v/>
      </c>
      <c r="H24" s="11">
        <f>SUMIFS(Dispatched!$C$2:$C$5000,Dispatched!$A$2:$A$5000,A24,Dispatched!$B$2:$B$5000,B24)</f>
        <v/>
      </c>
      <c r="I24" s="11">
        <f>MAX(0,MIN(D24,G24-H24))</f>
        <v/>
      </c>
      <c r="J24" s="26">
        <f>I24*E24/D24</f>
        <v/>
      </c>
      <c r="K24" s="10">
        <f>IF(I24=0,"Dispatched",IF(F24&lt;=30,"0-30",IF(F24&lt;=60,"31-60",IF(F24&lt;=90,"61-90","90+"))))</f>
        <v/>
      </c>
    </row>
    <row r="25">
      <c r="A25" s="24" t="inlineStr">
        <is>
          <t>Hyderabad</t>
        </is>
      </c>
      <c r="B25" s="24" t="inlineStr">
        <is>
          <t>100X50X2.8</t>
        </is>
      </c>
      <c r="C25" s="6" t="n">
        <v>46210</v>
      </c>
      <c r="D25" s="24" t="n">
        <v>353</v>
      </c>
      <c r="E25" s="25" t="n">
        <v>13.445</v>
      </c>
      <c r="F25" s="14">
        <f>AsOf-C25</f>
        <v/>
      </c>
      <c r="G25" s="11">
        <f>SUMIFS($D$2:$D$5000,$A$2:$A$5000,A25,$B$2:$B$5000,B25,$C$2:$C$5000,"&lt;="&amp;C25)</f>
        <v/>
      </c>
      <c r="H25" s="11">
        <f>SUMIFS(Dispatched!$C$2:$C$5000,Dispatched!$A$2:$A$5000,A25,Dispatched!$B$2:$B$5000,B25)</f>
        <v/>
      </c>
      <c r="I25" s="11">
        <f>MAX(0,MIN(D25,G25-H25))</f>
        <v/>
      </c>
      <c r="J25" s="26">
        <f>I25*E25/D25</f>
        <v/>
      </c>
      <c r="K25" s="10">
        <f>IF(I25=0,"Dispatched",IF(F25&lt;=30,"0-30",IF(F25&lt;=60,"31-60",IF(F25&lt;=90,"61-90","90+"))))</f>
        <v/>
      </c>
    </row>
    <row r="26">
      <c r="A26" s="24" t="inlineStr">
        <is>
          <t>Hyderabad</t>
        </is>
      </c>
      <c r="B26" s="24" t="inlineStr">
        <is>
          <t>100X50X3.2</t>
        </is>
      </c>
      <c r="C26" s="6" t="n">
        <v>46158</v>
      </c>
      <c r="D26" s="24" t="n">
        <v>705</v>
      </c>
      <c r="E26" s="25" t="n">
        <v>30.517</v>
      </c>
      <c r="F26" s="14">
        <f>AsOf-C26</f>
        <v/>
      </c>
      <c r="G26" s="11">
        <f>SUMIFS($D$2:$D$5000,$A$2:$A$5000,A26,$B$2:$B$5000,B26,$C$2:$C$5000,"&lt;="&amp;C26)</f>
        <v/>
      </c>
      <c r="H26" s="11">
        <f>SUMIFS(Dispatched!$C$2:$C$5000,Dispatched!$A$2:$A$5000,A26,Dispatched!$B$2:$B$5000,B26)</f>
        <v/>
      </c>
      <c r="I26" s="11">
        <f>MAX(0,MIN(D26,G26-H26))</f>
        <v/>
      </c>
      <c r="J26" s="26">
        <f>I26*E26/D26</f>
        <v/>
      </c>
      <c r="K26" s="10">
        <f>IF(I26=0,"Dispatched",IF(F26&lt;=30,"0-30",IF(F26&lt;=60,"31-60",IF(F26&lt;=90,"61-90","90+"))))</f>
        <v/>
      </c>
    </row>
    <row r="27">
      <c r="A27" s="24" t="inlineStr">
        <is>
          <t>Hyderabad</t>
        </is>
      </c>
      <c r="B27" s="24" t="inlineStr">
        <is>
          <t>100X50X4</t>
        </is>
      </c>
      <c r="C27" s="6" t="n">
        <v>46158</v>
      </c>
      <c r="D27" s="24" t="n">
        <v>355</v>
      </c>
      <c r="E27" s="25" t="n">
        <v>18.994</v>
      </c>
      <c r="F27" s="14">
        <f>AsOf-C27</f>
        <v/>
      </c>
      <c r="G27" s="11">
        <f>SUMIFS($D$2:$D$5000,$A$2:$A$5000,A27,$B$2:$B$5000,B27,$C$2:$C$5000,"&lt;="&amp;C27)</f>
        <v/>
      </c>
      <c r="H27" s="11">
        <f>SUMIFS(Dispatched!$C$2:$C$5000,Dispatched!$A$2:$A$5000,A27,Dispatched!$B$2:$B$5000,B27)</f>
        <v/>
      </c>
      <c r="I27" s="11">
        <f>MAX(0,MIN(D27,G27-H27))</f>
        <v/>
      </c>
      <c r="J27" s="26">
        <f>I27*E27/D27</f>
        <v/>
      </c>
      <c r="K27" s="10">
        <f>IF(I27=0,"Dispatched",IF(F27&lt;=30,"0-30",IF(F27&lt;=60,"31-60",IF(F27&lt;=90,"61-90","90+"))))</f>
        <v/>
      </c>
    </row>
    <row r="28">
      <c r="A28" s="24" t="inlineStr">
        <is>
          <t>Hyderabad</t>
        </is>
      </c>
      <c r="B28" s="24" t="inlineStr">
        <is>
          <t>100X50X4</t>
        </is>
      </c>
      <c r="C28" s="6" t="n">
        <v>46232</v>
      </c>
      <c r="D28" s="24" t="n">
        <v>345</v>
      </c>
      <c r="E28" s="25" t="n">
        <v>18.459</v>
      </c>
      <c r="F28" s="14">
        <f>AsOf-C28</f>
        <v/>
      </c>
      <c r="G28" s="11">
        <f>SUMIFS($D$2:$D$5000,$A$2:$A$5000,A28,$B$2:$B$5000,B28,$C$2:$C$5000,"&lt;="&amp;C28)</f>
        <v/>
      </c>
      <c r="H28" s="11">
        <f>SUMIFS(Dispatched!$C$2:$C$5000,Dispatched!$A$2:$A$5000,A28,Dispatched!$B$2:$B$5000,B28)</f>
        <v/>
      </c>
      <c r="I28" s="11">
        <f>MAX(0,MIN(D28,G28-H28))</f>
        <v/>
      </c>
      <c r="J28" s="26">
        <f>I28*E28/D28</f>
        <v/>
      </c>
      <c r="K28" s="10">
        <f>IF(I28=0,"Dispatched",IF(F28&lt;=30,"0-30",IF(F28&lt;=60,"31-60",IF(F28&lt;=90,"61-90","90+"))))</f>
        <v/>
      </c>
    </row>
    <row r="29">
      <c r="A29" s="24" t="inlineStr">
        <is>
          <t>Hyderabad</t>
        </is>
      </c>
      <c r="B29" s="24" t="inlineStr">
        <is>
          <t>100X50X4</t>
        </is>
      </c>
      <c r="C29" s="6" t="n">
        <v>46258</v>
      </c>
      <c r="D29" s="24" t="n">
        <v>356</v>
      </c>
      <c r="E29" s="25" t="n">
        <v>19.048</v>
      </c>
      <c r="F29" s="14">
        <f>AsOf-C29</f>
        <v/>
      </c>
      <c r="G29" s="11">
        <f>SUMIFS($D$2:$D$5000,$A$2:$A$5000,A29,$B$2:$B$5000,B29,$C$2:$C$5000,"&lt;="&amp;C29)</f>
        <v/>
      </c>
      <c r="H29" s="11">
        <f>SUMIFS(Dispatched!$C$2:$C$5000,Dispatched!$A$2:$A$5000,A29,Dispatched!$B$2:$B$5000,B29)</f>
        <v/>
      </c>
      <c r="I29" s="11">
        <f>MAX(0,MIN(D29,G29-H29))</f>
        <v/>
      </c>
      <c r="J29" s="26">
        <f>I29*E29/D29</f>
        <v/>
      </c>
      <c r="K29" s="10">
        <f>IF(I29=0,"Dispatched",IF(F29&lt;=30,"0-30",IF(F29&lt;=60,"31-60",IF(F29&lt;=90,"61-90","90+"))))</f>
        <v/>
      </c>
    </row>
    <row r="30">
      <c r="A30" s="24" t="inlineStr">
        <is>
          <t>Hyderabad</t>
        </is>
      </c>
      <c r="B30" s="24" t="inlineStr">
        <is>
          <t>100X50X4</t>
        </is>
      </c>
      <c r="C30" s="6" t="n">
        <v>46290</v>
      </c>
      <c r="D30" s="24" t="n">
        <v>230</v>
      </c>
      <c r="E30" s="25" t="n">
        <v>12.306</v>
      </c>
      <c r="F30" s="14">
        <f>AsOf-C30</f>
        <v/>
      </c>
      <c r="G30" s="11">
        <f>SUMIFS($D$2:$D$5000,$A$2:$A$5000,A30,$B$2:$B$5000,B30,$C$2:$C$5000,"&lt;="&amp;C30)</f>
        <v/>
      </c>
      <c r="H30" s="11">
        <f>SUMIFS(Dispatched!$C$2:$C$5000,Dispatched!$A$2:$A$5000,A30,Dispatched!$B$2:$B$5000,B30)</f>
        <v/>
      </c>
      <c r="I30" s="11">
        <f>MAX(0,MIN(D30,G30-H30))</f>
        <v/>
      </c>
      <c r="J30" s="26">
        <f>I30*E30/D30</f>
        <v/>
      </c>
      <c r="K30" s="10">
        <f>IF(I30=0,"Dispatched",IF(F30&lt;=30,"0-30",IF(F30&lt;=60,"31-60",IF(F30&lt;=90,"61-90","90+"))))</f>
        <v/>
      </c>
    </row>
    <row r="31">
      <c r="A31" s="24" t="inlineStr">
        <is>
          <t>Hyderabad</t>
        </is>
      </c>
      <c r="B31" s="24" t="inlineStr">
        <is>
          <t>100X50X4</t>
        </is>
      </c>
      <c r="C31" s="6" t="n">
        <v>46293</v>
      </c>
      <c r="D31" s="24" t="n">
        <v>408</v>
      </c>
      <c r="E31" s="25" t="n">
        <v>21.83</v>
      </c>
      <c r="F31" s="14">
        <f>AsOf-C31</f>
        <v/>
      </c>
      <c r="G31" s="11">
        <f>SUMIFS($D$2:$D$5000,$A$2:$A$5000,A31,$B$2:$B$5000,B31,$C$2:$C$5000,"&lt;="&amp;C31)</f>
        <v/>
      </c>
      <c r="H31" s="11">
        <f>SUMIFS(Dispatched!$C$2:$C$5000,Dispatched!$A$2:$A$5000,A31,Dispatched!$B$2:$B$5000,B31)</f>
        <v/>
      </c>
      <c r="I31" s="11">
        <f>MAX(0,MIN(D31,G31-H31))</f>
        <v/>
      </c>
      <c r="J31" s="26">
        <f>I31*E31/D31</f>
        <v/>
      </c>
      <c r="K31" s="10">
        <f>IF(I31=0,"Dispatched",IF(F31&lt;=30,"0-30",IF(F31&lt;=60,"31-60",IF(F31&lt;=90,"61-90","90+"))))</f>
        <v/>
      </c>
    </row>
    <row r="32">
      <c r="A32" s="24" t="inlineStr">
        <is>
          <t>Hyderabad</t>
        </is>
      </c>
      <c r="B32" s="24" t="inlineStr">
        <is>
          <t>15NBX1.6</t>
        </is>
      </c>
      <c r="C32" s="6" t="n">
        <v>46226</v>
      </c>
      <c r="D32" s="24" t="n">
        <v>3371</v>
      </c>
      <c r="E32" s="25" t="n">
        <v>15.722</v>
      </c>
      <c r="F32" s="14">
        <f>AsOf-C32</f>
        <v/>
      </c>
      <c r="G32" s="11">
        <f>SUMIFS($D$2:$D$5000,$A$2:$A$5000,A32,$B$2:$B$5000,B32,$C$2:$C$5000,"&lt;="&amp;C32)</f>
        <v/>
      </c>
      <c r="H32" s="11">
        <f>SUMIFS(Dispatched!$C$2:$C$5000,Dispatched!$A$2:$A$5000,A32,Dispatched!$B$2:$B$5000,B32)</f>
        <v/>
      </c>
      <c r="I32" s="11">
        <f>MAX(0,MIN(D32,G32-H32))</f>
        <v/>
      </c>
      <c r="J32" s="26">
        <f>I32*E32/D32</f>
        <v/>
      </c>
      <c r="K32" s="10">
        <f>IF(I32=0,"Dispatched",IF(F32&lt;=30,"0-30",IF(F32&lt;=60,"31-60",IF(F32&lt;=90,"61-90","90+"))))</f>
        <v/>
      </c>
    </row>
    <row r="33">
      <c r="A33" s="24" t="inlineStr">
        <is>
          <t>Hyderabad</t>
        </is>
      </c>
      <c r="B33" s="24" t="inlineStr">
        <is>
          <t>15NBX1.6</t>
        </is>
      </c>
      <c r="C33" s="6" t="n">
        <v>46291</v>
      </c>
      <c r="D33" s="24" t="n">
        <v>1543</v>
      </c>
      <c r="E33" s="25" t="n">
        <v>7.197</v>
      </c>
      <c r="F33" s="14">
        <f>AsOf-C33</f>
        <v/>
      </c>
      <c r="G33" s="11">
        <f>SUMIFS($D$2:$D$5000,$A$2:$A$5000,A33,$B$2:$B$5000,B33,$C$2:$C$5000,"&lt;="&amp;C33)</f>
        <v/>
      </c>
      <c r="H33" s="11">
        <f>SUMIFS(Dispatched!$C$2:$C$5000,Dispatched!$A$2:$A$5000,A33,Dispatched!$B$2:$B$5000,B33)</f>
        <v/>
      </c>
      <c r="I33" s="11">
        <f>MAX(0,MIN(D33,G33-H33))</f>
        <v/>
      </c>
      <c r="J33" s="26">
        <f>I33*E33/D33</f>
        <v/>
      </c>
      <c r="K33" s="10">
        <f>IF(I33=0,"Dispatched",IF(F33&lt;=30,"0-30",IF(F33&lt;=60,"31-60",IF(F33&lt;=90,"61-90","90+"))))</f>
        <v/>
      </c>
    </row>
    <row r="34">
      <c r="A34" s="24" t="inlineStr">
        <is>
          <t>Hyderabad</t>
        </is>
      </c>
      <c r="B34" s="24" t="inlineStr">
        <is>
          <t>15NBX1.6</t>
        </is>
      </c>
      <c r="C34" s="6" t="n">
        <v>46293</v>
      </c>
      <c r="D34" s="24" t="n">
        <v>1193</v>
      </c>
      <c r="E34" s="25" t="n">
        <v>5.564</v>
      </c>
      <c r="F34" s="14">
        <f>AsOf-C34</f>
        <v/>
      </c>
      <c r="G34" s="11">
        <f>SUMIFS($D$2:$D$5000,$A$2:$A$5000,A34,$B$2:$B$5000,B34,$C$2:$C$5000,"&lt;="&amp;C34)</f>
        <v/>
      </c>
      <c r="H34" s="11">
        <f>SUMIFS(Dispatched!$C$2:$C$5000,Dispatched!$A$2:$A$5000,A34,Dispatched!$B$2:$B$5000,B34)</f>
        <v/>
      </c>
      <c r="I34" s="11">
        <f>MAX(0,MIN(D34,G34-H34))</f>
        <v/>
      </c>
      <c r="J34" s="26">
        <f>I34*E34/D34</f>
        <v/>
      </c>
      <c r="K34" s="10">
        <f>IF(I34=0,"Dispatched",IF(F34&lt;=30,"0-30",IF(F34&lt;=60,"31-60",IF(F34&lt;=90,"61-90","90+"))))</f>
        <v/>
      </c>
    </row>
    <row r="35">
      <c r="A35" s="24" t="inlineStr">
        <is>
          <t>Hyderabad</t>
        </is>
      </c>
      <c r="B35" s="24" t="inlineStr">
        <is>
          <t>15NBX2</t>
        </is>
      </c>
      <c r="C35" s="6" t="n">
        <v>46227</v>
      </c>
      <c r="D35" s="24" t="n">
        <v>1509</v>
      </c>
      <c r="E35" s="25" t="n">
        <v>8.601000000000001</v>
      </c>
      <c r="F35" s="14">
        <f>AsOf-C35</f>
        <v/>
      </c>
      <c r="G35" s="11">
        <f>SUMIFS($D$2:$D$5000,$A$2:$A$5000,A35,$B$2:$B$5000,B35,$C$2:$C$5000,"&lt;="&amp;C35)</f>
        <v/>
      </c>
      <c r="H35" s="11">
        <f>SUMIFS(Dispatched!$C$2:$C$5000,Dispatched!$A$2:$A$5000,A35,Dispatched!$B$2:$B$5000,B35)</f>
        <v/>
      </c>
      <c r="I35" s="11">
        <f>MAX(0,MIN(D35,G35-H35))</f>
        <v/>
      </c>
      <c r="J35" s="26">
        <f>I35*E35/D35</f>
        <v/>
      </c>
      <c r="K35" s="10">
        <f>IF(I35=0,"Dispatched",IF(F35&lt;=30,"0-30",IF(F35&lt;=60,"31-60",IF(F35&lt;=90,"61-90","90+"))))</f>
        <v/>
      </c>
    </row>
    <row r="36">
      <c r="A36" s="24" t="inlineStr">
        <is>
          <t>Hyderabad</t>
        </is>
      </c>
      <c r="B36" s="24" t="inlineStr">
        <is>
          <t>15NBX2</t>
        </is>
      </c>
      <c r="C36" s="6" t="n">
        <v>46233</v>
      </c>
      <c r="D36" s="24" t="n">
        <v>1657</v>
      </c>
      <c r="E36" s="25" t="n">
        <v>9.445</v>
      </c>
      <c r="F36" s="14">
        <f>AsOf-C36</f>
        <v/>
      </c>
      <c r="G36" s="11">
        <f>SUMIFS($D$2:$D$5000,$A$2:$A$5000,A36,$B$2:$B$5000,B36,$C$2:$C$5000,"&lt;="&amp;C36)</f>
        <v/>
      </c>
      <c r="H36" s="11">
        <f>SUMIFS(Dispatched!$C$2:$C$5000,Dispatched!$A$2:$A$5000,A36,Dispatched!$B$2:$B$5000,B36)</f>
        <v/>
      </c>
      <c r="I36" s="11">
        <f>MAX(0,MIN(D36,G36-H36))</f>
        <v/>
      </c>
      <c r="J36" s="26">
        <f>I36*E36/D36</f>
        <v/>
      </c>
      <c r="K36" s="10">
        <f>IF(I36=0,"Dispatched",IF(F36&lt;=30,"0-30",IF(F36&lt;=60,"31-60",IF(F36&lt;=90,"61-90","90+"))))</f>
        <v/>
      </c>
    </row>
    <row r="37">
      <c r="A37" s="24" t="inlineStr">
        <is>
          <t>Hyderabad</t>
        </is>
      </c>
      <c r="B37" s="24" t="inlineStr">
        <is>
          <t>15NBX2</t>
        </is>
      </c>
      <c r="C37" s="6" t="n">
        <v>46234</v>
      </c>
      <c r="D37" s="24" t="n">
        <v>425</v>
      </c>
      <c r="E37" s="25" t="n">
        <v>2.423</v>
      </c>
      <c r="F37" s="14">
        <f>AsOf-C37</f>
        <v/>
      </c>
      <c r="G37" s="11">
        <f>SUMIFS($D$2:$D$5000,$A$2:$A$5000,A37,$B$2:$B$5000,B37,$C$2:$C$5000,"&lt;="&amp;C37)</f>
        <v/>
      </c>
      <c r="H37" s="11">
        <f>SUMIFS(Dispatched!$C$2:$C$5000,Dispatched!$A$2:$A$5000,A37,Dispatched!$B$2:$B$5000,B37)</f>
        <v/>
      </c>
      <c r="I37" s="11">
        <f>MAX(0,MIN(D37,G37-H37))</f>
        <v/>
      </c>
      <c r="J37" s="26">
        <f>I37*E37/D37</f>
        <v/>
      </c>
      <c r="K37" s="10">
        <f>IF(I37=0,"Dispatched",IF(F37&lt;=30,"0-30",IF(F37&lt;=60,"31-60",IF(F37&lt;=90,"61-90","90+"))))</f>
        <v/>
      </c>
    </row>
    <row r="38">
      <c r="A38" s="24" t="inlineStr">
        <is>
          <t>Hyderabad</t>
        </is>
      </c>
      <c r="B38" s="24" t="inlineStr">
        <is>
          <t>15NBX2</t>
        </is>
      </c>
      <c r="C38" s="6" t="n">
        <v>46291</v>
      </c>
      <c r="D38" s="24" t="n">
        <v>3295</v>
      </c>
      <c r="E38" s="25" t="n">
        <v>18.782</v>
      </c>
      <c r="F38" s="14">
        <f>AsOf-C38</f>
        <v/>
      </c>
      <c r="G38" s="11">
        <f>SUMIFS($D$2:$D$5000,$A$2:$A$5000,A38,$B$2:$B$5000,B38,$C$2:$C$5000,"&lt;="&amp;C38)</f>
        <v/>
      </c>
      <c r="H38" s="11">
        <f>SUMIFS(Dispatched!$C$2:$C$5000,Dispatched!$A$2:$A$5000,A38,Dispatched!$B$2:$B$5000,B38)</f>
        <v/>
      </c>
      <c r="I38" s="11">
        <f>MAX(0,MIN(D38,G38-H38))</f>
        <v/>
      </c>
      <c r="J38" s="26">
        <f>I38*E38/D38</f>
        <v/>
      </c>
      <c r="K38" s="10">
        <f>IF(I38=0,"Dispatched",IF(F38&lt;=30,"0-30",IF(F38&lt;=60,"31-60",IF(F38&lt;=90,"61-90","90+"))))</f>
        <v/>
      </c>
    </row>
    <row r="39">
      <c r="A39" s="24" t="inlineStr">
        <is>
          <t>Hyderabad</t>
        </is>
      </c>
      <c r="B39" s="24" t="inlineStr">
        <is>
          <t>15X15X1.6</t>
        </is>
      </c>
      <c r="C39" s="6" t="n">
        <v>46235</v>
      </c>
      <c r="D39" s="24" t="n">
        <v>480</v>
      </c>
      <c r="E39" s="25" t="n">
        <v>1.939</v>
      </c>
      <c r="F39" s="14">
        <f>AsOf-C39</f>
        <v/>
      </c>
      <c r="G39" s="11">
        <f>SUMIFS($D$2:$D$5000,$A$2:$A$5000,A39,$B$2:$B$5000,B39,$C$2:$C$5000,"&lt;="&amp;C39)</f>
        <v/>
      </c>
      <c r="H39" s="11">
        <f>SUMIFS(Dispatched!$C$2:$C$5000,Dispatched!$A$2:$A$5000,A39,Dispatched!$B$2:$B$5000,B39)</f>
        <v/>
      </c>
      <c r="I39" s="11">
        <f>MAX(0,MIN(D39,G39-H39))</f>
        <v/>
      </c>
      <c r="J39" s="26">
        <f>I39*E39/D39</f>
        <v/>
      </c>
      <c r="K39" s="10">
        <f>IF(I39=0,"Dispatched",IF(F39&lt;=30,"0-30",IF(F39&lt;=60,"31-60",IF(F39&lt;=90,"61-90","90+"))))</f>
        <v/>
      </c>
    </row>
    <row r="40">
      <c r="A40" s="24" t="inlineStr">
        <is>
          <t>Hyderabad</t>
        </is>
      </c>
      <c r="B40" s="24" t="inlineStr">
        <is>
          <t>20NBX1.6</t>
        </is>
      </c>
      <c r="C40" s="6" t="n">
        <v>46184</v>
      </c>
      <c r="D40" s="24" t="n">
        <v>3461</v>
      </c>
      <c r="E40" s="25" t="n">
        <v>20.731</v>
      </c>
      <c r="F40" s="14">
        <f>AsOf-C40</f>
        <v/>
      </c>
      <c r="G40" s="11">
        <f>SUMIFS($D$2:$D$5000,$A$2:$A$5000,A40,$B$2:$B$5000,B40,$C$2:$C$5000,"&lt;="&amp;C40)</f>
        <v/>
      </c>
      <c r="H40" s="11">
        <f>SUMIFS(Dispatched!$C$2:$C$5000,Dispatched!$A$2:$A$5000,A40,Dispatched!$B$2:$B$5000,B40)</f>
        <v/>
      </c>
      <c r="I40" s="11">
        <f>MAX(0,MIN(D40,G40-H40))</f>
        <v/>
      </c>
      <c r="J40" s="26">
        <f>I40*E40/D40</f>
        <v/>
      </c>
      <c r="K40" s="10">
        <f>IF(I40=0,"Dispatched",IF(F40&lt;=30,"0-30",IF(F40&lt;=60,"31-60",IF(F40&lt;=90,"61-90","90+"))))</f>
        <v/>
      </c>
    </row>
    <row r="41">
      <c r="A41" s="24" t="inlineStr">
        <is>
          <t>Hyderabad</t>
        </is>
      </c>
      <c r="B41" s="24" t="inlineStr">
        <is>
          <t>20NBX1.6</t>
        </is>
      </c>
      <c r="C41" s="6" t="n">
        <v>46224</v>
      </c>
      <c r="D41" s="24" t="n">
        <v>237</v>
      </c>
      <c r="E41" s="25" t="n">
        <v>1.42</v>
      </c>
      <c r="F41" s="14">
        <f>AsOf-C41</f>
        <v/>
      </c>
      <c r="G41" s="11">
        <f>SUMIFS($D$2:$D$5000,$A$2:$A$5000,A41,$B$2:$B$5000,B41,$C$2:$C$5000,"&lt;="&amp;C41)</f>
        <v/>
      </c>
      <c r="H41" s="11">
        <f>SUMIFS(Dispatched!$C$2:$C$5000,Dispatched!$A$2:$A$5000,A41,Dispatched!$B$2:$B$5000,B41)</f>
        <v/>
      </c>
      <c r="I41" s="11">
        <f>MAX(0,MIN(D41,G41-H41))</f>
        <v/>
      </c>
      <c r="J41" s="26">
        <f>I41*E41/D41</f>
        <v/>
      </c>
      <c r="K41" s="10">
        <f>IF(I41=0,"Dispatched",IF(F41&lt;=30,"0-30",IF(F41&lt;=60,"31-60",IF(F41&lt;=90,"61-90","90+"))))</f>
        <v/>
      </c>
    </row>
    <row r="42">
      <c r="A42" s="24" t="inlineStr">
        <is>
          <t>Hyderabad</t>
        </is>
      </c>
      <c r="B42" s="24" t="inlineStr">
        <is>
          <t>20NBX1.6</t>
        </is>
      </c>
      <c r="C42" s="6" t="n">
        <v>46225</v>
      </c>
      <c r="D42" s="24" t="n">
        <v>4219</v>
      </c>
      <c r="E42" s="25" t="n">
        <v>25.271</v>
      </c>
      <c r="F42" s="14">
        <f>AsOf-C42</f>
        <v/>
      </c>
      <c r="G42" s="11">
        <f>SUMIFS($D$2:$D$5000,$A$2:$A$5000,A42,$B$2:$B$5000,B42,$C$2:$C$5000,"&lt;="&amp;C42)</f>
        <v/>
      </c>
      <c r="H42" s="11">
        <f>SUMIFS(Dispatched!$C$2:$C$5000,Dispatched!$A$2:$A$5000,A42,Dispatched!$B$2:$B$5000,B42)</f>
        <v/>
      </c>
      <c r="I42" s="11">
        <f>MAX(0,MIN(D42,G42-H42))</f>
        <v/>
      </c>
      <c r="J42" s="26">
        <f>I42*E42/D42</f>
        <v/>
      </c>
      <c r="K42" s="10">
        <f>IF(I42=0,"Dispatched",IF(F42&lt;=30,"0-30",IF(F42&lt;=60,"31-60",IF(F42&lt;=90,"61-90","90+"))))</f>
        <v/>
      </c>
    </row>
    <row r="43">
      <c r="A43" s="24" t="inlineStr">
        <is>
          <t>Hyderabad</t>
        </is>
      </c>
      <c r="B43" s="24" t="inlineStr">
        <is>
          <t>20NBX2</t>
        </is>
      </c>
      <c r="C43" s="6" t="n">
        <v>46184</v>
      </c>
      <c r="D43" s="24" t="n">
        <v>3126</v>
      </c>
      <c r="E43" s="25" t="n">
        <v>23.035</v>
      </c>
      <c r="F43" s="14">
        <f>AsOf-C43</f>
        <v/>
      </c>
      <c r="G43" s="11">
        <f>SUMIFS($D$2:$D$5000,$A$2:$A$5000,A43,$B$2:$B$5000,B43,$C$2:$C$5000,"&lt;="&amp;C43)</f>
        <v/>
      </c>
      <c r="H43" s="11">
        <f>SUMIFS(Dispatched!$C$2:$C$5000,Dispatched!$A$2:$A$5000,A43,Dispatched!$B$2:$B$5000,B43)</f>
        <v/>
      </c>
      <c r="I43" s="11">
        <f>MAX(0,MIN(D43,G43-H43))</f>
        <v/>
      </c>
      <c r="J43" s="26">
        <f>I43*E43/D43</f>
        <v/>
      </c>
      <c r="K43" s="10">
        <f>IF(I43=0,"Dispatched",IF(F43&lt;=30,"0-30",IF(F43&lt;=60,"31-60",IF(F43&lt;=90,"61-90","90+"))))</f>
        <v/>
      </c>
    </row>
    <row r="44">
      <c r="A44" s="24" t="inlineStr">
        <is>
          <t>Hyderabad</t>
        </is>
      </c>
      <c r="B44" s="24" t="inlineStr">
        <is>
          <t>20NBX2</t>
        </is>
      </c>
      <c r="C44" s="6" t="n">
        <v>46224</v>
      </c>
      <c r="D44" s="24" t="n">
        <v>1541</v>
      </c>
      <c r="E44" s="25" t="n">
        <v>11.355</v>
      </c>
      <c r="F44" s="14">
        <f>AsOf-C44</f>
        <v/>
      </c>
      <c r="G44" s="11">
        <f>SUMIFS($D$2:$D$5000,$A$2:$A$5000,A44,$B$2:$B$5000,B44,$C$2:$C$5000,"&lt;="&amp;C44)</f>
        <v/>
      </c>
      <c r="H44" s="11">
        <f>SUMIFS(Dispatched!$C$2:$C$5000,Dispatched!$A$2:$A$5000,A44,Dispatched!$B$2:$B$5000,B44)</f>
        <v/>
      </c>
      <c r="I44" s="11">
        <f>MAX(0,MIN(D44,G44-H44))</f>
        <v/>
      </c>
      <c r="J44" s="26">
        <f>I44*E44/D44</f>
        <v/>
      </c>
      <c r="K44" s="10">
        <f>IF(I44=0,"Dispatched",IF(F44&lt;=30,"0-30",IF(F44&lt;=60,"31-60",IF(F44&lt;=90,"61-90","90+"))))</f>
        <v/>
      </c>
    </row>
    <row r="45">
      <c r="A45" s="24" t="inlineStr">
        <is>
          <t>Hyderabad</t>
        </is>
      </c>
      <c r="B45" s="24" t="inlineStr">
        <is>
          <t>20NBX2</t>
        </is>
      </c>
      <c r="C45" s="6" t="n">
        <v>46225</v>
      </c>
      <c r="D45" s="24" t="n">
        <v>3654</v>
      </c>
      <c r="E45" s="25" t="n">
        <v>26.926</v>
      </c>
      <c r="F45" s="14">
        <f>AsOf-C45</f>
        <v/>
      </c>
      <c r="G45" s="11">
        <f>SUMIFS($D$2:$D$5000,$A$2:$A$5000,A45,$B$2:$B$5000,B45,$C$2:$C$5000,"&lt;="&amp;C45)</f>
        <v/>
      </c>
      <c r="H45" s="11">
        <f>SUMIFS(Dispatched!$C$2:$C$5000,Dispatched!$A$2:$A$5000,A45,Dispatched!$B$2:$B$5000,B45)</f>
        <v/>
      </c>
      <c r="I45" s="11">
        <f>MAX(0,MIN(D45,G45-H45))</f>
        <v/>
      </c>
      <c r="J45" s="26">
        <f>I45*E45/D45</f>
        <v/>
      </c>
      <c r="K45" s="10">
        <f>IF(I45=0,"Dispatched",IF(F45&lt;=30,"0-30",IF(F45&lt;=60,"31-60",IF(F45&lt;=90,"61-90","90+"))))</f>
        <v/>
      </c>
    </row>
    <row r="46">
      <c r="A46" s="24" t="inlineStr">
        <is>
          <t>Hyderabad</t>
        </is>
      </c>
      <c r="B46" s="24" t="inlineStr">
        <is>
          <t>20NBX2</t>
        </is>
      </c>
      <c r="C46" s="6" t="n">
        <v>46283</v>
      </c>
      <c r="D46" s="24" t="n">
        <v>2066</v>
      </c>
      <c r="E46" s="25" t="n">
        <v>15.224</v>
      </c>
      <c r="F46" s="14">
        <f>AsOf-C46</f>
        <v/>
      </c>
      <c r="G46" s="11">
        <f>SUMIFS($D$2:$D$5000,$A$2:$A$5000,A46,$B$2:$B$5000,B46,$C$2:$C$5000,"&lt;="&amp;C46)</f>
        <v/>
      </c>
      <c r="H46" s="11">
        <f>SUMIFS(Dispatched!$C$2:$C$5000,Dispatched!$A$2:$A$5000,A46,Dispatched!$B$2:$B$5000,B46)</f>
        <v/>
      </c>
      <c r="I46" s="11">
        <f>MAX(0,MIN(D46,G46-H46))</f>
        <v/>
      </c>
      <c r="J46" s="26">
        <f>I46*E46/D46</f>
        <v/>
      </c>
      <c r="K46" s="10">
        <f>IF(I46=0,"Dispatched",IF(F46&lt;=30,"0-30",IF(F46&lt;=60,"31-60",IF(F46&lt;=90,"61-90","90+"))))</f>
        <v/>
      </c>
    </row>
    <row r="47">
      <c r="A47" s="24" t="inlineStr">
        <is>
          <t>Hyderabad</t>
        </is>
      </c>
      <c r="B47" s="24" t="inlineStr">
        <is>
          <t>20NBX2.5</t>
        </is>
      </c>
      <c r="C47" s="6" t="n">
        <v>46184</v>
      </c>
      <c r="D47" s="24" t="n">
        <v>320</v>
      </c>
      <c r="E47" s="25" t="n">
        <v>2.888</v>
      </c>
      <c r="F47" s="14">
        <f>AsOf-C47</f>
        <v/>
      </c>
      <c r="G47" s="11">
        <f>SUMIFS($D$2:$D$5000,$A$2:$A$5000,A47,$B$2:$B$5000,B47,$C$2:$C$5000,"&lt;="&amp;C47)</f>
        <v/>
      </c>
      <c r="H47" s="11">
        <f>SUMIFS(Dispatched!$C$2:$C$5000,Dispatched!$A$2:$A$5000,A47,Dispatched!$B$2:$B$5000,B47)</f>
        <v/>
      </c>
      <c r="I47" s="11">
        <f>MAX(0,MIN(D47,G47-H47))</f>
        <v/>
      </c>
      <c r="J47" s="26">
        <f>I47*E47/D47</f>
        <v/>
      </c>
      <c r="K47" s="10">
        <f>IF(I47=0,"Dispatched",IF(F47&lt;=30,"0-30",IF(F47&lt;=60,"31-60",IF(F47&lt;=90,"61-90","90+"))))</f>
        <v/>
      </c>
    </row>
    <row r="48">
      <c r="A48" s="24" t="inlineStr">
        <is>
          <t>Hyderabad</t>
        </is>
      </c>
      <c r="B48" s="24" t="inlineStr">
        <is>
          <t>20NBX2.5</t>
        </is>
      </c>
      <c r="C48" s="6" t="n">
        <v>46185</v>
      </c>
      <c r="D48" s="24" t="n">
        <v>1154</v>
      </c>
      <c r="E48" s="25" t="n">
        <v>10.416</v>
      </c>
      <c r="F48" s="14">
        <f>AsOf-C48</f>
        <v/>
      </c>
      <c r="G48" s="11">
        <f>SUMIFS($D$2:$D$5000,$A$2:$A$5000,A48,$B$2:$B$5000,B48,$C$2:$C$5000,"&lt;="&amp;C48)</f>
        <v/>
      </c>
      <c r="H48" s="11">
        <f>SUMIFS(Dispatched!$C$2:$C$5000,Dispatched!$A$2:$A$5000,A48,Dispatched!$B$2:$B$5000,B48)</f>
        <v/>
      </c>
      <c r="I48" s="11">
        <f>MAX(0,MIN(D48,G48-H48))</f>
        <v/>
      </c>
      <c r="J48" s="26">
        <f>I48*E48/D48</f>
        <v/>
      </c>
      <c r="K48" s="10">
        <f>IF(I48=0,"Dispatched",IF(F48&lt;=30,"0-30",IF(F48&lt;=60,"31-60",IF(F48&lt;=90,"61-90","90+"))))</f>
        <v/>
      </c>
    </row>
    <row r="49">
      <c r="A49" s="24" t="inlineStr">
        <is>
          <t>Hyderabad</t>
        </is>
      </c>
      <c r="B49" s="24" t="inlineStr">
        <is>
          <t>20NBX2.5</t>
        </is>
      </c>
      <c r="C49" s="6" t="n">
        <v>46225</v>
      </c>
      <c r="D49" s="24" t="n">
        <v>432</v>
      </c>
      <c r="E49" s="25" t="n">
        <v>3.899</v>
      </c>
      <c r="F49" s="14">
        <f>AsOf-C49</f>
        <v/>
      </c>
      <c r="G49" s="11">
        <f>SUMIFS($D$2:$D$5000,$A$2:$A$5000,A49,$B$2:$B$5000,B49,$C$2:$C$5000,"&lt;="&amp;C49)</f>
        <v/>
      </c>
      <c r="H49" s="11">
        <f>SUMIFS(Dispatched!$C$2:$C$5000,Dispatched!$A$2:$A$5000,A49,Dispatched!$B$2:$B$5000,B49)</f>
        <v/>
      </c>
      <c r="I49" s="11">
        <f>MAX(0,MIN(D49,G49-H49))</f>
        <v/>
      </c>
      <c r="J49" s="26">
        <f>I49*E49/D49</f>
        <v/>
      </c>
      <c r="K49" s="10">
        <f>IF(I49=0,"Dispatched",IF(F49&lt;=30,"0-30",IF(F49&lt;=60,"31-60",IF(F49&lt;=90,"61-90","90+"))))</f>
        <v/>
      </c>
    </row>
    <row r="50">
      <c r="A50" s="24" t="inlineStr">
        <is>
          <t>Hyderabad</t>
        </is>
      </c>
      <c r="B50" s="24" t="inlineStr">
        <is>
          <t>20NBX2.8</t>
        </is>
      </c>
      <c r="C50" s="6" t="n">
        <v>46188</v>
      </c>
      <c r="D50" s="24" t="n">
        <v>2465</v>
      </c>
      <c r="E50" s="25" t="n">
        <v>24.613</v>
      </c>
      <c r="F50" s="14">
        <f>AsOf-C50</f>
        <v/>
      </c>
      <c r="G50" s="11">
        <f>SUMIFS($D$2:$D$5000,$A$2:$A$5000,A50,$B$2:$B$5000,B50,$C$2:$C$5000,"&lt;="&amp;C50)</f>
        <v/>
      </c>
      <c r="H50" s="11">
        <f>SUMIFS(Dispatched!$C$2:$C$5000,Dispatched!$A$2:$A$5000,A50,Dispatched!$B$2:$B$5000,B50)</f>
        <v/>
      </c>
      <c r="I50" s="11">
        <f>MAX(0,MIN(D50,G50-H50))</f>
        <v/>
      </c>
      <c r="J50" s="26">
        <f>I50*E50/D50</f>
        <v/>
      </c>
      <c r="K50" s="10">
        <f>IF(I50=0,"Dispatched",IF(F50&lt;=30,"0-30",IF(F50&lt;=60,"31-60",IF(F50&lt;=90,"61-90","90+"))))</f>
        <v/>
      </c>
    </row>
    <row r="51">
      <c r="A51" s="24" t="inlineStr">
        <is>
          <t>Hyderabad</t>
        </is>
      </c>
      <c r="B51" s="24" t="inlineStr">
        <is>
          <t>20X20X1.2</t>
        </is>
      </c>
      <c r="C51" s="6" t="n">
        <v>46279</v>
      </c>
      <c r="D51" s="24" t="n">
        <v>1300</v>
      </c>
      <c r="E51" s="25" t="n">
        <v>5.525</v>
      </c>
      <c r="F51" s="14">
        <f>AsOf-C51</f>
        <v/>
      </c>
      <c r="G51" s="11">
        <f>SUMIFS($D$2:$D$5000,$A$2:$A$5000,A51,$B$2:$B$5000,B51,$C$2:$C$5000,"&lt;="&amp;C51)</f>
        <v/>
      </c>
      <c r="H51" s="11">
        <f>SUMIFS(Dispatched!$C$2:$C$5000,Dispatched!$A$2:$A$5000,A51,Dispatched!$B$2:$B$5000,B51)</f>
        <v/>
      </c>
      <c r="I51" s="11">
        <f>MAX(0,MIN(D51,G51-H51))</f>
        <v/>
      </c>
      <c r="J51" s="26">
        <f>I51*E51/D51</f>
        <v/>
      </c>
      <c r="K51" s="10">
        <f>IF(I51=0,"Dispatched",IF(F51&lt;=30,"0-30",IF(F51&lt;=60,"31-60",IF(F51&lt;=90,"61-90","90+"))))</f>
        <v/>
      </c>
    </row>
    <row r="52">
      <c r="A52" s="24" t="inlineStr">
        <is>
          <t>Hyderabad</t>
        </is>
      </c>
      <c r="B52" s="24" t="inlineStr">
        <is>
          <t>20X20X1.2</t>
        </is>
      </c>
      <c r="C52" s="6" t="n">
        <v>46280</v>
      </c>
      <c r="D52" s="24" t="n">
        <v>3805</v>
      </c>
      <c r="E52" s="25" t="n">
        <v>16.172</v>
      </c>
      <c r="F52" s="14">
        <f>AsOf-C52</f>
        <v/>
      </c>
      <c r="G52" s="11">
        <f>SUMIFS($D$2:$D$5000,$A$2:$A$5000,A52,$B$2:$B$5000,B52,$C$2:$C$5000,"&lt;="&amp;C52)</f>
        <v/>
      </c>
      <c r="H52" s="11">
        <f>SUMIFS(Dispatched!$C$2:$C$5000,Dispatched!$A$2:$A$5000,A52,Dispatched!$B$2:$B$5000,B52)</f>
        <v/>
      </c>
      <c r="I52" s="11">
        <f>MAX(0,MIN(D52,G52-H52))</f>
        <v/>
      </c>
      <c r="J52" s="26">
        <f>I52*E52/D52</f>
        <v/>
      </c>
      <c r="K52" s="10">
        <f>IF(I52=0,"Dispatched",IF(F52&lt;=30,"0-30",IF(F52&lt;=60,"31-60",IF(F52&lt;=90,"61-90","90+"))))</f>
        <v/>
      </c>
    </row>
    <row r="53">
      <c r="A53" s="24" t="inlineStr">
        <is>
          <t>Hyderabad</t>
        </is>
      </c>
      <c r="B53" s="24" t="inlineStr">
        <is>
          <t>20X20X1.6</t>
        </is>
      </c>
      <c r="C53" s="6" t="n">
        <v>46181</v>
      </c>
      <c r="D53" s="24" t="n">
        <v>283</v>
      </c>
      <c r="E53" s="25" t="n">
        <v>1.57</v>
      </c>
      <c r="F53" s="14">
        <f>AsOf-C53</f>
        <v/>
      </c>
      <c r="G53" s="11">
        <f>SUMIFS($D$2:$D$5000,$A$2:$A$5000,A53,$B$2:$B$5000,B53,$C$2:$C$5000,"&lt;="&amp;C53)</f>
        <v/>
      </c>
      <c r="H53" s="11">
        <f>SUMIFS(Dispatched!$C$2:$C$5000,Dispatched!$A$2:$A$5000,A53,Dispatched!$B$2:$B$5000,B53)</f>
        <v/>
      </c>
      <c r="I53" s="11">
        <f>MAX(0,MIN(D53,G53-H53))</f>
        <v/>
      </c>
      <c r="J53" s="26">
        <f>I53*E53/D53</f>
        <v/>
      </c>
      <c r="K53" s="10">
        <f>IF(I53=0,"Dispatched",IF(F53&lt;=30,"0-30",IF(F53&lt;=60,"31-60",IF(F53&lt;=90,"61-90","90+"))))</f>
        <v/>
      </c>
    </row>
    <row r="54">
      <c r="A54" s="24" t="inlineStr">
        <is>
          <t>Hyderabad</t>
        </is>
      </c>
      <c r="B54" s="24" t="inlineStr">
        <is>
          <t>20X20X1.6</t>
        </is>
      </c>
      <c r="C54" s="6" t="n">
        <v>46182</v>
      </c>
      <c r="D54" s="24" t="n">
        <v>4391</v>
      </c>
      <c r="E54" s="25" t="n">
        <v>24.355</v>
      </c>
      <c r="F54" s="14">
        <f>AsOf-C54</f>
        <v/>
      </c>
      <c r="G54" s="11">
        <f>SUMIFS($D$2:$D$5000,$A$2:$A$5000,A54,$B$2:$B$5000,B54,$C$2:$C$5000,"&lt;="&amp;C54)</f>
        <v/>
      </c>
      <c r="H54" s="11">
        <f>SUMIFS(Dispatched!$C$2:$C$5000,Dispatched!$A$2:$A$5000,A54,Dispatched!$B$2:$B$5000,B54)</f>
        <v/>
      </c>
      <c r="I54" s="11">
        <f>MAX(0,MIN(D54,G54-H54))</f>
        <v/>
      </c>
      <c r="J54" s="26">
        <f>I54*E54/D54</f>
        <v/>
      </c>
      <c r="K54" s="10">
        <f>IF(I54=0,"Dispatched",IF(F54&lt;=30,"0-30",IF(F54&lt;=60,"31-60",IF(F54&lt;=90,"61-90","90+"))))</f>
        <v/>
      </c>
    </row>
    <row r="55">
      <c r="A55" s="24" t="inlineStr">
        <is>
          <t>Hyderabad</t>
        </is>
      </c>
      <c r="B55" s="24" t="inlineStr">
        <is>
          <t>20X20X1.6</t>
        </is>
      </c>
      <c r="C55" s="6" t="n">
        <v>46184</v>
      </c>
      <c r="D55" s="24" t="n">
        <v>344</v>
      </c>
      <c r="E55" s="25" t="n">
        <v>1.908</v>
      </c>
      <c r="F55" s="14">
        <f>AsOf-C55</f>
        <v/>
      </c>
      <c r="G55" s="11">
        <f>SUMIFS($D$2:$D$5000,$A$2:$A$5000,A55,$B$2:$B$5000,B55,$C$2:$C$5000,"&lt;="&amp;C55)</f>
        <v/>
      </c>
      <c r="H55" s="11">
        <f>SUMIFS(Dispatched!$C$2:$C$5000,Dispatched!$A$2:$A$5000,A55,Dispatched!$B$2:$B$5000,B55)</f>
        <v/>
      </c>
      <c r="I55" s="11">
        <f>MAX(0,MIN(D55,G55-H55))</f>
        <v/>
      </c>
      <c r="J55" s="26">
        <f>I55*E55/D55</f>
        <v/>
      </c>
      <c r="K55" s="10">
        <f>IF(I55=0,"Dispatched",IF(F55&lt;=30,"0-30",IF(F55&lt;=60,"31-60",IF(F55&lt;=90,"61-90","90+"))))</f>
        <v/>
      </c>
    </row>
    <row r="56">
      <c r="A56" s="24" t="inlineStr">
        <is>
          <t>Hyderabad</t>
        </is>
      </c>
      <c r="B56" s="24" t="inlineStr">
        <is>
          <t>20X20X1.6</t>
        </is>
      </c>
      <c r="C56" s="6" t="n">
        <v>46223</v>
      </c>
      <c r="D56" s="24" t="n">
        <v>1442</v>
      </c>
      <c r="E56" s="25" t="n">
        <v>7.998</v>
      </c>
      <c r="F56" s="14">
        <f>AsOf-C56</f>
        <v/>
      </c>
      <c r="G56" s="11">
        <f>SUMIFS($D$2:$D$5000,$A$2:$A$5000,A56,$B$2:$B$5000,B56,$C$2:$C$5000,"&lt;="&amp;C56)</f>
        <v/>
      </c>
      <c r="H56" s="11">
        <f>SUMIFS(Dispatched!$C$2:$C$5000,Dispatched!$A$2:$A$5000,A56,Dispatched!$B$2:$B$5000,B56)</f>
        <v/>
      </c>
      <c r="I56" s="11">
        <f>MAX(0,MIN(D56,G56-H56))</f>
        <v/>
      </c>
      <c r="J56" s="26">
        <f>I56*E56/D56</f>
        <v/>
      </c>
      <c r="K56" s="10">
        <f>IF(I56=0,"Dispatched",IF(F56&lt;=30,"0-30",IF(F56&lt;=60,"31-60",IF(F56&lt;=90,"61-90","90+"))))</f>
        <v/>
      </c>
    </row>
    <row r="57">
      <c r="A57" s="24" t="inlineStr">
        <is>
          <t>Hyderabad</t>
        </is>
      </c>
      <c r="B57" s="24" t="inlineStr">
        <is>
          <t>20X20X1.6</t>
        </is>
      </c>
      <c r="C57" s="6" t="n">
        <v>46224</v>
      </c>
      <c r="D57" s="24" t="n">
        <v>4062</v>
      </c>
      <c r="E57" s="25" t="n">
        <v>22.53</v>
      </c>
      <c r="F57" s="14">
        <f>AsOf-C57</f>
        <v/>
      </c>
      <c r="G57" s="11">
        <f>SUMIFS($D$2:$D$5000,$A$2:$A$5000,A57,$B$2:$B$5000,B57,$C$2:$C$5000,"&lt;="&amp;C57)</f>
        <v/>
      </c>
      <c r="H57" s="11">
        <f>SUMIFS(Dispatched!$C$2:$C$5000,Dispatched!$A$2:$A$5000,A57,Dispatched!$B$2:$B$5000,B57)</f>
        <v/>
      </c>
      <c r="I57" s="11">
        <f>MAX(0,MIN(D57,G57-H57))</f>
        <v/>
      </c>
      <c r="J57" s="26">
        <f>I57*E57/D57</f>
        <v/>
      </c>
      <c r="K57" s="10">
        <f>IF(I57=0,"Dispatched",IF(F57&lt;=30,"0-30",IF(F57&lt;=60,"31-60",IF(F57&lt;=90,"61-90","90+"))))</f>
        <v/>
      </c>
    </row>
    <row r="58">
      <c r="A58" s="24" t="inlineStr">
        <is>
          <t>Hyderabad</t>
        </is>
      </c>
      <c r="B58" s="24" t="inlineStr">
        <is>
          <t>20X20X2</t>
        </is>
      </c>
      <c r="C58" s="6" t="n">
        <v>46179</v>
      </c>
      <c r="D58" s="24" t="n">
        <v>173</v>
      </c>
      <c r="E58" s="25" t="n">
        <v>1.173</v>
      </c>
      <c r="F58" s="14">
        <f>AsOf-C58</f>
        <v/>
      </c>
      <c r="G58" s="11">
        <f>SUMIFS($D$2:$D$5000,$A$2:$A$5000,A58,$B$2:$B$5000,B58,$C$2:$C$5000,"&lt;="&amp;C58)</f>
        <v/>
      </c>
      <c r="H58" s="11">
        <f>SUMIFS(Dispatched!$C$2:$C$5000,Dispatched!$A$2:$A$5000,A58,Dispatched!$B$2:$B$5000,B58)</f>
        <v/>
      </c>
      <c r="I58" s="11">
        <f>MAX(0,MIN(D58,G58-H58))</f>
        <v/>
      </c>
      <c r="J58" s="26">
        <f>I58*E58/D58</f>
        <v/>
      </c>
      <c r="K58" s="10">
        <f>IF(I58=0,"Dispatched",IF(F58&lt;=30,"0-30",IF(F58&lt;=60,"31-60",IF(F58&lt;=90,"61-90","90+"))))</f>
        <v/>
      </c>
    </row>
    <row r="59">
      <c r="A59" s="24" t="inlineStr">
        <is>
          <t>Hyderabad</t>
        </is>
      </c>
      <c r="B59" s="24" t="inlineStr">
        <is>
          <t>20X20X2</t>
        </is>
      </c>
      <c r="C59" s="6" t="n">
        <v>46181</v>
      </c>
      <c r="D59" s="24" t="n">
        <v>1669</v>
      </c>
      <c r="E59" s="25" t="n">
        <v>11.32</v>
      </c>
      <c r="F59" s="14">
        <f>AsOf-C59</f>
        <v/>
      </c>
      <c r="G59" s="11">
        <f>SUMIFS($D$2:$D$5000,$A$2:$A$5000,A59,$B$2:$B$5000,B59,$C$2:$C$5000,"&lt;="&amp;C59)</f>
        <v/>
      </c>
      <c r="H59" s="11">
        <f>SUMIFS(Dispatched!$C$2:$C$5000,Dispatched!$A$2:$A$5000,A59,Dispatched!$B$2:$B$5000,B59)</f>
        <v/>
      </c>
      <c r="I59" s="11">
        <f>MAX(0,MIN(D59,G59-H59))</f>
        <v/>
      </c>
      <c r="J59" s="26">
        <f>I59*E59/D59</f>
        <v/>
      </c>
      <c r="K59" s="10">
        <f>IF(I59=0,"Dispatched",IF(F59&lt;=30,"0-30",IF(F59&lt;=60,"31-60",IF(F59&lt;=90,"61-90","90+"))))</f>
        <v/>
      </c>
    </row>
    <row r="60">
      <c r="A60" s="24" t="inlineStr">
        <is>
          <t>Hyderabad</t>
        </is>
      </c>
      <c r="B60" s="24" t="inlineStr">
        <is>
          <t>20X20X2</t>
        </is>
      </c>
      <c r="C60" s="6" t="n">
        <v>46182</v>
      </c>
      <c r="D60" s="24" t="n">
        <v>1673</v>
      </c>
      <c r="E60" s="25" t="n">
        <v>11.347</v>
      </c>
      <c r="F60" s="14">
        <f>AsOf-C60</f>
        <v/>
      </c>
      <c r="G60" s="11">
        <f>SUMIFS($D$2:$D$5000,$A$2:$A$5000,A60,$B$2:$B$5000,B60,$C$2:$C$5000,"&lt;="&amp;C60)</f>
        <v/>
      </c>
      <c r="H60" s="11">
        <f>SUMIFS(Dispatched!$C$2:$C$5000,Dispatched!$A$2:$A$5000,A60,Dispatched!$B$2:$B$5000,B60)</f>
        <v/>
      </c>
      <c r="I60" s="11">
        <f>MAX(0,MIN(D60,G60-H60))</f>
        <v/>
      </c>
      <c r="J60" s="26">
        <f>I60*E60/D60</f>
        <v/>
      </c>
      <c r="K60" s="10">
        <f>IF(I60=0,"Dispatched",IF(F60&lt;=30,"0-30",IF(F60&lt;=60,"31-60",IF(F60&lt;=90,"61-90","90+"))))</f>
        <v/>
      </c>
    </row>
    <row r="61">
      <c r="A61" s="24" t="inlineStr">
        <is>
          <t>Hyderabad</t>
        </is>
      </c>
      <c r="B61" s="24" t="inlineStr">
        <is>
          <t>20X20X2</t>
        </is>
      </c>
      <c r="C61" s="6" t="n">
        <v>46224</v>
      </c>
      <c r="D61" s="24" t="n">
        <v>4075</v>
      </c>
      <c r="E61" s="25" t="n">
        <v>27.638</v>
      </c>
      <c r="F61" s="14">
        <f>AsOf-C61</f>
        <v/>
      </c>
      <c r="G61" s="11">
        <f>SUMIFS($D$2:$D$5000,$A$2:$A$5000,A61,$B$2:$B$5000,B61,$C$2:$C$5000,"&lt;="&amp;C61)</f>
        <v/>
      </c>
      <c r="H61" s="11">
        <f>SUMIFS(Dispatched!$C$2:$C$5000,Dispatched!$A$2:$A$5000,A61,Dispatched!$B$2:$B$5000,B61)</f>
        <v/>
      </c>
      <c r="I61" s="11">
        <f>MAX(0,MIN(D61,G61-H61))</f>
        <v/>
      </c>
      <c r="J61" s="26">
        <f>I61*E61/D61</f>
        <v/>
      </c>
      <c r="K61" s="10">
        <f>IF(I61=0,"Dispatched",IF(F61&lt;=30,"0-30",IF(F61&lt;=60,"31-60",IF(F61&lt;=90,"61-90","90+"))))</f>
        <v/>
      </c>
    </row>
    <row r="62">
      <c r="A62" s="24" t="inlineStr">
        <is>
          <t>Hyderabad</t>
        </is>
      </c>
      <c r="B62" s="24" t="inlineStr">
        <is>
          <t>20X20X2</t>
        </is>
      </c>
      <c r="C62" s="6" t="n">
        <v>46280</v>
      </c>
      <c r="D62" s="24" t="n">
        <v>2953</v>
      </c>
      <c r="E62" s="25" t="n">
        <v>20.028</v>
      </c>
      <c r="F62" s="14">
        <f>AsOf-C62</f>
        <v/>
      </c>
      <c r="G62" s="11">
        <f>SUMIFS($D$2:$D$5000,$A$2:$A$5000,A62,$B$2:$B$5000,B62,$C$2:$C$5000,"&lt;="&amp;C62)</f>
        <v/>
      </c>
      <c r="H62" s="11">
        <f>SUMIFS(Dispatched!$C$2:$C$5000,Dispatched!$A$2:$A$5000,A62,Dispatched!$B$2:$B$5000,B62)</f>
        <v/>
      </c>
      <c r="I62" s="11">
        <f>MAX(0,MIN(D62,G62-H62))</f>
        <v/>
      </c>
      <c r="J62" s="26">
        <f>I62*E62/D62</f>
        <v/>
      </c>
      <c r="K62" s="10">
        <f>IF(I62=0,"Dispatched",IF(F62&lt;=30,"0-30",IF(F62&lt;=60,"31-60",IF(F62&lt;=90,"61-90","90+"))))</f>
        <v/>
      </c>
    </row>
    <row r="63">
      <c r="A63" s="24" t="inlineStr">
        <is>
          <t>Hyderabad</t>
        </is>
      </c>
      <c r="B63" s="24" t="inlineStr">
        <is>
          <t>25NBX1.6</t>
        </is>
      </c>
      <c r="C63" s="6" t="n">
        <v>46204</v>
      </c>
      <c r="D63" s="24" t="n">
        <v>3098</v>
      </c>
      <c r="E63" s="25" t="n">
        <v>23.544</v>
      </c>
      <c r="F63" s="14">
        <f>AsOf-C63</f>
        <v/>
      </c>
      <c r="G63" s="11">
        <f>SUMIFS($D$2:$D$5000,$A$2:$A$5000,A63,$B$2:$B$5000,B63,$C$2:$C$5000,"&lt;="&amp;C63)</f>
        <v/>
      </c>
      <c r="H63" s="11">
        <f>SUMIFS(Dispatched!$C$2:$C$5000,Dispatched!$A$2:$A$5000,A63,Dispatched!$B$2:$B$5000,B63)</f>
        <v/>
      </c>
      <c r="I63" s="11">
        <f>MAX(0,MIN(D63,G63-H63))</f>
        <v/>
      </c>
      <c r="J63" s="26">
        <f>I63*E63/D63</f>
        <v/>
      </c>
      <c r="K63" s="10">
        <f>IF(I63=0,"Dispatched",IF(F63&lt;=30,"0-30",IF(F63&lt;=60,"31-60",IF(F63&lt;=90,"61-90","90+"))))</f>
        <v/>
      </c>
    </row>
    <row r="64">
      <c r="A64" s="24" t="inlineStr">
        <is>
          <t>Hyderabad</t>
        </is>
      </c>
      <c r="B64" s="24" t="inlineStr">
        <is>
          <t>25NBX1.6</t>
        </is>
      </c>
      <c r="C64" s="6" t="n">
        <v>46255</v>
      </c>
      <c r="D64" s="24" t="n">
        <v>1461</v>
      </c>
      <c r="E64" s="25" t="n">
        <v>11.103</v>
      </c>
      <c r="F64" s="14">
        <f>AsOf-C64</f>
        <v/>
      </c>
      <c r="G64" s="11">
        <f>SUMIFS($D$2:$D$5000,$A$2:$A$5000,A64,$B$2:$B$5000,B64,$C$2:$C$5000,"&lt;="&amp;C64)</f>
        <v/>
      </c>
      <c r="H64" s="11">
        <f>SUMIFS(Dispatched!$C$2:$C$5000,Dispatched!$A$2:$A$5000,A64,Dispatched!$B$2:$B$5000,B64)</f>
        <v/>
      </c>
      <c r="I64" s="11">
        <f>MAX(0,MIN(D64,G64-H64))</f>
        <v/>
      </c>
      <c r="J64" s="26">
        <f>I64*E64/D64</f>
        <v/>
      </c>
      <c r="K64" s="10">
        <f>IF(I64=0,"Dispatched",IF(F64&lt;=30,"0-30",IF(F64&lt;=60,"31-60",IF(F64&lt;=90,"61-90","90+"))))</f>
        <v/>
      </c>
    </row>
    <row r="65">
      <c r="A65" s="24" t="inlineStr">
        <is>
          <t>Hyderabad</t>
        </is>
      </c>
      <c r="B65" s="24" t="inlineStr">
        <is>
          <t>25NBX1.6</t>
        </is>
      </c>
      <c r="C65" s="6" t="n">
        <v>46256</v>
      </c>
      <c r="D65" s="24" t="n">
        <v>1701</v>
      </c>
      <c r="E65" s="25" t="n">
        <v>12.927</v>
      </c>
      <c r="F65" s="14">
        <f>AsOf-C65</f>
        <v/>
      </c>
      <c r="G65" s="11">
        <f>SUMIFS($D$2:$D$5000,$A$2:$A$5000,A65,$B$2:$B$5000,B65,$C$2:$C$5000,"&lt;="&amp;C65)</f>
        <v/>
      </c>
      <c r="H65" s="11">
        <f>SUMIFS(Dispatched!$C$2:$C$5000,Dispatched!$A$2:$A$5000,A65,Dispatched!$B$2:$B$5000,B65)</f>
        <v/>
      </c>
      <c r="I65" s="11">
        <f>MAX(0,MIN(D65,G65-H65))</f>
        <v/>
      </c>
      <c r="J65" s="26">
        <f>I65*E65/D65</f>
        <v/>
      </c>
      <c r="K65" s="10">
        <f>IF(I65=0,"Dispatched",IF(F65&lt;=30,"0-30",IF(F65&lt;=60,"31-60",IF(F65&lt;=90,"61-90","90+"))))</f>
        <v/>
      </c>
    </row>
    <row r="66">
      <c r="A66" s="24" t="inlineStr">
        <is>
          <t>Hyderabad</t>
        </is>
      </c>
      <c r="B66" s="24" t="inlineStr">
        <is>
          <t>25NBX2</t>
        </is>
      </c>
      <c r="C66" s="6" t="n">
        <v>46204</v>
      </c>
      <c r="D66" s="24" t="n">
        <v>1794</v>
      </c>
      <c r="E66" s="25" t="n">
        <v>16.83</v>
      </c>
      <c r="F66" s="14">
        <f>AsOf-C66</f>
        <v/>
      </c>
      <c r="G66" s="11">
        <f>SUMIFS($D$2:$D$5000,$A$2:$A$5000,A66,$B$2:$B$5000,B66,$C$2:$C$5000,"&lt;="&amp;C66)</f>
        <v/>
      </c>
      <c r="H66" s="11">
        <f>SUMIFS(Dispatched!$C$2:$C$5000,Dispatched!$A$2:$A$5000,A66,Dispatched!$B$2:$B$5000,B66)</f>
        <v/>
      </c>
      <c r="I66" s="11">
        <f>MAX(0,MIN(D66,G66-H66))</f>
        <v/>
      </c>
      <c r="J66" s="26">
        <f>I66*E66/D66</f>
        <v/>
      </c>
      <c r="K66" s="10">
        <f>IF(I66=0,"Dispatched",IF(F66&lt;=30,"0-30",IF(F66&lt;=60,"31-60",IF(F66&lt;=90,"61-90","90+"))))</f>
        <v/>
      </c>
    </row>
    <row r="67">
      <c r="A67" s="24" t="inlineStr">
        <is>
          <t>Hyderabad</t>
        </is>
      </c>
      <c r="B67" s="24" t="inlineStr">
        <is>
          <t>25NBX2</t>
        </is>
      </c>
      <c r="C67" s="6" t="n">
        <v>46205</v>
      </c>
      <c r="D67" s="24" t="n">
        <v>1081</v>
      </c>
      <c r="E67" s="25" t="n">
        <v>10.141</v>
      </c>
      <c r="F67" s="14">
        <f>AsOf-C67</f>
        <v/>
      </c>
      <c r="G67" s="11">
        <f>SUMIFS($D$2:$D$5000,$A$2:$A$5000,A67,$B$2:$B$5000,B67,$C$2:$C$5000,"&lt;="&amp;C67)</f>
        <v/>
      </c>
      <c r="H67" s="11">
        <f>SUMIFS(Dispatched!$C$2:$C$5000,Dispatched!$A$2:$A$5000,A67,Dispatched!$B$2:$B$5000,B67)</f>
        <v/>
      </c>
      <c r="I67" s="11">
        <f>MAX(0,MIN(D67,G67-H67))</f>
        <v/>
      </c>
      <c r="J67" s="26">
        <f>I67*E67/D67</f>
        <v/>
      </c>
      <c r="K67" s="10">
        <f>IF(I67=0,"Dispatched",IF(F67&lt;=30,"0-30",IF(F67&lt;=60,"31-60",IF(F67&lt;=90,"61-90","90+"))))</f>
        <v/>
      </c>
    </row>
    <row r="68">
      <c r="A68" s="24" t="inlineStr">
        <is>
          <t>Hyderabad</t>
        </is>
      </c>
      <c r="B68" s="24" t="inlineStr">
        <is>
          <t>25NBX2</t>
        </is>
      </c>
      <c r="C68" s="6" t="n">
        <v>46256</v>
      </c>
      <c r="D68" s="24" t="n">
        <v>3106</v>
      </c>
      <c r="E68" s="25" t="n">
        <v>29.138</v>
      </c>
      <c r="F68" s="14">
        <f>AsOf-C68</f>
        <v/>
      </c>
      <c r="G68" s="11">
        <f>SUMIFS($D$2:$D$5000,$A$2:$A$5000,A68,$B$2:$B$5000,B68,$C$2:$C$5000,"&lt;="&amp;C68)</f>
        <v/>
      </c>
      <c r="H68" s="11">
        <f>SUMIFS(Dispatched!$C$2:$C$5000,Dispatched!$A$2:$A$5000,A68,Dispatched!$B$2:$B$5000,B68)</f>
        <v/>
      </c>
      <c r="I68" s="11">
        <f>MAX(0,MIN(D68,G68-H68))</f>
        <v/>
      </c>
      <c r="J68" s="26">
        <f>I68*E68/D68</f>
        <v/>
      </c>
      <c r="K68" s="10">
        <f>IF(I68=0,"Dispatched",IF(F68&lt;=30,"0-30",IF(F68&lt;=60,"31-60",IF(F68&lt;=90,"61-90","90+"))))</f>
        <v/>
      </c>
    </row>
    <row r="69">
      <c r="A69" s="24" t="inlineStr">
        <is>
          <t>Hyderabad</t>
        </is>
      </c>
      <c r="B69" s="24" t="inlineStr">
        <is>
          <t>25NBX2.5</t>
        </is>
      </c>
      <c r="C69" s="6" t="n">
        <v>46205</v>
      </c>
      <c r="D69" s="24" t="n">
        <v>2197</v>
      </c>
      <c r="E69" s="25" t="n">
        <v>25.357</v>
      </c>
      <c r="F69" s="14">
        <f>AsOf-C69</f>
        <v/>
      </c>
      <c r="G69" s="11">
        <f>SUMIFS($D$2:$D$5000,$A$2:$A$5000,A69,$B$2:$B$5000,B69,$C$2:$C$5000,"&lt;="&amp;C69)</f>
        <v/>
      </c>
      <c r="H69" s="11">
        <f>SUMIFS(Dispatched!$C$2:$C$5000,Dispatched!$A$2:$A$5000,A69,Dispatched!$B$2:$B$5000,B69)</f>
        <v/>
      </c>
      <c r="I69" s="11">
        <f>MAX(0,MIN(D69,G69-H69))</f>
        <v/>
      </c>
      <c r="J69" s="26">
        <f>I69*E69/D69</f>
        <v/>
      </c>
      <c r="K69" s="10">
        <f>IF(I69=0,"Dispatched",IF(F69&lt;=30,"0-30",IF(F69&lt;=60,"31-60",IF(F69&lt;=90,"61-90","90+"))))</f>
        <v/>
      </c>
    </row>
    <row r="70">
      <c r="A70" s="24" t="inlineStr">
        <is>
          <t>Hyderabad</t>
        </is>
      </c>
      <c r="B70" s="24" t="inlineStr">
        <is>
          <t>25NBX2.5</t>
        </is>
      </c>
      <c r="C70" s="6" t="n">
        <v>46298</v>
      </c>
      <c r="D70" s="24" t="n">
        <v>269</v>
      </c>
      <c r="E70" s="25" t="n">
        <v>3.105</v>
      </c>
      <c r="F70" s="14">
        <f>AsOf-C70</f>
        <v/>
      </c>
      <c r="G70" s="11">
        <f>SUMIFS($D$2:$D$5000,$A$2:$A$5000,A70,$B$2:$B$5000,B70,$C$2:$C$5000,"&lt;="&amp;C70)</f>
        <v/>
      </c>
      <c r="H70" s="11">
        <f>SUMIFS(Dispatched!$C$2:$C$5000,Dispatched!$A$2:$A$5000,A70,Dispatched!$B$2:$B$5000,B70)</f>
        <v/>
      </c>
      <c r="I70" s="11">
        <f>MAX(0,MIN(D70,G70-H70))</f>
        <v/>
      </c>
      <c r="J70" s="26">
        <f>I70*E70/D70</f>
        <v/>
      </c>
      <c r="K70" s="10">
        <f>IF(I70=0,"Dispatched",IF(F70&lt;=30,"0-30",IF(F70&lt;=60,"31-60",IF(F70&lt;=90,"61-90","90+"))))</f>
        <v/>
      </c>
    </row>
    <row r="71">
      <c r="A71" s="24" t="inlineStr">
        <is>
          <t>Hyderabad</t>
        </is>
      </c>
      <c r="B71" s="24" t="inlineStr">
        <is>
          <t>25NBX2.8</t>
        </is>
      </c>
      <c r="C71" s="6" t="n">
        <v>46205</v>
      </c>
      <c r="D71" s="24" t="n">
        <v>1478</v>
      </c>
      <c r="E71" s="25" t="n">
        <v>18.922</v>
      </c>
      <c r="F71" s="14">
        <f>AsOf-C71</f>
        <v/>
      </c>
      <c r="G71" s="11">
        <f>SUMIFS($D$2:$D$5000,$A$2:$A$5000,A71,$B$2:$B$5000,B71,$C$2:$C$5000,"&lt;="&amp;C71)</f>
        <v/>
      </c>
      <c r="H71" s="11">
        <f>SUMIFS(Dispatched!$C$2:$C$5000,Dispatched!$A$2:$A$5000,A71,Dispatched!$B$2:$B$5000,B71)</f>
        <v/>
      </c>
      <c r="I71" s="11">
        <f>MAX(0,MIN(D71,G71-H71))</f>
        <v/>
      </c>
      <c r="J71" s="26">
        <f>I71*E71/D71</f>
        <v/>
      </c>
      <c r="K71" s="10">
        <f>IF(I71=0,"Dispatched",IF(F71&lt;=30,"0-30",IF(F71&lt;=60,"31-60",IF(F71&lt;=90,"61-90","90+"))))</f>
        <v/>
      </c>
    </row>
    <row r="72">
      <c r="A72" s="24" t="inlineStr">
        <is>
          <t>Hyderabad</t>
        </is>
      </c>
      <c r="B72" s="24" t="inlineStr">
        <is>
          <t>25NBX2.8</t>
        </is>
      </c>
      <c r="C72" s="6" t="n">
        <v>46298</v>
      </c>
      <c r="D72" s="24" t="n">
        <v>817</v>
      </c>
      <c r="E72" s="25" t="n">
        <v>9.804</v>
      </c>
      <c r="F72" s="14">
        <f>AsOf-C72</f>
        <v/>
      </c>
      <c r="G72" s="11">
        <f>SUMIFS($D$2:$D$5000,$A$2:$A$5000,A72,$B$2:$B$5000,B72,$C$2:$C$5000,"&lt;="&amp;C72)</f>
        <v/>
      </c>
      <c r="H72" s="11">
        <f>SUMIFS(Dispatched!$C$2:$C$5000,Dispatched!$A$2:$A$5000,A72,Dispatched!$B$2:$B$5000,B72)</f>
        <v/>
      </c>
      <c r="I72" s="11">
        <f>MAX(0,MIN(D72,G72-H72))</f>
        <v/>
      </c>
      <c r="J72" s="26">
        <f>I72*E72/D72</f>
        <v/>
      </c>
      <c r="K72" s="10">
        <f>IF(I72=0,"Dispatched",IF(F72&lt;=30,"0-30",IF(F72&lt;=60,"31-60",IF(F72&lt;=90,"61-90","90+"))))</f>
        <v/>
      </c>
    </row>
    <row r="73">
      <c r="A73" s="24" t="inlineStr">
        <is>
          <t>Hyderabad</t>
        </is>
      </c>
      <c r="B73" s="24" t="inlineStr">
        <is>
          <t>25NBX4</t>
        </is>
      </c>
      <c r="C73" s="6" t="n">
        <v>46205</v>
      </c>
      <c r="D73" s="24" t="n">
        <v>286</v>
      </c>
      <c r="E73" s="25" t="n">
        <v>4.576</v>
      </c>
      <c r="F73" s="14">
        <f>AsOf-C73</f>
        <v/>
      </c>
      <c r="G73" s="11">
        <f>SUMIFS($D$2:$D$5000,$A$2:$A$5000,A73,$B$2:$B$5000,B73,$C$2:$C$5000,"&lt;="&amp;C73)</f>
        <v/>
      </c>
      <c r="H73" s="11">
        <f>SUMIFS(Dispatched!$C$2:$C$5000,Dispatched!$A$2:$A$5000,A73,Dispatched!$B$2:$B$5000,B73)</f>
        <v/>
      </c>
      <c r="I73" s="11">
        <f>MAX(0,MIN(D73,G73-H73))</f>
        <v/>
      </c>
      <c r="J73" s="26">
        <f>I73*E73/D73</f>
        <v/>
      </c>
      <c r="K73" s="10">
        <f>IF(I73=0,"Dispatched",IF(F73&lt;=30,"0-30",IF(F73&lt;=60,"31-60",IF(F73&lt;=90,"61-90","90+"))))</f>
        <v/>
      </c>
    </row>
    <row r="74">
      <c r="A74" s="24" t="inlineStr">
        <is>
          <t>Hyderabad</t>
        </is>
      </c>
      <c r="B74" s="24" t="inlineStr">
        <is>
          <t>25X25X1.2</t>
        </is>
      </c>
      <c r="C74" s="6" t="n">
        <v>46265</v>
      </c>
      <c r="D74" s="24" t="n">
        <v>508</v>
      </c>
      <c r="E74" s="25" t="n">
        <v>2.733</v>
      </c>
      <c r="F74" s="14">
        <f>AsOf-C74</f>
        <v/>
      </c>
      <c r="G74" s="11">
        <f>SUMIFS($D$2:$D$5000,$A$2:$A$5000,A74,$B$2:$B$5000,B74,$C$2:$C$5000,"&lt;="&amp;C74)</f>
        <v/>
      </c>
      <c r="H74" s="11">
        <f>SUMIFS(Dispatched!$C$2:$C$5000,Dispatched!$A$2:$A$5000,A74,Dispatched!$B$2:$B$5000,B74)</f>
        <v/>
      </c>
      <c r="I74" s="11">
        <f>MAX(0,MIN(D74,G74-H74))</f>
        <v/>
      </c>
      <c r="J74" s="26">
        <f>I74*E74/D74</f>
        <v/>
      </c>
      <c r="K74" s="10">
        <f>IF(I74=0,"Dispatched",IF(F74&lt;=30,"0-30",IF(F74&lt;=60,"31-60",IF(F74&lt;=90,"61-90","90+"))))</f>
        <v/>
      </c>
    </row>
    <row r="75">
      <c r="A75" s="24" t="inlineStr">
        <is>
          <t>Hyderabad</t>
        </is>
      </c>
      <c r="B75" s="24" t="inlineStr">
        <is>
          <t>25X25X1.2</t>
        </is>
      </c>
      <c r="C75" s="6" t="n">
        <v>46275</v>
      </c>
      <c r="D75" s="24" t="n">
        <v>4089</v>
      </c>
      <c r="E75" s="25" t="n">
        <v>22.002</v>
      </c>
      <c r="F75" s="14">
        <f>AsOf-C75</f>
        <v/>
      </c>
      <c r="G75" s="11">
        <f>SUMIFS($D$2:$D$5000,$A$2:$A$5000,A75,$B$2:$B$5000,B75,$C$2:$C$5000,"&lt;="&amp;C75)</f>
        <v/>
      </c>
      <c r="H75" s="11">
        <f>SUMIFS(Dispatched!$C$2:$C$5000,Dispatched!$A$2:$A$5000,A75,Dispatched!$B$2:$B$5000,B75)</f>
        <v/>
      </c>
      <c r="I75" s="11">
        <f>MAX(0,MIN(D75,G75-H75))</f>
        <v/>
      </c>
      <c r="J75" s="26">
        <f>I75*E75/D75</f>
        <v/>
      </c>
      <c r="K75" s="10">
        <f>IF(I75=0,"Dispatched",IF(F75&lt;=30,"0-30",IF(F75&lt;=60,"31-60",IF(F75&lt;=90,"61-90","90+"))))</f>
        <v/>
      </c>
    </row>
    <row r="76">
      <c r="A76" s="24" t="inlineStr">
        <is>
          <t>Hyderabad</t>
        </is>
      </c>
      <c r="B76" s="24" t="inlineStr">
        <is>
          <t>25X25X1.6</t>
        </is>
      </c>
      <c r="C76" s="6" t="n">
        <v>46170</v>
      </c>
      <c r="D76" s="24" t="n">
        <v>5150</v>
      </c>
      <c r="E76" s="25" t="n">
        <v>36.327</v>
      </c>
      <c r="F76" s="14">
        <f>AsOf-C76</f>
        <v/>
      </c>
      <c r="G76" s="11">
        <f>SUMIFS($D$2:$D$5000,$A$2:$A$5000,A76,$B$2:$B$5000,B76,$C$2:$C$5000,"&lt;="&amp;C76)</f>
        <v/>
      </c>
      <c r="H76" s="11">
        <f>SUMIFS(Dispatched!$C$2:$C$5000,Dispatched!$A$2:$A$5000,A76,Dispatched!$B$2:$B$5000,B76)</f>
        <v/>
      </c>
      <c r="I76" s="11">
        <f>MAX(0,MIN(D76,G76-H76))</f>
        <v/>
      </c>
      <c r="J76" s="26">
        <f>I76*E76/D76</f>
        <v/>
      </c>
      <c r="K76" s="10">
        <f>IF(I76=0,"Dispatched",IF(F76&lt;=30,"0-30",IF(F76&lt;=60,"31-60",IF(F76&lt;=90,"61-90","90+"))))</f>
        <v/>
      </c>
    </row>
    <row r="77">
      <c r="A77" s="24" t="inlineStr">
        <is>
          <t>Hyderabad</t>
        </is>
      </c>
      <c r="B77" s="24" t="inlineStr">
        <is>
          <t>25X25X1.6</t>
        </is>
      </c>
      <c r="C77" s="6" t="n">
        <v>46171</v>
      </c>
      <c r="D77" s="24" t="n">
        <v>1740</v>
      </c>
      <c r="E77" s="25" t="n">
        <v>12.273</v>
      </c>
      <c r="F77" s="14">
        <f>AsOf-C77</f>
        <v/>
      </c>
      <c r="G77" s="11">
        <f>SUMIFS($D$2:$D$5000,$A$2:$A$5000,A77,$B$2:$B$5000,B77,$C$2:$C$5000,"&lt;="&amp;C77)</f>
        <v/>
      </c>
      <c r="H77" s="11">
        <f>SUMIFS(Dispatched!$C$2:$C$5000,Dispatched!$A$2:$A$5000,A77,Dispatched!$B$2:$B$5000,B77)</f>
        <v/>
      </c>
      <c r="I77" s="11">
        <f>MAX(0,MIN(D77,G77-H77))</f>
        <v/>
      </c>
      <c r="J77" s="26">
        <f>I77*E77/D77</f>
        <v/>
      </c>
      <c r="K77" s="10">
        <f>IF(I77=0,"Dispatched",IF(F77&lt;=30,"0-30",IF(F77&lt;=60,"31-60",IF(F77&lt;=90,"61-90","90+"))))</f>
        <v/>
      </c>
    </row>
    <row r="78">
      <c r="A78" s="24" t="inlineStr">
        <is>
          <t>Hyderabad</t>
        </is>
      </c>
      <c r="B78" s="24" t="inlineStr">
        <is>
          <t>25X25X1.6</t>
        </is>
      </c>
      <c r="C78" s="6" t="n">
        <v>46172</v>
      </c>
      <c r="D78" s="24" t="n">
        <v>1055</v>
      </c>
      <c r="E78" s="25" t="n">
        <v>7.442</v>
      </c>
      <c r="F78" s="14">
        <f>AsOf-C78</f>
        <v/>
      </c>
      <c r="G78" s="11">
        <f>SUMIFS($D$2:$D$5000,$A$2:$A$5000,A78,$B$2:$B$5000,B78,$C$2:$C$5000,"&lt;="&amp;C78)</f>
        <v/>
      </c>
      <c r="H78" s="11">
        <f>SUMIFS(Dispatched!$C$2:$C$5000,Dispatched!$A$2:$A$5000,A78,Dispatched!$B$2:$B$5000,B78)</f>
        <v/>
      </c>
      <c r="I78" s="11">
        <f>MAX(0,MIN(D78,G78-H78))</f>
        <v/>
      </c>
      <c r="J78" s="26">
        <f>I78*E78/D78</f>
        <v/>
      </c>
      <c r="K78" s="10">
        <f>IF(I78=0,"Dispatched",IF(F78&lt;=30,"0-30",IF(F78&lt;=60,"31-60",IF(F78&lt;=90,"61-90","90+"))))</f>
        <v/>
      </c>
    </row>
    <row r="79">
      <c r="A79" s="24" t="inlineStr">
        <is>
          <t>Hyderabad</t>
        </is>
      </c>
      <c r="B79" s="24" t="inlineStr">
        <is>
          <t>25X25X1.6</t>
        </is>
      </c>
      <c r="C79" s="6" t="n">
        <v>46174</v>
      </c>
      <c r="D79" s="24" t="n">
        <v>4628</v>
      </c>
      <c r="E79" s="25" t="n">
        <v>32.645</v>
      </c>
      <c r="F79" s="14">
        <f>AsOf-C79</f>
        <v/>
      </c>
      <c r="G79" s="11">
        <f>SUMIFS($D$2:$D$5000,$A$2:$A$5000,A79,$B$2:$B$5000,B79,$C$2:$C$5000,"&lt;="&amp;C79)</f>
        <v/>
      </c>
      <c r="H79" s="11">
        <f>SUMIFS(Dispatched!$C$2:$C$5000,Dispatched!$A$2:$A$5000,A79,Dispatched!$B$2:$B$5000,B79)</f>
        <v/>
      </c>
      <c r="I79" s="11">
        <f>MAX(0,MIN(D79,G79-H79))</f>
        <v/>
      </c>
      <c r="J79" s="26">
        <f>I79*E79/D79</f>
        <v/>
      </c>
      <c r="K79" s="10">
        <f>IF(I79=0,"Dispatched",IF(F79&lt;=30,"0-30",IF(F79&lt;=60,"31-60",IF(F79&lt;=90,"61-90","90+"))))</f>
        <v/>
      </c>
    </row>
    <row r="80">
      <c r="A80" s="24" t="inlineStr">
        <is>
          <t>Hyderabad</t>
        </is>
      </c>
      <c r="B80" s="24" t="inlineStr">
        <is>
          <t>25X25X1.6</t>
        </is>
      </c>
      <c r="C80" s="6" t="n">
        <v>46206</v>
      </c>
      <c r="D80" s="24" t="n">
        <v>5625</v>
      </c>
      <c r="E80" s="25" t="n">
        <v>39.677</v>
      </c>
      <c r="F80" s="14">
        <f>AsOf-C80</f>
        <v/>
      </c>
      <c r="G80" s="11">
        <f>SUMIFS($D$2:$D$5000,$A$2:$A$5000,A80,$B$2:$B$5000,B80,$C$2:$C$5000,"&lt;="&amp;C80)</f>
        <v/>
      </c>
      <c r="H80" s="11">
        <f>SUMIFS(Dispatched!$C$2:$C$5000,Dispatched!$A$2:$A$5000,A80,Dispatched!$B$2:$B$5000,B80)</f>
        <v/>
      </c>
      <c r="I80" s="11">
        <f>MAX(0,MIN(D80,G80-H80))</f>
        <v/>
      </c>
      <c r="J80" s="26">
        <f>I80*E80/D80</f>
        <v/>
      </c>
      <c r="K80" s="10">
        <f>IF(I80=0,"Dispatched",IF(F80&lt;=30,"0-30",IF(F80&lt;=60,"31-60",IF(F80&lt;=90,"61-90","90+"))))</f>
        <v/>
      </c>
    </row>
    <row r="81">
      <c r="A81" s="24" t="inlineStr">
        <is>
          <t>Hyderabad</t>
        </is>
      </c>
      <c r="B81" s="24" t="inlineStr">
        <is>
          <t>25X25X1.6</t>
        </is>
      </c>
      <c r="C81" s="6" t="n">
        <v>46260</v>
      </c>
      <c r="D81" s="24" t="n">
        <v>1182</v>
      </c>
      <c r="E81" s="25" t="n">
        <v>8.337</v>
      </c>
      <c r="F81" s="14">
        <f>AsOf-C81</f>
        <v/>
      </c>
      <c r="G81" s="11">
        <f>SUMIFS($D$2:$D$5000,$A$2:$A$5000,A81,$B$2:$B$5000,B81,$C$2:$C$5000,"&lt;="&amp;C81)</f>
        <v/>
      </c>
      <c r="H81" s="11">
        <f>SUMIFS(Dispatched!$C$2:$C$5000,Dispatched!$A$2:$A$5000,A81,Dispatched!$B$2:$B$5000,B81)</f>
        <v/>
      </c>
      <c r="I81" s="11">
        <f>MAX(0,MIN(D81,G81-H81))</f>
        <v/>
      </c>
      <c r="J81" s="26">
        <f>I81*E81/D81</f>
        <v/>
      </c>
      <c r="K81" s="10">
        <f>IF(I81=0,"Dispatched",IF(F81&lt;=30,"0-30",IF(F81&lt;=60,"31-60",IF(F81&lt;=90,"61-90","90+"))))</f>
        <v/>
      </c>
    </row>
    <row r="82">
      <c r="A82" s="24" t="inlineStr">
        <is>
          <t>Hyderabad</t>
        </is>
      </c>
      <c r="B82" s="24" t="inlineStr">
        <is>
          <t>25X25X1.6</t>
        </is>
      </c>
      <c r="C82" s="6" t="n">
        <v>46298</v>
      </c>
      <c r="D82" s="24" t="n">
        <v>789</v>
      </c>
      <c r="E82" s="25" t="n">
        <v>5.565</v>
      </c>
      <c r="F82" s="14">
        <f>AsOf-C82</f>
        <v/>
      </c>
      <c r="G82" s="11">
        <f>SUMIFS($D$2:$D$5000,$A$2:$A$5000,A82,$B$2:$B$5000,B82,$C$2:$C$5000,"&lt;="&amp;C82)</f>
        <v/>
      </c>
      <c r="H82" s="11">
        <f>SUMIFS(Dispatched!$C$2:$C$5000,Dispatched!$A$2:$A$5000,A82,Dispatched!$B$2:$B$5000,B82)</f>
        <v/>
      </c>
      <c r="I82" s="11">
        <f>MAX(0,MIN(D82,G82-H82))</f>
        <v/>
      </c>
      <c r="J82" s="26">
        <f>I82*E82/D82</f>
        <v/>
      </c>
      <c r="K82" s="10">
        <f>IF(I82=0,"Dispatched",IF(F82&lt;=30,"0-30",IF(F82&lt;=60,"31-60",IF(F82&lt;=90,"61-90","90+"))))</f>
        <v/>
      </c>
    </row>
    <row r="83">
      <c r="A83" s="24" t="inlineStr">
        <is>
          <t>Hyderabad</t>
        </is>
      </c>
      <c r="B83" s="24" t="inlineStr">
        <is>
          <t>25X25X2</t>
        </is>
      </c>
      <c r="C83" s="6" t="n">
        <v>46125</v>
      </c>
      <c r="D83" s="24" t="n">
        <v>2350</v>
      </c>
      <c r="E83" s="25" t="n">
        <v>20.366</v>
      </c>
      <c r="F83" s="14">
        <f>AsOf-C83</f>
        <v/>
      </c>
      <c r="G83" s="11">
        <f>SUMIFS($D$2:$D$5000,$A$2:$A$5000,A83,$B$2:$B$5000,B83,$C$2:$C$5000,"&lt;="&amp;C83)</f>
        <v/>
      </c>
      <c r="H83" s="11">
        <f>SUMIFS(Dispatched!$C$2:$C$5000,Dispatched!$A$2:$A$5000,A83,Dispatched!$B$2:$B$5000,B83)</f>
        <v/>
      </c>
      <c r="I83" s="11">
        <f>MAX(0,MIN(D83,G83-H83))</f>
        <v/>
      </c>
      <c r="J83" s="26">
        <f>I83*E83/D83</f>
        <v/>
      </c>
      <c r="K83" s="10">
        <f>IF(I83=0,"Dispatched",IF(F83&lt;=30,"0-30",IF(F83&lt;=60,"31-60",IF(F83&lt;=90,"61-90","90+"))))</f>
        <v/>
      </c>
    </row>
    <row r="84">
      <c r="A84" s="24" t="inlineStr">
        <is>
          <t>Hyderabad</t>
        </is>
      </c>
      <c r="B84" s="24" t="inlineStr">
        <is>
          <t>25X25X2</t>
        </is>
      </c>
      <c r="C84" s="6" t="n">
        <v>46128</v>
      </c>
      <c r="D84" s="24" t="n">
        <v>607</v>
      </c>
      <c r="E84" s="25" t="n">
        <v>5.261</v>
      </c>
      <c r="F84" s="14">
        <f>AsOf-C84</f>
        <v/>
      </c>
      <c r="G84" s="11">
        <f>SUMIFS($D$2:$D$5000,$A$2:$A$5000,A84,$B$2:$B$5000,B84,$C$2:$C$5000,"&lt;="&amp;C84)</f>
        <v/>
      </c>
      <c r="H84" s="11">
        <f>SUMIFS(Dispatched!$C$2:$C$5000,Dispatched!$A$2:$A$5000,A84,Dispatched!$B$2:$B$5000,B84)</f>
        <v/>
      </c>
      <c r="I84" s="11">
        <f>MAX(0,MIN(D84,G84-H84))</f>
        <v/>
      </c>
      <c r="J84" s="26">
        <f>I84*E84/D84</f>
        <v/>
      </c>
      <c r="K84" s="10">
        <f>IF(I84=0,"Dispatched",IF(F84&lt;=30,"0-30",IF(F84&lt;=60,"31-60",IF(F84&lt;=90,"61-90","90+"))))</f>
        <v/>
      </c>
    </row>
    <row r="85">
      <c r="A85" s="24" t="inlineStr">
        <is>
          <t>Hyderabad</t>
        </is>
      </c>
      <c r="B85" s="24" t="inlineStr">
        <is>
          <t>25X25X2</t>
        </is>
      </c>
      <c r="C85" s="6" t="n">
        <v>46133</v>
      </c>
      <c r="D85" s="24" t="n">
        <v>3245</v>
      </c>
      <c r="E85" s="25" t="n">
        <v>28.122</v>
      </c>
      <c r="F85" s="14">
        <f>AsOf-C85</f>
        <v/>
      </c>
      <c r="G85" s="11">
        <f>SUMIFS($D$2:$D$5000,$A$2:$A$5000,A85,$B$2:$B$5000,B85,$C$2:$C$5000,"&lt;="&amp;C85)</f>
        <v/>
      </c>
      <c r="H85" s="11">
        <f>SUMIFS(Dispatched!$C$2:$C$5000,Dispatched!$A$2:$A$5000,A85,Dispatched!$B$2:$B$5000,B85)</f>
        <v/>
      </c>
      <c r="I85" s="11">
        <f>MAX(0,MIN(D85,G85-H85))</f>
        <v/>
      </c>
      <c r="J85" s="26">
        <f>I85*E85/D85</f>
        <v/>
      </c>
      <c r="K85" s="10">
        <f>IF(I85=0,"Dispatched",IF(F85&lt;=30,"0-30",IF(F85&lt;=60,"31-60",IF(F85&lt;=90,"61-90","90+"))))</f>
        <v/>
      </c>
    </row>
    <row r="86">
      <c r="A86" s="24" t="inlineStr">
        <is>
          <t>Hyderabad</t>
        </is>
      </c>
      <c r="B86" s="24" t="inlineStr">
        <is>
          <t>25X25X2</t>
        </is>
      </c>
      <c r="C86" s="6" t="n">
        <v>46170</v>
      </c>
      <c r="D86" s="24" t="n">
        <v>2863</v>
      </c>
      <c r="E86" s="25" t="n">
        <v>24.812</v>
      </c>
      <c r="F86" s="14">
        <f>AsOf-C86</f>
        <v/>
      </c>
      <c r="G86" s="11">
        <f>SUMIFS($D$2:$D$5000,$A$2:$A$5000,A86,$B$2:$B$5000,B86,$C$2:$C$5000,"&lt;="&amp;C86)</f>
        <v/>
      </c>
      <c r="H86" s="11">
        <f>SUMIFS(Dispatched!$C$2:$C$5000,Dispatched!$A$2:$A$5000,A86,Dispatched!$B$2:$B$5000,B86)</f>
        <v/>
      </c>
      <c r="I86" s="11">
        <f>MAX(0,MIN(D86,G86-H86))</f>
        <v/>
      </c>
      <c r="J86" s="26">
        <f>I86*E86/D86</f>
        <v/>
      </c>
      <c r="K86" s="10">
        <f>IF(I86=0,"Dispatched",IF(F86&lt;=30,"0-30",IF(F86&lt;=60,"31-60",IF(F86&lt;=90,"61-90","90+"))))</f>
        <v/>
      </c>
    </row>
    <row r="87">
      <c r="A87" s="24" t="inlineStr">
        <is>
          <t>Hyderabad</t>
        </is>
      </c>
      <c r="B87" s="24" t="inlineStr">
        <is>
          <t>25X25X2</t>
        </is>
      </c>
      <c r="C87" s="6" t="n">
        <v>46171</v>
      </c>
      <c r="D87" s="24" t="n">
        <v>9135</v>
      </c>
      <c r="E87" s="25" t="n">
        <v>79.16800000000001</v>
      </c>
      <c r="F87" s="14">
        <f>AsOf-C87</f>
        <v/>
      </c>
      <c r="G87" s="11">
        <f>SUMIFS($D$2:$D$5000,$A$2:$A$5000,A87,$B$2:$B$5000,B87,$C$2:$C$5000,"&lt;="&amp;C87)</f>
        <v/>
      </c>
      <c r="H87" s="11">
        <f>SUMIFS(Dispatched!$C$2:$C$5000,Dispatched!$A$2:$A$5000,A87,Dispatched!$B$2:$B$5000,B87)</f>
        <v/>
      </c>
      <c r="I87" s="11">
        <f>MAX(0,MIN(D87,G87-H87))</f>
        <v/>
      </c>
      <c r="J87" s="26">
        <f>I87*E87/D87</f>
        <v/>
      </c>
      <c r="K87" s="10">
        <f>IF(I87=0,"Dispatched",IF(F87&lt;=30,"0-30",IF(F87&lt;=60,"31-60",IF(F87&lt;=90,"61-90","90+"))))</f>
        <v/>
      </c>
    </row>
    <row r="88">
      <c r="A88" s="24" t="inlineStr">
        <is>
          <t>Hyderabad</t>
        </is>
      </c>
      <c r="B88" s="24" t="inlineStr">
        <is>
          <t>25X25X2</t>
        </is>
      </c>
      <c r="C88" s="6" t="n">
        <v>46206</v>
      </c>
      <c r="D88" s="24" t="n">
        <v>524</v>
      </c>
      <c r="E88" s="25" t="n">
        <v>4.541</v>
      </c>
      <c r="F88" s="14">
        <f>AsOf-C88</f>
        <v/>
      </c>
      <c r="G88" s="11">
        <f>SUMIFS($D$2:$D$5000,$A$2:$A$5000,A88,$B$2:$B$5000,B88,$C$2:$C$5000,"&lt;="&amp;C88)</f>
        <v/>
      </c>
      <c r="H88" s="11">
        <f>SUMIFS(Dispatched!$C$2:$C$5000,Dispatched!$A$2:$A$5000,A88,Dispatched!$B$2:$B$5000,B88)</f>
        <v/>
      </c>
      <c r="I88" s="11">
        <f>MAX(0,MIN(D88,G88-H88))</f>
        <v/>
      </c>
      <c r="J88" s="26">
        <f>I88*E88/D88</f>
        <v/>
      </c>
      <c r="K88" s="10">
        <f>IF(I88=0,"Dispatched",IF(F88&lt;=30,"0-30",IF(F88&lt;=60,"31-60",IF(F88&lt;=90,"61-90","90+"))))</f>
        <v/>
      </c>
    </row>
    <row r="89">
      <c r="A89" s="24" t="inlineStr">
        <is>
          <t>Hyderabad</t>
        </is>
      </c>
      <c r="B89" s="24" t="inlineStr">
        <is>
          <t>25X25X2</t>
        </is>
      </c>
      <c r="C89" s="6" t="n">
        <v>46275</v>
      </c>
      <c r="D89" s="24" t="n">
        <v>1731</v>
      </c>
      <c r="E89" s="25" t="n">
        <v>15.002</v>
      </c>
      <c r="F89" s="14">
        <f>AsOf-C89</f>
        <v/>
      </c>
      <c r="G89" s="11">
        <f>SUMIFS($D$2:$D$5000,$A$2:$A$5000,A89,$B$2:$B$5000,B89,$C$2:$C$5000,"&lt;="&amp;C89)</f>
        <v/>
      </c>
      <c r="H89" s="11">
        <f>SUMIFS(Dispatched!$C$2:$C$5000,Dispatched!$A$2:$A$5000,A89,Dispatched!$B$2:$B$5000,B89)</f>
        <v/>
      </c>
      <c r="I89" s="11">
        <f>MAX(0,MIN(D89,G89-H89))</f>
        <v/>
      </c>
      <c r="J89" s="26">
        <f>I89*E89/D89</f>
        <v/>
      </c>
      <c r="K89" s="10">
        <f>IF(I89=0,"Dispatched",IF(F89&lt;=30,"0-30",IF(F89&lt;=60,"31-60",IF(F89&lt;=90,"61-90","90+"))))</f>
        <v/>
      </c>
    </row>
    <row r="90">
      <c r="A90" s="24" t="inlineStr">
        <is>
          <t>Hyderabad</t>
        </is>
      </c>
      <c r="B90" s="24" t="inlineStr">
        <is>
          <t>25X25X2</t>
        </is>
      </c>
      <c r="C90" s="6" t="n">
        <v>46296</v>
      </c>
      <c r="D90" s="24" t="n">
        <v>2969</v>
      </c>
      <c r="E90" s="25" t="n">
        <v>25.731</v>
      </c>
      <c r="F90" s="14">
        <f>AsOf-C90</f>
        <v/>
      </c>
      <c r="G90" s="11">
        <f>SUMIFS($D$2:$D$5000,$A$2:$A$5000,A90,$B$2:$B$5000,B90,$C$2:$C$5000,"&lt;="&amp;C90)</f>
        <v/>
      </c>
      <c r="H90" s="11">
        <f>SUMIFS(Dispatched!$C$2:$C$5000,Dispatched!$A$2:$A$5000,A90,Dispatched!$B$2:$B$5000,B90)</f>
        <v/>
      </c>
      <c r="I90" s="11">
        <f>MAX(0,MIN(D90,G90-H90))</f>
        <v/>
      </c>
      <c r="J90" s="26">
        <f>I90*E90/D90</f>
        <v/>
      </c>
      <c r="K90" s="10">
        <f>IF(I90=0,"Dispatched",IF(F90&lt;=30,"0-30",IF(F90&lt;=60,"31-60",IF(F90&lt;=90,"61-90","90+"))))</f>
        <v/>
      </c>
    </row>
    <row r="91">
      <c r="A91" s="24" t="inlineStr">
        <is>
          <t>Hyderabad</t>
        </is>
      </c>
      <c r="B91" s="24" t="inlineStr">
        <is>
          <t>25X25X2.5</t>
        </is>
      </c>
      <c r="C91" s="6" t="n">
        <v>46133</v>
      </c>
      <c r="D91" s="24" t="n">
        <v>1298</v>
      </c>
      <c r="E91" s="25" t="n">
        <v>13.756</v>
      </c>
      <c r="F91" s="14">
        <f>AsOf-C91</f>
        <v/>
      </c>
      <c r="G91" s="11">
        <f>SUMIFS($D$2:$D$5000,$A$2:$A$5000,A91,$B$2:$B$5000,B91,$C$2:$C$5000,"&lt;="&amp;C91)</f>
        <v/>
      </c>
      <c r="H91" s="11">
        <f>SUMIFS(Dispatched!$C$2:$C$5000,Dispatched!$A$2:$A$5000,A91,Dispatched!$B$2:$B$5000,B91)</f>
        <v/>
      </c>
      <c r="I91" s="11">
        <f>MAX(0,MIN(D91,G91-H91))</f>
        <v/>
      </c>
      <c r="J91" s="26">
        <f>I91*E91/D91</f>
        <v/>
      </c>
      <c r="K91" s="10">
        <f>IF(I91=0,"Dispatched",IF(F91&lt;=30,"0-30",IF(F91&lt;=60,"31-60",IF(F91&lt;=90,"61-90","90+"))))</f>
        <v/>
      </c>
    </row>
    <row r="92">
      <c r="A92" s="24" t="inlineStr">
        <is>
          <t>Hyderabad</t>
        </is>
      </c>
      <c r="B92" s="24" t="inlineStr">
        <is>
          <t>25X25X2.5</t>
        </is>
      </c>
      <c r="C92" s="6" t="n">
        <v>46140</v>
      </c>
      <c r="D92" s="24" t="n">
        <v>8</v>
      </c>
      <c r="E92" s="25" t="n">
        <v>0.08500000000000001</v>
      </c>
      <c r="F92" s="14">
        <f>AsOf-C92</f>
        <v/>
      </c>
      <c r="G92" s="11">
        <f>SUMIFS($D$2:$D$5000,$A$2:$A$5000,A92,$B$2:$B$5000,B92,$C$2:$C$5000,"&lt;="&amp;C92)</f>
        <v/>
      </c>
      <c r="H92" s="11">
        <f>SUMIFS(Dispatched!$C$2:$C$5000,Dispatched!$A$2:$A$5000,A92,Dispatched!$B$2:$B$5000,B92)</f>
        <v/>
      </c>
      <c r="I92" s="11">
        <f>MAX(0,MIN(D92,G92-H92))</f>
        <v/>
      </c>
      <c r="J92" s="26">
        <f>I92*E92/D92</f>
        <v/>
      </c>
      <c r="K92" s="10">
        <f>IF(I92=0,"Dispatched",IF(F92&lt;=30,"0-30",IF(F92&lt;=60,"31-60",IF(F92&lt;=90,"61-90","90+"))))</f>
        <v/>
      </c>
    </row>
    <row r="93">
      <c r="A93" s="24" t="inlineStr">
        <is>
          <t>Hyderabad</t>
        </is>
      </c>
      <c r="B93" s="24" t="inlineStr">
        <is>
          <t>25X25X2.5</t>
        </is>
      </c>
      <c r="C93" s="6" t="n">
        <v>46175</v>
      </c>
      <c r="D93" s="24" t="n">
        <v>468</v>
      </c>
      <c r="E93" s="25" t="n">
        <v>4.96</v>
      </c>
      <c r="F93" s="14">
        <f>AsOf-C93</f>
        <v/>
      </c>
      <c r="G93" s="11">
        <f>SUMIFS($D$2:$D$5000,$A$2:$A$5000,A93,$B$2:$B$5000,B93,$C$2:$C$5000,"&lt;="&amp;C93)</f>
        <v/>
      </c>
      <c r="H93" s="11">
        <f>SUMIFS(Dispatched!$C$2:$C$5000,Dispatched!$A$2:$A$5000,A93,Dispatched!$B$2:$B$5000,B93)</f>
        <v/>
      </c>
      <c r="I93" s="11">
        <f>MAX(0,MIN(D93,G93-H93))</f>
        <v/>
      </c>
      <c r="J93" s="26">
        <f>I93*E93/D93</f>
        <v/>
      </c>
      <c r="K93" s="10">
        <f>IF(I93=0,"Dispatched",IF(F93&lt;=30,"0-30",IF(F93&lt;=60,"31-60",IF(F93&lt;=90,"61-90","90+"))))</f>
        <v/>
      </c>
    </row>
    <row r="94">
      <c r="A94" s="24" t="inlineStr">
        <is>
          <t>Hyderabad</t>
        </is>
      </c>
      <c r="B94" s="24" t="inlineStr">
        <is>
          <t>25X25X2.5</t>
        </is>
      </c>
      <c r="C94" s="6" t="n">
        <v>46176</v>
      </c>
      <c r="D94" s="24" t="n">
        <v>816</v>
      </c>
      <c r="E94" s="25" t="n">
        <v>8.648</v>
      </c>
      <c r="F94" s="14">
        <f>AsOf-C94</f>
        <v/>
      </c>
      <c r="G94" s="11">
        <f>SUMIFS($D$2:$D$5000,$A$2:$A$5000,A94,$B$2:$B$5000,B94,$C$2:$C$5000,"&lt;="&amp;C94)</f>
        <v/>
      </c>
      <c r="H94" s="11">
        <f>SUMIFS(Dispatched!$C$2:$C$5000,Dispatched!$A$2:$A$5000,A94,Dispatched!$B$2:$B$5000,B94)</f>
        <v/>
      </c>
      <c r="I94" s="11">
        <f>MAX(0,MIN(D94,G94-H94))</f>
        <v/>
      </c>
      <c r="J94" s="26">
        <f>I94*E94/D94</f>
        <v/>
      </c>
      <c r="K94" s="10">
        <f>IF(I94=0,"Dispatched",IF(F94&lt;=30,"0-30",IF(F94&lt;=60,"31-60",IF(F94&lt;=90,"61-90","90+"))))</f>
        <v/>
      </c>
    </row>
    <row r="95">
      <c r="A95" s="24" t="inlineStr">
        <is>
          <t>Hyderabad</t>
        </is>
      </c>
      <c r="B95" s="24" t="inlineStr">
        <is>
          <t>25X25X2.5</t>
        </is>
      </c>
      <c r="C95" s="6" t="n">
        <v>46205</v>
      </c>
      <c r="D95" s="24" t="n">
        <v>757</v>
      </c>
      <c r="E95" s="25" t="n">
        <v>8.022</v>
      </c>
      <c r="F95" s="14">
        <f>AsOf-C95</f>
        <v/>
      </c>
      <c r="G95" s="11">
        <f>SUMIFS($D$2:$D$5000,$A$2:$A$5000,A95,$B$2:$B$5000,B95,$C$2:$C$5000,"&lt;="&amp;C95)</f>
        <v/>
      </c>
      <c r="H95" s="11">
        <f>SUMIFS(Dispatched!$C$2:$C$5000,Dispatched!$A$2:$A$5000,A95,Dispatched!$B$2:$B$5000,B95)</f>
        <v/>
      </c>
      <c r="I95" s="11">
        <f>MAX(0,MIN(D95,G95-H95))</f>
        <v/>
      </c>
      <c r="J95" s="26">
        <f>I95*E95/D95</f>
        <v/>
      </c>
      <c r="K95" s="10">
        <f>IF(I95=0,"Dispatched",IF(F95&lt;=30,"0-30",IF(F95&lt;=60,"31-60",IF(F95&lt;=90,"61-90","90+"))))</f>
        <v/>
      </c>
    </row>
    <row r="96">
      <c r="A96" s="24" t="inlineStr">
        <is>
          <t>Hyderabad</t>
        </is>
      </c>
      <c r="B96" s="24" t="inlineStr">
        <is>
          <t>25X25X2.5</t>
        </is>
      </c>
      <c r="C96" s="6" t="n">
        <v>46206</v>
      </c>
      <c r="D96" s="24" t="n">
        <v>1017</v>
      </c>
      <c r="E96" s="25" t="n">
        <v>10.778</v>
      </c>
      <c r="F96" s="14">
        <f>AsOf-C96</f>
        <v/>
      </c>
      <c r="G96" s="11">
        <f>SUMIFS($D$2:$D$5000,$A$2:$A$5000,A96,$B$2:$B$5000,B96,$C$2:$C$5000,"&lt;="&amp;C96)</f>
        <v/>
      </c>
      <c r="H96" s="11">
        <f>SUMIFS(Dispatched!$C$2:$C$5000,Dispatched!$A$2:$A$5000,A96,Dispatched!$B$2:$B$5000,B96)</f>
        <v/>
      </c>
      <c r="I96" s="11">
        <f>MAX(0,MIN(D96,G96-H96))</f>
        <v/>
      </c>
      <c r="J96" s="26">
        <f>I96*E96/D96</f>
        <v/>
      </c>
      <c r="K96" s="10">
        <f>IF(I96=0,"Dispatched",IF(F96&lt;=30,"0-30",IF(F96&lt;=60,"31-60",IF(F96&lt;=90,"61-90","90+"))))</f>
        <v/>
      </c>
    </row>
    <row r="97">
      <c r="A97" s="24" t="inlineStr">
        <is>
          <t>Hyderabad</t>
        </is>
      </c>
      <c r="B97" s="24" t="inlineStr">
        <is>
          <t>25X25X2.5</t>
        </is>
      </c>
      <c r="C97" s="6" t="n">
        <v>46260</v>
      </c>
      <c r="D97" s="24" t="n">
        <v>1764</v>
      </c>
      <c r="E97" s="25" t="n">
        <v>18.694</v>
      </c>
      <c r="F97" s="14">
        <f>AsOf-C97</f>
        <v/>
      </c>
      <c r="G97" s="11">
        <f>SUMIFS($D$2:$D$5000,$A$2:$A$5000,A97,$B$2:$B$5000,B97,$C$2:$C$5000,"&lt;="&amp;C97)</f>
        <v/>
      </c>
      <c r="H97" s="11">
        <f>SUMIFS(Dispatched!$C$2:$C$5000,Dispatched!$A$2:$A$5000,A97,Dispatched!$B$2:$B$5000,B97)</f>
        <v/>
      </c>
      <c r="I97" s="11">
        <f>MAX(0,MIN(D97,G97-H97))</f>
        <v/>
      </c>
      <c r="J97" s="26">
        <f>I97*E97/D97</f>
        <v/>
      </c>
      <c r="K97" s="10">
        <f>IF(I97=0,"Dispatched",IF(F97&lt;=30,"0-30",IF(F97&lt;=60,"31-60",IF(F97&lt;=90,"61-90","90+"))))</f>
        <v/>
      </c>
    </row>
    <row r="98">
      <c r="A98" s="24" t="inlineStr">
        <is>
          <t>Hyderabad</t>
        </is>
      </c>
      <c r="B98" s="24" t="inlineStr">
        <is>
          <t>25X25X2.5</t>
        </is>
      </c>
      <c r="C98" s="6" t="n">
        <v>46275</v>
      </c>
      <c r="D98" s="24" t="n">
        <v>1460</v>
      </c>
      <c r="E98" s="25" t="n">
        <v>15.472</v>
      </c>
      <c r="F98" s="14">
        <f>AsOf-C98</f>
        <v/>
      </c>
      <c r="G98" s="11">
        <f>SUMIFS($D$2:$D$5000,$A$2:$A$5000,A98,$B$2:$B$5000,B98,$C$2:$C$5000,"&lt;="&amp;C98)</f>
        <v/>
      </c>
      <c r="H98" s="11">
        <f>SUMIFS(Dispatched!$C$2:$C$5000,Dispatched!$A$2:$A$5000,A98,Dispatched!$B$2:$B$5000,B98)</f>
        <v/>
      </c>
      <c r="I98" s="11">
        <f>MAX(0,MIN(D98,G98-H98))</f>
        <v/>
      </c>
      <c r="J98" s="26">
        <f>I98*E98/D98</f>
        <v/>
      </c>
      <c r="K98" s="10">
        <f>IF(I98=0,"Dispatched",IF(F98&lt;=30,"0-30",IF(F98&lt;=60,"31-60",IF(F98&lt;=90,"61-90","90+"))))</f>
        <v/>
      </c>
    </row>
    <row r="99">
      <c r="A99" s="24" t="inlineStr">
        <is>
          <t>Hyderabad</t>
        </is>
      </c>
      <c r="B99" s="24" t="inlineStr">
        <is>
          <t>25X25X2.8</t>
        </is>
      </c>
      <c r="C99" s="6" t="n">
        <v>46140</v>
      </c>
      <c r="D99" s="24" t="n">
        <v>168</v>
      </c>
      <c r="E99" s="25" t="n">
        <v>1.967</v>
      </c>
      <c r="F99" s="14">
        <f>AsOf-C99</f>
        <v/>
      </c>
      <c r="G99" s="11">
        <f>SUMIFS($D$2:$D$5000,$A$2:$A$5000,A99,$B$2:$B$5000,B99,$C$2:$C$5000,"&lt;="&amp;C99)</f>
        <v/>
      </c>
      <c r="H99" s="11">
        <f>SUMIFS(Dispatched!$C$2:$C$5000,Dispatched!$A$2:$A$5000,A99,Dispatched!$B$2:$B$5000,B99)</f>
        <v/>
      </c>
      <c r="I99" s="11">
        <f>MAX(0,MIN(D99,G99-H99))</f>
        <v/>
      </c>
      <c r="J99" s="26">
        <f>I99*E99/D99</f>
        <v/>
      </c>
      <c r="K99" s="10">
        <f>IF(I99=0,"Dispatched",IF(F99&lt;=30,"0-30",IF(F99&lt;=60,"31-60",IF(F99&lt;=90,"61-90","90+"))))</f>
        <v/>
      </c>
    </row>
    <row r="100">
      <c r="A100" s="24" t="inlineStr">
        <is>
          <t>Hyderabad</t>
        </is>
      </c>
      <c r="B100" s="24" t="inlineStr">
        <is>
          <t>25X25X2.8</t>
        </is>
      </c>
      <c r="C100" s="6" t="n">
        <v>46175</v>
      </c>
      <c r="D100" s="24" t="n">
        <v>471</v>
      </c>
      <c r="E100" s="25" t="n">
        <v>5.516</v>
      </c>
      <c r="F100" s="14">
        <f>AsOf-C100</f>
        <v/>
      </c>
      <c r="G100" s="11">
        <f>SUMIFS($D$2:$D$5000,$A$2:$A$5000,A100,$B$2:$B$5000,B100,$C$2:$C$5000,"&lt;="&amp;C100)</f>
        <v/>
      </c>
      <c r="H100" s="11">
        <f>SUMIFS(Dispatched!$C$2:$C$5000,Dispatched!$A$2:$A$5000,A100,Dispatched!$B$2:$B$5000,B100)</f>
        <v/>
      </c>
      <c r="I100" s="11">
        <f>MAX(0,MIN(D100,G100-H100))</f>
        <v/>
      </c>
      <c r="J100" s="26">
        <f>I100*E100/D100</f>
        <v/>
      </c>
      <c r="K100" s="10">
        <f>IF(I100=0,"Dispatched",IF(F100&lt;=30,"0-30",IF(F100&lt;=60,"31-60",IF(F100&lt;=90,"61-90","90+"))))</f>
        <v/>
      </c>
    </row>
    <row r="101">
      <c r="A101" s="24" t="inlineStr">
        <is>
          <t>Hyderabad</t>
        </is>
      </c>
      <c r="B101" s="24" t="inlineStr">
        <is>
          <t>25X25X2.8</t>
        </is>
      </c>
      <c r="C101" s="6" t="n">
        <v>46176</v>
      </c>
      <c r="D101" s="24" t="n">
        <v>145</v>
      </c>
      <c r="E101" s="25" t="n">
        <v>1.698</v>
      </c>
      <c r="F101" s="14">
        <f>AsOf-C101</f>
        <v/>
      </c>
      <c r="G101" s="11">
        <f>SUMIFS($D$2:$D$5000,$A$2:$A$5000,A101,$B$2:$B$5000,B101,$C$2:$C$5000,"&lt;="&amp;C101)</f>
        <v/>
      </c>
      <c r="H101" s="11">
        <f>SUMIFS(Dispatched!$C$2:$C$5000,Dispatched!$A$2:$A$5000,A101,Dispatched!$B$2:$B$5000,B101)</f>
        <v/>
      </c>
      <c r="I101" s="11">
        <f>MAX(0,MIN(D101,G101-H101))</f>
        <v/>
      </c>
      <c r="J101" s="26">
        <f>I101*E101/D101</f>
        <v/>
      </c>
      <c r="K101" s="10">
        <f>IF(I101=0,"Dispatched",IF(F101&lt;=30,"0-30",IF(F101&lt;=60,"31-60",IF(F101&lt;=90,"61-90","90+"))))</f>
        <v/>
      </c>
    </row>
    <row r="102">
      <c r="A102" s="24" t="inlineStr">
        <is>
          <t>Hyderabad</t>
        </is>
      </c>
      <c r="B102" s="24" t="inlineStr">
        <is>
          <t>25X25X2.8</t>
        </is>
      </c>
      <c r="C102" s="6" t="n">
        <v>46206</v>
      </c>
      <c r="D102" s="24" t="n">
        <v>1683</v>
      </c>
      <c r="E102" s="25" t="n">
        <v>19.71</v>
      </c>
      <c r="F102" s="14">
        <f>AsOf-C102</f>
        <v/>
      </c>
      <c r="G102" s="11">
        <f>SUMIFS($D$2:$D$5000,$A$2:$A$5000,A102,$B$2:$B$5000,B102,$C$2:$C$5000,"&lt;="&amp;C102)</f>
        <v/>
      </c>
      <c r="H102" s="11">
        <f>SUMIFS(Dispatched!$C$2:$C$5000,Dispatched!$A$2:$A$5000,A102,Dispatched!$B$2:$B$5000,B102)</f>
        <v/>
      </c>
      <c r="I102" s="11">
        <f>MAX(0,MIN(D102,G102-H102))</f>
        <v/>
      </c>
      <c r="J102" s="26">
        <f>I102*E102/D102</f>
        <v/>
      </c>
      <c r="K102" s="10">
        <f>IF(I102=0,"Dispatched",IF(F102&lt;=30,"0-30",IF(F102&lt;=60,"31-60",IF(F102&lt;=90,"61-90","90+"))))</f>
        <v/>
      </c>
    </row>
    <row r="103">
      <c r="A103" s="24" t="inlineStr">
        <is>
          <t>Hyderabad</t>
        </is>
      </c>
      <c r="B103" s="24" t="inlineStr">
        <is>
          <t>25X25X3.2</t>
        </is>
      </c>
      <c r="C103" s="6" t="n">
        <v>46206</v>
      </c>
      <c r="D103" s="24" t="n">
        <v>248</v>
      </c>
      <c r="E103" s="25" t="n">
        <v>3.063</v>
      </c>
      <c r="F103" s="14">
        <f>AsOf-C103</f>
        <v/>
      </c>
      <c r="G103" s="11">
        <f>SUMIFS($D$2:$D$5000,$A$2:$A$5000,A103,$B$2:$B$5000,B103,$C$2:$C$5000,"&lt;="&amp;C103)</f>
        <v/>
      </c>
      <c r="H103" s="11">
        <f>SUMIFS(Dispatched!$C$2:$C$5000,Dispatched!$A$2:$A$5000,A103,Dispatched!$B$2:$B$5000,B103)</f>
        <v/>
      </c>
      <c r="I103" s="11">
        <f>MAX(0,MIN(D103,G103-H103))</f>
        <v/>
      </c>
      <c r="J103" s="26">
        <f>I103*E103/D103</f>
        <v/>
      </c>
      <c r="K103" s="10">
        <f>IF(I103=0,"Dispatched",IF(F103&lt;=30,"0-30",IF(F103&lt;=60,"31-60",IF(F103&lt;=90,"61-90","90+"))))</f>
        <v/>
      </c>
    </row>
    <row r="104">
      <c r="A104" s="24" t="inlineStr">
        <is>
          <t>Hyderabad</t>
        </is>
      </c>
      <c r="B104" s="24" t="inlineStr">
        <is>
          <t>25X25X3.2</t>
        </is>
      </c>
      <c r="C104" s="6" t="n">
        <v>46298</v>
      </c>
      <c r="D104" s="24" t="n">
        <v>806</v>
      </c>
      <c r="E104" s="25" t="n">
        <v>9.954000000000001</v>
      </c>
      <c r="F104" s="14">
        <f>AsOf-C104</f>
        <v/>
      </c>
      <c r="G104" s="11">
        <f>SUMIFS($D$2:$D$5000,$A$2:$A$5000,A104,$B$2:$B$5000,B104,$C$2:$C$5000,"&lt;="&amp;C104)</f>
        <v/>
      </c>
      <c r="H104" s="11">
        <f>SUMIFS(Dispatched!$C$2:$C$5000,Dispatched!$A$2:$A$5000,A104,Dispatched!$B$2:$B$5000,B104)</f>
        <v/>
      </c>
      <c r="I104" s="11">
        <f>MAX(0,MIN(D104,G104-H104))</f>
        <v/>
      </c>
      <c r="J104" s="26">
        <f>I104*E104/D104</f>
        <v/>
      </c>
      <c r="K104" s="10">
        <f>IF(I104=0,"Dispatched",IF(F104&lt;=30,"0-30",IF(F104&lt;=60,"31-60",IF(F104&lt;=90,"61-90","90+"))))</f>
        <v/>
      </c>
    </row>
    <row r="105">
      <c r="A105" s="24" t="inlineStr">
        <is>
          <t>Hyderabad</t>
        </is>
      </c>
      <c r="B105" s="24" t="inlineStr">
        <is>
          <t>30X30X1.6</t>
        </is>
      </c>
      <c r="C105" s="6" t="n">
        <v>46178</v>
      </c>
      <c r="D105" s="24" t="n">
        <v>698</v>
      </c>
      <c r="E105" s="25" t="n">
        <v>5.976</v>
      </c>
      <c r="F105" s="14">
        <f>AsOf-C105</f>
        <v/>
      </c>
      <c r="G105" s="11">
        <f>SUMIFS($D$2:$D$5000,$A$2:$A$5000,A105,$B$2:$B$5000,B105,$C$2:$C$5000,"&lt;="&amp;C105)</f>
        <v/>
      </c>
      <c r="H105" s="11">
        <f>SUMIFS(Dispatched!$C$2:$C$5000,Dispatched!$A$2:$A$5000,A105,Dispatched!$B$2:$B$5000,B105)</f>
        <v/>
      </c>
      <c r="I105" s="11">
        <f>MAX(0,MIN(D105,G105-H105))</f>
        <v/>
      </c>
      <c r="J105" s="26">
        <f>I105*E105/D105</f>
        <v/>
      </c>
      <c r="K105" s="10">
        <f>IF(I105=0,"Dispatched",IF(F105&lt;=30,"0-30",IF(F105&lt;=60,"31-60",IF(F105&lt;=90,"61-90","90+"))))</f>
        <v/>
      </c>
    </row>
    <row r="106">
      <c r="A106" s="24" t="inlineStr">
        <is>
          <t>Hyderabad</t>
        </is>
      </c>
      <c r="B106" s="24" t="inlineStr">
        <is>
          <t>30X30X1.6</t>
        </is>
      </c>
      <c r="C106" s="6" t="n">
        <v>46179</v>
      </c>
      <c r="D106" s="24" t="n">
        <v>239</v>
      </c>
      <c r="E106" s="25" t="n">
        <v>2.046</v>
      </c>
      <c r="F106" s="14">
        <f>AsOf-C106</f>
        <v/>
      </c>
      <c r="G106" s="11">
        <f>SUMIFS($D$2:$D$5000,$A$2:$A$5000,A106,$B$2:$B$5000,B106,$C$2:$C$5000,"&lt;="&amp;C106)</f>
        <v/>
      </c>
      <c r="H106" s="11">
        <f>SUMIFS(Dispatched!$C$2:$C$5000,Dispatched!$A$2:$A$5000,A106,Dispatched!$B$2:$B$5000,B106)</f>
        <v/>
      </c>
      <c r="I106" s="11">
        <f>MAX(0,MIN(D106,G106-H106))</f>
        <v/>
      </c>
      <c r="J106" s="26">
        <f>I106*E106/D106</f>
        <v/>
      </c>
      <c r="K106" s="10">
        <f>IF(I106=0,"Dispatched",IF(F106&lt;=30,"0-30",IF(F106&lt;=60,"31-60",IF(F106&lt;=90,"61-90","90+"))))</f>
        <v/>
      </c>
    </row>
    <row r="107">
      <c r="A107" s="24" t="inlineStr">
        <is>
          <t>Hyderabad</t>
        </is>
      </c>
      <c r="B107" s="24" t="inlineStr">
        <is>
          <t>30X30X1.6</t>
        </is>
      </c>
      <c r="C107" s="6" t="n">
        <v>46211</v>
      </c>
      <c r="D107" s="24" t="n">
        <v>3688</v>
      </c>
      <c r="E107" s="25" t="n">
        <v>31.573</v>
      </c>
      <c r="F107" s="14">
        <f>AsOf-C107</f>
        <v/>
      </c>
      <c r="G107" s="11">
        <f>SUMIFS($D$2:$D$5000,$A$2:$A$5000,A107,$B$2:$B$5000,B107,$C$2:$C$5000,"&lt;="&amp;C107)</f>
        <v/>
      </c>
      <c r="H107" s="11">
        <f>SUMIFS(Dispatched!$C$2:$C$5000,Dispatched!$A$2:$A$5000,A107,Dispatched!$B$2:$B$5000,B107)</f>
        <v/>
      </c>
      <c r="I107" s="11">
        <f>MAX(0,MIN(D107,G107-H107))</f>
        <v/>
      </c>
      <c r="J107" s="26">
        <f>I107*E107/D107</f>
        <v/>
      </c>
      <c r="K107" s="10">
        <f>IF(I107=0,"Dispatched",IF(F107&lt;=30,"0-30",IF(F107&lt;=60,"31-60",IF(F107&lt;=90,"61-90","90+"))))</f>
        <v/>
      </c>
    </row>
    <row r="108">
      <c r="A108" s="24" t="inlineStr">
        <is>
          <t>Hyderabad</t>
        </is>
      </c>
      <c r="B108" s="24" t="inlineStr">
        <is>
          <t>30X30X1.6</t>
        </is>
      </c>
      <c r="C108" s="6" t="n">
        <v>46253</v>
      </c>
      <c r="D108" s="24" t="n">
        <v>1433</v>
      </c>
      <c r="E108" s="25" t="n">
        <v>12.268</v>
      </c>
      <c r="F108" s="14">
        <f>AsOf-C108</f>
        <v/>
      </c>
      <c r="G108" s="11">
        <f>SUMIFS($D$2:$D$5000,$A$2:$A$5000,A108,$B$2:$B$5000,B108,$C$2:$C$5000,"&lt;="&amp;C108)</f>
        <v/>
      </c>
      <c r="H108" s="11">
        <f>SUMIFS(Dispatched!$C$2:$C$5000,Dispatched!$A$2:$A$5000,A108,Dispatched!$B$2:$B$5000,B108)</f>
        <v/>
      </c>
      <c r="I108" s="11">
        <f>MAX(0,MIN(D108,G108-H108))</f>
        <v/>
      </c>
      <c r="J108" s="26">
        <f>I108*E108/D108</f>
        <v/>
      </c>
      <c r="K108" s="10">
        <f>IF(I108=0,"Dispatched",IF(F108&lt;=30,"0-30",IF(F108&lt;=60,"31-60",IF(F108&lt;=90,"61-90","90+"))))</f>
        <v/>
      </c>
    </row>
    <row r="109">
      <c r="A109" s="24" t="inlineStr">
        <is>
          <t>Hyderabad</t>
        </is>
      </c>
      <c r="B109" s="24" t="inlineStr">
        <is>
          <t>30X30X2</t>
        </is>
      </c>
      <c r="C109" s="6" t="n">
        <v>46178</v>
      </c>
      <c r="D109" s="24" t="n">
        <v>930</v>
      </c>
      <c r="E109" s="25" t="n">
        <v>9.811999999999999</v>
      </c>
      <c r="F109" s="14">
        <f>AsOf-C109</f>
        <v/>
      </c>
      <c r="G109" s="11">
        <f>SUMIFS($D$2:$D$5000,$A$2:$A$5000,A109,$B$2:$B$5000,B109,$C$2:$C$5000,"&lt;="&amp;C109)</f>
        <v/>
      </c>
      <c r="H109" s="11">
        <f>SUMIFS(Dispatched!$C$2:$C$5000,Dispatched!$A$2:$A$5000,A109,Dispatched!$B$2:$B$5000,B109)</f>
        <v/>
      </c>
      <c r="I109" s="11">
        <f>MAX(0,MIN(D109,G109-H109))</f>
        <v/>
      </c>
      <c r="J109" s="26">
        <f>I109*E109/D109</f>
        <v/>
      </c>
      <c r="K109" s="10">
        <f>IF(I109=0,"Dispatched",IF(F109&lt;=30,"0-30",IF(F109&lt;=60,"31-60",IF(F109&lt;=90,"61-90","90+"))))</f>
        <v/>
      </c>
    </row>
    <row r="110">
      <c r="A110" s="24" t="inlineStr">
        <is>
          <t>Hyderabad</t>
        </is>
      </c>
      <c r="B110" s="24" t="inlineStr">
        <is>
          <t>30X30X2</t>
        </is>
      </c>
      <c r="C110" s="6" t="n">
        <v>46209</v>
      </c>
      <c r="D110" s="24" t="n">
        <v>1395</v>
      </c>
      <c r="E110" s="25" t="n">
        <v>14.718</v>
      </c>
      <c r="F110" s="14">
        <f>AsOf-C110</f>
        <v/>
      </c>
      <c r="G110" s="11">
        <f>SUMIFS($D$2:$D$5000,$A$2:$A$5000,A110,$B$2:$B$5000,B110,$C$2:$C$5000,"&lt;="&amp;C110)</f>
        <v/>
      </c>
      <c r="H110" s="11">
        <f>SUMIFS(Dispatched!$C$2:$C$5000,Dispatched!$A$2:$A$5000,A110,Dispatched!$B$2:$B$5000,B110)</f>
        <v/>
      </c>
      <c r="I110" s="11">
        <f>MAX(0,MIN(D110,G110-H110))</f>
        <v/>
      </c>
      <c r="J110" s="26">
        <f>I110*E110/D110</f>
        <v/>
      </c>
      <c r="K110" s="10">
        <f>IF(I110=0,"Dispatched",IF(F110&lt;=30,"0-30",IF(F110&lt;=60,"31-60",IF(F110&lt;=90,"61-90","90+"))))</f>
        <v/>
      </c>
    </row>
    <row r="111">
      <c r="A111" s="24" t="inlineStr">
        <is>
          <t>Hyderabad</t>
        </is>
      </c>
      <c r="B111" s="24" t="inlineStr">
        <is>
          <t>30X30X2</t>
        </is>
      </c>
      <c r="C111" s="6" t="n">
        <v>46211</v>
      </c>
      <c r="D111" s="24" t="n">
        <v>1468</v>
      </c>
      <c r="E111" s="25" t="n">
        <v>15.488</v>
      </c>
      <c r="F111" s="14">
        <f>AsOf-C111</f>
        <v/>
      </c>
      <c r="G111" s="11">
        <f>SUMIFS($D$2:$D$5000,$A$2:$A$5000,A111,$B$2:$B$5000,B111,$C$2:$C$5000,"&lt;="&amp;C111)</f>
        <v/>
      </c>
      <c r="H111" s="11">
        <f>SUMIFS(Dispatched!$C$2:$C$5000,Dispatched!$A$2:$A$5000,A111,Dispatched!$B$2:$B$5000,B111)</f>
        <v/>
      </c>
      <c r="I111" s="11">
        <f>MAX(0,MIN(D111,G111-H111))</f>
        <v/>
      </c>
      <c r="J111" s="26">
        <f>I111*E111/D111</f>
        <v/>
      </c>
      <c r="K111" s="10">
        <f>IF(I111=0,"Dispatched",IF(F111&lt;=30,"0-30",IF(F111&lt;=60,"31-60",IF(F111&lt;=90,"61-90","90+"))))</f>
        <v/>
      </c>
    </row>
    <row r="112">
      <c r="A112" s="24" t="inlineStr">
        <is>
          <t>Hyderabad</t>
        </is>
      </c>
      <c r="B112" s="24" t="inlineStr">
        <is>
          <t>30X30X2.5</t>
        </is>
      </c>
      <c r="C112" s="6" t="n">
        <v>46178</v>
      </c>
      <c r="D112" s="24" t="n">
        <v>155</v>
      </c>
      <c r="E112" s="25" t="n">
        <v>2.008</v>
      </c>
      <c r="F112" s="14">
        <f>AsOf-C112</f>
        <v/>
      </c>
      <c r="G112" s="11">
        <f>SUMIFS($D$2:$D$5000,$A$2:$A$5000,A112,$B$2:$B$5000,B112,$C$2:$C$5000,"&lt;="&amp;C112)</f>
        <v/>
      </c>
      <c r="H112" s="11">
        <f>SUMIFS(Dispatched!$C$2:$C$5000,Dispatched!$A$2:$A$5000,A112,Dispatched!$B$2:$B$5000,B112)</f>
        <v/>
      </c>
      <c r="I112" s="11">
        <f>MAX(0,MIN(D112,G112-H112))</f>
        <v/>
      </c>
      <c r="J112" s="26">
        <f>I112*E112/D112</f>
        <v/>
      </c>
      <c r="K112" s="10">
        <f>IF(I112=0,"Dispatched",IF(F112&lt;=30,"0-30",IF(F112&lt;=60,"31-60",IF(F112&lt;=90,"61-90","90+"))))</f>
        <v/>
      </c>
    </row>
    <row r="113">
      <c r="A113" s="24" t="inlineStr">
        <is>
          <t>Hyderabad</t>
        </is>
      </c>
      <c r="B113" s="24" t="inlineStr">
        <is>
          <t>30X30X2.5</t>
        </is>
      </c>
      <c r="C113" s="6" t="n">
        <v>46179</v>
      </c>
      <c r="D113" s="24" t="n">
        <v>480</v>
      </c>
      <c r="E113" s="25" t="n">
        <v>6.217</v>
      </c>
      <c r="F113" s="14">
        <f>AsOf-C113</f>
        <v/>
      </c>
      <c r="G113" s="11">
        <f>SUMIFS($D$2:$D$5000,$A$2:$A$5000,A113,$B$2:$B$5000,B113,$C$2:$C$5000,"&lt;="&amp;C113)</f>
        <v/>
      </c>
      <c r="H113" s="11">
        <f>SUMIFS(Dispatched!$C$2:$C$5000,Dispatched!$A$2:$A$5000,A113,Dispatched!$B$2:$B$5000,B113)</f>
        <v/>
      </c>
      <c r="I113" s="11">
        <f>MAX(0,MIN(D113,G113-H113))</f>
        <v/>
      </c>
      <c r="J113" s="26">
        <f>I113*E113/D113</f>
        <v/>
      </c>
      <c r="K113" s="10">
        <f>IF(I113=0,"Dispatched",IF(F113&lt;=30,"0-30",IF(F113&lt;=60,"31-60",IF(F113&lt;=90,"61-90","90+"))))</f>
        <v/>
      </c>
    </row>
    <row r="114">
      <c r="A114" s="24" t="inlineStr">
        <is>
          <t>Hyderabad</t>
        </is>
      </c>
      <c r="B114" s="24" t="inlineStr">
        <is>
          <t>30X30X2.5</t>
        </is>
      </c>
      <c r="C114" s="6" t="n">
        <v>46209</v>
      </c>
      <c r="D114" s="24" t="n">
        <v>1611</v>
      </c>
      <c r="E114" s="25" t="n">
        <v>20.866</v>
      </c>
      <c r="F114" s="14">
        <f>AsOf-C114</f>
        <v/>
      </c>
      <c r="G114" s="11">
        <f>SUMIFS($D$2:$D$5000,$A$2:$A$5000,A114,$B$2:$B$5000,B114,$C$2:$C$5000,"&lt;="&amp;C114)</f>
        <v/>
      </c>
      <c r="H114" s="11">
        <f>SUMIFS(Dispatched!$C$2:$C$5000,Dispatched!$A$2:$A$5000,A114,Dispatched!$B$2:$B$5000,B114)</f>
        <v/>
      </c>
      <c r="I114" s="11">
        <f>MAX(0,MIN(D114,G114-H114))</f>
        <v/>
      </c>
      <c r="J114" s="26">
        <f>I114*E114/D114</f>
        <v/>
      </c>
      <c r="K114" s="10">
        <f>IF(I114=0,"Dispatched",IF(F114&lt;=30,"0-30",IF(F114&lt;=60,"31-60",IF(F114&lt;=90,"61-90","90+"))))</f>
        <v/>
      </c>
    </row>
    <row r="115">
      <c r="A115" s="24" t="inlineStr">
        <is>
          <t>Hyderabad</t>
        </is>
      </c>
      <c r="B115" s="24" t="inlineStr">
        <is>
          <t>32NBX1.6</t>
        </is>
      </c>
      <c r="C115" s="6" t="n">
        <v>46212</v>
      </c>
      <c r="D115" s="24" t="n">
        <v>229</v>
      </c>
      <c r="E115" s="25" t="n">
        <v>2.212</v>
      </c>
      <c r="F115" s="14">
        <f>AsOf-C115</f>
        <v/>
      </c>
      <c r="G115" s="11">
        <f>SUMIFS($D$2:$D$5000,$A$2:$A$5000,A115,$B$2:$B$5000,B115,$C$2:$C$5000,"&lt;="&amp;C115)</f>
        <v/>
      </c>
      <c r="H115" s="11">
        <f>SUMIFS(Dispatched!$C$2:$C$5000,Dispatched!$A$2:$A$5000,A115,Dispatched!$B$2:$B$5000,B115)</f>
        <v/>
      </c>
      <c r="I115" s="11">
        <f>MAX(0,MIN(D115,G115-H115))</f>
        <v/>
      </c>
      <c r="J115" s="26">
        <f>I115*E115/D115</f>
        <v/>
      </c>
      <c r="K115" s="10">
        <f>IF(I115=0,"Dispatched",IF(F115&lt;=30,"0-30",IF(F115&lt;=60,"31-60",IF(F115&lt;=90,"61-90","90+"))))</f>
        <v/>
      </c>
    </row>
    <row r="116">
      <c r="A116" s="24" t="inlineStr">
        <is>
          <t>Hyderabad</t>
        </is>
      </c>
      <c r="B116" s="24" t="inlineStr">
        <is>
          <t>32NBX1.6</t>
        </is>
      </c>
      <c r="C116" s="6" t="n">
        <v>46213</v>
      </c>
      <c r="D116" s="24" t="n">
        <v>2082</v>
      </c>
      <c r="E116" s="25" t="n">
        <v>20.111</v>
      </c>
      <c r="F116" s="14">
        <f>AsOf-C116</f>
        <v/>
      </c>
      <c r="G116" s="11">
        <f>SUMIFS($D$2:$D$5000,$A$2:$A$5000,A116,$B$2:$B$5000,B116,$C$2:$C$5000,"&lt;="&amp;C116)</f>
        <v/>
      </c>
      <c r="H116" s="11">
        <f>SUMIFS(Dispatched!$C$2:$C$5000,Dispatched!$A$2:$A$5000,A116,Dispatched!$B$2:$B$5000,B116)</f>
        <v/>
      </c>
      <c r="I116" s="11">
        <f>MAX(0,MIN(D116,G116-H116))</f>
        <v/>
      </c>
      <c r="J116" s="26">
        <f>I116*E116/D116</f>
        <v/>
      </c>
      <c r="K116" s="10">
        <f>IF(I116=0,"Dispatched",IF(F116&lt;=30,"0-30",IF(F116&lt;=60,"31-60",IF(F116&lt;=90,"61-90","90+"))))</f>
        <v/>
      </c>
    </row>
    <row r="117">
      <c r="A117" s="24" t="inlineStr">
        <is>
          <t>Hyderabad</t>
        </is>
      </c>
      <c r="B117" s="24" t="inlineStr">
        <is>
          <t>32NBX1.6</t>
        </is>
      </c>
      <c r="C117" s="6" t="n">
        <v>46272</v>
      </c>
      <c r="D117" s="24" t="n">
        <v>433</v>
      </c>
      <c r="E117" s="25" t="n">
        <v>4.183</v>
      </c>
      <c r="F117" s="14">
        <f>AsOf-C117</f>
        <v/>
      </c>
      <c r="G117" s="11">
        <f>SUMIFS($D$2:$D$5000,$A$2:$A$5000,A117,$B$2:$B$5000,B117,$C$2:$C$5000,"&lt;="&amp;C117)</f>
        <v/>
      </c>
      <c r="H117" s="11">
        <f>SUMIFS(Dispatched!$C$2:$C$5000,Dispatched!$A$2:$A$5000,A117,Dispatched!$B$2:$B$5000,B117)</f>
        <v/>
      </c>
      <c r="I117" s="11">
        <f>MAX(0,MIN(D117,G117-H117))</f>
        <v/>
      </c>
      <c r="J117" s="26">
        <f>I117*E117/D117</f>
        <v/>
      </c>
      <c r="K117" s="10">
        <f>IF(I117=0,"Dispatched",IF(F117&lt;=30,"0-30",IF(F117&lt;=60,"31-60",IF(F117&lt;=90,"61-90","90+"))))</f>
        <v/>
      </c>
    </row>
    <row r="118">
      <c r="A118" s="24" t="inlineStr">
        <is>
          <t>Hyderabad</t>
        </is>
      </c>
      <c r="B118" s="24" t="inlineStr">
        <is>
          <t>32NBX2</t>
        </is>
      </c>
      <c r="C118" s="6" t="n">
        <v>46185</v>
      </c>
      <c r="D118" s="24" t="n">
        <v>1710</v>
      </c>
      <c r="E118" s="25" t="n">
        <v>20.445</v>
      </c>
      <c r="F118" s="14">
        <f>AsOf-C118</f>
        <v/>
      </c>
      <c r="G118" s="11">
        <f>SUMIFS($D$2:$D$5000,$A$2:$A$5000,A118,$B$2:$B$5000,B118,$C$2:$C$5000,"&lt;="&amp;C118)</f>
        <v/>
      </c>
      <c r="H118" s="11">
        <f>SUMIFS(Dispatched!$C$2:$C$5000,Dispatched!$A$2:$A$5000,A118,Dispatched!$B$2:$B$5000,B118)</f>
        <v/>
      </c>
      <c r="I118" s="11">
        <f>MAX(0,MIN(D118,G118-H118))</f>
        <v/>
      </c>
      <c r="J118" s="26">
        <f>I118*E118/D118</f>
        <v/>
      </c>
      <c r="K118" s="10">
        <f>IF(I118=0,"Dispatched",IF(F118&lt;=30,"0-30",IF(F118&lt;=60,"31-60",IF(F118&lt;=90,"61-90","90+"))))</f>
        <v/>
      </c>
    </row>
    <row r="119">
      <c r="A119" s="24" t="inlineStr">
        <is>
          <t>Hyderabad</t>
        </is>
      </c>
      <c r="B119" s="24" t="inlineStr">
        <is>
          <t>32NBX2</t>
        </is>
      </c>
      <c r="C119" s="6" t="n">
        <v>46212</v>
      </c>
      <c r="D119" s="24" t="n">
        <v>2697</v>
      </c>
      <c r="E119" s="25" t="n">
        <v>32.245</v>
      </c>
      <c r="F119" s="14">
        <f>AsOf-C119</f>
        <v/>
      </c>
      <c r="G119" s="11">
        <f>SUMIFS($D$2:$D$5000,$A$2:$A$5000,A119,$B$2:$B$5000,B119,$C$2:$C$5000,"&lt;="&amp;C119)</f>
        <v/>
      </c>
      <c r="H119" s="11">
        <f>SUMIFS(Dispatched!$C$2:$C$5000,Dispatched!$A$2:$A$5000,A119,Dispatched!$B$2:$B$5000,B119)</f>
        <v/>
      </c>
      <c r="I119" s="11">
        <f>MAX(0,MIN(D119,G119-H119))</f>
        <v/>
      </c>
      <c r="J119" s="26">
        <f>I119*E119/D119</f>
        <v/>
      </c>
      <c r="K119" s="10">
        <f>IF(I119=0,"Dispatched",IF(F119&lt;=30,"0-30",IF(F119&lt;=60,"31-60",IF(F119&lt;=90,"61-90","90+"))))</f>
        <v/>
      </c>
    </row>
    <row r="120">
      <c r="A120" s="24" t="inlineStr">
        <is>
          <t>Hyderabad</t>
        </is>
      </c>
      <c r="B120" s="24" t="inlineStr">
        <is>
          <t>32NBX2</t>
        </is>
      </c>
      <c r="C120" s="6" t="n">
        <v>46253</v>
      </c>
      <c r="D120" s="24" t="n">
        <v>1625</v>
      </c>
      <c r="E120" s="25" t="n">
        <v>19.428</v>
      </c>
      <c r="F120" s="14">
        <f>AsOf-C120</f>
        <v/>
      </c>
      <c r="G120" s="11">
        <f>SUMIFS($D$2:$D$5000,$A$2:$A$5000,A120,$B$2:$B$5000,B120,$C$2:$C$5000,"&lt;="&amp;C120)</f>
        <v/>
      </c>
      <c r="H120" s="11">
        <f>SUMIFS(Dispatched!$C$2:$C$5000,Dispatched!$A$2:$A$5000,A120,Dispatched!$B$2:$B$5000,B120)</f>
        <v/>
      </c>
      <c r="I120" s="11">
        <f>MAX(0,MIN(D120,G120-H120))</f>
        <v/>
      </c>
      <c r="J120" s="26">
        <f>I120*E120/D120</f>
        <v/>
      </c>
      <c r="K120" s="10">
        <f>IF(I120=0,"Dispatched",IF(F120&lt;=30,"0-30",IF(F120&lt;=60,"31-60",IF(F120&lt;=90,"61-90","90+"))))</f>
        <v/>
      </c>
    </row>
    <row r="121">
      <c r="A121" s="24" t="inlineStr">
        <is>
          <t>Hyderabad</t>
        </is>
      </c>
      <c r="B121" s="24" t="inlineStr">
        <is>
          <t>32NBX2.5</t>
        </is>
      </c>
      <c r="C121" s="6" t="n">
        <v>46189</v>
      </c>
      <c r="D121" s="24" t="n">
        <v>997</v>
      </c>
      <c r="E121" s="25" t="n">
        <v>14.716</v>
      </c>
      <c r="F121" s="14">
        <f>AsOf-C121</f>
        <v/>
      </c>
      <c r="G121" s="11">
        <f>SUMIFS($D$2:$D$5000,$A$2:$A$5000,A121,$B$2:$B$5000,B121,$C$2:$C$5000,"&lt;="&amp;C121)</f>
        <v/>
      </c>
      <c r="H121" s="11">
        <f>SUMIFS(Dispatched!$C$2:$C$5000,Dispatched!$A$2:$A$5000,A121,Dispatched!$B$2:$B$5000,B121)</f>
        <v/>
      </c>
      <c r="I121" s="11">
        <f>MAX(0,MIN(D121,G121-H121))</f>
        <v/>
      </c>
      <c r="J121" s="26">
        <f>I121*E121/D121</f>
        <v/>
      </c>
      <c r="K121" s="10">
        <f>IF(I121=0,"Dispatched",IF(F121&lt;=30,"0-30",IF(F121&lt;=60,"31-60",IF(F121&lt;=90,"61-90","90+"))))</f>
        <v/>
      </c>
    </row>
    <row r="122">
      <c r="A122" s="24" t="inlineStr">
        <is>
          <t>Hyderabad</t>
        </is>
      </c>
      <c r="B122" s="24" t="inlineStr">
        <is>
          <t>32NBX2.5</t>
        </is>
      </c>
      <c r="C122" s="6" t="n">
        <v>46212</v>
      </c>
      <c r="D122" s="24" t="n">
        <v>146</v>
      </c>
      <c r="E122" s="25" t="n">
        <v>2.155</v>
      </c>
      <c r="F122" s="14">
        <f>AsOf-C122</f>
        <v/>
      </c>
      <c r="G122" s="11">
        <f>SUMIFS($D$2:$D$5000,$A$2:$A$5000,A122,$B$2:$B$5000,B122,$C$2:$C$5000,"&lt;="&amp;C122)</f>
        <v/>
      </c>
      <c r="H122" s="11">
        <f>SUMIFS(Dispatched!$C$2:$C$5000,Dispatched!$A$2:$A$5000,A122,Dispatched!$B$2:$B$5000,B122)</f>
        <v/>
      </c>
      <c r="I122" s="11">
        <f>MAX(0,MIN(D122,G122-H122))</f>
        <v/>
      </c>
      <c r="J122" s="26">
        <f>I122*E122/D122</f>
        <v/>
      </c>
      <c r="K122" s="10">
        <f>IF(I122=0,"Dispatched",IF(F122&lt;=30,"0-30",IF(F122&lt;=60,"31-60",IF(F122&lt;=90,"61-90","90+"))))</f>
        <v/>
      </c>
    </row>
    <row r="123">
      <c r="A123" s="24" t="inlineStr">
        <is>
          <t>Hyderabad</t>
        </is>
      </c>
      <c r="B123" s="24" t="inlineStr">
        <is>
          <t>32NBX2.5</t>
        </is>
      </c>
      <c r="C123" s="6" t="n">
        <v>46213</v>
      </c>
      <c r="D123" s="24" t="n">
        <v>2458</v>
      </c>
      <c r="E123" s="25" t="n">
        <v>36.28</v>
      </c>
      <c r="F123" s="14">
        <f>AsOf-C123</f>
        <v/>
      </c>
      <c r="G123" s="11">
        <f>SUMIFS($D$2:$D$5000,$A$2:$A$5000,A123,$B$2:$B$5000,B123,$C$2:$C$5000,"&lt;="&amp;C123)</f>
        <v/>
      </c>
      <c r="H123" s="11">
        <f>SUMIFS(Dispatched!$C$2:$C$5000,Dispatched!$A$2:$A$5000,A123,Dispatched!$B$2:$B$5000,B123)</f>
        <v/>
      </c>
      <c r="I123" s="11">
        <f>MAX(0,MIN(D123,G123-H123))</f>
        <v/>
      </c>
      <c r="J123" s="26">
        <f>I123*E123/D123</f>
        <v/>
      </c>
      <c r="K123" s="10">
        <f>IF(I123=0,"Dispatched",IF(F123&lt;=30,"0-30",IF(F123&lt;=60,"31-60",IF(F123&lt;=90,"61-90","90+"))))</f>
        <v/>
      </c>
    </row>
    <row r="124">
      <c r="A124" s="24" t="inlineStr">
        <is>
          <t>Hyderabad</t>
        </is>
      </c>
      <c r="B124" s="24" t="inlineStr">
        <is>
          <t>32NBX2.5</t>
        </is>
      </c>
      <c r="C124" s="6" t="n">
        <v>46305</v>
      </c>
      <c r="D124" s="24" t="n">
        <v>291</v>
      </c>
      <c r="E124" s="25" t="n">
        <v>4.295</v>
      </c>
      <c r="F124" s="14">
        <f>AsOf-C124</f>
        <v/>
      </c>
      <c r="G124" s="11">
        <f>SUMIFS($D$2:$D$5000,$A$2:$A$5000,A124,$B$2:$B$5000,B124,$C$2:$C$5000,"&lt;="&amp;C124)</f>
        <v/>
      </c>
      <c r="H124" s="11">
        <f>SUMIFS(Dispatched!$C$2:$C$5000,Dispatched!$A$2:$A$5000,A124,Dispatched!$B$2:$B$5000,B124)</f>
        <v/>
      </c>
      <c r="I124" s="11">
        <f>MAX(0,MIN(D124,G124-H124))</f>
        <v/>
      </c>
      <c r="J124" s="26">
        <f>I124*E124/D124</f>
        <v/>
      </c>
      <c r="K124" s="10">
        <f>IF(I124=0,"Dispatched",IF(F124&lt;=30,"0-30",IF(F124&lt;=60,"31-60",IF(F124&lt;=90,"61-90","90+"))))</f>
        <v/>
      </c>
    </row>
    <row r="125">
      <c r="A125" s="24" t="inlineStr">
        <is>
          <t>Hyderabad</t>
        </is>
      </c>
      <c r="B125" s="24" t="inlineStr">
        <is>
          <t>32NBX2.8</t>
        </is>
      </c>
      <c r="C125" s="6" t="n">
        <v>46186</v>
      </c>
      <c r="D125" s="24" t="n">
        <v>756</v>
      </c>
      <c r="E125" s="25" t="n">
        <v>12.404</v>
      </c>
      <c r="F125" s="14">
        <f>AsOf-C125</f>
        <v/>
      </c>
      <c r="G125" s="11">
        <f>SUMIFS($D$2:$D$5000,$A$2:$A$5000,A125,$B$2:$B$5000,B125,$C$2:$C$5000,"&lt;="&amp;C125)</f>
        <v/>
      </c>
      <c r="H125" s="11">
        <f>SUMIFS(Dispatched!$C$2:$C$5000,Dispatched!$A$2:$A$5000,A125,Dispatched!$B$2:$B$5000,B125)</f>
        <v/>
      </c>
      <c r="I125" s="11">
        <f>MAX(0,MIN(D125,G125-H125))</f>
        <v/>
      </c>
      <c r="J125" s="26">
        <f>I125*E125/D125</f>
        <v/>
      </c>
      <c r="K125" s="10">
        <f>IF(I125=0,"Dispatched",IF(F125&lt;=30,"0-30",IF(F125&lt;=60,"31-60",IF(F125&lt;=90,"61-90","90+"))))</f>
        <v/>
      </c>
    </row>
    <row r="126">
      <c r="A126" s="24" t="inlineStr">
        <is>
          <t>Hyderabad</t>
        </is>
      </c>
      <c r="B126" s="24" t="inlineStr">
        <is>
          <t>32NBX2.8</t>
        </is>
      </c>
      <c r="C126" s="6" t="n">
        <v>46212</v>
      </c>
      <c r="D126" s="24" t="n">
        <v>127</v>
      </c>
      <c r="E126" s="25" t="n">
        <v>2.084</v>
      </c>
      <c r="F126" s="14">
        <f>AsOf-C126</f>
        <v/>
      </c>
      <c r="G126" s="11">
        <f>SUMIFS($D$2:$D$5000,$A$2:$A$5000,A126,$B$2:$B$5000,B126,$C$2:$C$5000,"&lt;="&amp;C126)</f>
        <v/>
      </c>
      <c r="H126" s="11">
        <f>SUMIFS(Dispatched!$C$2:$C$5000,Dispatched!$A$2:$A$5000,A126,Dispatched!$B$2:$B$5000,B126)</f>
        <v/>
      </c>
      <c r="I126" s="11">
        <f>MAX(0,MIN(D126,G126-H126))</f>
        <v/>
      </c>
      <c r="J126" s="26">
        <f>I126*E126/D126</f>
        <v/>
      </c>
      <c r="K126" s="10">
        <f>IF(I126=0,"Dispatched",IF(F126&lt;=30,"0-30",IF(F126&lt;=60,"31-60",IF(F126&lt;=90,"61-90","90+"))))</f>
        <v/>
      </c>
    </row>
    <row r="127">
      <c r="A127" s="24" t="inlineStr">
        <is>
          <t>Hyderabad</t>
        </is>
      </c>
      <c r="B127" s="24" t="inlineStr">
        <is>
          <t>32NBX2.8</t>
        </is>
      </c>
      <c r="C127" s="6" t="n">
        <v>46253</v>
      </c>
      <c r="D127" s="24" t="n">
        <v>1553</v>
      </c>
      <c r="E127" s="25" t="n">
        <v>25.48</v>
      </c>
      <c r="F127" s="14">
        <f>AsOf-C127</f>
        <v/>
      </c>
      <c r="G127" s="11">
        <f>SUMIFS($D$2:$D$5000,$A$2:$A$5000,A127,$B$2:$B$5000,B127,$C$2:$C$5000,"&lt;="&amp;C127)</f>
        <v/>
      </c>
      <c r="H127" s="11">
        <f>SUMIFS(Dispatched!$C$2:$C$5000,Dispatched!$A$2:$A$5000,A127,Dispatched!$B$2:$B$5000,B127)</f>
        <v/>
      </c>
      <c r="I127" s="11">
        <f>MAX(0,MIN(D127,G127-H127))</f>
        <v/>
      </c>
      <c r="J127" s="26">
        <f>I127*E127/D127</f>
        <v/>
      </c>
      <c r="K127" s="10">
        <f>IF(I127=0,"Dispatched",IF(F127&lt;=30,"0-30",IF(F127&lt;=60,"31-60",IF(F127&lt;=90,"61-90","90+"))))</f>
        <v/>
      </c>
    </row>
    <row r="128">
      <c r="A128" s="24" t="inlineStr">
        <is>
          <t>Hyderabad</t>
        </is>
      </c>
      <c r="B128" s="24" t="inlineStr">
        <is>
          <t>32NBX2.8</t>
        </is>
      </c>
      <c r="C128" s="6" t="n">
        <v>46272</v>
      </c>
      <c r="D128" s="24" t="n">
        <v>949</v>
      </c>
      <c r="E128" s="25" t="n">
        <v>15.57</v>
      </c>
      <c r="F128" s="14">
        <f>AsOf-C128</f>
        <v/>
      </c>
      <c r="G128" s="11">
        <f>SUMIFS($D$2:$D$5000,$A$2:$A$5000,A128,$B$2:$B$5000,B128,$C$2:$C$5000,"&lt;="&amp;C128)</f>
        <v/>
      </c>
      <c r="H128" s="11">
        <f>SUMIFS(Dispatched!$C$2:$C$5000,Dispatched!$A$2:$A$5000,A128,Dispatched!$B$2:$B$5000,B128)</f>
        <v/>
      </c>
      <c r="I128" s="11">
        <f>MAX(0,MIN(D128,G128-H128))</f>
        <v/>
      </c>
      <c r="J128" s="26">
        <f>I128*E128/D128</f>
        <v/>
      </c>
      <c r="K128" s="10">
        <f>IF(I128=0,"Dispatched",IF(F128&lt;=30,"0-30",IF(F128&lt;=60,"31-60",IF(F128&lt;=90,"61-90","90+"))))</f>
        <v/>
      </c>
    </row>
    <row r="129">
      <c r="A129" s="24" t="inlineStr">
        <is>
          <t>Hyderabad</t>
        </is>
      </c>
      <c r="B129" s="24" t="inlineStr">
        <is>
          <t>32NBX2.8</t>
        </is>
      </c>
      <c r="C129" s="6" t="n">
        <v>46305</v>
      </c>
      <c r="D129" s="24" t="n">
        <v>491</v>
      </c>
      <c r="E129" s="25" t="n">
        <v>8.055999999999999</v>
      </c>
      <c r="F129" s="14">
        <f>AsOf-C129</f>
        <v/>
      </c>
      <c r="G129" s="11">
        <f>SUMIFS($D$2:$D$5000,$A$2:$A$5000,A129,$B$2:$B$5000,B129,$C$2:$C$5000,"&lt;="&amp;C129)</f>
        <v/>
      </c>
      <c r="H129" s="11">
        <f>SUMIFS(Dispatched!$C$2:$C$5000,Dispatched!$A$2:$A$5000,A129,Dispatched!$B$2:$B$5000,B129)</f>
        <v/>
      </c>
      <c r="I129" s="11">
        <f>MAX(0,MIN(D129,G129-H129))</f>
        <v/>
      </c>
      <c r="J129" s="26">
        <f>I129*E129/D129</f>
        <v/>
      </c>
      <c r="K129" s="10">
        <f>IF(I129=0,"Dispatched",IF(F129&lt;=30,"0-30",IF(F129&lt;=60,"31-60",IF(F129&lt;=90,"61-90","90+"))))</f>
        <v/>
      </c>
    </row>
    <row r="130">
      <c r="A130" s="24" t="inlineStr">
        <is>
          <t>Hyderabad</t>
        </is>
      </c>
      <c r="B130" s="24" t="inlineStr">
        <is>
          <t>32NBX4</t>
        </is>
      </c>
      <c r="C130" s="6" t="n">
        <v>46272</v>
      </c>
      <c r="D130" s="24" t="n">
        <v>431</v>
      </c>
      <c r="E130" s="25" t="n">
        <v>9.795999999999999</v>
      </c>
      <c r="F130" s="14">
        <f>AsOf-C130</f>
        <v/>
      </c>
      <c r="G130" s="11">
        <f>SUMIFS($D$2:$D$5000,$A$2:$A$5000,A130,$B$2:$B$5000,B130,$C$2:$C$5000,"&lt;="&amp;C130)</f>
        <v/>
      </c>
      <c r="H130" s="11">
        <f>SUMIFS(Dispatched!$C$2:$C$5000,Dispatched!$A$2:$A$5000,A130,Dispatched!$B$2:$B$5000,B130)</f>
        <v/>
      </c>
      <c r="I130" s="11">
        <f>MAX(0,MIN(D130,G130-H130))</f>
        <v/>
      </c>
      <c r="J130" s="26">
        <f>I130*E130/D130</f>
        <v/>
      </c>
      <c r="K130" s="10">
        <f>IF(I130=0,"Dispatched",IF(F130&lt;=30,"0-30",IF(F130&lt;=60,"31-60",IF(F130&lt;=90,"61-90","90+"))))</f>
        <v/>
      </c>
    </row>
    <row r="131">
      <c r="A131" s="24" t="inlineStr">
        <is>
          <t>Hyderabad</t>
        </is>
      </c>
      <c r="B131" s="24" t="inlineStr">
        <is>
          <t>38X38X1.6</t>
        </is>
      </c>
      <c r="C131" s="6" t="n">
        <v>46153</v>
      </c>
      <c r="D131" s="24" t="n">
        <v>1866</v>
      </c>
      <c r="E131" s="25" t="n">
        <v>20.475</v>
      </c>
      <c r="F131" s="14">
        <f>AsOf-C131</f>
        <v/>
      </c>
      <c r="G131" s="11">
        <f>SUMIFS($D$2:$D$5000,$A$2:$A$5000,A131,$B$2:$B$5000,B131,$C$2:$C$5000,"&lt;="&amp;C131)</f>
        <v/>
      </c>
      <c r="H131" s="11">
        <f>SUMIFS(Dispatched!$C$2:$C$5000,Dispatched!$A$2:$A$5000,A131,Dispatched!$B$2:$B$5000,B131)</f>
        <v/>
      </c>
      <c r="I131" s="11">
        <f>MAX(0,MIN(D131,G131-H131))</f>
        <v/>
      </c>
      <c r="J131" s="26">
        <f>I131*E131/D131</f>
        <v/>
      </c>
      <c r="K131" s="10">
        <f>IF(I131=0,"Dispatched",IF(F131&lt;=30,"0-30",IF(F131&lt;=60,"31-60",IF(F131&lt;=90,"61-90","90+"))))</f>
        <v/>
      </c>
    </row>
    <row r="132">
      <c r="A132" s="24" t="inlineStr">
        <is>
          <t>Hyderabad</t>
        </is>
      </c>
      <c r="B132" s="24" t="inlineStr">
        <is>
          <t>38X38X1.6</t>
        </is>
      </c>
      <c r="C132" s="6" t="n">
        <v>46154</v>
      </c>
      <c r="D132" s="24" t="n">
        <v>3574</v>
      </c>
      <c r="E132" s="25" t="n">
        <v>39.215</v>
      </c>
      <c r="F132" s="14">
        <f>AsOf-C132</f>
        <v/>
      </c>
      <c r="G132" s="11">
        <f>SUMIFS($D$2:$D$5000,$A$2:$A$5000,A132,$B$2:$B$5000,B132,$C$2:$C$5000,"&lt;="&amp;C132)</f>
        <v/>
      </c>
      <c r="H132" s="11">
        <f>SUMIFS(Dispatched!$C$2:$C$5000,Dispatched!$A$2:$A$5000,A132,Dispatched!$B$2:$B$5000,B132)</f>
        <v/>
      </c>
      <c r="I132" s="11">
        <f>MAX(0,MIN(D132,G132-H132))</f>
        <v/>
      </c>
      <c r="J132" s="26">
        <f>I132*E132/D132</f>
        <v/>
      </c>
      <c r="K132" s="10">
        <f>IF(I132=0,"Dispatched",IF(F132&lt;=30,"0-30",IF(F132&lt;=60,"31-60",IF(F132&lt;=90,"61-90","90+"))))</f>
        <v/>
      </c>
    </row>
    <row r="133">
      <c r="A133" s="24" t="inlineStr">
        <is>
          <t>Hyderabad</t>
        </is>
      </c>
      <c r="B133" s="24" t="inlineStr">
        <is>
          <t>38X38X1.6</t>
        </is>
      </c>
      <c r="C133" s="6" t="n">
        <v>46167</v>
      </c>
      <c r="D133" s="24" t="n">
        <v>6751</v>
      </c>
      <c r="E133" s="25" t="n">
        <v>74.075</v>
      </c>
      <c r="F133" s="14">
        <f>AsOf-C133</f>
        <v/>
      </c>
      <c r="G133" s="11">
        <f>SUMIFS($D$2:$D$5000,$A$2:$A$5000,A133,$B$2:$B$5000,B133,$C$2:$C$5000,"&lt;="&amp;C133)</f>
        <v/>
      </c>
      <c r="H133" s="11">
        <f>SUMIFS(Dispatched!$C$2:$C$5000,Dispatched!$A$2:$A$5000,A133,Dispatched!$B$2:$B$5000,B133)</f>
        <v/>
      </c>
      <c r="I133" s="11">
        <f>MAX(0,MIN(D133,G133-H133))</f>
        <v/>
      </c>
      <c r="J133" s="26">
        <f>I133*E133/D133</f>
        <v/>
      </c>
      <c r="K133" s="10">
        <f>IF(I133=0,"Dispatched",IF(F133&lt;=30,"0-30",IF(F133&lt;=60,"31-60",IF(F133&lt;=90,"61-90","90+"))))</f>
        <v/>
      </c>
    </row>
    <row r="134">
      <c r="A134" s="24" t="inlineStr">
        <is>
          <t>Hyderabad</t>
        </is>
      </c>
      <c r="B134" s="24" t="inlineStr">
        <is>
          <t>38X38X1.6</t>
        </is>
      </c>
      <c r="C134" s="6" t="n">
        <v>46241</v>
      </c>
      <c r="D134" s="24" t="n">
        <v>2874</v>
      </c>
      <c r="E134" s="25" t="n">
        <v>31.535</v>
      </c>
      <c r="F134" s="14">
        <f>AsOf-C134</f>
        <v/>
      </c>
      <c r="G134" s="11">
        <f>SUMIFS($D$2:$D$5000,$A$2:$A$5000,A134,$B$2:$B$5000,B134,$C$2:$C$5000,"&lt;="&amp;C134)</f>
        <v/>
      </c>
      <c r="H134" s="11">
        <f>SUMIFS(Dispatched!$C$2:$C$5000,Dispatched!$A$2:$A$5000,A134,Dispatched!$B$2:$B$5000,B134)</f>
        <v/>
      </c>
      <c r="I134" s="11">
        <f>MAX(0,MIN(D134,G134-H134))</f>
        <v/>
      </c>
      <c r="J134" s="26">
        <f>I134*E134/D134</f>
        <v/>
      </c>
      <c r="K134" s="10">
        <f>IF(I134=0,"Dispatched",IF(F134&lt;=30,"0-30",IF(F134&lt;=60,"31-60",IF(F134&lt;=90,"61-90","90+"))))</f>
        <v/>
      </c>
    </row>
    <row r="135">
      <c r="A135" s="24" t="inlineStr">
        <is>
          <t>Hyderabad</t>
        </is>
      </c>
      <c r="B135" s="24" t="inlineStr">
        <is>
          <t>38X38X1.6</t>
        </is>
      </c>
      <c r="C135" s="6" t="n">
        <v>46300</v>
      </c>
      <c r="D135" s="24" t="n">
        <v>1430</v>
      </c>
      <c r="E135" s="25" t="n">
        <v>15.691</v>
      </c>
      <c r="F135" s="14">
        <f>AsOf-C135</f>
        <v/>
      </c>
      <c r="G135" s="11">
        <f>SUMIFS($D$2:$D$5000,$A$2:$A$5000,A135,$B$2:$B$5000,B135,$C$2:$C$5000,"&lt;="&amp;C135)</f>
        <v/>
      </c>
      <c r="H135" s="11">
        <f>SUMIFS(Dispatched!$C$2:$C$5000,Dispatched!$A$2:$A$5000,A135,Dispatched!$B$2:$B$5000,B135)</f>
        <v/>
      </c>
      <c r="I135" s="11">
        <f>MAX(0,MIN(D135,G135-H135))</f>
        <v/>
      </c>
      <c r="J135" s="26">
        <f>I135*E135/D135</f>
        <v/>
      </c>
      <c r="K135" s="10">
        <f>IF(I135=0,"Dispatched",IF(F135&lt;=30,"0-30",IF(F135&lt;=60,"31-60",IF(F135&lt;=90,"61-90","90+"))))</f>
        <v/>
      </c>
    </row>
    <row r="136">
      <c r="A136" s="24" t="inlineStr">
        <is>
          <t>Hyderabad</t>
        </is>
      </c>
      <c r="B136" s="24" t="inlineStr">
        <is>
          <t>38X38X2</t>
        </is>
      </c>
      <c r="C136" s="6" t="n">
        <v>46154</v>
      </c>
      <c r="D136" s="24" t="n">
        <v>694</v>
      </c>
      <c r="E136" s="25" t="n">
        <v>9.414</v>
      </c>
      <c r="F136" s="14">
        <f>AsOf-C136</f>
        <v/>
      </c>
      <c r="G136" s="11">
        <f>SUMIFS($D$2:$D$5000,$A$2:$A$5000,A136,$B$2:$B$5000,B136,$C$2:$C$5000,"&lt;="&amp;C136)</f>
        <v/>
      </c>
      <c r="H136" s="11">
        <f>SUMIFS(Dispatched!$C$2:$C$5000,Dispatched!$A$2:$A$5000,A136,Dispatched!$B$2:$B$5000,B136)</f>
        <v/>
      </c>
      <c r="I136" s="11">
        <f>MAX(0,MIN(D136,G136-H136))</f>
        <v/>
      </c>
      <c r="J136" s="26">
        <f>I136*E136/D136</f>
        <v/>
      </c>
      <c r="K136" s="10">
        <f>IF(I136=0,"Dispatched",IF(F136&lt;=30,"0-30",IF(F136&lt;=60,"31-60",IF(F136&lt;=90,"61-90","90+"))))</f>
        <v/>
      </c>
    </row>
    <row r="137">
      <c r="A137" s="24" t="inlineStr">
        <is>
          <t>Hyderabad</t>
        </is>
      </c>
      <c r="B137" s="24" t="inlineStr">
        <is>
          <t>38X38X2</t>
        </is>
      </c>
      <c r="C137" s="6" t="n">
        <v>46168</v>
      </c>
      <c r="D137" s="24" t="n">
        <v>5970</v>
      </c>
      <c r="E137" s="25" t="n">
        <v>80.982</v>
      </c>
      <c r="F137" s="14">
        <f>AsOf-C137</f>
        <v/>
      </c>
      <c r="G137" s="11">
        <f>SUMIFS($D$2:$D$5000,$A$2:$A$5000,A137,$B$2:$B$5000,B137,$C$2:$C$5000,"&lt;="&amp;C137)</f>
        <v/>
      </c>
      <c r="H137" s="11">
        <f>SUMIFS(Dispatched!$C$2:$C$5000,Dispatched!$A$2:$A$5000,A137,Dispatched!$B$2:$B$5000,B137)</f>
        <v/>
      </c>
      <c r="I137" s="11">
        <f>MAX(0,MIN(D137,G137-H137))</f>
        <v/>
      </c>
      <c r="J137" s="26">
        <f>I137*E137/D137</f>
        <v/>
      </c>
      <c r="K137" s="10">
        <f>IF(I137=0,"Dispatched",IF(F137&lt;=30,"0-30",IF(F137&lt;=60,"31-60",IF(F137&lt;=90,"61-90","90+"))))</f>
        <v/>
      </c>
    </row>
    <row r="138">
      <c r="A138" s="24" t="inlineStr">
        <is>
          <t>Hyderabad</t>
        </is>
      </c>
      <c r="B138" s="24" t="inlineStr">
        <is>
          <t>38X38X2</t>
        </is>
      </c>
      <c r="C138" s="6" t="n">
        <v>46217</v>
      </c>
      <c r="D138" s="24" t="n">
        <v>2000</v>
      </c>
      <c r="E138" s="25" t="n">
        <v>27.13</v>
      </c>
      <c r="F138" s="14">
        <f>AsOf-C138</f>
        <v/>
      </c>
      <c r="G138" s="11">
        <f>SUMIFS($D$2:$D$5000,$A$2:$A$5000,A138,$B$2:$B$5000,B138,$C$2:$C$5000,"&lt;="&amp;C138)</f>
        <v/>
      </c>
      <c r="H138" s="11">
        <f>SUMIFS(Dispatched!$C$2:$C$5000,Dispatched!$A$2:$A$5000,A138,Dispatched!$B$2:$B$5000,B138)</f>
        <v/>
      </c>
      <c r="I138" s="11">
        <f>MAX(0,MIN(D138,G138-H138))</f>
        <v/>
      </c>
      <c r="J138" s="26">
        <f>I138*E138/D138</f>
        <v/>
      </c>
      <c r="K138" s="10">
        <f>IF(I138=0,"Dispatched",IF(F138&lt;=30,"0-30",IF(F138&lt;=60,"31-60",IF(F138&lt;=90,"61-90","90+"))))</f>
        <v/>
      </c>
    </row>
    <row r="139">
      <c r="A139" s="24" t="inlineStr">
        <is>
          <t>Hyderabad</t>
        </is>
      </c>
      <c r="B139" s="24" t="inlineStr">
        <is>
          <t>38X38X2</t>
        </is>
      </c>
      <c r="C139" s="6" t="n">
        <v>46242</v>
      </c>
      <c r="D139" s="24" t="n">
        <v>1971</v>
      </c>
      <c r="E139" s="25" t="n">
        <v>26.736</v>
      </c>
      <c r="F139" s="14">
        <f>AsOf-C139</f>
        <v/>
      </c>
      <c r="G139" s="11">
        <f>SUMIFS($D$2:$D$5000,$A$2:$A$5000,A139,$B$2:$B$5000,B139,$C$2:$C$5000,"&lt;="&amp;C139)</f>
        <v/>
      </c>
      <c r="H139" s="11">
        <f>SUMIFS(Dispatched!$C$2:$C$5000,Dispatched!$A$2:$A$5000,A139,Dispatched!$B$2:$B$5000,B139)</f>
        <v/>
      </c>
      <c r="I139" s="11">
        <f>MAX(0,MIN(D139,G139-H139))</f>
        <v/>
      </c>
      <c r="J139" s="26">
        <f>I139*E139/D139</f>
        <v/>
      </c>
      <c r="K139" s="10">
        <f>IF(I139=0,"Dispatched",IF(F139&lt;=30,"0-30",IF(F139&lt;=60,"31-60",IF(F139&lt;=90,"61-90","90+"))))</f>
        <v/>
      </c>
    </row>
    <row r="140">
      <c r="A140" s="24" t="inlineStr">
        <is>
          <t>Hyderabad</t>
        </is>
      </c>
      <c r="B140" s="24" t="inlineStr">
        <is>
          <t>38X38X2</t>
        </is>
      </c>
      <c r="C140" s="6" t="n">
        <v>46284</v>
      </c>
      <c r="D140" s="24" t="n">
        <v>1454</v>
      </c>
      <c r="E140" s="25" t="n">
        <v>19.723</v>
      </c>
      <c r="F140" s="14">
        <f>AsOf-C140</f>
        <v/>
      </c>
      <c r="G140" s="11">
        <f>SUMIFS($D$2:$D$5000,$A$2:$A$5000,A140,$B$2:$B$5000,B140,$C$2:$C$5000,"&lt;="&amp;C140)</f>
        <v/>
      </c>
      <c r="H140" s="11">
        <f>SUMIFS(Dispatched!$C$2:$C$5000,Dispatched!$A$2:$A$5000,A140,Dispatched!$B$2:$B$5000,B140)</f>
        <v/>
      </c>
      <c r="I140" s="11">
        <f>MAX(0,MIN(D140,G140-H140))</f>
        <v/>
      </c>
      <c r="J140" s="26">
        <f>I140*E140/D140</f>
        <v/>
      </c>
      <c r="K140" s="10">
        <f>IF(I140=0,"Dispatched",IF(F140&lt;=30,"0-30",IF(F140&lt;=60,"31-60",IF(F140&lt;=90,"61-90","90+"))))</f>
        <v/>
      </c>
    </row>
    <row r="141">
      <c r="A141" s="24" t="inlineStr">
        <is>
          <t>Hyderabad</t>
        </is>
      </c>
      <c r="B141" s="24" t="inlineStr">
        <is>
          <t>38X38X2</t>
        </is>
      </c>
      <c r="C141" s="6" t="n">
        <v>46300</v>
      </c>
      <c r="D141" s="24" t="n">
        <v>611</v>
      </c>
      <c r="E141" s="25" t="n">
        <v>8.288</v>
      </c>
      <c r="F141" s="14">
        <f>AsOf-C141</f>
        <v/>
      </c>
      <c r="G141" s="11">
        <f>SUMIFS($D$2:$D$5000,$A$2:$A$5000,A141,$B$2:$B$5000,B141,$C$2:$C$5000,"&lt;="&amp;C141)</f>
        <v/>
      </c>
      <c r="H141" s="11">
        <f>SUMIFS(Dispatched!$C$2:$C$5000,Dispatched!$A$2:$A$5000,A141,Dispatched!$B$2:$B$5000,B141)</f>
        <v/>
      </c>
      <c r="I141" s="11">
        <f>MAX(0,MIN(D141,G141-H141))</f>
        <v/>
      </c>
      <c r="J141" s="26">
        <f>I141*E141/D141</f>
        <v/>
      </c>
      <c r="K141" s="10">
        <f>IF(I141=0,"Dispatched",IF(F141&lt;=30,"0-30",IF(F141&lt;=60,"31-60",IF(F141&lt;=90,"61-90","90+"))))</f>
        <v/>
      </c>
    </row>
    <row r="142">
      <c r="A142" s="24" t="inlineStr">
        <is>
          <t>Hyderabad</t>
        </is>
      </c>
      <c r="B142" s="24" t="inlineStr">
        <is>
          <t>38X38X2</t>
        </is>
      </c>
      <c r="C142" s="6" t="n">
        <v>46301</v>
      </c>
      <c r="D142" s="24" t="n">
        <v>2266</v>
      </c>
      <c r="E142" s="25" t="n">
        <v>30.738</v>
      </c>
      <c r="F142" s="14">
        <f>AsOf-C142</f>
        <v/>
      </c>
      <c r="G142" s="11">
        <f>SUMIFS($D$2:$D$5000,$A$2:$A$5000,A142,$B$2:$B$5000,B142,$C$2:$C$5000,"&lt;="&amp;C142)</f>
        <v/>
      </c>
      <c r="H142" s="11">
        <f>SUMIFS(Dispatched!$C$2:$C$5000,Dispatched!$A$2:$A$5000,A142,Dispatched!$B$2:$B$5000,B142)</f>
        <v/>
      </c>
      <c r="I142" s="11">
        <f>MAX(0,MIN(D142,G142-H142))</f>
        <v/>
      </c>
      <c r="J142" s="26">
        <f>I142*E142/D142</f>
        <v/>
      </c>
      <c r="K142" s="10">
        <f>IF(I142=0,"Dispatched",IF(F142&lt;=30,"0-30",IF(F142&lt;=60,"31-60",IF(F142&lt;=90,"61-90","90+"))))</f>
        <v/>
      </c>
    </row>
    <row r="143">
      <c r="A143" s="24" t="inlineStr">
        <is>
          <t>Hyderabad</t>
        </is>
      </c>
      <c r="B143" s="24" t="inlineStr">
        <is>
          <t>38X38X2.2</t>
        </is>
      </c>
      <c r="C143" s="6" t="n">
        <v>46113</v>
      </c>
      <c r="D143" s="24" t="n">
        <v>1094</v>
      </c>
      <c r="E143" s="25" t="n">
        <v>16.233</v>
      </c>
      <c r="F143" s="14">
        <f>AsOf-C143</f>
        <v/>
      </c>
      <c r="G143" s="11">
        <f>SUMIFS($D$2:$D$5000,$A$2:$A$5000,A143,$B$2:$B$5000,B143,$C$2:$C$5000,"&lt;="&amp;C143)</f>
        <v/>
      </c>
      <c r="H143" s="11">
        <f>SUMIFS(Dispatched!$C$2:$C$5000,Dispatched!$A$2:$A$5000,A143,Dispatched!$B$2:$B$5000,B143)</f>
        <v/>
      </c>
      <c r="I143" s="11">
        <f>MAX(0,MIN(D143,G143-H143))</f>
        <v/>
      </c>
      <c r="J143" s="26">
        <f>I143*E143/D143</f>
        <v/>
      </c>
      <c r="K143" s="10">
        <f>IF(I143=0,"Dispatched",IF(F143&lt;=30,"0-30",IF(F143&lt;=60,"31-60",IF(F143&lt;=90,"61-90","90+"))))</f>
        <v/>
      </c>
    </row>
    <row r="144">
      <c r="A144" s="24" t="inlineStr">
        <is>
          <t>Hyderabad</t>
        </is>
      </c>
      <c r="B144" s="24" t="inlineStr">
        <is>
          <t>38X38X2.5</t>
        </is>
      </c>
      <c r="C144" s="6" t="n">
        <v>46111</v>
      </c>
      <c r="D144" s="24" t="n">
        <v>646</v>
      </c>
      <c r="E144" s="25" t="n">
        <v>10.801</v>
      </c>
      <c r="F144" s="14">
        <f>AsOf-C144</f>
        <v/>
      </c>
      <c r="G144" s="11">
        <f>SUMIFS($D$2:$D$5000,$A$2:$A$5000,A144,$B$2:$B$5000,B144,$C$2:$C$5000,"&lt;="&amp;C144)</f>
        <v/>
      </c>
      <c r="H144" s="11">
        <f>SUMIFS(Dispatched!$C$2:$C$5000,Dispatched!$A$2:$A$5000,A144,Dispatched!$B$2:$B$5000,B144)</f>
        <v/>
      </c>
      <c r="I144" s="11">
        <f>MAX(0,MIN(D144,G144-H144))</f>
        <v/>
      </c>
      <c r="J144" s="26">
        <f>I144*E144/D144</f>
        <v/>
      </c>
      <c r="K144" s="10">
        <f>IF(I144=0,"Dispatched",IF(F144&lt;=30,"0-30",IF(F144&lt;=60,"31-60",IF(F144&lt;=90,"61-90","90+"))))</f>
        <v/>
      </c>
    </row>
    <row r="145">
      <c r="A145" s="24" t="inlineStr">
        <is>
          <t>Hyderabad</t>
        </is>
      </c>
      <c r="B145" s="24" t="inlineStr">
        <is>
          <t>38X38X2.5</t>
        </is>
      </c>
      <c r="C145" s="6" t="n">
        <v>46113</v>
      </c>
      <c r="D145" s="24" t="n">
        <v>8</v>
      </c>
      <c r="E145" s="25" t="n">
        <v>0.134</v>
      </c>
      <c r="F145" s="14">
        <f>AsOf-C145</f>
        <v/>
      </c>
      <c r="G145" s="11">
        <f>SUMIFS($D$2:$D$5000,$A$2:$A$5000,A145,$B$2:$B$5000,B145,$C$2:$C$5000,"&lt;="&amp;C145)</f>
        <v/>
      </c>
      <c r="H145" s="11">
        <f>SUMIFS(Dispatched!$C$2:$C$5000,Dispatched!$A$2:$A$5000,A145,Dispatched!$B$2:$B$5000,B145)</f>
        <v/>
      </c>
      <c r="I145" s="11">
        <f>MAX(0,MIN(D145,G145-H145))</f>
        <v/>
      </c>
      <c r="J145" s="26">
        <f>I145*E145/D145</f>
        <v/>
      </c>
      <c r="K145" s="10">
        <f>IF(I145=0,"Dispatched",IF(F145&lt;=30,"0-30",IF(F145&lt;=60,"31-60",IF(F145&lt;=90,"61-90","90+"))))</f>
        <v/>
      </c>
    </row>
    <row r="146">
      <c r="A146" s="24" t="inlineStr">
        <is>
          <t>Hyderabad</t>
        </is>
      </c>
      <c r="B146" s="24" t="inlineStr">
        <is>
          <t>38X38X2.5</t>
        </is>
      </c>
      <c r="C146" s="6" t="n">
        <v>46155</v>
      </c>
      <c r="D146" s="24" t="n">
        <v>308</v>
      </c>
      <c r="E146" s="25" t="n">
        <v>5.15</v>
      </c>
      <c r="F146" s="14">
        <f>AsOf-C146</f>
        <v/>
      </c>
      <c r="G146" s="11">
        <f>SUMIFS($D$2:$D$5000,$A$2:$A$5000,A146,$B$2:$B$5000,B146,$C$2:$C$5000,"&lt;="&amp;C146)</f>
        <v/>
      </c>
      <c r="H146" s="11">
        <f>SUMIFS(Dispatched!$C$2:$C$5000,Dispatched!$A$2:$A$5000,A146,Dispatched!$B$2:$B$5000,B146)</f>
        <v/>
      </c>
      <c r="I146" s="11">
        <f>MAX(0,MIN(D146,G146-H146))</f>
        <v/>
      </c>
      <c r="J146" s="26">
        <f>I146*E146/D146</f>
        <v/>
      </c>
      <c r="K146" s="10">
        <f>IF(I146=0,"Dispatched",IF(F146&lt;=30,"0-30",IF(F146&lt;=60,"31-60",IF(F146&lt;=90,"61-90","90+"))))</f>
        <v/>
      </c>
    </row>
    <row r="147">
      <c r="A147" s="24" t="inlineStr">
        <is>
          <t>Hyderabad</t>
        </is>
      </c>
      <c r="B147" s="24" t="inlineStr">
        <is>
          <t>38X38X2.5</t>
        </is>
      </c>
      <c r="C147" s="6" t="n">
        <v>46164</v>
      </c>
      <c r="D147" s="24" t="n">
        <v>1005</v>
      </c>
      <c r="E147" s="25" t="n">
        <v>16.804</v>
      </c>
      <c r="F147" s="14">
        <f>AsOf-C147</f>
        <v/>
      </c>
      <c r="G147" s="11">
        <f>SUMIFS($D$2:$D$5000,$A$2:$A$5000,A147,$B$2:$B$5000,B147,$C$2:$C$5000,"&lt;="&amp;C147)</f>
        <v/>
      </c>
      <c r="H147" s="11">
        <f>SUMIFS(Dispatched!$C$2:$C$5000,Dispatched!$A$2:$A$5000,A147,Dispatched!$B$2:$B$5000,B147)</f>
        <v/>
      </c>
      <c r="I147" s="11">
        <f>MAX(0,MIN(D147,G147-H147))</f>
        <v/>
      </c>
      <c r="J147" s="26">
        <f>I147*E147/D147</f>
        <v/>
      </c>
      <c r="K147" s="10">
        <f>IF(I147=0,"Dispatched",IF(F147&lt;=30,"0-30",IF(F147&lt;=60,"31-60",IF(F147&lt;=90,"61-90","90+"))))</f>
        <v/>
      </c>
    </row>
    <row r="148">
      <c r="A148" s="24" t="inlineStr">
        <is>
          <t>Hyderabad</t>
        </is>
      </c>
      <c r="B148" s="24" t="inlineStr">
        <is>
          <t>38X38X2.5</t>
        </is>
      </c>
      <c r="C148" s="6" t="n">
        <v>46165</v>
      </c>
      <c r="D148" s="24" t="n">
        <v>747</v>
      </c>
      <c r="E148" s="25" t="n">
        <v>12.49</v>
      </c>
      <c r="F148" s="14">
        <f>AsOf-C148</f>
        <v/>
      </c>
      <c r="G148" s="11">
        <f>SUMIFS($D$2:$D$5000,$A$2:$A$5000,A148,$B$2:$B$5000,B148,$C$2:$C$5000,"&lt;="&amp;C148)</f>
        <v/>
      </c>
      <c r="H148" s="11">
        <f>SUMIFS(Dispatched!$C$2:$C$5000,Dispatched!$A$2:$A$5000,A148,Dispatched!$B$2:$B$5000,B148)</f>
        <v/>
      </c>
      <c r="I148" s="11">
        <f>MAX(0,MIN(D148,G148-H148))</f>
        <v/>
      </c>
      <c r="J148" s="26">
        <f>I148*E148/D148</f>
        <v/>
      </c>
      <c r="K148" s="10">
        <f>IF(I148=0,"Dispatched",IF(F148&lt;=30,"0-30",IF(F148&lt;=60,"31-60",IF(F148&lt;=90,"61-90","90+"))))</f>
        <v/>
      </c>
    </row>
    <row r="149">
      <c r="A149" s="24" t="inlineStr">
        <is>
          <t>Hyderabad</t>
        </is>
      </c>
      <c r="B149" s="24" t="inlineStr">
        <is>
          <t>38X38X2.5</t>
        </is>
      </c>
      <c r="C149" s="6" t="n">
        <v>46197</v>
      </c>
      <c r="D149" s="24" t="n">
        <v>1221</v>
      </c>
      <c r="E149" s="25" t="n">
        <v>20.416</v>
      </c>
      <c r="F149" s="14">
        <f>AsOf-C149</f>
        <v/>
      </c>
      <c r="G149" s="11">
        <f>SUMIFS($D$2:$D$5000,$A$2:$A$5000,A149,$B$2:$B$5000,B149,$C$2:$C$5000,"&lt;="&amp;C149)</f>
        <v/>
      </c>
      <c r="H149" s="11">
        <f>SUMIFS(Dispatched!$C$2:$C$5000,Dispatched!$A$2:$A$5000,A149,Dispatched!$B$2:$B$5000,B149)</f>
        <v/>
      </c>
      <c r="I149" s="11">
        <f>MAX(0,MIN(D149,G149-H149))</f>
        <v/>
      </c>
      <c r="J149" s="26">
        <f>I149*E149/D149</f>
        <v/>
      </c>
      <c r="K149" s="10">
        <f>IF(I149=0,"Dispatched",IF(F149&lt;=30,"0-30",IF(F149&lt;=60,"31-60",IF(F149&lt;=90,"61-90","90+"))))</f>
        <v/>
      </c>
    </row>
    <row r="150">
      <c r="A150" s="24" t="inlineStr">
        <is>
          <t>Hyderabad</t>
        </is>
      </c>
      <c r="B150" s="24" t="inlineStr">
        <is>
          <t>38X38X2.5</t>
        </is>
      </c>
      <c r="C150" s="6" t="n">
        <v>46217</v>
      </c>
      <c r="D150" s="24" t="n">
        <v>1599</v>
      </c>
      <c r="E150" s="25" t="n">
        <v>26.736</v>
      </c>
      <c r="F150" s="14">
        <f>AsOf-C150</f>
        <v/>
      </c>
      <c r="G150" s="11">
        <f>SUMIFS($D$2:$D$5000,$A$2:$A$5000,A150,$B$2:$B$5000,B150,$C$2:$C$5000,"&lt;="&amp;C150)</f>
        <v/>
      </c>
      <c r="H150" s="11">
        <f>SUMIFS(Dispatched!$C$2:$C$5000,Dispatched!$A$2:$A$5000,A150,Dispatched!$B$2:$B$5000,B150)</f>
        <v/>
      </c>
      <c r="I150" s="11">
        <f>MAX(0,MIN(D150,G150-H150))</f>
        <v/>
      </c>
      <c r="J150" s="26">
        <f>I150*E150/D150</f>
        <v/>
      </c>
      <c r="K150" s="10">
        <f>IF(I150=0,"Dispatched",IF(F150&lt;=30,"0-30",IF(F150&lt;=60,"31-60",IF(F150&lt;=90,"61-90","90+"))))</f>
        <v/>
      </c>
    </row>
    <row r="151">
      <c r="A151" s="24" t="inlineStr">
        <is>
          <t>Hyderabad</t>
        </is>
      </c>
      <c r="B151" s="24" t="inlineStr">
        <is>
          <t>38X38X2.5</t>
        </is>
      </c>
      <c r="C151" s="6" t="n">
        <v>46242</v>
      </c>
      <c r="D151" s="24" t="n">
        <v>1200</v>
      </c>
      <c r="E151" s="25" t="n">
        <v>20.065</v>
      </c>
      <c r="F151" s="14">
        <f>AsOf-C151</f>
        <v/>
      </c>
      <c r="G151" s="11">
        <f>SUMIFS($D$2:$D$5000,$A$2:$A$5000,A151,$B$2:$B$5000,B151,$C$2:$C$5000,"&lt;="&amp;C151)</f>
        <v/>
      </c>
      <c r="H151" s="11">
        <f>SUMIFS(Dispatched!$C$2:$C$5000,Dispatched!$A$2:$A$5000,A151,Dispatched!$B$2:$B$5000,B151)</f>
        <v/>
      </c>
      <c r="I151" s="11">
        <f>MAX(0,MIN(D151,G151-H151))</f>
        <v/>
      </c>
      <c r="J151" s="26">
        <f>I151*E151/D151</f>
        <v/>
      </c>
      <c r="K151" s="10">
        <f>IF(I151=0,"Dispatched",IF(F151&lt;=30,"0-30",IF(F151&lt;=60,"31-60",IF(F151&lt;=90,"61-90","90+"))))</f>
        <v/>
      </c>
    </row>
    <row r="152">
      <c r="A152" s="24" t="inlineStr">
        <is>
          <t>Hyderabad</t>
        </is>
      </c>
      <c r="B152" s="24" t="inlineStr">
        <is>
          <t>38X38X2.5</t>
        </is>
      </c>
      <c r="C152" s="6" t="n">
        <v>46284</v>
      </c>
      <c r="D152" s="24" t="n">
        <v>1018</v>
      </c>
      <c r="E152" s="25" t="n">
        <v>17.021</v>
      </c>
      <c r="F152" s="14">
        <f>AsOf-C152</f>
        <v/>
      </c>
      <c r="G152" s="11">
        <f>SUMIFS($D$2:$D$5000,$A$2:$A$5000,A152,$B$2:$B$5000,B152,$C$2:$C$5000,"&lt;="&amp;C152)</f>
        <v/>
      </c>
      <c r="H152" s="11">
        <f>SUMIFS(Dispatched!$C$2:$C$5000,Dispatched!$A$2:$A$5000,A152,Dispatched!$B$2:$B$5000,B152)</f>
        <v/>
      </c>
      <c r="I152" s="11">
        <f>MAX(0,MIN(D152,G152-H152))</f>
        <v/>
      </c>
      <c r="J152" s="26">
        <f>I152*E152/D152</f>
        <v/>
      </c>
      <c r="K152" s="10">
        <f>IF(I152=0,"Dispatched",IF(F152&lt;=30,"0-30",IF(F152&lt;=60,"31-60",IF(F152&lt;=90,"61-90","90+"))))</f>
        <v/>
      </c>
    </row>
    <row r="153">
      <c r="A153" s="24" t="inlineStr">
        <is>
          <t>Hyderabad</t>
        </is>
      </c>
      <c r="B153" s="24" t="inlineStr">
        <is>
          <t>38X38X2.8</t>
        </is>
      </c>
      <c r="C153" s="6" t="n">
        <v>46109</v>
      </c>
      <c r="D153" s="24" t="n">
        <v>248</v>
      </c>
      <c r="E153" s="25" t="n">
        <v>4.605</v>
      </c>
      <c r="F153" s="14">
        <f>AsOf-C153</f>
        <v/>
      </c>
      <c r="G153" s="11">
        <f>SUMIFS($D$2:$D$5000,$A$2:$A$5000,A153,$B$2:$B$5000,B153,$C$2:$C$5000,"&lt;="&amp;C153)</f>
        <v/>
      </c>
      <c r="H153" s="11">
        <f>SUMIFS(Dispatched!$C$2:$C$5000,Dispatched!$A$2:$A$5000,A153,Dispatched!$B$2:$B$5000,B153)</f>
        <v/>
      </c>
      <c r="I153" s="11">
        <f>MAX(0,MIN(D153,G153-H153))</f>
        <v/>
      </c>
      <c r="J153" s="26">
        <f>I153*E153/D153</f>
        <v/>
      </c>
      <c r="K153" s="10">
        <f>IF(I153=0,"Dispatched",IF(F153&lt;=30,"0-30",IF(F153&lt;=60,"31-60",IF(F153&lt;=90,"61-90","90+"))))</f>
        <v/>
      </c>
    </row>
    <row r="154">
      <c r="A154" s="24" t="inlineStr">
        <is>
          <t>Hyderabad</t>
        </is>
      </c>
      <c r="B154" s="24" t="inlineStr">
        <is>
          <t>38X38X2.8</t>
        </is>
      </c>
      <c r="C154" s="6" t="n">
        <v>46111</v>
      </c>
      <c r="D154" s="24" t="n">
        <v>1018</v>
      </c>
      <c r="E154" s="25" t="n">
        <v>18.903</v>
      </c>
      <c r="F154" s="14">
        <f>AsOf-C154</f>
        <v/>
      </c>
      <c r="G154" s="11">
        <f>SUMIFS($D$2:$D$5000,$A$2:$A$5000,A154,$B$2:$B$5000,B154,$C$2:$C$5000,"&lt;="&amp;C154)</f>
        <v/>
      </c>
      <c r="H154" s="11">
        <f>SUMIFS(Dispatched!$C$2:$C$5000,Dispatched!$A$2:$A$5000,A154,Dispatched!$B$2:$B$5000,B154)</f>
        <v/>
      </c>
      <c r="I154" s="11">
        <f>MAX(0,MIN(D154,G154-H154))</f>
        <v/>
      </c>
      <c r="J154" s="26">
        <f>I154*E154/D154</f>
        <v/>
      </c>
      <c r="K154" s="10">
        <f>IF(I154=0,"Dispatched",IF(F154&lt;=30,"0-30",IF(F154&lt;=60,"31-60",IF(F154&lt;=90,"61-90","90+"))))</f>
        <v/>
      </c>
    </row>
    <row r="155">
      <c r="A155" s="24" t="inlineStr">
        <is>
          <t>Hyderabad</t>
        </is>
      </c>
      <c r="B155" s="24" t="inlineStr">
        <is>
          <t>38X38X2.8</t>
        </is>
      </c>
      <c r="C155" s="6" t="n">
        <v>46165</v>
      </c>
      <c r="D155" s="24" t="n">
        <v>1122</v>
      </c>
      <c r="E155" s="25" t="n">
        <v>20.834</v>
      </c>
      <c r="F155" s="14">
        <f>AsOf-C155</f>
        <v/>
      </c>
      <c r="G155" s="11">
        <f>SUMIFS($D$2:$D$5000,$A$2:$A$5000,A155,$B$2:$B$5000,B155,$C$2:$C$5000,"&lt;="&amp;C155)</f>
        <v/>
      </c>
      <c r="H155" s="11">
        <f>SUMIFS(Dispatched!$C$2:$C$5000,Dispatched!$A$2:$A$5000,A155,Dispatched!$B$2:$B$5000,B155)</f>
        <v/>
      </c>
      <c r="I155" s="11">
        <f>MAX(0,MIN(D155,G155-H155))</f>
        <v/>
      </c>
      <c r="J155" s="26">
        <f>I155*E155/D155</f>
        <v/>
      </c>
      <c r="K155" s="10">
        <f>IF(I155=0,"Dispatched",IF(F155&lt;=30,"0-30",IF(F155&lt;=60,"31-60",IF(F155&lt;=90,"61-90","90+"))))</f>
        <v/>
      </c>
    </row>
    <row r="156">
      <c r="A156" s="24" t="inlineStr">
        <is>
          <t>Hyderabad</t>
        </is>
      </c>
      <c r="B156" s="24" t="inlineStr">
        <is>
          <t>38X38X2.8</t>
        </is>
      </c>
      <c r="C156" s="6" t="n">
        <v>46197</v>
      </c>
      <c r="D156" s="24" t="n">
        <v>913</v>
      </c>
      <c r="E156" s="25" t="n">
        <v>16.953</v>
      </c>
      <c r="F156" s="14">
        <f>AsOf-C156</f>
        <v/>
      </c>
      <c r="G156" s="11">
        <f>SUMIFS($D$2:$D$5000,$A$2:$A$5000,A156,$B$2:$B$5000,B156,$C$2:$C$5000,"&lt;="&amp;C156)</f>
        <v/>
      </c>
      <c r="H156" s="11">
        <f>SUMIFS(Dispatched!$C$2:$C$5000,Dispatched!$A$2:$A$5000,A156,Dispatched!$B$2:$B$5000,B156)</f>
        <v/>
      </c>
      <c r="I156" s="11">
        <f>MAX(0,MIN(D156,G156-H156))</f>
        <v/>
      </c>
      <c r="J156" s="26">
        <f>I156*E156/D156</f>
        <v/>
      </c>
      <c r="K156" s="10">
        <f>IF(I156=0,"Dispatched",IF(F156&lt;=30,"0-30",IF(F156&lt;=60,"31-60",IF(F156&lt;=90,"61-90","90+"))))</f>
        <v/>
      </c>
    </row>
    <row r="157">
      <c r="A157" s="24" t="inlineStr">
        <is>
          <t>Hyderabad</t>
        </is>
      </c>
      <c r="B157" s="24" t="inlineStr">
        <is>
          <t>38X38X2.8</t>
        </is>
      </c>
      <c r="C157" s="6" t="n">
        <v>46254</v>
      </c>
      <c r="D157" s="24" t="n">
        <v>889</v>
      </c>
      <c r="E157" s="25" t="n">
        <v>16.508</v>
      </c>
      <c r="F157" s="14">
        <f>AsOf-C157</f>
        <v/>
      </c>
      <c r="G157" s="11">
        <f>SUMIFS($D$2:$D$5000,$A$2:$A$5000,A157,$B$2:$B$5000,B157,$C$2:$C$5000,"&lt;="&amp;C157)</f>
        <v/>
      </c>
      <c r="H157" s="11">
        <f>SUMIFS(Dispatched!$C$2:$C$5000,Dispatched!$A$2:$A$5000,A157,Dispatched!$B$2:$B$5000,B157)</f>
        <v/>
      </c>
      <c r="I157" s="11">
        <f>MAX(0,MIN(D157,G157-H157))</f>
        <v/>
      </c>
      <c r="J157" s="26">
        <f>I157*E157/D157</f>
        <v/>
      </c>
      <c r="K157" s="10">
        <f>IF(I157=0,"Dispatched",IF(F157&lt;=30,"0-30",IF(F157&lt;=60,"31-60",IF(F157&lt;=90,"61-90","90+"))))</f>
        <v/>
      </c>
    </row>
    <row r="158">
      <c r="A158" s="24" t="inlineStr">
        <is>
          <t>Hyderabad</t>
        </is>
      </c>
      <c r="B158" s="24" t="inlineStr">
        <is>
          <t>38X38X2.8</t>
        </is>
      </c>
      <c r="C158" s="6" t="n">
        <v>46284</v>
      </c>
      <c r="D158" s="24" t="n">
        <v>839</v>
      </c>
      <c r="E158" s="25" t="n">
        <v>15.579</v>
      </c>
      <c r="F158" s="14">
        <f>AsOf-C158</f>
        <v/>
      </c>
      <c r="G158" s="11">
        <f>SUMIFS($D$2:$D$5000,$A$2:$A$5000,A158,$B$2:$B$5000,B158,$C$2:$C$5000,"&lt;="&amp;C158)</f>
        <v/>
      </c>
      <c r="H158" s="11">
        <f>SUMIFS(Dispatched!$C$2:$C$5000,Dispatched!$A$2:$A$5000,A158,Dispatched!$B$2:$B$5000,B158)</f>
        <v/>
      </c>
      <c r="I158" s="11">
        <f>MAX(0,MIN(D158,G158-H158))</f>
        <v/>
      </c>
      <c r="J158" s="26">
        <f>I158*E158/D158</f>
        <v/>
      </c>
      <c r="K158" s="10">
        <f>IF(I158=0,"Dispatched",IF(F158&lt;=30,"0-30",IF(F158&lt;=60,"31-60",IF(F158&lt;=90,"61-90","90+"))))</f>
        <v/>
      </c>
    </row>
    <row r="159">
      <c r="A159" s="24" t="inlineStr">
        <is>
          <t>Hyderabad</t>
        </is>
      </c>
      <c r="B159" s="24" t="inlineStr">
        <is>
          <t>38X38X4</t>
        </is>
      </c>
      <c r="C159" s="6" t="n">
        <v>46197</v>
      </c>
      <c r="D159" s="24" t="n">
        <v>680</v>
      </c>
      <c r="E159" s="25" t="n">
        <v>16.592</v>
      </c>
      <c r="F159" s="14">
        <f>AsOf-C159</f>
        <v/>
      </c>
      <c r="G159" s="11">
        <f>SUMIFS($D$2:$D$5000,$A$2:$A$5000,A159,$B$2:$B$5000,B159,$C$2:$C$5000,"&lt;="&amp;C159)</f>
        <v/>
      </c>
      <c r="H159" s="11">
        <f>SUMIFS(Dispatched!$C$2:$C$5000,Dispatched!$A$2:$A$5000,A159,Dispatched!$B$2:$B$5000,B159)</f>
        <v/>
      </c>
      <c r="I159" s="11">
        <f>MAX(0,MIN(D159,G159-H159))</f>
        <v/>
      </c>
      <c r="J159" s="26">
        <f>I159*E159/D159</f>
        <v/>
      </c>
      <c r="K159" s="10">
        <f>IF(I159=0,"Dispatched",IF(F159&lt;=30,"0-30",IF(F159&lt;=60,"31-60",IF(F159&lt;=90,"61-90","90+"))))</f>
        <v/>
      </c>
    </row>
    <row r="160">
      <c r="A160" s="24" t="inlineStr">
        <is>
          <t>Hyderabad</t>
        </is>
      </c>
      <c r="B160" s="24" t="inlineStr">
        <is>
          <t>40NBX1.6</t>
        </is>
      </c>
      <c r="C160" s="6" t="n">
        <v>46219</v>
      </c>
      <c r="D160" s="24" t="n">
        <v>1414</v>
      </c>
      <c r="E160" s="25" t="n">
        <v>15.634</v>
      </c>
      <c r="F160" s="14">
        <f>AsOf-C160</f>
        <v/>
      </c>
      <c r="G160" s="11">
        <f>SUMIFS($D$2:$D$5000,$A$2:$A$5000,A160,$B$2:$B$5000,B160,$C$2:$C$5000,"&lt;="&amp;C160)</f>
        <v/>
      </c>
      <c r="H160" s="11">
        <f>SUMIFS(Dispatched!$C$2:$C$5000,Dispatched!$A$2:$A$5000,A160,Dispatched!$B$2:$B$5000,B160)</f>
        <v/>
      </c>
      <c r="I160" s="11">
        <f>MAX(0,MIN(D160,G160-H160))</f>
        <v/>
      </c>
      <c r="J160" s="26">
        <f>I160*E160/D160</f>
        <v/>
      </c>
      <c r="K160" s="10">
        <f>IF(I160=0,"Dispatched",IF(F160&lt;=30,"0-30",IF(F160&lt;=60,"31-60",IF(F160&lt;=90,"61-90","90+"))))</f>
        <v/>
      </c>
    </row>
    <row r="161">
      <c r="A161" s="24" t="inlineStr">
        <is>
          <t>Hyderabad</t>
        </is>
      </c>
      <c r="B161" s="24" t="inlineStr">
        <is>
          <t>40NBX1.6</t>
        </is>
      </c>
      <c r="C161" s="6" t="n">
        <v>46220</v>
      </c>
      <c r="D161" s="24" t="n">
        <v>1872</v>
      </c>
      <c r="E161" s="25" t="n">
        <v>20.697</v>
      </c>
      <c r="F161" s="14">
        <f>AsOf-C161</f>
        <v/>
      </c>
      <c r="G161" s="11">
        <f>SUMIFS($D$2:$D$5000,$A$2:$A$5000,A161,$B$2:$B$5000,B161,$C$2:$C$5000,"&lt;="&amp;C161)</f>
        <v/>
      </c>
      <c r="H161" s="11">
        <f>SUMIFS(Dispatched!$C$2:$C$5000,Dispatched!$A$2:$A$5000,A161,Dispatched!$B$2:$B$5000,B161)</f>
        <v/>
      </c>
      <c r="I161" s="11">
        <f>MAX(0,MIN(D161,G161-H161))</f>
        <v/>
      </c>
      <c r="J161" s="26">
        <f>I161*E161/D161</f>
        <v/>
      </c>
      <c r="K161" s="10">
        <f>IF(I161=0,"Dispatched",IF(F161&lt;=30,"0-30",IF(F161&lt;=60,"31-60",IF(F161&lt;=90,"61-90","90+"))))</f>
        <v/>
      </c>
    </row>
    <row r="162">
      <c r="A162" s="24" t="inlineStr">
        <is>
          <t>Hyderabad</t>
        </is>
      </c>
      <c r="B162" s="24" t="inlineStr">
        <is>
          <t>40NBX2</t>
        </is>
      </c>
      <c r="C162" s="6" t="n">
        <v>46193</v>
      </c>
      <c r="D162" s="24" t="n">
        <v>2653</v>
      </c>
      <c r="E162" s="25" t="n">
        <v>36.351</v>
      </c>
      <c r="F162" s="14">
        <f>AsOf-C162</f>
        <v/>
      </c>
      <c r="G162" s="11">
        <f>SUMIFS($D$2:$D$5000,$A$2:$A$5000,A162,$B$2:$B$5000,B162,$C$2:$C$5000,"&lt;="&amp;C162)</f>
        <v/>
      </c>
      <c r="H162" s="11">
        <f>SUMIFS(Dispatched!$C$2:$C$5000,Dispatched!$A$2:$A$5000,A162,Dispatched!$B$2:$B$5000,B162)</f>
        <v/>
      </c>
      <c r="I162" s="11">
        <f>MAX(0,MIN(D162,G162-H162))</f>
        <v/>
      </c>
      <c r="J162" s="26">
        <f>I162*E162/D162</f>
        <v/>
      </c>
      <c r="K162" s="10">
        <f>IF(I162=0,"Dispatched",IF(F162&lt;=30,"0-30",IF(F162&lt;=60,"31-60",IF(F162&lt;=90,"61-90","90+"))))</f>
        <v/>
      </c>
    </row>
    <row r="163">
      <c r="A163" s="24" t="inlineStr">
        <is>
          <t>Hyderabad</t>
        </is>
      </c>
      <c r="B163" s="24" t="inlineStr">
        <is>
          <t>40NBX2</t>
        </is>
      </c>
      <c r="C163" s="6" t="n">
        <v>46220</v>
      </c>
      <c r="D163" s="24" t="n">
        <v>1988</v>
      </c>
      <c r="E163" s="25" t="n">
        <v>27.239</v>
      </c>
      <c r="F163" s="14">
        <f>AsOf-C163</f>
        <v/>
      </c>
      <c r="G163" s="11">
        <f>SUMIFS($D$2:$D$5000,$A$2:$A$5000,A163,$B$2:$B$5000,B163,$C$2:$C$5000,"&lt;="&amp;C163)</f>
        <v/>
      </c>
      <c r="H163" s="11">
        <f>SUMIFS(Dispatched!$C$2:$C$5000,Dispatched!$A$2:$A$5000,A163,Dispatched!$B$2:$B$5000,B163)</f>
        <v/>
      </c>
      <c r="I163" s="11">
        <f>MAX(0,MIN(D163,G163-H163))</f>
        <v/>
      </c>
      <c r="J163" s="26">
        <f>I163*E163/D163</f>
        <v/>
      </c>
      <c r="K163" s="10">
        <f>IF(I163=0,"Dispatched",IF(F163&lt;=30,"0-30",IF(F163&lt;=60,"31-60",IF(F163&lt;=90,"61-90","90+"))))</f>
        <v/>
      </c>
    </row>
    <row r="164">
      <c r="A164" s="24" t="inlineStr">
        <is>
          <t>Hyderabad</t>
        </is>
      </c>
      <c r="B164" s="24" t="inlineStr">
        <is>
          <t>40NBX2</t>
        </is>
      </c>
      <c r="C164" s="6" t="n">
        <v>46286</v>
      </c>
      <c r="D164" s="24" t="n">
        <v>1498</v>
      </c>
      <c r="E164" s="25" t="n">
        <v>20.525</v>
      </c>
      <c r="F164" s="14">
        <f>AsOf-C164</f>
        <v/>
      </c>
      <c r="G164" s="11">
        <f>SUMIFS($D$2:$D$5000,$A$2:$A$5000,A164,$B$2:$B$5000,B164,$C$2:$C$5000,"&lt;="&amp;C164)</f>
        <v/>
      </c>
      <c r="H164" s="11">
        <f>SUMIFS(Dispatched!$C$2:$C$5000,Dispatched!$A$2:$A$5000,A164,Dispatched!$B$2:$B$5000,B164)</f>
        <v/>
      </c>
      <c r="I164" s="11">
        <f>MAX(0,MIN(D164,G164-H164))</f>
        <v/>
      </c>
      <c r="J164" s="26">
        <f>I164*E164/D164</f>
        <v/>
      </c>
      <c r="K164" s="10">
        <f>IF(I164=0,"Dispatched",IF(F164&lt;=30,"0-30",IF(F164&lt;=60,"31-60",IF(F164&lt;=90,"61-90","90+"))))</f>
        <v/>
      </c>
    </row>
    <row r="165">
      <c r="A165" s="24" t="inlineStr">
        <is>
          <t>Hyderabad</t>
        </is>
      </c>
      <c r="B165" s="24" t="inlineStr">
        <is>
          <t>40NBX2.5</t>
        </is>
      </c>
      <c r="C165" s="6" t="n">
        <v>46192</v>
      </c>
      <c r="D165" s="24" t="n">
        <v>135</v>
      </c>
      <c r="E165" s="25" t="n">
        <v>2.287</v>
      </c>
      <c r="F165" s="14">
        <f>AsOf-C165</f>
        <v/>
      </c>
      <c r="G165" s="11">
        <f>SUMIFS($D$2:$D$5000,$A$2:$A$5000,A165,$B$2:$B$5000,B165,$C$2:$C$5000,"&lt;="&amp;C165)</f>
        <v/>
      </c>
      <c r="H165" s="11">
        <f>SUMIFS(Dispatched!$C$2:$C$5000,Dispatched!$A$2:$A$5000,A165,Dispatched!$B$2:$B$5000,B165)</f>
        <v/>
      </c>
      <c r="I165" s="11">
        <f>MAX(0,MIN(D165,G165-H165))</f>
        <v/>
      </c>
      <c r="J165" s="26">
        <f>I165*E165/D165</f>
        <v/>
      </c>
      <c r="K165" s="10">
        <f>IF(I165=0,"Dispatched",IF(F165&lt;=30,"0-30",IF(F165&lt;=60,"31-60",IF(F165&lt;=90,"61-90","90+"))))</f>
        <v/>
      </c>
    </row>
    <row r="166">
      <c r="A166" s="24" t="inlineStr">
        <is>
          <t>Hyderabad</t>
        </is>
      </c>
      <c r="B166" s="24" t="inlineStr">
        <is>
          <t>40NBX2.5</t>
        </is>
      </c>
      <c r="C166" s="6" t="n">
        <v>46193</v>
      </c>
      <c r="D166" s="24" t="n">
        <v>1539</v>
      </c>
      <c r="E166" s="25" t="n">
        <v>26.074</v>
      </c>
      <c r="F166" s="14">
        <f>AsOf-C166</f>
        <v/>
      </c>
      <c r="G166" s="11">
        <f>SUMIFS($D$2:$D$5000,$A$2:$A$5000,A166,$B$2:$B$5000,B166,$C$2:$C$5000,"&lt;="&amp;C166)</f>
        <v/>
      </c>
      <c r="H166" s="11">
        <f>SUMIFS(Dispatched!$C$2:$C$5000,Dispatched!$A$2:$A$5000,A166,Dispatched!$B$2:$B$5000,B166)</f>
        <v/>
      </c>
      <c r="I166" s="11">
        <f>MAX(0,MIN(D166,G166-H166))</f>
        <v/>
      </c>
      <c r="J166" s="26">
        <f>I166*E166/D166</f>
        <v/>
      </c>
      <c r="K166" s="10">
        <f>IF(I166=0,"Dispatched",IF(F166&lt;=30,"0-30",IF(F166&lt;=60,"31-60",IF(F166&lt;=90,"61-90","90+"))))</f>
        <v/>
      </c>
    </row>
    <row r="167">
      <c r="A167" s="24" t="inlineStr">
        <is>
          <t>Hyderabad</t>
        </is>
      </c>
      <c r="B167" s="24" t="inlineStr">
        <is>
          <t>40NBX2.8</t>
        </is>
      </c>
      <c r="C167" s="6" t="n">
        <v>46192</v>
      </c>
      <c r="D167" s="24" t="n">
        <v>244</v>
      </c>
      <c r="E167" s="25" t="n">
        <v>4.6</v>
      </c>
      <c r="F167" s="14">
        <f>AsOf-C167</f>
        <v/>
      </c>
      <c r="G167" s="11">
        <f>SUMIFS($D$2:$D$5000,$A$2:$A$5000,A167,$B$2:$B$5000,B167,$C$2:$C$5000,"&lt;="&amp;C167)</f>
        <v/>
      </c>
      <c r="H167" s="11">
        <f>SUMIFS(Dispatched!$C$2:$C$5000,Dispatched!$A$2:$A$5000,A167,Dispatched!$B$2:$B$5000,B167)</f>
        <v/>
      </c>
      <c r="I167" s="11">
        <f>MAX(0,MIN(D167,G167-H167))</f>
        <v/>
      </c>
      <c r="J167" s="26">
        <f>I167*E167/D167</f>
        <v/>
      </c>
      <c r="K167" s="10">
        <f>IF(I167=0,"Dispatched",IF(F167&lt;=30,"0-30",IF(F167&lt;=60,"31-60",IF(F167&lt;=90,"61-90","90+"))))</f>
        <v/>
      </c>
    </row>
    <row r="168">
      <c r="A168" s="24" t="inlineStr">
        <is>
          <t>Hyderabad</t>
        </is>
      </c>
      <c r="B168" s="24" t="inlineStr">
        <is>
          <t>40NBX2.8</t>
        </is>
      </c>
      <c r="C168" s="6" t="n">
        <v>46195</v>
      </c>
      <c r="D168" s="24" t="n">
        <v>1711</v>
      </c>
      <c r="E168" s="25" t="n">
        <v>32.254</v>
      </c>
      <c r="F168" s="14">
        <f>AsOf-C168</f>
        <v/>
      </c>
      <c r="G168" s="11">
        <f>SUMIFS($D$2:$D$5000,$A$2:$A$5000,A168,$B$2:$B$5000,B168,$C$2:$C$5000,"&lt;="&amp;C168)</f>
        <v/>
      </c>
      <c r="H168" s="11">
        <f>SUMIFS(Dispatched!$C$2:$C$5000,Dispatched!$A$2:$A$5000,A168,Dispatched!$B$2:$B$5000,B168)</f>
        <v/>
      </c>
      <c r="I168" s="11">
        <f>MAX(0,MIN(D168,G168-H168))</f>
        <v/>
      </c>
      <c r="J168" s="26">
        <f>I168*E168/D168</f>
        <v/>
      </c>
      <c r="K168" s="10">
        <f>IF(I168=0,"Dispatched",IF(F168&lt;=30,"0-30",IF(F168&lt;=60,"31-60",IF(F168&lt;=90,"61-90","90+"))))</f>
        <v/>
      </c>
    </row>
    <row r="169">
      <c r="A169" s="24" t="inlineStr">
        <is>
          <t>Hyderabad</t>
        </is>
      </c>
      <c r="B169" s="24" t="inlineStr">
        <is>
          <t>40NBX2.8</t>
        </is>
      </c>
      <c r="C169" s="6" t="n">
        <v>46284</v>
      </c>
      <c r="D169" s="24" t="n">
        <v>296</v>
      </c>
      <c r="E169" s="25" t="n">
        <v>5.328</v>
      </c>
      <c r="F169" s="14">
        <f>AsOf-C169</f>
        <v/>
      </c>
      <c r="G169" s="11">
        <f>SUMIFS($D$2:$D$5000,$A$2:$A$5000,A169,$B$2:$B$5000,B169,$C$2:$C$5000,"&lt;="&amp;C169)</f>
        <v/>
      </c>
      <c r="H169" s="11">
        <f>SUMIFS(Dispatched!$C$2:$C$5000,Dispatched!$A$2:$A$5000,A169,Dispatched!$B$2:$B$5000,B169)</f>
        <v/>
      </c>
      <c r="I169" s="11">
        <f>MAX(0,MIN(D169,G169-H169))</f>
        <v/>
      </c>
      <c r="J169" s="26">
        <f>I169*E169/D169</f>
        <v/>
      </c>
      <c r="K169" s="10">
        <f>IF(I169=0,"Dispatched",IF(F169&lt;=30,"0-30",IF(F169&lt;=60,"31-60",IF(F169&lt;=90,"61-90","90+"))))</f>
        <v/>
      </c>
    </row>
    <row r="170">
      <c r="A170" s="24" t="inlineStr">
        <is>
          <t>Hyderabad</t>
        </is>
      </c>
      <c r="B170" s="24" t="inlineStr">
        <is>
          <t>40NBX2.8</t>
        </is>
      </c>
      <c r="C170" s="6" t="n">
        <v>46286</v>
      </c>
      <c r="D170" s="24" t="n">
        <v>775</v>
      </c>
      <c r="E170" s="25" t="n">
        <v>13.95</v>
      </c>
      <c r="F170" s="14">
        <f>AsOf-C170</f>
        <v/>
      </c>
      <c r="G170" s="11">
        <f>SUMIFS($D$2:$D$5000,$A$2:$A$5000,A170,$B$2:$B$5000,B170,$C$2:$C$5000,"&lt;="&amp;C170)</f>
        <v/>
      </c>
      <c r="H170" s="11">
        <f>SUMIFS(Dispatched!$C$2:$C$5000,Dispatched!$A$2:$A$5000,A170,Dispatched!$B$2:$B$5000,B170)</f>
        <v/>
      </c>
      <c r="I170" s="11">
        <f>MAX(0,MIN(D170,G170-H170))</f>
        <v/>
      </c>
      <c r="J170" s="26">
        <f>I170*E170/D170</f>
        <v/>
      </c>
      <c r="K170" s="10">
        <f>IF(I170=0,"Dispatched",IF(F170&lt;=30,"0-30",IF(F170&lt;=60,"31-60",IF(F170&lt;=90,"61-90","90+"))))</f>
        <v/>
      </c>
    </row>
    <row r="171">
      <c r="A171" s="24" t="inlineStr">
        <is>
          <t>Hyderabad</t>
        </is>
      </c>
      <c r="B171" s="24" t="inlineStr">
        <is>
          <t>40NBX2.9</t>
        </is>
      </c>
      <c r="C171" s="6" t="n">
        <v>46263</v>
      </c>
      <c r="D171" s="24" t="n">
        <v>974</v>
      </c>
      <c r="E171" s="25" t="n">
        <v>18.975</v>
      </c>
      <c r="F171" s="14">
        <f>AsOf-C171</f>
        <v/>
      </c>
      <c r="G171" s="11">
        <f>SUMIFS($D$2:$D$5000,$A$2:$A$5000,A171,$B$2:$B$5000,B171,$C$2:$C$5000,"&lt;="&amp;C171)</f>
        <v/>
      </c>
      <c r="H171" s="11">
        <f>SUMIFS(Dispatched!$C$2:$C$5000,Dispatched!$A$2:$A$5000,A171,Dispatched!$B$2:$B$5000,B171)</f>
        <v/>
      </c>
      <c r="I171" s="11">
        <f>MAX(0,MIN(D171,G171-H171))</f>
        <v/>
      </c>
      <c r="J171" s="26">
        <f>I171*E171/D171</f>
        <v/>
      </c>
      <c r="K171" s="10">
        <f>IF(I171=0,"Dispatched",IF(F171&lt;=30,"0-30",IF(F171&lt;=60,"31-60",IF(F171&lt;=90,"61-90","90+"))))</f>
        <v/>
      </c>
    </row>
    <row r="172">
      <c r="A172" s="24" t="inlineStr">
        <is>
          <t>Hyderabad</t>
        </is>
      </c>
      <c r="B172" s="24" t="inlineStr">
        <is>
          <t>40NBX2.9</t>
        </is>
      </c>
      <c r="C172" s="6" t="n">
        <v>46265</v>
      </c>
      <c r="D172" s="24" t="n">
        <v>540</v>
      </c>
      <c r="E172" s="25" t="n">
        <v>10.52</v>
      </c>
      <c r="F172" s="14">
        <f>AsOf-C172</f>
        <v/>
      </c>
      <c r="G172" s="11">
        <f>SUMIFS($D$2:$D$5000,$A$2:$A$5000,A172,$B$2:$B$5000,B172,$C$2:$C$5000,"&lt;="&amp;C172)</f>
        <v/>
      </c>
      <c r="H172" s="11">
        <f>SUMIFS(Dispatched!$C$2:$C$5000,Dispatched!$A$2:$A$5000,A172,Dispatched!$B$2:$B$5000,B172)</f>
        <v/>
      </c>
      <c r="I172" s="11">
        <f>MAX(0,MIN(D172,G172-H172))</f>
        <v/>
      </c>
      <c r="J172" s="26">
        <f>I172*E172/D172</f>
        <v/>
      </c>
      <c r="K172" s="10">
        <f>IF(I172=0,"Dispatched",IF(F172&lt;=30,"0-30",IF(F172&lt;=60,"31-60",IF(F172&lt;=90,"61-90","90+"))))</f>
        <v/>
      </c>
    </row>
    <row r="173">
      <c r="A173" s="24" t="inlineStr">
        <is>
          <t>Hyderabad</t>
        </is>
      </c>
      <c r="B173" s="24" t="inlineStr">
        <is>
          <t>40NBX4</t>
        </is>
      </c>
      <c r="C173" s="6" t="n">
        <v>46196</v>
      </c>
      <c r="D173" s="24" t="n">
        <v>1434</v>
      </c>
      <c r="E173" s="25" t="n">
        <v>35.133</v>
      </c>
      <c r="F173" s="14">
        <f>AsOf-C173</f>
        <v/>
      </c>
      <c r="G173" s="11">
        <f>SUMIFS($D$2:$D$5000,$A$2:$A$5000,A173,$B$2:$B$5000,B173,$C$2:$C$5000,"&lt;="&amp;C173)</f>
        <v/>
      </c>
      <c r="H173" s="11">
        <f>SUMIFS(Dispatched!$C$2:$C$5000,Dispatched!$A$2:$A$5000,A173,Dispatched!$B$2:$B$5000,B173)</f>
        <v/>
      </c>
      <c r="I173" s="11">
        <f>MAX(0,MIN(D173,G173-H173))</f>
        <v/>
      </c>
      <c r="J173" s="26">
        <f>I173*E173/D173</f>
        <v/>
      </c>
      <c r="K173" s="10">
        <f>IF(I173=0,"Dispatched",IF(F173&lt;=30,"0-30",IF(F173&lt;=60,"31-60",IF(F173&lt;=90,"61-90","90+"))))</f>
        <v/>
      </c>
    </row>
    <row r="174">
      <c r="A174" s="24" t="inlineStr">
        <is>
          <t>Hyderabad</t>
        </is>
      </c>
      <c r="B174" s="24" t="inlineStr">
        <is>
          <t>40X20X1.2</t>
        </is>
      </c>
      <c r="C174" s="6" t="n">
        <v>46267</v>
      </c>
      <c r="D174" s="24" t="n">
        <v>863</v>
      </c>
      <c r="E174" s="25" t="n">
        <v>5.619</v>
      </c>
      <c r="F174" s="14">
        <f>AsOf-C174</f>
        <v/>
      </c>
      <c r="G174" s="11">
        <f>SUMIFS($D$2:$D$5000,$A$2:$A$5000,A174,$B$2:$B$5000,B174,$C$2:$C$5000,"&lt;="&amp;C174)</f>
        <v/>
      </c>
      <c r="H174" s="11">
        <f>SUMIFS(Dispatched!$C$2:$C$5000,Dispatched!$A$2:$A$5000,A174,Dispatched!$B$2:$B$5000,B174)</f>
        <v/>
      </c>
      <c r="I174" s="11">
        <f>MAX(0,MIN(D174,G174-H174))</f>
        <v/>
      </c>
      <c r="J174" s="26">
        <f>I174*E174/D174</f>
        <v/>
      </c>
      <c r="K174" s="10">
        <f>IF(I174=0,"Dispatched",IF(F174&lt;=30,"0-30",IF(F174&lt;=60,"31-60",IF(F174&lt;=90,"61-90","90+"))))</f>
        <v/>
      </c>
    </row>
    <row r="175">
      <c r="A175" s="24" t="inlineStr">
        <is>
          <t>Hyderabad</t>
        </is>
      </c>
      <c r="B175" s="24" t="inlineStr">
        <is>
          <t>40X20X1.2</t>
        </is>
      </c>
      <c r="C175" s="6" t="n">
        <v>46268</v>
      </c>
      <c r="D175" s="24" t="n">
        <v>2247</v>
      </c>
      <c r="E175" s="25" t="n">
        <v>14.63</v>
      </c>
      <c r="F175" s="14">
        <f>AsOf-C175</f>
        <v/>
      </c>
      <c r="G175" s="11">
        <f>SUMIFS($D$2:$D$5000,$A$2:$A$5000,A175,$B$2:$B$5000,B175,$C$2:$C$5000,"&lt;="&amp;C175)</f>
        <v/>
      </c>
      <c r="H175" s="11">
        <f>SUMIFS(Dispatched!$C$2:$C$5000,Dispatched!$A$2:$A$5000,A175,Dispatched!$B$2:$B$5000,B175)</f>
        <v/>
      </c>
      <c r="I175" s="11">
        <f>MAX(0,MIN(D175,G175-H175))</f>
        <v/>
      </c>
      <c r="J175" s="26">
        <f>I175*E175/D175</f>
        <v/>
      </c>
      <c r="K175" s="10">
        <f>IF(I175=0,"Dispatched",IF(F175&lt;=30,"0-30",IF(F175&lt;=60,"31-60",IF(F175&lt;=90,"61-90","90+"))))</f>
        <v/>
      </c>
    </row>
    <row r="176">
      <c r="A176" s="24" t="inlineStr">
        <is>
          <t>Hyderabad</t>
        </is>
      </c>
      <c r="B176" s="24" t="inlineStr">
        <is>
          <t>40X20X1.6</t>
        </is>
      </c>
      <c r="C176" s="6" t="n">
        <v>46179</v>
      </c>
      <c r="D176" s="24" t="n">
        <v>1922</v>
      </c>
      <c r="E176" s="25" t="n">
        <v>16.454</v>
      </c>
      <c r="F176" s="14">
        <f>AsOf-C176</f>
        <v/>
      </c>
      <c r="G176" s="11">
        <f>SUMIFS($D$2:$D$5000,$A$2:$A$5000,A176,$B$2:$B$5000,B176,$C$2:$C$5000,"&lt;="&amp;C176)</f>
        <v/>
      </c>
      <c r="H176" s="11">
        <f>SUMIFS(Dispatched!$C$2:$C$5000,Dispatched!$A$2:$A$5000,A176,Dispatched!$B$2:$B$5000,B176)</f>
        <v/>
      </c>
      <c r="I176" s="11">
        <f>MAX(0,MIN(D176,G176-H176))</f>
        <v/>
      </c>
      <c r="J176" s="26">
        <f>I176*E176/D176</f>
        <v/>
      </c>
      <c r="K176" s="10">
        <f>IF(I176=0,"Dispatched",IF(F176&lt;=30,"0-30",IF(F176&lt;=60,"31-60",IF(F176&lt;=90,"61-90","90+"))))</f>
        <v/>
      </c>
    </row>
    <row r="177">
      <c r="A177" s="24" t="inlineStr">
        <is>
          <t>Hyderabad</t>
        </is>
      </c>
      <c r="B177" s="24" t="inlineStr">
        <is>
          <t>40X20X1.6</t>
        </is>
      </c>
      <c r="C177" s="6" t="n">
        <v>46183</v>
      </c>
      <c r="D177" s="24" t="n">
        <v>1318</v>
      </c>
      <c r="E177" s="25" t="n">
        <v>11.283</v>
      </c>
      <c r="F177" s="14">
        <f>AsOf-C177</f>
        <v/>
      </c>
      <c r="G177" s="11">
        <f>SUMIFS($D$2:$D$5000,$A$2:$A$5000,A177,$B$2:$B$5000,B177,$C$2:$C$5000,"&lt;="&amp;C177)</f>
        <v/>
      </c>
      <c r="H177" s="11">
        <f>SUMIFS(Dispatched!$C$2:$C$5000,Dispatched!$A$2:$A$5000,A177,Dispatched!$B$2:$B$5000,B177)</f>
        <v/>
      </c>
      <c r="I177" s="11">
        <f>MAX(0,MIN(D177,G177-H177))</f>
        <v/>
      </c>
      <c r="J177" s="26">
        <f>I177*E177/D177</f>
        <v/>
      </c>
      <c r="K177" s="10">
        <f>IF(I177=0,"Dispatched",IF(F177&lt;=30,"0-30",IF(F177&lt;=60,"31-60",IF(F177&lt;=90,"61-90","90+"))))</f>
        <v/>
      </c>
    </row>
    <row r="178">
      <c r="A178" s="24" t="inlineStr">
        <is>
          <t>Hyderabad</t>
        </is>
      </c>
      <c r="B178" s="24" t="inlineStr">
        <is>
          <t>40X20X1.6</t>
        </is>
      </c>
      <c r="C178" s="6" t="n">
        <v>46211</v>
      </c>
      <c r="D178" s="24" t="n">
        <v>735</v>
      </c>
      <c r="E178" s="25" t="n">
        <v>6.292</v>
      </c>
      <c r="F178" s="14">
        <f>AsOf-C178</f>
        <v/>
      </c>
      <c r="G178" s="11">
        <f>SUMIFS($D$2:$D$5000,$A$2:$A$5000,A178,$B$2:$B$5000,B178,$C$2:$C$5000,"&lt;="&amp;C178)</f>
        <v/>
      </c>
      <c r="H178" s="11">
        <f>SUMIFS(Dispatched!$C$2:$C$5000,Dispatched!$A$2:$A$5000,A178,Dispatched!$B$2:$B$5000,B178)</f>
        <v/>
      </c>
      <c r="I178" s="11">
        <f>MAX(0,MIN(D178,G178-H178))</f>
        <v/>
      </c>
      <c r="J178" s="26">
        <f>I178*E178/D178</f>
        <v/>
      </c>
      <c r="K178" s="10">
        <f>IF(I178=0,"Dispatched",IF(F178&lt;=30,"0-30",IF(F178&lt;=60,"31-60",IF(F178&lt;=90,"61-90","90+"))))</f>
        <v/>
      </c>
    </row>
    <row r="179">
      <c r="A179" s="24" t="inlineStr">
        <is>
          <t>Hyderabad</t>
        </is>
      </c>
      <c r="B179" s="24" t="inlineStr">
        <is>
          <t>40X20X1.6</t>
        </is>
      </c>
      <c r="C179" s="6" t="n">
        <v>46212</v>
      </c>
      <c r="D179" s="24" t="n">
        <v>2181</v>
      </c>
      <c r="E179" s="25" t="n">
        <v>18.671</v>
      </c>
      <c r="F179" s="14">
        <f>AsOf-C179</f>
        <v/>
      </c>
      <c r="G179" s="11">
        <f>SUMIFS($D$2:$D$5000,$A$2:$A$5000,A179,$B$2:$B$5000,B179,$C$2:$C$5000,"&lt;="&amp;C179)</f>
        <v/>
      </c>
      <c r="H179" s="11">
        <f>SUMIFS(Dispatched!$C$2:$C$5000,Dispatched!$A$2:$A$5000,A179,Dispatched!$B$2:$B$5000,B179)</f>
        <v/>
      </c>
      <c r="I179" s="11">
        <f>MAX(0,MIN(D179,G179-H179))</f>
        <v/>
      </c>
      <c r="J179" s="26">
        <f>I179*E179/D179</f>
        <v/>
      </c>
      <c r="K179" s="10">
        <f>IF(I179=0,"Dispatched",IF(F179&lt;=30,"0-30",IF(F179&lt;=60,"31-60",IF(F179&lt;=90,"61-90","90+"))))</f>
        <v/>
      </c>
    </row>
    <row r="180">
      <c r="A180" s="24" t="inlineStr">
        <is>
          <t>Hyderabad</t>
        </is>
      </c>
      <c r="B180" s="24" t="inlineStr">
        <is>
          <t>40X20X2</t>
        </is>
      </c>
      <c r="C180" s="6" t="n">
        <v>46182</v>
      </c>
      <c r="D180" s="24" t="n">
        <v>2157</v>
      </c>
      <c r="E180" s="25" t="n">
        <v>22.757</v>
      </c>
      <c r="F180" s="14">
        <f>AsOf-C180</f>
        <v/>
      </c>
      <c r="G180" s="11">
        <f>SUMIFS($D$2:$D$5000,$A$2:$A$5000,A180,$B$2:$B$5000,B180,$C$2:$C$5000,"&lt;="&amp;C180)</f>
        <v/>
      </c>
      <c r="H180" s="11">
        <f>SUMIFS(Dispatched!$C$2:$C$5000,Dispatched!$A$2:$A$5000,A180,Dispatched!$B$2:$B$5000,B180)</f>
        <v/>
      </c>
      <c r="I180" s="11">
        <f>MAX(0,MIN(D180,G180-H180))</f>
        <v/>
      </c>
      <c r="J180" s="26">
        <f>I180*E180/D180</f>
        <v/>
      </c>
      <c r="K180" s="10">
        <f>IF(I180=0,"Dispatched",IF(F180&lt;=30,"0-30",IF(F180&lt;=60,"31-60",IF(F180&lt;=90,"61-90","90+"))))</f>
        <v/>
      </c>
    </row>
    <row r="181">
      <c r="A181" s="24" t="inlineStr">
        <is>
          <t>Hyderabad</t>
        </is>
      </c>
      <c r="B181" s="24" t="inlineStr">
        <is>
          <t>40X20X2</t>
        </is>
      </c>
      <c r="C181" s="6" t="n">
        <v>46212</v>
      </c>
      <c r="D181" s="24" t="n">
        <v>3132</v>
      </c>
      <c r="E181" s="25" t="n">
        <v>33.044</v>
      </c>
      <c r="F181" s="14">
        <f>AsOf-C181</f>
        <v/>
      </c>
      <c r="G181" s="11">
        <f>SUMIFS($D$2:$D$5000,$A$2:$A$5000,A181,$B$2:$B$5000,B181,$C$2:$C$5000,"&lt;="&amp;C181)</f>
        <v/>
      </c>
      <c r="H181" s="11">
        <f>SUMIFS(Dispatched!$C$2:$C$5000,Dispatched!$A$2:$A$5000,A181,Dispatched!$B$2:$B$5000,B181)</f>
        <v/>
      </c>
      <c r="I181" s="11">
        <f>MAX(0,MIN(D181,G181-H181))</f>
        <v/>
      </c>
      <c r="J181" s="26">
        <f>I181*E181/D181</f>
        <v/>
      </c>
      <c r="K181" s="10">
        <f>IF(I181=0,"Dispatched",IF(F181&lt;=30,"0-30",IF(F181&lt;=60,"31-60",IF(F181&lt;=90,"61-90","90+"))))</f>
        <v/>
      </c>
    </row>
    <row r="182">
      <c r="A182" s="24" t="inlineStr">
        <is>
          <t>Hyderabad</t>
        </is>
      </c>
      <c r="B182" s="24" t="inlineStr">
        <is>
          <t>40X20X2</t>
        </is>
      </c>
      <c r="C182" s="6" t="n">
        <v>46251</v>
      </c>
      <c r="D182" s="24" t="n">
        <v>1562</v>
      </c>
      <c r="E182" s="25" t="n">
        <v>16.48</v>
      </c>
      <c r="F182" s="14">
        <f>AsOf-C182</f>
        <v/>
      </c>
      <c r="G182" s="11">
        <f>SUMIFS($D$2:$D$5000,$A$2:$A$5000,A182,$B$2:$B$5000,B182,$C$2:$C$5000,"&lt;="&amp;C182)</f>
        <v/>
      </c>
      <c r="H182" s="11">
        <f>SUMIFS(Dispatched!$C$2:$C$5000,Dispatched!$A$2:$A$5000,A182,Dispatched!$B$2:$B$5000,B182)</f>
        <v/>
      </c>
      <c r="I182" s="11">
        <f>MAX(0,MIN(D182,G182-H182))</f>
        <v/>
      </c>
      <c r="J182" s="26">
        <f>I182*E182/D182</f>
        <v/>
      </c>
      <c r="K182" s="10">
        <f>IF(I182=0,"Dispatched",IF(F182&lt;=30,"0-30",IF(F182&lt;=60,"31-60",IF(F182&lt;=90,"61-90","90+"))))</f>
        <v/>
      </c>
    </row>
    <row r="183">
      <c r="A183" s="24" t="inlineStr">
        <is>
          <t>Hyderabad</t>
        </is>
      </c>
      <c r="B183" s="24" t="inlineStr">
        <is>
          <t>40X20X2</t>
        </is>
      </c>
      <c r="C183" s="6" t="n">
        <v>46269</v>
      </c>
      <c r="D183" s="24" t="n">
        <v>125</v>
      </c>
      <c r="E183" s="25" t="n">
        <v>1.319</v>
      </c>
      <c r="F183" s="14">
        <f>AsOf-C183</f>
        <v/>
      </c>
      <c r="G183" s="11">
        <f>SUMIFS($D$2:$D$5000,$A$2:$A$5000,A183,$B$2:$B$5000,B183,$C$2:$C$5000,"&lt;="&amp;C183)</f>
        <v/>
      </c>
      <c r="H183" s="11">
        <f>SUMIFS(Dispatched!$C$2:$C$5000,Dispatched!$A$2:$A$5000,A183,Dispatched!$B$2:$B$5000,B183)</f>
        <v/>
      </c>
      <c r="I183" s="11">
        <f>MAX(0,MIN(D183,G183-H183))</f>
        <v/>
      </c>
      <c r="J183" s="26">
        <f>I183*E183/D183</f>
        <v/>
      </c>
      <c r="K183" s="10">
        <f>IF(I183=0,"Dispatched",IF(F183&lt;=30,"0-30",IF(F183&lt;=60,"31-60",IF(F183&lt;=90,"61-90","90+"))))</f>
        <v/>
      </c>
    </row>
    <row r="184">
      <c r="A184" s="24" t="inlineStr">
        <is>
          <t>Hyderabad</t>
        </is>
      </c>
      <c r="B184" s="24" t="inlineStr">
        <is>
          <t>40X20X2</t>
        </is>
      </c>
      <c r="C184" s="6" t="n">
        <v>46270</v>
      </c>
      <c r="D184" s="24" t="n">
        <v>1800</v>
      </c>
      <c r="E184" s="25" t="n">
        <v>18.991</v>
      </c>
      <c r="F184" s="14">
        <f>AsOf-C184</f>
        <v/>
      </c>
      <c r="G184" s="11">
        <f>SUMIFS($D$2:$D$5000,$A$2:$A$5000,A184,$B$2:$B$5000,B184,$C$2:$C$5000,"&lt;="&amp;C184)</f>
        <v/>
      </c>
      <c r="H184" s="11">
        <f>SUMIFS(Dispatched!$C$2:$C$5000,Dispatched!$A$2:$A$5000,A184,Dispatched!$B$2:$B$5000,B184)</f>
        <v/>
      </c>
      <c r="I184" s="11">
        <f>MAX(0,MIN(D184,G184-H184))</f>
        <v/>
      </c>
      <c r="J184" s="26">
        <f>I184*E184/D184</f>
        <v/>
      </c>
      <c r="K184" s="10">
        <f>IF(I184=0,"Dispatched",IF(F184&lt;=30,"0-30",IF(F184&lt;=60,"31-60",IF(F184&lt;=90,"61-90","90+"))))</f>
        <v/>
      </c>
    </row>
    <row r="185">
      <c r="A185" s="24" t="inlineStr">
        <is>
          <t>Hyderabad</t>
        </is>
      </c>
      <c r="B185" s="24" t="inlineStr">
        <is>
          <t>40X20X2</t>
        </is>
      </c>
      <c r="C185" s="6" t="n">
        <v>46287</v>
      </c>
      <c r="D185" s="24" t="n">
        <v>2270</v>
      </c>
      <c r="E185" s="25" t="n">
        <v>23.949</v>
      </c>
      <c r="F185" s="14">
        <f>AsOf-C185</f>
        <v/>
      </c>
      <c r="G185" s="11">
        <f>SUMIFS($D$2:$D$5000,$A$2:$A$5000,A185,$B$2:$B$5000,B185,$C$2:$C$5000,"&lt;="&amp;C185)</f>
        <v/>
      </c>
      <c r="H185" s="11">
        <f>SUMIFS(Dispatched!$C$2:$C$5000,Dispatched!$A$2:$A$5000,A185,Dispatched!$B$2:$B$5000,B185)</f>
        <v/>
      </c>
      <c r="I185" s="11">
        <f>MAX(0,MIN(D185,G185-H185))</f>
        <v/>
      </c>
      <c r="J185" s="26">
        <f>I185*E185/D185</f>
        <v/>
      </c>
      <c r="K185" s="10">
        <f>IF(I185=0,"Dispatched",IF(F185&lt;=30,"0-30",IF(F185&lt;=60,"31-60",IF(F185&lt;=90,"61-90","90+"))))</f>
        <v/>
      </c>
    </row>
    <row r="186">
      <c r="A186" s="24" t="inlineStr">
        <is>
          <t>Hyderabad</t>
        </is>
      </c>
      <c r="B186" s="24" t="inlineStr">
        <is>
          <t>40X20X2.2</t>
        </is>
      </c>
      <c r="C186" s="6" t="n">
        <v>46183</v>
      </c>
      <c r="D186" s="24" t="n">
        <v>215</v>
      </c>
      <c r="E186" s="25" t="n">
        <v>2.477</v>
      </c>
      <c r="F186" s="14">
        <f>AsOf-C186</f>
        <v/>
      </c>
      <c r="G186" s="11">
        <f>SUMIFS($D$2:$D$5000,$A$2:$A$5000,A186,$B$2:$B$5000,B186,$C$2:$C$5000,"&lt;="&amp;C186)</f>
        <v/>
      </c>
      <c r="H186" s="11">
        <f>SUMIFS(Dispatched!$C$2:$C$5000,Dispatched!$A$2:$A$5000,A186,Dispatched!$B$2:$B$5000,B186)</f>
        <v/>
      </c>
      <c r="I186" s="11">
        <f>MAX(0,MIN(D186,G186-H186))</f>
        <v/>
      </c>
      <c r="J186" s="26">
        <f>I186*E186/D186</f>
        <v/>
      </c>
      <c r="K186" s="10">
        <f>IF(I186=0,"Dispatched",IF(F186&lt;=30,"0-30",IF(F186&lt;=60,"31-60",IF(F186&lt;=90,"61-90","90+"))))</f>
        <v/>
      </c>
    </row>
    <row r="187">
      <c r="A187" s="24" t="inlineStr">
        <is>
          <t>Hyderabad</t>
        </is>
      </c>
      <c r="B187" s="24" t="inlineStr">
        <is>
          <t>40X20X2.5</t>
        </is>
      </c>
      <c r="C187" s="6" t="n">
        <v>46183</v>
      </c>
      <c r="D187" s="24" t="n">
        <v>494</v>
      </c>
      <c r="E187" s="25" t="n">
        <v>6.399</v>
      </c>
      <c r="F187" s="14">
        <f>AsOf-C187</f>
        <v/>
      </c>
      <c r="G187" s="11">
        <f>SUMIFS($D$2:$D$5000,$A$2:$A$5000,A187,$B$2:$B$5000,B187,$C$2:$C$5000,"&lt;="&amp;C187)</f>
        <v/>
      </c>
      <c r="H187" s="11">
        <f>SUMIFS(Dispatched!$C$2:$C$5000,Dispatched!$A$2:$A$5000,A187,Dispatched!$B$2:$B$5000,B187)</f>
        <v/>
      </c>
      <c r="I187" s="11">
        <f>MAX(0,MIN(D187,G187-H187))</f>
        <v/>
      </c>
      <c r="J187" s="26">
        <f>I187*E187/D187</f>
        <v/>
      </c>
      <c r="K187" s="10">
        <f>IF(I187=0,"Dispatched",IF(F187&lt;=30,"0-30",IF(F187&lt;=60,"31-60",IF(F187&lt;=90,"61-90","90+"))))</f>
        <v/>
      </c>
    </row>
    <row r="188">
      <c r="A188" s="24" t="inlineStr">
        <is>
          <t>Hyderabad</t>
        </is>
      </c>
      <c r="B188" s="24" t="inlineStr">
        <is>
          <t>40X20X2.5</t>
        </is>
      </c>
      <c r="C188" s="6" t="n">
        <v>46268</v>
      </c>
      <c r="D188" s="24" t="n">
        <v>1229</v>
      </c>
      <c r="E188" s="25" t="n">
        <v>15.919</v>
      </c>
      <c r="F188" s="14">
        <f>AsOf-C188</f>
        <v/>
      </c>
      <c r="G188" s="11">
        <f>SUMIFS($D$2:$D$5000,$A$2:$A$5000,A188,$B$2:$B$5000,B188,$C$2:$C$5000,"&lt;="&amp;C188)</f>
        <v/>
      </c>
      <c r="H188" s="11">
        <f>SUMIFS(Dispatched!$C$2:$C$5000,Dispatched!$A$2:$A$5000,A188,Dispatched!$B$2:$B$5000,B188)</f>
        <v/>
      </c>
      <c r="I188" s="11">
        <f>MAX(0,MIN(D188,G188-H188))</f>
        <v/>
      </c>
      <c r="J188" s="26">
        <f>I188*E188/D188</f>
        <v/>
      </c>
      <c r="K188" s="10">
        <f>IF(I188=0,"Dispatched",IF(F188&lt;=30,"0-30",IF(F188&lt;=60,"31-60",IF(F188&lt;=90,"61-90","90+"))))</f>
        <v/>
      </c>
    </row>
    <row r="189">
      <c r="A189" s="24" t="inlineStr">
        <is>
          <t>Hyderabad</t>
        </is>
      </c>
      <c r="B189" s="24" t="inlineStr">
        <is>
          <t>40X20X2.8</t>
        </is>
      </c>
      <c r="C189" s="6" t="n">
        <v>46179</v>
      </c>
      <c r="D189" s="24" t="n">
        <v>548</v>
      </c>
      <c r="E189" s="25" t="n">
        <v>7.863</v>
      </c>
      <c r="F189" s="14">
        <f>AsOf-C189</f>
        <v/>
      </c>
      <c r="G189" s="11">
        <f>SUMIFS($D$2:$D$5000,$A$2:$A$5000,A189,$B$2:$B$5000,B189,$C$2:$C$5000,"&lt;="&amp;C189)</f>
        <v/>
      </c>
      <c r="H189" s="11">
        <f>SUMIFS(Dispatched!$C$2:$C$5000,Dispatched!$A$2:$A$5000,A189,Dispatched!$B$2:$B$5000,B189)</f>
        <v/>
      </c>
      <c r="I189" s="11">
        <f>MAX(0,MIN(D189,G189-H189))</f>
        <v/>
      </c>
      <c r="J189" s="26">
        <f>I189*E189/D189</f>
        <v/>
      </c>
      <c r="K189" s="10">
        <f>IF(I189=0,"Dispatched",IF(F189&lt;=30,"0-30",IF(F189&lt;=60,"31-60",IF(F189&lt;=90,"61-90","90+"))))</f>
        <v/>
      </c>
    </row>
    <row r="190">
      <c r="A190" s="24" t="inlineStr">
        <is>
          <t>Hyderabad</t>
        </is>
      </c>
      <c r="B190" s="24" t="inlineStr">
        <is>
          <t>40X20X2.8</t>
        </is>
      </c>
      <c r="C190" s="6" t="n">
        <v>46182</v>
      </c>
      <c r="D190" s="24" t="n">
        <v>211</v>
      </c>
      <c r="E190" s="25" t="n">
        <v>3.028</v>
      </c>
      <c r="F190" s="14">
        <f>AsOf-C190</f>
        <v/>
      </c>
      <c r="G190" s="11">
        <f>SUMIFS($D$2:$D$5000,$A$2:$A$5000,A190,$B$2:$B$5000,B190,$C$2:$C$5000,"&lt;="&amp;C190)</f>
        <v/>
      </c>
      <c r="H190" s="11">
        <f>SUMIFS(Dispatched!$C$2:$C$5000,Dispatched!$A$2:$A$5000,A190,Dispatched!$B$2:$B$5000,B190)</f>
        <v/>
      </c>
      <c r="I190" s="11">
        <f>MAX(0,MIN(D190,G190-H190))</f>
        <v/>
      </c>
      <c r="J190" s="26">
        <f>I190*E190/D190</f>
        <v/>
      </c>
      <c r="K190" s="10">
        <f>IF(I190=0,"Dispatched",IF(F190&lt;=30,"0-30",IF(F190&lt;=60,"31-60",IF(F190&lt;=90,"61-90","90+"))))</f>
        <v/>
      </c>
    </row>
    <row r="191">
      <c r="A191" s="24" t="inlineStr">
        <is>
          <t>Hyderabad</t>
        </is>
      </c>
      <c r="B191" s="24" t="inlineStr">
        <is>
          <t>40X20X3</t>
        </is>
      </c>
      <c r="C191" s="6" t="n">
        <v>46183</v>
      </c>
      <c r="D191" s="24" t="n">
        <v>248</v>
      </c>
      <c r="E191" s="25" t="n">
        <v>3.785</v>
      </c>
      <c r="F191" s="14">
        <f>AsOf-C191</f>
        <v/>
      </c>
      <c r="G191" s="11">
        <f>SUMIFS($D$2:$D$5000,$A$2:$A$5000,A191,$B$2:$B$5000,B191,$C$2:$C$5000,"&lt;="&amp;C191)</f>
        <v/>
      </c>
      <c r="H191" s="11">
        <f>SUMIFS(Dispatched!$C$2:$C$5000,Dispatched!$A$2:$A$5000,A191,Dispatched!$B$2:$B$5000,B191)</f>
        <v/>
      </c>
      <c r="I191" s="11">
        <f>MAX(0,MIN(D191,G191-H191))</f>
        <v/>
      </c>
      <c r="J191" s="26">
        <f>I191*E191/D191</f>
        <v/>
      </c>
      <c r="K191" s="10">
        <f>IF(I191=0,"Dispatched",IF(F191&lt;=30,"0-30",IF(F191&lt;=60,"31-60",IF(F191&lt;=90,"61-90","90+"))))</f>
        <v/>
      </c>
    </row>
    <row r="192">
      <c r="A192" s="24" t="inlineStr">
        <is>
          <t>Hyderabad</t>
        </is>
      </c>
      <c r="B192" s="24" t="inlineStr">
        <is>
          <t>50NBX1.6</t>
        </is>
      </c>
      <c r="C192" s="6" t="n">
        <v>46196</v>
      </c>
      <c r="D192" s="24" t="n">
        <v>691</v>
      </c>
      <c r="E192" s="25" t="n">
        <v>9.603</v>
      </c>
      <c r="F192" s="14">
        <f>AsOf-C192</f>
        <v/>
      </c>
      <c r="G192" s="11">
        <f>SUMIFS($D$2:$D$5000,$A$2:$A$5000,A192,$B$2:$B$5000,B192,$C$2:$C$5000,"&lt;="&amp;C192)</f>
        <v/>
      </c>
      <c r="H192" s="11">
        <f>SUMIFS(Dispatched!$C$2:$C$5000,Dispatched!$A$2:$A$5000,A192,Dispatched!$B$2:$B$5000,B192)</f>
        <v/>
      </c>
      <c r="I192" s="11">
        <f>MAX(0,MIN(D192,G192-H192))</f>
        <v/>
      </c>
      <c r="J192" s="26">
        <f>I192*E192/D192</f>
        <v/>
      </c>
      <c r="K192" s="10">
        <f>IF(I192=0,"Dispatched",IF(F192&lt;=30,"0-30",IF(F192&lt;=60,"31-60",IF(F192&lt;=90,"61-90","90+"))))</f>
        <v/>
      </c>
    </row>
    <row r="193">
      <c r="A193" s="24" t="inlineStr">
        <is>
          <t>Hyderabad</t>
        </is>
      </c>
      <c r="B193" s="24" t="inlineStr">
        <is>
          <t>50NBX1.6</t>
        </is>
      </c>
      <c r="C193" s="6" t="n">
        <v>46221</v>
      </c>
      <c r="D193" s="24" t="n">
        <v>1395</v>
      </c>
      <c r="E193" s="25" t="n">
        <v>19.387</v>
      </c>
      <c r="F193" s="14">
        <f>AsOf-C193</f>
        <v/>
      </c>
      <c r="G193" s="11">
        <f>SUMIFS($D$2:$D$5000,$A$2:$A$5000,A193,$B$2:$B$5000,B193,$C$2:$C$5000,"&lt;="&amp;C193)</f>
        <v/>
      </c>
      <c r="H193" s="11">
        <f>SUMIFS(Dispatched!$C$2:$C$5000,Dispatched!$A$2:$A$5000,A193,Dispatched!$B$2:$B$5000,B193)</f>
        <v/>
      </c>
      <c r="I193" s="11">
        <f>MAX(0,MIN(D193,G193-H193))</f>
        <v/>
      </c>
      <c r="J193" s="26">
        <f>I193*E193/D193</f>
        <v/>
      </c>
      <c r="K193" s="10">
        <f>IF(I193=0,"Dispatched",IF(F193&lt;=30,"0-30",IF(F193&lt;=60,"31-60",IF(F193&lt;=90,"61-90","90+"))))</f>
        <v/>
      </c>
    </row>
    <row r="194">
      <c r="A194" s="24" t="inlineStr">
        <is>
          <t>Hyderabad</t>
        </is>
      </c>
      <c r="B194" s="24" t="inlineStr">
        <is>
          <t>50NBX1.6</t>
        </is>
      </c>
      <c r="C194" s="6" t="n">
        <v>46227</v>
      </c>
      <c r="D194" s="24" t="n">
        <v>934</v>
      </c>
      <c r="E194" s="25" t="n">
        <v>12.98</v>
      </c>
      <c r="F194" s="14">
        <f>AsOf-C194</f>
        <v/>
      </c>
      <c r="G194" s="11">
        <f>SUMIFS($D$2:$D$5000,$A$2:$A$5000,A194,$B$2:$B$5000,B194,$C$2:$C$5000,"&lt;="&amp;C194)</f>
        <v/>
      </c>
      <c r="H194" s="11">
        <f>SUMIFS(Dispatched!$C$2:$C$5000,Dispatched!$A$2:$A$5000,A194,Dispatched!$B$2:$B$5000,B194)</f>
        <v/>
      </c>
      <c r="I194" s="11">
        <f>MAX(0,MIN(D194,G194-H194))</f>
        <v/>
      </c>
      <c r="J194" s="26">
        <f>I194*E194/D194</f>
        <v/>
      </c>
      <c r="K194" s="10">
        <f>IF(I194=0,"Dispatched",IF(F194&lt;=30,"0-30",IF(F194&lt;=60,"31-60",IF(F194&lt;=90,"61-90","90+"))))</f>
        <v/>
      </c>
    </row>
    <row r="195">
      <c r="A195" s="24" t="inlineStr">
        <is>
          <t>Hyderabad</t>
        </is>
      </c>
      <c r="B195" s="24" t="inlineStr">
        <is>
          <t>50NBX2</t>
        </is>
      </c>
      <c r="C195" s="6" t="n">
        <v>46196</v>
      </c>
      <c r="D195" s="24" t="n">
        <v>2208</v>
      </c>
      <c r="E195" s="25" t="n">
        <v>38.095</v>
      </c>
      <c r="F195" s="14">
        <f>AsOf-C195</f>
        <v/>
      </c>
      <c r="G195" s="11">
        <f>SUMIFS($D$2:$D$5000,$A$2:$A$5000,A195,$B$2:$B$5000,B195,$C$2:$C$5000,"&lt;="&amp;C195)</f>
        <v/>
      </c>
      <c r="H195" s="11">
        <f>SUMIFS(Dispatched!$C$2:$C$5000,Dispatched!$A$2:$A$5000,A195,Dispatched!$B$2:$B$5000,B195)</f>
        <v/>
      </c>
      <c r="I195" s="11">
        <f>MAX(0,MIN(D195,G195-H195))</f>
        <v/>
      </c>
      <c r="J195" s="26">
        <f>I195*E195/D195</f>
        <v/>
      </c>
      <c r="K195" s="10">
        <f>IF(I195=0,"Dispatched",IF(F195&lt;=30,"0-30",IF(F195&lt;=60,"31-60",IF(F195&lt;=90,"61-90","90+"))))</f>
        <v/>
      </c>
    </row>
    <row r="196">
      <c r="A196" s="24" t="inlineStr">
        <is>
          <t>Hyderabad</t>
        </is>
      </c>
      <c r="B196" s="24" t="inlineStr">
        <is>
          <t>50NBX2</t>
        </is>
      </c>
      <c r="C196" s="6" t="n">
        <v>46227</v>
      </c>
      <c r="D196" s="24" t="n">
        <v>797</v>
      </c>
      <c r="E196" s="25" t="n">
        <v>13.751</v>
      </c>
      <c r="F196" s="14">
        <f>AsOf-C196</f>
        <v/>
      </c>
      <c r="G196" s="11">
        <f>SUMIFS($D$2:$D$5000,$A$2:$A$5000,A196,$B$2:$B$5000,B196,$C$2:$C$5000,"&lt;="&amp;C196)</f>
        <v/>
      </c>
      <c r="H196" s="11">
        <f>SUMIFS(Dispatched!$C$2:$C$5000,Dispatched!$A$2:$A$5000,A196,Dispatched!$B$2:$B$5000,B196)</f>
        <v/>
      </c>
      <c r="I196" s="11">
        <f>MAX(0,MIN(D196,G196-H196))</f>
        <v/>
      </c>
      <c r="J196" s="26">
        <f>I196*E196/D196</f>
        <v/>
      </c>
      <c r="K196" s="10">
        <f>IF(I196=0,"Dispatched",IF(F196&lt;=30,"0-30",IF(F196&lt;=60,"31-60",IF(F196&lt;=90,"61-90","90+"))))</f>
        <v/>
      </c>
    </row>
    <row r="197">
      <c r="A197" s="24" t="inlineStr">
        <is>
          <t>Hyderabad</t>
        </is>
      </c>
      <c r="B197" s="24" t="inlineStr">
        <is>
          <t>50NBX2.5</t>
        </is>
      </c>
      <c r="C197" s="6" t="n">
        <v>46197</v>
      </c>
      <c r="D197" s="24" t="n">
        <v>884</v>
      </c>
      <c r="E197" s="25" t="n">
        <v>18.901</v>
      </c>
      <c r="F197" s="14">
        <f>AsOf-C197</f>
        <v/>
      </c>
      <c r="G197" s="11">
        <f>SUMIFS($D$2:$D$5000,$A$2:$A$5000,A197,$B$2:$B$5000,B197,$C$2:$C$5000,"&lt;="&amp;C197)</f>
        <v/>
      </c>
      <c r="H197" s="11">
        <f>SUMIFS(Dispatched!$C$2:$C$5000,Dispatched!$A$2:$A$5000,A197,Dispatched!$B$2:$B$5000,B197)</f>
        <v/>
      </c>
      <c r="I197" s="11">
        <f>MAX(0,MIN(D197,G197-H197))</f>
        <v/>
      </c>
      <c r="J197" s="26">
        <f>I197*E197/D197</f>
        <v/>
      </c>
      <c r="K197" s="10">
        <f>IF(I197=0,"Dispatched",IF(F197&lt;=30,"0-30",IF(F197&lt;=60,"31-60",IF(F197&lt;=90,"61-90","90+"))))</f>
        <v/>
      </c>
    </row>
    <row r="198">
      <c r="A198" s="24" t="inlineStr">
        <is>
          <t>Hyderabad</t>
        </is>
      </c>
      <c r="B198" s="24" t="inlineStr">
        <is>
          <t>50NBX2.5</t>
        </is>
      </c>
      <c r="C198" s="6" t="n">
        <v>46221</v>
      </c>
      <c r="D198" s="24" t="n">
        <v>428</v>
      </c>
      <c r="E198" s="25" t="n">
        <v>9.151</v>
      </c>
      <c r="F198" s="14">
        <f>AsOf-C198</f>
        <v/>
      </c>
      <c r="G198" s="11">
        <f>SUMIFS($D$2:$D$5000,$A$2:$A$5000,A198,$B$2:$B$5000,B198,$C$2:$C$5000,"&lt;="&amp;C198)</f>
        <v/>
      </c>
      <c r="H198" s="11">
        <f>SUMIFS(Dispatched!$C$2:$C$5000,Dispatched!$A$2:$A$5000,A198,Dispatched!$B$2:$B$5000,B198)</f>
        <v/>
      </c>
      <c r="I198" s="11">
        <f>MAX(0,MIN(D198,G198-H198))</f>
        <v/>
      </c>
      <c r="J198" s="26">
        <f>I198*E198/D198</f>
        <v/>
      </c>
      <c r="K198" s="10">
        <f>IF(I198=0,"Dispatched",IF(F198&lt;=30,"0-30",IF(F198&lt;=60,"31-60",IF(F198&lt;=90,"61-90","90+"))))</f>
        <v/>
      </c>
    </row>
    <row r="199">
      <c r="A199" s="24" t="inlineStr">
        <is>
          <t>Hyderabad</t>
        </is>
      </c>
      <c r="B199" s="24" t="inlineStr">
        <is>
          <t>50NBX2.8</t>
        </is>
      </c>
      <c r="C199" s="6" t="n">
        <v>46196</v>
      </c>
      <c r="D199" s="24" t="n">
        <v>256</v>
      </c>
      <c r="E199" s="25" t="n">
        <v>6.099</v>
      </c>
      <c r="F199" s="14">
        <f>AsOf-C199</f>
        <v/>
      </c>
      <c r="G199" s="11">
        <f>SUMIFS($D$2:$D$5000,$A$2:$A$5000,A199,$B$2:$B$5000,B199,$C$2:$C$5000,"&lt;="&amp;C199)</f>
        <v/>
      </c>
      <c r="H199" s="11">
        <f>SUMIFS(Dispatched!$C$2:$C$5000,Dispatched!$A$2:$A$5000,A199,Dispatched!$B$2:$B$5000,B199)</f>
        <v/>
      </c>
      <c r="I199" s="11">
        <f>MAX(0,MIN(D199,G199-H199))</f>
        <v/>
      </c>
      <c r="J199" s="26">
        <f>I199*E199/D199</f>
        <v/>
      </c>
      <c r="K199" s="10">
        <f>IF(I199=0,"Dispatched",IF(F199&lt;=30,"0-30",IF(F199&lt;=60,"31-60",IF(F199&lt;=90,"61-90","90+"))))</f>
        <v/>
      </c>
    </row>
    <row r="200">
      <c r="A200" s="24" t="inlineStr">
        <is>
          <t>Hyderabad</t>
        </is>
      </c>
      <c r="B200" s="24" t="inlineStr">
        <is>
          <t>50NBX2.8</t>
        </is>
      </c>
      <c r="C200" s="6" t="n">
        <v>46198</v>
      </c>
      <c r="D200" s="24" t="n">
        <v>790</v>
      </c>
      <c r="E200" s="25" t="n">
        <v>18.82</v>
      </c>
      <c r="F200" s="14">
        <f>AsOf-C200</f>
        <v/>
      </c>
      <c r="G200" s="11">
        <f>SUMIFS($D$2:$D$5000,$A$2:$A$5000,A200,$B$2:$B$5000,B200,$C$2:$C$5000,"&lt;="&amp;C200)</f>
        <v/>
      </c>
      <c r="H200" s="11">
        <f>SUMIFS(Dispatched!$C$2:$C$5000,Dispatched!$A$2:$A$5000,A200,Dispatched!$B$2:$B$5000,B200)</f>
        <v/>
      </c>
      <c r="I200" s="11">
        <f>MAX(0,MIN(D200,G200-H200))</f>
        <v/>
      </c>
      <c r="J200" s="26">
        <f>I200*E200/D200</f>
        <v/>
      </c>
      <c r="K200" s="10">
        <f>IF(I200=0,"Dispatched",IF(F200&lt;=30,"0-30",IF(F200&lt;=60,"31-60",IF(F200&lt;=90,"61-90","90+"))))</f>
        <v/>
      </c>
    </row>
    <row r="201">
      <c r="A201" s="24" t="inlineStr">
        <is>
          <t>Hyderabad</t>
        </is>
      </c>
      <c r="B201" s="24" t="inlineStr">
        <is>
          <t>50NBX2.8</t>
        </is>
      </c>
      <c r="C201" s="6" t="n">
        <v>46221</v>
      </c>
      <c r="D201" s="24" t="n">
        <v>476</v>
      </c>
      <c r="E201" s="25" t="n">
        <v>11.34</v>
      </c>
      <c r="F201" s="14">
        <f>AsOf-C201</f>
        <v/>
      </c>
      <c r="G201" s="11">
        <f>SUMIFS($D$2:$D$5000,$A$2:$A$5000,A201,$B$2:$B$5000,B201,$C$2:$C$5000,"&lt;="&amp;C201)</f>
        <v/>
      </c>
      <c r="H201" s="11">
        <f>SUMIFS(Dispatched!$C$2:$C$5000,Dispatched!$A$2:$A$5000,A201,Dispatched!$B$2:$B$5000,B201)</f>
        <v/>
      </c>
      <c r="I201" s="11">
        <f>MAX(0,MIN(D201,G201-H201))</f>
        <v/>
      </c>
      <c r="J201" s="26">
        <f>I201*E201/D201</f>
        <v/>
      </c>
      <c r="K201" s="10">
        <f>IF(I201=0,"Dispatched",IF(F201&lt;=30,"0-30",IF(F201&lt;=60,"31-60",IF(F201&lt;=90,"61-90","90+"))))</f>
        <v/>
      </c>
    </row>
    <row r="202">
      <c r="A202" s="24" t="inlineStr">
        <is>
          <t>Hyderabad</t>
        </is>
      </c>
      <c r="B202" s="24" t="inlineStr">
        <is>
          <t>50NBX3.2</t>
        </is>
      </c>
      <c r="C202" s="6" t="n">
        <v>46263</v>
      </c>
      <c r="D202" s="24" t="n">
        <v>1205</v>
      </c>
      <c r="E202" s="25" t="n">
        <v>32.579</v>
      </c>
      <c r="F202" s="14">
        <f>AsOf-C202</f>
        <v/>
      </c>
      <c r="G202" s="11">
        <f>SUMIFS($D$2:$D$5000,$A$2:$A$5000,A202,$B$2:$B$5000,B202,$C$2:$C$5000,"&lt;="&amp;C202)</f>
        <v/>
      </c>
      <c r="H202" s="11">
        <f>SUMIFS(Dispatched!$C$2:$C$5000,Dispatched!$A$2:$A$5000,A202,Dispatched!$B$2:$B$5000,B202)</f>
        <v/>
      </c>
      <c r="I202" s="11">
        <f>MAX(0,MIN(D202,G202-H202))</f>
        <v/>
      </c>
      <c r="J202" s="26">
        <f>I202*E202/D202</f>
        <v/>
      </c>
      <c r="K202" s="10">
        <f>IF(I202=0,"Dispatched",IF(F202&lt;=30,"0-30",IF(F202&lt;=60,"31-60",IF(F202&lt;=90,"61-90","90+"))))</f>
        <v/>
      </c>
    </row>
    <row r="203">
      <c r="A203" s="24" t="inlineStr">
        <is>
          <t>Hyderabad</t>
        </is>
      </c>
      <c r="B203" s="24" t="inlineStr">
        <is>
          <t>50NBX4</t>
        </is>
      </c>
      <c r="C203" s="6" t="n">
        <v>46196</v>
      </c>
      <c r="D203" s="24" t="n">
        <v>274</v>
      </c>
      <c r="E203" s="25" t="n">
        <v>6.749</v>
      </c>
      <c r="F203" s="14">
        <f>AsOf-C203</f>
        <v/>
      </c>
      <c r="G203" s="11">
        <f>SUMIFS($D$2:$D$5000,$A$2:$A$5000,A203,$B$2:$B$5000,B203,$C$2:$C$5000,"&lt;="&amp;C203)</f>
        <v/>
      </c>
      <c r="H203" s="11">
        <f>SUMIFS(Dispatched!$C$2:$C$5000,Dispatched!$A$2:$A$5000,A203,Dispatched!$B$2:$B$5000,B203)</f>
        <v/>
      </c>
      <c r="I203" s="11">
        <f>MAX(0,MIN(D203,G203-H203))</f>
        <v/>
      </c>
      <c r="J203" s="26">
        <f>I203*E203/D203</f>
        <v/>
      </c>
      <c r="K203" s="10">
        <f>IF(I203=0,"Dispatched",IF(F203&lt;=30,"0-30",IF(F203&lt;=60,"31-60",IF(F203&lt;=90,"61-90","90+"))))</f>
        <v/>
      </c>
    </row>
    <row r="204">
      <c r="A204" s="24" t="inlineStr">
        <is>
          <t>Hyderabad</t>
        </is>
      </c>
      <c r="B204" s="24" t="inlineStr">
        <is>
          <t>50X25X1.6</t>
        </is>
      </c>
      <c r="C204" s="6" t="n">
        <v>46162</v>
      </c>
      <c r="D204" s="24" t="n">
        <v>1167</v>
      </c>
      <c r="E204" s="25" t="n">
        <v>12.629</v>
      </c>
      <c r="F204" s="14">
        <f>AsOf-C204</f>
        <v/>
      </c>
      <c r="G204" s="11">
        <f>SUMIFS($D$2:$D$5000,$A$2:$A$5000,A204,$B$2:$B$5000,B204,$C$2:$C$5000,"&lt;="&amp;C204)</f>
        <v/>
      </c>
      <c r="H204" s="11">
        <f>SUMIFS(Dispatched!$C$2:$C$5000,Dispatched!$A$2:$A$5000,A204,Dispatched!$B$2:$B$5000,B204)</f>
        <v/>
      </c>
      <c r="I204" s="11">
        <f>MAX(0,MIN(D204,G204-H204))</f>
        <v/>
      </c>
      <c r="J204" s="26">
        <f>I204*E204/D204</f>
        <v/>
      </c>
      <c r="K204" s="10">
        <f>IF(I204=0,"Dispatched",IF(F204&lt;=30,"0-30",IF(F204&lt;=60,"31-60",IF(F204&lt;=90,"61-90","90+"))))</f>
        <v/>
      </c>
    </row>
    <row r="205">
      <c r="A205" s="24" t="inlineStr">
        <is>
          <t>Hyderabad</t>
        </is>
      </c>
      <c r="B205" s="24" t="inlineStr">
        <is>
          <t>50X25X1.6</t>
        </is>
      </c>
      <c r="C205" s="6" t="n">
        <v>46163</v>
      </c>
      <c r="D205" s="24" t="n">
        <v>918</v>
      </c>
      <c r="E205" s="25" t="n">
        <v>9.933999999999999</v>
      </c>
      <c r="F205" s="14">
        <f>AsOf-C205</f>
        <v/>
      </c>
      <c r="G205" s="11">
        <f>SUMIFS($D$2:$D$5000,$A$2:$A$5000,A205,$B$2:$B$5000,B205,$C$2:$C$5000,"&lt;="&amp;C205)</f>
        <v/>
      </c>
      <c r="H205" s="11">
        <f>SUMIFS(Dispatched!$C$2:$C$5000,Dispatched!$A$2:$A$5000,A205,Dispatched!$B$2:$B$5000,B205)</f>
        <v/>
      </c>
      <c r="I205" s="11">
        <f>MAX(0,MIN(D205,G205-H205))</f>
        <v/>
      </c>
      <c r="J205" s="26">
        <f>I205*E205/D205</f>
        <v/>
      </c>
      <c r="K205" s="10">
        <f>IF(I205=0,"Dispatched",IF(F205&lt;=30,"0-30",IF(F205&lt;=60,"31-60",IF(F205&lt;=90,"61-90","90+"))))</f>
        <v/>
      </c>
    </row>
    <row r="206">
      <c r="A206" s="24" t="inlineStr">
        <is>
          <t>Hyderabad</t>
        </is>
      </c>
      <c r="B206" s="24" t="inlineStr">
        <is>
          <t>50X25X1.6</t>
        </is>
      </c>
      <c r="C206" s="6" t="n">
        <v>46217</v>
      </c>
      <c r="D206" s="24" t="n">
        <v>465</v>
      </c>
      <c r="E206" s="25" t="n">
        <v>5.032</v>
      </c>
      <c r="F206" s="14">
        <f>AsOf-C206</f>
        <v/>
      </c>
      <c r="G206" s="11">
        <f>SUMIFS($D$2:$D$5000,$A$2:$A$5000,A206,$B$2:$B$5000,B206,$C$2:$C$5000,"&lt;="&amp;C206)</f>
        <v/>
      </c>
      <c r="H206" s="11">
        <f>SUMIFS(Dispatched!$C$2:$C$5000,Dispatched!$A$2:$A$5000,A206,Dispatched!$B$2:$B$5000,B206)</f>
        <v/>
      </c>
      <c r="I206" s="11">
        <f>MAX(0,MIN(D206,G206-H206))</f>
        <v/>
      </c>
      <c r="J206" s="26">
        <f>I206*E206/D206</f>
        <v/>
      </c>
      <c r="K206" s="10">
        <f>IF(I206=0,"Dispatched",IF(F206&lt;=30,"0-30",IF(F206&lt;=60,"31-60",IF(F206&lt;=90,"61-90","90+"))))</f>
        <v/>
      </c>
    </row>
    <row r="207">
      <c r="A207" s="24" t="inlineStr">
        <is>
          <t>Hyderabad</t>
        </is>
      </c>
      <c r="B207" s="24" t="inlineStr">
        <is>
          <t>50X25X1.6</t>
        </is>
      </c>
      <c r="C207" s="6" t="n">
        <v>46218</v>
      </c>
      <c r="D207" s="24" t="n">
        <v>1100</v>
      </c>
      <c r="E207" s="25" t="n">
        <v>11.904</v>
      </c>
      <c r="F207" s="14">
        <f>AsOf-C207</f>
        <v/>
      </c>
      <c r="G207" s="11">
        <f>SUMIFS($D$2:$D$5000,$A$2:$A$5000,A207,$B$2:$B$5000,B207,$C$2:$C$5000,"&lt;="&amp;C207)</f>
        <v/>
      </c>
      <c r="H207" s="11">
        <f>SUMIFS(Dispatched!$C$2:$C$5000,Dispatched!$A$2:$A$5000,A207,Dispatched!$B$2:$B$5000,B207)</f>
        <v/>
      </c>
      <c r="I207" s="11">
        <f>MAX(0,MIN(D207,G207-H207))</f>
        <v/>
      </c>
      <c r="J207" s="26">
        <f>I207*E207/D207</f>
        <v/>
      </c>
      <c r="K207" s="10">
        <f>IF(I207=0,"Dispatched",IF(F207&lt;=30,"0-30",IF(F207&lt;=60,"31-60",IF(F207&lt;=90,"61-90","90+"))))</f>
        <v/>
      </c>
    </row>
    <row r="208">
      <c r="A208" s="24" t="inlineStr">
        <is>
          <t>Hyderabad</t>
        </is>
      </c>
      <c r="B208" s="24" t="inlineStr">
        <is>
          <t>50X25X1.6</t>
        </is>
      </c>
      <c r="C208" s="6" t="n">
        <v>46219</v>
      </c>
      <c r="D208" s="24" t="n">
        <v>1160</v>
      </c>
      <c r="E208" s="25" t="n">
        <v>12.553</v>
      </c>
      <c r="F208" s="14">
        <f>AsOf-C208</f>
        <v/>
      </c>
      <c r="G208" s="11">
        <f>SUMIFS($D$2:$D$5000,$A$2:$A$5000,A208,$B$2:$B$5000,B208,$C$2:$C$5000,"&lt;="&amp;C208)</f>
        <v/>
      </c>
      <c r="H208" s="11">
        <f>SUMIFS(Dispatched!$C$2:$C$5000,Dispatched!$A$2:$A$5000,A208,Dispatched!$B$2:$B$5000,B208)</f>
        <v/>
      </c>
      <c r="I208" s="11">
        <f>MAX(0,MIN(D208,G208-H208))</f>
        <v/>
      </c>
      <c r="J208" s="26">
        <f>I208*E208/D208</f>
        <v/>
      </c>
      <c r="K208" s="10">
        <f>IF(I208=0,"Dispatched",IF(F208&lt;=30,"0-30",IF(F208&lt;=60,"31-60",IF(F208&lt;=90,"61-90","90+"))))</f>
        <v/>
      </c>
    </row>
    <row r="209">
      <c r="A209" s="24" t="inlineStr">
        <is>
          <t>Hyderabad</t>
        </is>
      </c>
      <c r="B209" s="24" t="inlineStr">
        <is>
          <t>50X25X1.6</t>
        </is>
      </c>
      <c r="C209" s="6" t="n">
        <v>46250</v>
      </c>
      <c r="D209" s="24" t="n">
        <v>2277</v>
      </c>
      <c r="E209" s="25" t="n">
        <v>24.641</v>
      </c>
      <c r="F209" s="14">
        <f>AsOf-C209</f>
        <v/>
      </c>
      <c r="G209" s="11">
        <f>SUMIFS($D$2:$D$5000,$A$2:$A$5000,A209,$B$2:$B$5000,B209,$C$2:$C$5000,"&lt;="&amp;C209)</f>
        <v/>
      </c>
      <c r="H209" s="11">
        <f>SUMIFS(Dispatched!$C$2:$C$5000,Dispatched!$A$2:$A$5000,A209,Dispatched!$B$2:$B$5000,B209)</f>
        <v/>
      </c>
      <c r="I209" s="11">
        <f>MAX(0,MIN(D209,G209-H209))</f>
        <v/>
      </c>
      <c r="J209" s="26">
        <f>I209*E209/D209</f>
        <v/>
      </c>
      <c r="K209" s="10">
        <f>IF(I209=0,"Dispatched",IF(F209&lt;=30,"0-30",IF(F209&lt;=60,"31-60",IF(F209&lt;=90,"61-90","90+"))))</f>
        <v/>
      </c>
    </row>
    <row r="210">
      <c r="A210" s="24" t="inlineStr">
        <is>
          <t>Hyderabad</t>
        </is>
      </c>
      <c r="B210" s="24" t="inlineStr">
        <is>
          <t>50X25X1.6</t>
        </is>
      </c>
      <c r="C210" s="6" t="n">
        <v>46251</v>
      </c>
      <c r="D210" s="24" t="n">
        <v>777</v>
      </c>
      <c r="E210" s="25" t="n">
        <v>8.407999999999999</v>
      </c>
      <c r="F210" s="14">
        <f>AsOf-C210</f>
        <v/>
      </c>
      <c r="G210" s="11">
        <f>SUMIFS($D$2:$D$5000,$A$2:$A$5000,A210,$B$2:$B$5000,B210,$C$2:$C$5000,"&lt;="&amp;C210)</f>
        <v/>
      </c>
      <c r="H210" s="11">
        <f>SUMIFS(Dispatched!$C$2:$C$5000,Dispatched!$A$2:$A$5000,A210,Dispatched!$B$2:$B$5000,B210)</f>
        <v/>
      </c>
      <c r="I210" s="11">
        <f>MAX(0,MIN(D210,G210-H210))</f>
        <v/>
      </c>
      <c r="J210" s="26">
        <f>I210*E210/D210</f>
        <v/>
      </c>
      <c r="K210" s="10">
        <f>IF(I210=0,"Dispatched",IF(F210&lt;=30,"0-30",IF(F210&lt;=60,"31-60",IF(F210&lt;=90,"61-90","90+"))))</f>
        <v/>
      </c>
    </row>
    <row r="211">
      <c r="A211" s="24" t="inlineStr">
        <is>
          <t>Hyderabad</t>
        </is>
      </c>
      <c r="B211" s="24" t="inlineStr">
        <is>
          <t>50X25X1.6</t>
        </is>
      </c>
      <c r="C211" s="6" t="n">
        <v>46300</v>
      </c>
      <c r="D211" s="24" t="n">
        <v>1427</v>
      </c>
      <c r="E211" s="25" t="n">
        <v>15.443</v>
      </c>
      <c r="F211" s="14">
        <f>AsOf-C211</f>
        <v/>
      </c>
      <c r="G211" s="11">
        <f>SUMIFS($D$2:$D$5000,$A$2:$A$5000,A211,$B$2:$B$5000,B211,$C$2:$C$5000,"&lt;="&amp;C211)</f>
        <v/>
      </c>
      <c r="H211" s="11">
        <f>SUMIFS(Dispatched!$C$2:$C$5000,Dispatched!$A$2:$A$5000,A211,Dispatched!$B$2:$B$5000,B211)</f>
        <v/>
      </c>
      <c r="I211" s="11">
        <f>MAX(0,MIN(D211,G211-H211))</f>
        <v/>
      </c>
      <c r="J211" s="26">
        <f>I211*E211/D211</f>
        <v/>
      </c>
      <c r="K211" s="10">
        <f>IF(I211=0,"Dispatched",IF(F211&lt;=30,"0-30",IF(F211&lt;=60,"31-60",IF(F211&lt;=90,"61-90","90+"))))</f>
        <v/>
      </c>
    </row>
    <row r="212">
      <c r="A212" s="24" t="inlineStr">
        <is>
          <t>Hyderabad</t>
        </is>
      </c>
      <c r="B212" s="24" t="inlineStr">
        <is>
          <t>50X25X2</t>
        </is>
      </c>
      <c r="C212" s="6" t="n">
        <v>46198</v>
      </c>
      <c r="D212" s="24" t="n">
        <v>2593</v>
      </c>
      <c r="E212" s="25" t="n">
        <v>34.685</v>
      </c>
      <c r="F212" s="14">
        <f>AsOf-C212</f>
        <v/>
      </c>
      <c r="G212" s="11">
        <f>SUMIFS($D$2:$D$5000,$A$2:$A$5000,A212,$B$2:$B$5000,B212,$C$2:$C$5000,"&lt;="&amp;C212)</f>
        <v/>
      </c>
      <c r="H212" s="11">
        <f>SUMIFS(Dispatched!$C$2:$C$5000,Dispatched!$A$2:$A$5000,A212,Dispatched!$B$2:$B$5000,B212)</f>
        <v/>
      </c>
      <c r="I212" s="11">
        <f>MAX(0,MIN(D212,G212-H212))</f>
        <v/>
      </c>
      <c r="J212" s="26">
        <f>I212*E212/D212</f>
        <v/>
      </c>
      <c r="K212" s="10">
        <f>IF(I212=0,"Dispatched",IF(F212&lt;=30,"0-30",IF(F212&lt;=60,"31-60",IF(F212&lt;=90,"61-90","90+"))))</f>
        <v/>
      </c>
    </row>
    <row r="213">
      <c r="A213" s="24" t="inlineStr">
        <is>
          <t>Hyderabad</t>
        </is>
      </c>
      <c r="B213" s="24" t="inlineStr">
        <is>
          <t>50X25X2</t>
        </is>
      </c>
      <c r="C213" s="6" t="n">
        <v>46251</v>
      </c>
      <c r="D213" s="24" t="n">
        <v>1610</v>
      </c>
      <c r="E213" s="25" t="n">
        <v>21.536</v>
      </c>
      <c r="F213" s="14">
        <f>AsOf-C213</f>
        <v/>
      </c>
      <c r="G213" s="11">
        <f>SUMIFS($D$2:$D$5000,$A$2:$A$5000,A213,$B$2:$B$5000,B213,$C$2:$C$5000,"&lt;="&amp;C213)</f>
        <v/>
      </c>
      <c r="H213" s="11">
        <f>SUMIFS(Dispatched!$C$2:$C$5000,Dispatched!$A$2:$A$5000,A213,Dispatched!$B$2:$B$5000,B213)</f>
        <v/>
      </c>
      <c r="I213" s="11">
        <f>MAX(0,MIN(D213,G213-H213))</f>
        <v/>
      </c>
      <c r="J213" s="26">
        <f>I213*E213/D213</f>
        <v/>
      </c>
      <c r="K213" s="10">
        <f>IF(I213=0,"Dispatched",IF(F213&lt;=30,"0-30",IF(F213&lt;=60,"31-60",IF(F213&lt;=90,"61-90","90+"))))</f>
        <v/>
      </c>
    </row>
    <row r="214">
      <c r="A214" s="24" t="inlineStr">
        <is>
          <t>Hyderabad</t>
        </is>
      </c>
      <c r="B214" s="24" t="inlineStr">
        <is>
          <t>50X25X2</t>
        </is>
      </c>
      <c r="C214" s="6" t="n">
        <v>46286</v>
      </c>
      <c r="D214" s="24" t="n">
        <v>1142</v>
      </c>
      <c r="E214" s="25" t="n">
        <v>15.276</v>
      </c>
      <c r="F214" s="14">
        <f>AsOf-C214</f>
        <v/>
      </c>
      <c r="G214" s="11">
        <f>SUMIFS($D$2:$D$5000,$A$2:$A$5000,A214,$B$2:$B$5000,B214,$C$2:$C$5000,"&lt;="&amp;C214)</f>
        <v/>
      </c>
      <c r="H214" s="11">
        <f>SUMIFS(Dispatched!$C$2:$C$5000,Dispatched!$A$2:$A$5000,A214,Dispatched!$B$2:$B$5000,B214)</f>
        <v/>
      </c>
      <c r="I214" s="11">
        <f>MAX(0,MIN(D214,G214-H214))</f>
        <v/>
      </c>
      <c r="J214" s="26">
        <f>I214*E214/D214</f>
        <v/>
      </c>
      <c r="K214" s="10">
        <f>IF(I214=0,"Dispatched",IF(F214&lt;=30,"0-30",IF(F214&lt;=60,"31-60",IF(F214&lt;=90,"61-90","90+"))))</f>
        <v/>
      </c>
    </row>
    <row r="215">
      <c r="A215" s="24" t="inlineStr">
        <is>
          <t>Hyderabad</t>
        </is>
      </c>
      <c r="B215" s="24" t="inlineStr">
        <is>
          <t>50X25X2</t>
        </is>
      </c>
      <c r="C215" s="6" t="n">
        <v>46287</v>
      </c>
      <c r="D215" s="24" t="n">
        <v>581</v>
      </c>
      <c r="E215" s="25" t="n">
        <v>7.772</v>
      </c>
      <c r="F215" s="14">
        <f>AsOf-C215</f>
        <v/>
      </c>
      <c r="G215" s="11">
        <f>SUMIFS($D$2:$D$5000,$A$2:$A$5000,A215,$B$2:$B$5000,B215,$C$2:$C$5000,"&lt;="&amp;C215)</f>
        <v/>
      </c>
      <c r="H215" s="11">
        <f>SUMIFS(Dispatched!$C$2:$C$5000,Dispatched!$A$2:$A$5000,A215,Dispatched!$B$2:$B$5000,B215)</f>
        <v/>
      </c>
      <c r="I215" s="11">
        <f>MAX(0,MIN(D215,G215-H215))</f>
        <v/>
      </c>
      <c r="J215" s="26">
        <f>I215*E215/D215</f>
        <v/>
      </c>
      <c r="K215" s="10">
        <f>IF(I215=0,"Dispatched",IF(F215&lt;=30,"0-30",IF(F215&lt;=60,"31-60",IF(F215&lt;=90,"61-90","90+"))))</f>
        <v/>
      </c>
    </row>
    <row r="216">
      <c r="A216" s="24" t="inlineStr">
        <is>
          <t>Hyderabad</t>
        </is>
      </c>
      <c r="B216" s="24" t="inlineStr">
        <is>
          <t>50X25X2.5</t>
        </is>
      </c>
      <c r="C216" s="6" t="n">
        <v>46163</v>
      </c>
      <c r="D216" s="24" t="n">
        <v>135</v>
      </c>
      <c r="E216" s="25" t="n">
        <v>2.225</v>
      </c>
      <c r="F216" s="14">
        <f>AsOf-C216</f>
        <v/>
      </c>
      <c r="G216" s="11">
        <f>SUMIFS($D$2:$D$5000,$A$2:$A$5000,A216,$B$2:$B$5000,B216,$C$2:$C$5000,"&lt;="&amp;C216)</f>
        <v/>
      </c>
      <c r="H216" s="11">
        <f>SUMIFS(Dispatched!$C$2:$C$5000,Dispatched!$A$2:$A$5000,A216,Dispatched!$B$2:$B$5000,B216)</f>
        <v/>
      </c>
      <c r="I216" s="11">
        <f>MAX(0,MIN(D216,G216-H216))</f>
        <v/>
      </c>
      <c r="J216" s="26">
        <f>I216*E216/D216</f>
        <v/>
      </c>
      <c r="K216" s="10">
        <f>IF(I216=0,"Dispatched",IF(F216&lt;=30,"0-30",IF(F216&lt;=60,"31-60",IF(F216&lt;=90,"61-90","90+"))))</f>
        <v/>
      </c>
    </row>
    <row r="217">
      <c r="A217" s="24" t="inlineStr">
        <is>
          <t>Hyderabad</t>
        </is>
      </c>
      <c r="B217" s="24" t="inlineStr">
        <is>
          <t>50X25X2.5</t>
        </is>
      </c>
      <c r="C217" s="6" t="n">
        <v>46164</v>
      </c>
      <c r="D217" s="24" t="n">
        <v>1217</v>
      </c>
      <c r="E217" s="25" t="n">
        <v>20.062</v>
      </c>
      <c r="F217" s="14">
        <f>AsOf-C217</f>
        <v/>
      </c>
      <c r="G217" s="11">
        <f>SUMIFS($D$2:$D$5000,$A$2:$A$5000,A217,$B$2:$B$5000,B217,$C$2:$C$5000,"&lt;="&amp;C217)</f>
        <v/>
      </c>
      <c r="H217" s="11">
        <f>SUMIFS(Dispatched!$C$2:$C$5000,Dispatched!$A$2:$A$5000,A217,Dispatched!$B$2:$B$5000,B217)</f>
        <v/>
      </c>
      <c r="I217" s="11">
        <f>MAX(0,MIN(D217,G217-H217))</f>
        <v/>
      </c>
      <c r="J217" s="26">
        <f>I217*E217/D217</f>
        <v/>
      </c>
      <c r="K217" s="10">
        <f>IF(I217=0,"Dispatched",IF(F217&lt;=30,"0-30",IF(F217&lt;=60,"31-60",IF(F217&lt;=90,"61-90","90+"))))</f>
        <v/>
      </c>
    </row>
    <row r="218">
      <c r="A218" s="24" t="inlineStr">
        <is>
          <t>Hyderabad</t>
        </is>
      </c>
      <c r="B218" s="24" t="inlineStr">
        <is>
          <t>50X25X2.5</t>
        </is>
      </c>
      <c r="C218" s="6" t="n">
        <v>46198</v>
      </c>
      <c r="D218" s="24" t="n">
        <v>1033</v>
      </c>
      <c r="E218" s="25" t="n">
        <v>17.029</v>
      </c>
      <c r="F218" s="14">
        <f>AsOf-C218</f>
        <v/>
      </c>
      <c r="G218" s="11">
        <f>SUMIFS($D$2:$D$5000,$A$2:$A$5000,A218,$B$2:$B$5000,B218,$C$2:$C$5000,"&lt;="&amp;C218)</f>
        <v/>
      </c>
      <c r="H218" s="11">
        <f>SUMIFS(Dispatched!$C$2:$C$5000,Dispatched!$A$2:$A$5000,A218,Dispatched!$B$2:$B$5000,B218)</f>
        <v/>
      </c>
      <c r="I218" s="11">
        <f>MAX(0,MIN(D218,G218-H218))</f>
        <v/>
      </c>
      <c r="J218" s="26">
        <f>I218*E218/D218</f>
        <v/>
      </c>
      <c r="K218" s="10">
        <f>IF(I218=0,"Dispatched",IF(F218&lt;=30,"0-30",IF(F218&lt;=60,"31-60",IF(F218&lt;=90,"61-90","90+"))))</f>
        <v/>
      </c>
    </row>
    <row r="219">
      <c r="A219" s="24" t="inlineStr">
        <is>
          <t>Hyderabad</t>
        </is>
      </c>
      <c r="B219" s="24" t="inlineStr">
        <is>
          <t>50X25X2.5</t>
        </is>
      </c>
      <c r="C219" s="6" t="n">
        <v>46199</v>
      </c>
      <c r="D219" s="24" t="n">
        <v>278</v>
      </c>
      <c r="E219" s="25" t="n">
        <v>4.583</v>
      </c>
      <c r="F219" s="14">
        <f>AsOf-C219</f>
        <v/>
      </c>
      <c r="G219" s="11">
        <f>SUMIFS($D$2:$D$5000,$A$2:$A$5000,A219,$B$2:$B$5000,B219,$C$2:$C$5000,"&lt;="&amp;C219)</f>
        <v/>
      </c>
      <c r="H219" s="11">
        <f>SUMIFS(Dispatched!$C$2:$C$5000,Dispatched!$A$2:$A$5000,A219,Dispatched!$B$2:$B$5000,B219)</f>
        <v/>
      </c>
      <c r="I219" s="11">
        <f>MAX(0,MIN(D219,G219-H219))</f>
        <v/>
      </c>
      <c r="J219" s="26">
        <f>I219*E219/D219</f>
        <v/>
      </c>
      <c r="K219" s="10">
        <f>IF(I219=0,"Dispatched",IF(F219&lt;=30,"0-30",IF(F219&lt;=60,"31-60",IF(F219&lt;=90,"61-90","90+"))))</f>
        <v/>
      </c>
    </row>
    <row r="220">
      <c r="A220" s="24" t="inlineStr">
        <is>
          <t>Hyderabad</t>
        </is>
      </c>
      <c r="B220" s="24" t="inlineStr">
        <is>
          <t>50X25X2.5</t>
        </is>
      </c>
      <c r="C220" s="6" t="n">
        <v>46251</v>
      </c>
      <c r="D220" s="24" t="n">
        <v>824</v>
      </c>
      <c r="E220" s="25" t="n">
        <v>13.584</v>
      </c>
      <c r="F220" s="14">
        <f>AsOf-C220</f>
        <v/>
      </c>
      <c r="G220" s="11">
        <f>SUMIFS($D$2:$D$5000,$A$2:$A$5000,A220,$B$2:$B$5000,B220,$C$2:$C$5000,"&lt;="&amp;C220)</f>
        <v/>
      </c>
      <c r="H220" s="11">
        <f>SUMIFS(Dispatched!$C$2:$C$5000,Dispatched!$A$2:$A$5000,A220,Dispatched!$B$2:$B$5000,B220)</f>
        <v/>
      </c>
      <c r="I220" s="11">
        <f>MAX(0,MIN(D220,G220-H220))</f>
        <v/>
      </c>
      <c r="J220" s="26">
        <f>I220*E220/D220</f>
        <v/>
      </c>
      <c r="K220" s="10">
        <f>IF(I220=0,"Dispatched",IF(F220&lt;=30,"0-30",IF(F220&lt;=60,"31-60",IF(F220&lt;=90,"61-90","90+"))))</f>
        <v/>
      </c>
    </row>
    <row r="221">
      <c r="A221" s="24" t="inlineStr">
        <is>
          <t>Hyderabad</t>
        </is>
      </c>
      <c r="B221" s="24" t="inlineStr">
        <is>
          <t>50X25X2.5</t>
        </is>
      </c>
      <c r="C221" s="6" t="n">
        <v>46287</v>
      </c>
      <c r="D221" s="24" t="n">
        <v>145</v>
      </c>
      <c r="E221" s="25" t="n">
        <v>2.39</v>
      </c>
      <c r="F221" s="14">
        <f>AsOf-C221</f>
        <v/>
      </c>
      <c r="G221" s="11">
        <f>SUMIFS($D$2:$D$5000,$A$2:$A$5000,A221,$B$2:$B$5000,B221,$C$2:$C$5000,"&lt;="&amp;C221)</f>
        <v/>
      </c>
      <c r="H221" s="11">
        <f>SUMIFS(Dispatched!$C$2:$C$5000,Dispatched!$A$2:$A$5000,A221,Dispatched!$B$2:$B$5000,B221)</f>
        <v/>
      </c>
      <c r="I221" s="11">
        <f>MAX(0,MIN(D221,G221-H221))</f>
        <v/>
      </c>
      <c r="J221" s="26">
        <f>I221*E221/D221</f>
        <v/>
      </c>
      <c r="K221" s="10">
        <f>IF(I221=0,"Dispatched",IF(F221&lt;=30,"0-30",IF(F221&lt;=60,"31-60",IF(F221&lt;=90,"61-90","90+"))))</f>
        <v/>
      </c>
    </row>
    <row r="222">
      <c r="A222" s="24" t="inlineStr">
        <is>
          <t>Hyderabad</t>
        </is>
      </c>
      <c r="B222" s="24" t="inlineStr">
        <is>
          <t>50X25X2.8</t>
        </is>
      </c>
      <c r="C222" s="6" t="n">
        <v>46157</v>
      </c>
      <c r="D222" s="24" t="n">
        <v>1526</v>
      </c>
      <c r="E222" s="25" t="n">
        <v>27.933</v>
      </c>
      <c r="F222" s="14">
        <f>AsOf-C222</f>
        <v/>
      </c>
      <c r="G222" s="11">
        <f>SUMIFS($D$2:$D$5000,$A$2:$A$5000,A222,$B$2:$B$5000,B222,$C$2:$C$5000,"&lt;="&amp;C222)</f>
        <v/>
      </c>
      <c r="H222" s="11">
        <f>SUMIFS(Dispatched!$C$2:$C$5000,Dispatched!$A$2:$A$5000,A222,Dispatched!$B$2:$B$5000,B222)</f>
        <v/>
      </c>
      <c r="I222" s="11">
        <f>MAX(0,MIN(D222,G222-H222))</f>
        <v/>
      </c>
      <c r="J222" s="26">
        <f>I222*E222/D222</f>
        <v/>
      </c>
      <c r="K222" s="10">
        <f>IF(I222=0,"Dispatched",IF(F222&lt;=30,"0-30",IF(F222&lt;=60,"31-60",IF(F222&lt;=90,"61-90","90+"))))</f>
        <v/>
      </c>
    </row>
    <row r="223">
      <c r="A223" s="24" t="inlineStr">
        <is>
          <t>Hyderabad</t>
        </is>
      </c>
      <c r="B223" s="24" t="inlineStr">
        <is>
          <t>50X25X2.8</t>
        </is>
      </c>
      <c r="C223" s="6" t="n">
        <v>46158</v>
      </c>
      <c r="D223" s="24" t="n">
        <v>279</v>
      </c>
      <c r="E223" s="25" t="n">
        <v>5.107</v>
      </c>
      <c r="F223" s="14">
        <f>AsOf-C223</f>
        <v/>
      </c>
      <c r="G223" s="11">
        <f>SUMIFS($D$2:$D$5000,$A$2:$A$5000,A223,$B$2:$B$5000,B223,$C$2:$C$5000,"&lt;="&amp;C223)</f>
        <v/>
      </c>
      <c r="H223" s="11">
        <f>SUMIFS(Dispatched!$C$2:$C$5000,Dispatched!$A$2:$A$5000,A223,Dispatched!$B$2:$B$5000,B223)</f>
        <v/>
      </c>
      <c r="I223" s="11">
        <f>MAX(0,MIN(D223,G223-H223))</f>
        <v/>
      </c>
      <c r="J223" s="26">
        <f>I223*E223/D223</f>
        <v/>
      </c>
      <c r="K223" s="10">
        <f>IF(I223=0,"Dispatched",IF(F223&lt;=30,"0-30",IF(F223&lt;=60,"31-60",IF(F223&lt;=90,"61-90","90+"))))</f>
        <v/>
      </c>
    </row>
    <row r="224">
      <c r="A224" s="24" t="inlineStr">
        <is>
          <t>Hyderabad</t>
        </is>
      </c>
      <c r="B224" s="24" t="inlineStr">
        <is>
          <t>50X25X2.8</t>
        </is>
      </c>
      <c r="C224" s="6" t="n">
        <v>46160</v>
      </c>
      <c r="D224" s="24" t="n">
        <v>165</v>
      </c>
      <c r="E224" s="25" t="n">
        <v>3.02</v>
      </c>
      <c r="F224" s="14">
        <f>AsOf-C224</f>
        <v/>
      </c>
      <c r="G224" s="11">
        <f>SUMIFS($D$2:$D$5000,$A$2:$A$5000,A224,$B$2:$B$5000,B224,$C$2:$C$5000,"&lt;="&amp;C224)</f>
        <v/>
      </c>
      <c r="H224" s="11">
        <f>SUMIFS(Dispatched!$C$2:$C$5000,Dispatched!$A$2:$A$5000,A224,Dispatched!$B$2:$B$5000,B224)</f>
        <v/>
      </c>
      <c r="I224" s="11">
        <f>MAX(0,MIN(D224,G224-H224))</f>
        <v/>
      </c>
      <c r="J224" s="26">
        <f>I224*E224/D224</f>
        <v/>
      </c>
      <c r="K224" s="10">
        <f>IF(I224=0,"Dispatched",IF(F224&lt;=30,"0-30",IF(F224&lt;=60,"31-60",IF(F224&lt;=90,"61-90","90+"))))</f>
        <v/>
      </c>
    </row>
    <row r="225">
      <c r="A225" s="24" t="inlineStr">
        <is>
          <t>Hyderabad</t>
        </is>
      </c>
      <c r="B225" s="24" t="inlineStr">
        <is>
          <t>50X25X2.8</t>
        </is>
      </c>
      <c r="C225" s="6" t="n">
        <v>46162</v>
      </c>
      <c r="D225" s="24" t="n">
        <v>102</v>
      </c>
      <c r="E225" s="25" t="n">
        <v>1.867</v>
      </c>
      <c r="F225" s="14">
        <f>AsOf-C225</f>
        <v/>
      </c>
      <c r="G225" s="11">
        <f>SUMIFS($D$2:$D$5000,$A$2:$A$5000,A225,$B$2:$B$5000,B225,$C$2:$C$5000,"&lt;="&amp;C225)</f>
        <v/>
      </c>
      <c r="H225" s="11">
        <f>SUMIFS(Dispatched!$C$2:$C$5000,Dispatched!$A$2:$A$5000,A225,Dispatched!$B$2:$B$5000,B225)</f>
        <v/>
      </c>
      <c r="I225" s="11">
        <f>MAX(0,MIN(D225,G225-H225))</f>
        <v/>
      </c>
      <c r="J225" s="26">
        <f>I225*E225/D225</f>
        <v/>
      </c>
      <c r="K225" s="10">
        <f>IF(I225=0,"Dispatched",IF(F225&lt;=30,"0-30",IF(F225&lt;=60,"31-60",IF(F225&lt;=90,"61-90","90+"))))</f>
        <v/>
      </c>
    </row>
    <row r="226">
      <c r="A226" s="24" t="inlineStr">
        <is>
          <t>Hyderabad</t>
        </is>
      </c>
      <c r="B226" s="24" t="inlineStr">
        <is>
          <t>50X50X1.2</t>
        </is>
      </c>
      <c r="C226" s="6" t="n">
        <v>46261</v>
      </c>
      <c r="D226" s="24" t="n">
        <v>1608</v>
      </c>
      <c r="E226" s="25" t="n">
        <v>17.741</v>
      </c>
      <c r="F226" s="14">
        <f>AsOf-C226</f>
        <v/>
      </c>
      <c r="G226" s="11">
        <f>SUMIFS($D$2:$D$5000,$A$2:$A$5000,A226,$B$2:$B$5000,B226,$C$2:$C$5000,"&lt;="&amp;C226)</f>
        <v/>
      </c>
      <c r="H226" s="11">
        <f>SUMIFS(Dispatched!$C$2:$C$5000,Dispatched!$A$2:$A$5000,A226,Dispatched!$B$2:$B$5000,B226)</f>
        <v/>
      </c>
      <c r="I226" s="11">
        <f>MAX(0,MIN(D226,G226-H226))</f>
        <v/>
      </c>
      <c r="J226" s="26">
        <f>I226*E226/D226</f>
        <v/>
      </c>
      <c r="K226" s="10">
        <f>IF(I226=0,"Dispatched",IF(F226&lt;=30,"0-30",IF(F226&lt;=60,"31-60",IF(F226&lt;=90,"61-90","90+"))))</f>
        <v/>
      </c>
    </row>
    <row r="227">
      <c r="A227" s="24" t="inlineStr">
        <is>
          <t>Hyderabad</t>
        </is>
      </c>
      <c r="B227" s="24" t="inlineStr">
        <is>
          <t>50X50X1.2</t>
        </is>
      </c>
      <c r="C227" s="6" t="n">
        <v>46274</v>
      </c>
      <c r="D227" s="24" t="n">
        <v>1383</v>
      </c>
      <c r="E227" s="25" t="n">
        <v>15.258</v>
      </c>
      <c r="F227" s="14">
        <f>AsOf-C227</f>
        <v/>
      </c>
      <c r="G227" s="11">
        <f>SUMIFS($D$2:$D$5000,$A$2:$A$5000,A227,$B$2:$B$5000,B227,$C$2:$C$5000,"&lt;="&amp;C227)</f>
        <v/>
      </c>
      <c r="H227" s="11">
        <f>SUMIFS(Dispatched!$C$2:$C$5000,Dispatched!$A$2:$A$5000,A227,Dispatched!$B$2:$B$5000,B227)</f>
        <v/>
      </c>
      <c r="I227" s="11">
        <f>MAX(0,MIN(D227,G227-H227))</f>
        <v/>
      </c>
      <c r="J227" s="26">
        <f>I227*E227/D227</f>
        <v/>
      </c>
      <c r="K227" s="10">
        <f>IF(I227=0,"Dispatched",IF(F227&lt;=30,"0-30",IF(F227&lt;=60,"31-60",IF(F227&lt;=90,"61-90","90+"))))</f>
        <v/>
      </c>
    </row>
    <row r="228">
      <c r="A228" s="24" t="inlineStr">
        <is>
          <t>Hyderabad</t>
        </is>
      </c>
      <c r="B228" s="24" t="inlineStr">
        <is>
          <t>50X50X1.6</t>
        </is>
      </c>
      <c r="C228" s="6" t="n">
        <v>46147</v>
      </c>
      <c r="D228" s="24" t="n">
        <v>2382</v>
      </c>
      <c r="E228" s="25" t="n">
        <v>34.753</v>
      </c>
      <c r="F228" s="14">
        <f>AsOf-C228</f>
        <v/>
      </c>
      <c r="G228" s="11">
        <f>SUMIFS($D$2:$D$5000,$A$2:$A$5000,A228,$B$2:$B$5000,B228,$C$2:$C$5000,"&lt;="&amp;C228)</f>
        <v/>
      </c>
      <c r="H228" s="11">
        <f>SUMIFS(Dispatched!$C$2:$C$5000,Dispatched!$A$2:$A$5000,A228,Dispatched!$B$2:$B$5000,B228)</f>
        <v/>
      </c>
      <c r="I228" s="11">
        <f>MAX(0,MIN(D228,G228-H228))</f>
        <v/>
      </c>
      <c r="J228" s="26">
        <f>I228*E228/D228</f>
        <v/>
      </c>
      <c r="K228" s="10">
        <f>IF(I228=0,"Dispatched",IF(F228&lt;=30,"0-30",IF(F228&lt;=60,"31-60",IF(F228&lt;=90,"61-90","90+"))))</f>
        <v/>
      </c>
    </row>
    <row r="229">
      <c r="A229" s="24" t="inlineStr">
        <is>
          <t>Hyderabad</t>
        </is>
      </c>
      <c r="B229" s="24" t="inlineStr">
        <is>
          <t>50X50X1.6</t>
        </is>
      </c>
      <c r="C229" s="6" t="n">
        <v>46164</v>
      </c>
      <c r="D229" s="24" t="n">
        <v>2525</v>
      </c>
      <c r="E229" s="25" t="n">
        <v>36.839</v>
      </c>
      <c r="F229" s="14">
        <f>AsOf-C229</f>
        <v/>
      </c>
      <c r="G229" s="11">
        <f>SUMIFS($D$2:$D$5000,$A$2:$A$5000,A229,$B$2:$B$5000,B229,$C$2:$C$5000,"&lt;="&amp;C229)</f>
        <v/>
      </c>
      <c r="H229" s="11">
        <f>SUMIFS(Dispatched!$C$2:$C$5000,Dispatched!$A$2:$A$5000,A229,Dispatched!$B$2:$B$5000,B229)</f>
        <v/>
      </c>
      <c r="I229" s="11">
        <f>MAX(0,MIN(D229,G229-H229))</f>
        <v/>
      </c>
      <c r="J229" s="26">
        <f>I229*E229/D229</f>
        <v/>
      </c>
      <c r="K229" s="10">
        <f>IF(I229=0,"Dispatched",IF(F229&lt;=30,"0-30",IF(F229&lt;=60,"31-60",IF(F229&lt;=90,"61-90","90+"))))</f>
        <v/>
      </c>
    </row>
    <row r="230">
      <c r="A230" s="24" t="inlineStr">
        <is>
          <t>Hyderabad</t>
        </is>
      </c>
      <c r="B230" s="24" t="inlineStr">
        <is>
          <t>50X50X1.6</t>
        </is>
      </c>
      <c r="C230" s="6" t="n">
        <v>46216</v>
      </c>
      <c r="D230" s="24" t="n">
        <v>988</v>
      </c>
      <c r="E230" s="25" t="n">
        <v>14.415</v>
      </c>
      <c r="F230" s="14">
        <f>AsOf-C230</f>
        <v/>
      </c>
      <c r="G230" s="11">
        <f>SUMIFS($D$2:$D$5000,$A$2:$A$5000,A230,$B$2:$B$5000,B230,$C$2:$C$5000,"&lt;="&amp;C230)</f>
        <v/>
      </c>
      <c r="H230" s="11">
        <f>SUMIFS(Dispatched!$C$2:$C$5000,Dispatched!$A$2:$A$5000,A230,Dispatched!$B$2:$B$5000,B230)</f>
        <v/>
      </c>
      <c r="I230" s="11">
        <f>MAX(0,MIN(D230,G230-H230))</f>
        <v/>
      </c>
      <c r="J230" s="26">
        <f>I230*E230/D230</f>
        <v/>
      </c>
      <c r="K230" s="10">
        <f>IF(I230=0,"Dispatched",IF(F230&lt;=30,"0-30",IF(F230&lt;=60,"31-60",IF(F230&lt;=90,"61-90","90+"))))</f>
        <v/>
      </c>
    </row>
    <row r="231">
      <c r="A231" s="24" t="inlineStr">
        <is>
          <t>Hyderabad</t>
        </is>
      </c>
      <c r="B231" s="24" t="inlineStr">
        <is>
          <t>50X50X1.6</t>
        </is>
      </c>
      <c r="C231" s="6" t="n">
        <v>46218</v>
      </c>
      <c r="D231" s="24" t="n">
        <v>1432</v>
      </c>
      <c r="E231" s="25" t="n">
        <v>20.892</v>
      </c>
      <c r="F231" s="14">
        <f>AsOf-C231</f>
        <v/>
      </c>
      <c r="G231" s="11">
        <f>SUMIFS($D$2:$D$5000,$A$2:$A$5000,A231,$B$2:$B$5000,B231,$C$2:$C$5000,"&lt;="&amp;C231)</f>
        <v/>
      </c>
      <c r="H231" s="11">
        <f>SUMIFS(Dispatched!$C$2:$C$5000,Dispatched!$A$2:$A$5000,A231,Dispatched!$B$2:$B$5000,B231)</f>
        <v/>
      </c>
      <c r="I231" s="11">
        <f>MAX(0,MIN(D231,G231-H231))</f>
        <v/>
      </c>
      <c r="J231" s="26">
        <f>I231*E231/D231</f>
        <v/>
      </c>
      <c r="K231" s="10">
        <f>IF(I231=0,"Dispatched",IF(F231&lt;=30,"0-30",IF(F231&lt;=60,"31-60",IF(F231&lt;=90,"61-90","90+"))))</f>
        <v/>
      </c>
    </row>
    <row r="232">
      <c r="A232" s="24" t="inlineStr">
        <is>
          <t>Hyderabad</t>
        </is>
      </c>
      <c r="B232" s="24" t="inlineStr">
        <is>
          <t>50X50X1.6</t>
        </is>
      </c>
      <c r="C232" s="6" t="n">
        <v>46274</v>
      </c>
      <c r="D232" s="24" t="n">
        <v>223</v>
      </c>
      <c r="E232" s="25" t="n">
        <v>3.254</v>
      </c>
      <c r="F232" s="14">
        <f>AsOf-C232</f>
        <v/>
      </c>
      <c r="G232" s="11">
        <f>SUMIFS($D$2:$D$5000,$A$2:$A$5000,A232,$B$2:$B$5000,B232,$C$2:$C$5000,"&lt;="&amp;C232)</f>
        <v/>
      </c>
      <c r="H232" s="11">
        <f>SUMIFS(Dispatched!$C$2:$C$5000,Dispatched!$A$2:$A$5000,A232,Dispatched!$B$2:$B$5000,B232)</f>
        <v/>
      </c>
      <c r="I232" s="11">
        <f>MAX(0,MIN(D232,G232-H232))</f>
        <v/>
      </c>
      <c r="J232" s="26">
        <f>I232*E232/D232</f>
        <v/>
      </c>
      <c r="K232" s="10">
        <f>IF(I232=0,"Dispatched",IF(F232&lt;=30,"0-30",IF(F232&lt;=60,"31-60",IF(F232&lt;=90,"61-90","90+"))))</f>
        <v/>
      </c>
    </row>
    <row r="233">
      <c r="A233" s="24" t="inlineStr">
        <is>
          <t>Hyderabad</t>
        </is>
      </c>
      <c r="B233" s="24" t="inlineStr">
        <is>
          <t>50X50X1.6</t>
        </is>
      </c>
      <c r="C233" s="6" t="n">
        <v>46288</v>
      </c>
      <c r="D233" s="24" t="n">
        <v>757</v>
      </c>
      <c r="E233" s="25" t="n">
        <v>11.044</v>
      </c>
      <c r="F233" s="14">
        <f>AsOf-C233</f>
        <v/>
      </c>
      <c r="G233" s="11">
        <f>SUMIFS($D$2:$D$5000,$A$2:$A$5000,A233,$B$2:$B$5000,B233,$C$2:$C$5000,"&lt;="&amp;C233)</f>
        <v/>
      </c>
      <c r="H233" s="11">
        <f>SUMIFS(Dispatched!$C$2:$C$5000,Dispatched!$A$2:$A$5000,A233,Dispatched!$B$2:$B$5000,B233)</f>
        <v/>
      </c>
      <c r="I233" s="11">
        <f>MAX(0,MIN(D233,G233-H233))</f>
        <v/>
      </c>
      <c r="J233" s="26">
        <f>I233*E233/D233</f>
        <v/>
      </c>
      <c r="K233" s="10">
        <f>IF(I233=0,"Dispatched",IF(F233&lt;=30,"0-30",IF(F233&lt;=60,"31-60",IF(F233&lt;=90,"61-90","90+"))))</f>
        <v/>
      </c>
    </row>
    <row r="234">
      <c r="A234" s="24" t="inlineStr">
        <is>
          <t>Hyderabad</t>
        </is>
      </c>
      <c r="B234" s="24" t="inlineStr">
        <is>
          <t>50X50X1.6</t>
        </is>
      </c>
      <c r="C234" s="6" t="n">
        <v>46302</v>
      </c>
      <c r="D234" s="24" t="n">
        <v>2355</v>
      </c>
      <c r="E234" s="25" t="n">
        <v>34.359</v>
      </c>
      <c r="F234" s="14">
        <f>AsOf-C234</f>
        <v/>
      </c>
      <c r="G234" s="11">
        <f>SUMIFS($D$2:$D$5000,$A$2:$A$5000,A234,$B$2:$B$5000,B234,$C$2:$C$5000,"&lt;="&amp;C234)</f>
        <v/>
      </c>
      <c r="H234" s="11">
        <f>SUMIFS(Dispatched!$C$2:$C$5000,Dispatched!$A$2:$A$5000,A234,Dispatched!$B$2:$B$5000,B234)</f>
        <v/>
      </c>
      <c r="I234" s="11">
        <f>MAX(0,MIN(D234,G234-H234))</f>
        <v/>
      </c>
      <c r="J234" s="26">
        <f>I234*E234/D234</f>
        <v/>
      </c>
      <c r="K234" s="10">
        <f>IF(I234=0,"Dispatched",IF(F234&lt;=30,"0-30",IF(F234&lt;=60,"31-60",IF(F234&lt;=90,"61-90","90+"))))</f>
        <v/>
      </c>
    </row>
    <row r="235">
      <c r="A235" s="24" t="inlineStr">
        <is>
          <t>Hyderabad</t>
        </is>
      </c>
      <c r="B235" s="24" t="inlineStr">
        <is>
          <t>50X50X2</t>
        </is>
      </c>
      <c r="C235" s="6" t="n">
        <v>46118</v>
      </c>
      <c r="D235" s="24" t="n">
        <v>1062</v>
      </c>
      <c r="E235" s="25" t="n">
        <v>19.208</v>
      </c>
      <c r="F235" s="14">
        <f>AsOf-C235</f>
        <v/>
      </c>
      <c r="G235" s="11">
        <f>SUMIFS($D$2:$D$5000,$A$2:$A$5000,A235,$B$2:$B$5000,B235,$C$2:$C$5000,"&lt;="&amp;C235)</f>
        <v/>
      </c>
      <c r="H235" s="11">
        <f>SUMIFS(Dispatched!$C$2:$C$5000,Dispatched!$A$2:$A$5000,A235,Dispatched!$B$2:$B$5000,B235)</f>
        <v/>
      </c>
      <c r="I235" s="11">
        <f>MAX(0,MIN(D235,G235-H235))</f>
        <v/>
      </c>
      <c r="J235" s="26">
        <f>I235*E235/D235</f>
        <v/>
      </c>
      <c r="K235" s="10">
        <f>IF(I235=0,"Dispatched",IF(F235&lt;=30,"0-30",IF(F235&lt;=60,"31-60",IF(F235&lt;=90,"61-90","90+"))))</f>
        <v/>
      </c>
    </row>
    <row r="236">
      <c r="A236" s="24" t="inlineStr">
        <is>
          <t>Hyderabad</t>
        </is>
      </c>
      <c r="B236" s="24" t="inlineStr">
        <is>
          <t>50X50X2</t>
        </is>
      </c>
      <c r="C236" s="6" t="n">
        <v>46119</v>
      </c>
      <c r="D236" s="24" t="n">
        <v>1512</v>
      </c>
      <c r="E236" s="25" t="n">
        <v>27.347</v>
      </c>
      <c r="F236" s="14">
        <f>AsOf-C236</f>
        <v/>
      </c>
      <c r="G236" s="11">
        <f>SUMIFS($D$2:$D$5000,$A$2:$A$5000,A236,$B$2:$B$5000,B236,$C$2:$C$5000,"&lt;="&amp;C236)</f>
        <v/>
      </c>
      <c r="H236" s="11">
        <f>SUMIFS(Dispatched!$C$2:$C$5000,Dispatched!$A$2:$A$5000,A236,Dispatched!$B$2:$B$5000,B236)</f>
        <v/>
      </c>
      <c r="I236" s="11">
        <f>MAX(0,MIN(D236,G236-H236))</f>
        <v/>
      </c>
      <c r="J236" s="26">
        <f>I236*E236/D236</f>
        <v/>
      </c>
      <c r="K236" s="10">
        <f>IF(I236=0,"Dispatched",IF(F236&lt;=30,"0-30",IF(F236&lt;=60,"31-60",IF(F236&lt;=90,"61-90","90+"))))</f>
        <v/>
      </c>
    </row>
    <row r="237">
      <c r="A237" s="24" t="inlineStr">
        <is>
          <t>Hyderabad</t>
        </is>
      </c>
      <c r="B237" s="24" t="inlineStr">
        <is>
          <t>50X50X2</t>
        </is>
      </c>
      <c r="C237" s="6" t="n">
        <v>46126</v>
      </c>
      <c r="D237" s="24" t="n">
        <v>812</v>
      </c>
      <c r="E237" s="25" t="n">
        <v>14.686</v>
      </c>
      <c r="F237" s="14">
        <f>AsOf-C237</f>
        <v/>
      </c>
      <c r="G237" s="11">
        <f>SUMIFS($D$2:$D$5000,$A$2:$A$5000,A237,$B$2:$B$5000,B237,$C$2:$C$5000,"&lt;="&amp;C237)</f>
        <v/>
      </c>
      <c r="H237" s="11">
        <f>SUMIFS(Dispatched!$C$2:$C$5000,Dispatched!$A$2:$A$5000,A237,Dispatched!$B$2:$B$5000,B237)</f>
        <v/>
      </c>
      <c r="I237" s="11">
        <f>MAX(0,MIN(D237,G237-H237))</f>
        <v/>
      </c>
      <c r="J237" s="26">
        <f>I237*E237/D237</f>
        <v/>
      </c>
      <c r="K237" s="10">
        <f>IF(I237=0,"Dispatched",IF(F237&lt;=30,"0-30",IF(F237&lt;=60,"31-60",IF(F237&lt;=90,"61-90","90+"))))</f>
        <v/>
      </c>
    </row>
    <row r="238">
      <c r="A238" s="24" t="inlineStr">
        <is>
          <t>Hyderabad</t>
        </is>
      </c>
      <c r="B238" s="24" t="inlineStr">
        <is>
          <t>50X50X2</t>
        </is>
      </c>
      <c r="C238" s="6" t="n">
        <v>46127</v>
      </c>
      <c r="D238" s="24" t="n">
        <v>1683</v>
      </c>
      <c r="E238" s="25" t="n">
        <v>30.439</v>
      </c>
      <c r="F238" s="14">
        <f>AsOf-C238</f>
        <v/>
      </c>
      <c r="G238" s="11">
        <f>SUMIFS($D$2:$D$5000,$A$2:$A$5000,A238,$B$2:$B$5000,B238,$C$2:$C$5000,"&lt;="&amp;C238)</f>
        <v/>
      </c>
      <c r="H238" s="11">
        <f>SUMIFS(Dispatched!$C$2:$C$5000,Dispatched!$A$2:$A$5000,A238,Dispatched!$B$2:$B$5000,B238)</f>
        <v/>
      </c>
      <c r="I238" s="11">
        <f>MAX(0,MIN(D238,G238-H238))</f>
        <v/>
      </c>
      <c r="J238" s="26">
        <f>I238*E238/D238</f>
        <v/>
      </c>
      <c r="K238" s="10">
        <f>IF(I238=0,"Dispatched",IF(F238&lt;=30,"0-30",IF(F238&lt;=60,"31-60",IF(F238&lt;=90,"61-90","90+"))))</f>
        <v/>
      </c>
    </row>
    <row r="239">
      <c r="A239" s="24" t="inlineStr">
        <is>
          <t>Hyderabad</t>
        </is>
      </c>
      <c r="B239" s="24" t="inlineStr">
        <is>
          <t>50X50X2</t>
        </is>
      </c>
      <c r="C239" s="6" t="n">
        <v>46128</v>
      </c>
      <c r="D239" s="24" t="n">
        <v>565</v>
      </c>
      <c r="E239" s="25" t="n">
        <v>10.219</v>
      </c>
      <c r="F239" s="14">
        <f>AsOf-C239</f>
        <v/>
      </c>
      <c r="G239" s="11">
        <f>SUMIFS($D$2:$D$5000,$A$2:$A$5000,A239,$B$2:$B$5000,B239,$C$2:$C$5000,"&lt;="&amp;C239)</f>
        <v/>
      </c>
      <c r="H239" s="11">
        <f>SUMIFS(Dispatched!$C$2:$C$5000,Dispatched!$A$2:$A$5000,A239,Dispatched!$B$2:$B$5000,B239)</f>
        <v/>
      </c>
      <c r="I239" s="11">
        <f>MAX(0,MIN(D239,G239-H239))</f>
        <v/>
      </c>
      <c r="J239" s="26">
        <f>I239*E239/D239</f>
        <v/>
      </c>
      <c r="K239" s="10">
        <f>IF(I239=0,"Dispatched",IF(F239&lt;=30,"0-30",IF(F239&lt;=60,"31-60",IF(F239&lt;=90,"61-90","90+"))))</f>
        <v/>
      </c>
    </row>
    <row r="240">
      <c r="A240" s="24" t="inlineStr">
        <is>
          <t>Hyderabad</t>
        </is>
      </c>
      <c r="B240" s="24" t="inlineStr">
        <is>
          <t>50X50X2</t>
        </is>
      </c>
      <c r="C240" s="6" t="n">
        <v>46160</v>
      </c>
      <c r="D240" s="24" t="n">
        <v>1147</v>
      </c>
      <c r="E240" s="25" t="n">
        <v>20.745</v>
      </c>
      <c r="F240" s="14">
        <f>AsOf-C240</f>
        <v/>
      </c>
      <c r="G240" s="11">
        <f>SUMIFS($D$2:$D$5000,$A$2:$A$5000,A240,$B$2:$B$5000,B240,$C$2:$C$5000,"&lt;="&amp;C240)</f>
        <v/>
      </c>
      <c r="H240" s="11">
        <f>SUMIFS(Dispatched!$C$2:$C$5000,Dispatched!$A$2:$A$5000,A240,Dispatched!$B$2:$B$5000,B240)</f>
        <v/>
      </c>
      <c r="I240" s="11">
        <f>MAX(0,MIN(D240,G240-H240))</f>
        <v/>
      </c>
      <c r="J240" s="26">
        <f>I240*E240/D240</f>
        <v/>
      </c>
      <c r="K240" s="10">
        <f>IF(I240=0,"Dispatched",IF(F240&lt;=30,"0-30",IF(F240&lt;=60,"31-60",IF(F240&lt;=90,"61-90","90+"))))</f>
        <v/>
      </c>
    </row>
    <row r="241">
      <c r="A241" s="24" t="inlineStr">
        <is>
          <t>Hyderabad</t>
        </is>
      </c>
      <c r="B241" s="24" t="inlineStr">
        <is>
          <t>50X50X2</t>
        </is>
      </c>
      <c r="C241" s="6" t="n">
        <v>46161</v>
      </c>
      <c r="D241" s="24" t="n">
        <v>1148</v>
      </c>
      <c r="E241" s="25" t="n">
        <v>20.763</v>
      </c>
      <c r="F241" s="14">
        <f>AsOf-C241</f>
        <v/>
      </c>
      <c r="G241" s="11">
        <f>SUMIFS($D$2:$D$5000,$A$2:$A$5000,A241,$B$2:$B$5000,B241,$C$2:$C$5000,"&lt;="&amp;C241)</f>
        <v/>
      </c>
      <c r="H241" s="11">
        <f>SUMIFS(Dispatched!$C$2:$C$5000,Dispatched!$A$2:$A$5000,A241,Dispatched!$B$2:$B$5000,B241)</f>
        <v/>
      </c>
      <c r="I241" s="11">
        <f>MAX(0,MIN(D241,G241-H241))</f>
        <v/>
      </c>
      <c r="J241" s="26">
        <f>I241*E241/D241</f>
        <v/>
      </c>
      <c r="K241" s="10">
        <f>IF(I241=0,"Dispatched",IF(F241&lt;=30,"0-30",IF(F241&lt;=60,"31-60",IF(F241&lt;=90,"61-90","90+"))))</f>
        <v/>
      </c>
    </row>
    <row r="242">
      <c r="A242" s="24" t="inlineStr">
        <is>
          <t>Hyderabad</t>
        </is>
      </c>
      <c r="B242" s="24" t="inlineStr">
        <is>
          <t>50X50X2</t>
        </is>
      </c>
      <c r="C242" s="6" t="n">
        <v>46162</v>
      </c>
      <c r="D242" s="24" t="n">
        <v>1090</v>
      </c>
      <c r="E242" s="25" t="n">
        <v>19.714</v>
      </c>
      <c r="F242" s="14">
        <f>AsOf-C242</f>
        <v/>
      </c>
      <c r="G242" s="11">
        <f>SUMIFS($D$2:$D$5000,$A$2:$A$5000,A242,$B$2:$B$5000,B242,$C$2:$C$5000,"&lt;="&amp;C242)</f>
        <v/>
      </c>
      <c r="H242" s="11">
        <f>SUMIFS(Dispatched!$C$2:$C$5000,Dispatched!$A$2:$A$5000,A242,Dispatched!$B$2:$B$5000,B242)</f>
        <v/>
      </c>
      <c r="I242" s="11">
        <f>MAX(0,MIN(D242,G242-H242))</f>
        <v/>
      </c>
      <c r="J242" s="26">
        <f>I242*E242/D242</f>
        <v/>
      </c>
      <c r="K242" s="10">
        <f>IF(I242=0,"Dispatched",IF(F242&lt;=30,"0-30",IF(F242&lt;=60,"31-60",IF(F242&lt;=90,"61-90","90+"))))</f>
        <v/>
      </c>
    </row>
    <row r="243">
      <c r="A243" s="24" t="inlineStr">
        <is>
          <t>Hyderabad</t>
        </is>
      </c>
      <c r="B243" s="24" t="inlineStr">
        <is>
          <t>50X50X2</t>
        </is>
      </c>
      <c r="C243" s="6" t="n">
        <v>46163</v>
      </c>
      <c r="D243" s="24" t="n">
        <v>1084</v>
      </c>
      <c r="E243" s="25" t="n">
        <v>19.606</v>
      </c>
      <c r="F243" s="14">
        <f>AsOf-C243</f>
        <v/>
      </c>
      <c r="G243" s="11">
        <f>SUMIFS($D$2:$D$5000,$A$2:$A$5000,A243,$B$2:$B$5000,B243,$C$2:$C$5000,"&lt;="&amp;C243)</f>
        <v/>
      </c>
      <c r="H243" s="11">
        <f>SUMIFS(Dispatched!$C$2:$C$5000,Dispatched!$A$2:$A$5000,A243,Dispatched!$B$2:$B$5000,B243)</f>
        <v/>
      </c>
      <c r="I243" s="11">
        <f>MAX(0,MIN(D243,G243-H243))</f>
        <v/>
      </c>
      <c r="J243" s="26">
        <f>I243*E243/D243</f>
        <v/>
      </c>
      <c r="K243" s="10">
        <f>IF(I243=0,"Dispatched",IF(F243&lt;=30,"0-30",IF(F243&lt;=60,"31-60",IF(F243&lt;=90,"61-90","90+"))))</f>
        <v/>
      </c>
    </row>
    <row r="244">
      <c r="A244" s="24" t="inlineStr">
        <is>
          <t>Hyderabad</t>
        </is>
      </c>
      <c r="B244" s="24" t="inlineStr">
        <is>
          <t>50X50X2</t>
        </is>
      </c>
      <c r="C244" s="6" t="n">
        <v>46191</v>
      </c>
      <c r="D244" s="24" t="n">
        <v>960</v>
      </c>
      <c r="E244" s="25" t="n">
        <v>17.363</v>
      </c>
      <c r="F244" s="14">
        <f>AsOf-C244</f>
        <v/>
      </c>
      <c r="G244" s="11">
        <f>SUMIFS($D$2:$D$5000,$A$2:$A$5000,A244,$B$2:$B$5000,B244,$C$2:$C$5000,"&lt;="&amp;C244)</f>
        <v/>
      </c>
      <c r="H244" s="11">
        <f>SUMIFS(Dispatched!$C$2:$C$5000,Dispatched!$A$2:$A$5000,A244,Dispatched!$B$2:$B$5000,B244)</f>
        <v/>
      </c>
      <c r="I244" s="11">
        <f>MAX(0,MIN(D244,G244-H244))</f>
        <v/>
      </c>
      <c r="J244" s="26">
        <f>I244*E244/D244</f>
        <v/>
      </c>
      <c r="K244" s="10">
        <f>IF(I244=0,"Dispatched",IF(F244&lt;=30,"0-30",IF(F244&lt;=60,"31-60",IF(F244&lt;=90,"61-90","90+"))))</f>
        <v/>
      </c>
    </row>
    <row r="245">
      <c r="A245" s="24" t="inlineStr">
        <is>
          <t>Hyderabad</t>
        </is>
      </c>
      <c r="B245" s="24" t="inlineStr">
        <is>
          <t>50X50X2</t>
        </is>
      </c>
      <c r="C245" s="6" t="n">
        <v>46192</v>
      </c>
      <c r="D245" s="24" t="n">
        <v>512</v>
      </c>
      <c r="E245" s="25" t="n">
        <v>9.26</v>
      </c>
      <c r="F245" s="14">
        <f>AsOf-C245</f>
        <v/>
      </c>
      <c r="G245" s="11">
        <f>SUMIFS($D$2:$D$5000,$A$2:$A$5000,A245,$B$2:$B$5000,B245,$C$2:$C$5000,"&lt;="&amp;C245)</f>
        <v/>
      </c>
      <c r="H245" s="11">
        <f>SUMIFS(Dispatched!$C$2:$C$5000,Dispatched!$A$2:$A$5000,A245,Dispatched!$B$2:$B$5000,B245)</f>
        <v/>
      </c>
      <c r="I245" s="11">
        <f>MAX(0,MIN(D245,G245-H245))</f>
        <v/>
      </c>
      <c r="J245" s="26">
        <f>I245*E245/D245</f>
        <v/>
      </c>
      <c r="K245" s="10">
        <f>IF(I245=0,"Dispatched",IF(F245&lt;=30,"0-30",IF(F245&lt;=60,"31-60",IF(F245&lt;=90,"61-90","90+"))))</f>
        <v/>
      </c>
    </row>
    <row r="246">
      <c r="A246" s="24" t="inlineStr">
        <is>
          <t>Hyderabad</t>
        </is>
      </c>
      <c r="B246" s="24" t="inlineStr">
        <is>
          <t>50X50X2</t>
        </is>
      </c>
      <c r="C246" s="6" t="n">
        <v>46195</v>
      </c>
      <c r="D246" s="24" t="n">
        <v>695</v>
      </c>
      <c r="E246" s="25" t="n">
        <v>12.57</v>
      </c>
      <c r="F246" s="14">
        <f>AsOf-C246</f>
        <v/>
      </c>
      <c r="G246" s="11">
        <f>SUMIFS($D$2:$D$5000,$A$2:$A$5000,A246,$B$2:$B$5000,B246,$C$2:$C$5000,"&lt;="&amp;C246)</f>
        <v/>
      </c>
      <c r="H246" s="11">
        <f>SUMIFS(Dispatched!$C$2:$C$5000,Dispatched!$A$2:$A$5000,A246,Dispatched!$B$2:$B$5000,B246)</f>
        <v/>
      </c>
      <c r="I246" s="11">
        <f>MAX(0,MIN(D246,G246-H246))</f>
        <v/>
      </c>
      <c r="J246" s="26">
        <f>I246*E246/D246</f>
        <v/>
      </c>
      <c r="K246" s="10">
        <f>IF(I246=0,"Dispatched",IF(F246&lt;=30,"0-30",IF(F246&lt;=60,"31-60",IF(F246&lt;=90,"61-90","90+"))))</f>
        <v/>
      </c>
    </row>
    <row r="247">
      <c r="A247" s="24" t="inlineStr">
        <is>
          <t>Hyderabad</t>
        </is>
      </c>
      <c r="B247" s="24" t="inlineStr">
        <is>
          <t>50X50X2</t>
        </is>
      </c>
      <c r="C247" s="6" t="n">
        <v>46216</v>
      </c>
      <c r="D247" s="24" t="n">
        <v>1401</v>
      </c>
      <c r="E247" s="25" t="n">
        <v>25.339</v>
      </c>
      <c r="F247" s="14">
        <f>AsOf-C247</f>
        <v/>
      </c>
      <c r="G247" s="11">
        <f>SUMIFS($D$2:$D$5000,$A$2:$A$5000,A247,$B$2:$B$5000,B247,$C$2:$C$5000,"&lt;="&amp;C247)</f>
        <v/>
      </c>
      <c r="H247" s="11">
        <f>SUMIFS(Dispatched!$C$2:$C$5000,Dispatched!$A$2:$A$5000,A247,Dispatched!$B$2:$B$5000,B247)</f>
        <v/>
      </c>
      <c r="I247" s="11">
        <f>MAX(0,MIN(D247,G247-H247))</f>
        <v/>
      </c>
      <c r="J247" s="26">
        <f>I247*E247/D247</f>
        <v/>
      </c>
      <c r="K247" s="10">
        <f>IF(I247=0,"Dispatched",IF(F247&lt;=30,"0-30",IF(F247&lt;=60,"31-60",IF(F247&lt;=90,"61-90","90+"))))</f>
        <v/>
      </c>
    </row>
    <row r="248">
      <c r="A248" s="24" t="inlineStr">
        <is>
          <t>Hyderabad</t>
        </is>
      </c>
      <c r="B248" s="24" t="inlineStr">
        <is>
          <t>50X50X2</t>
        </is>
      </c>
      <c r="C248" s="6" t="n">
        <v>46259</v>
      </c>
      <c r="D248" s="24" t="n">
        <v>694</v>
      </c>
      <c r="E248" s="25" t="n">
        <v>12.552</v>
      </c>
      <c r="F248" s="14">
        <f>AsOf-C248</f>
        <v/>
      </c>
      <c r="G248" s="11">
        <f>SUMIFS($D$2:$D$5000,$A$2:$A$5000,A248,$B$2:$B$5000,B248,$C$2:$C$5000,"&lt;="&amp;C248)</f>
        <v/>
      </c>
      <c r="H248" s="11">
        <f>SUMIFS(Dispatched!$C$2:$C$5000,Dispatched!$A$2:$A$5000,A248,Dispatched!$B$2:$B$5000,B248)</f>
        <v/>
      </c>
      <c r="I248" s="11">
        <f>MAX(0,MIN(D248,G248-H248))</f>
        <v/>
      </c>
      <c r="J248" s="26">
        <f>I248*E248/D248</f>
        <v/>
      </c>
      <c r="K248" s="10">
        <f>IF(I248=0,"Dispatched",IF(F248&lt;=30,"0-30",IF(F248&lt;=60,"31-60",IF(F248&lt;=90,"61-90","90+"))))</f>
        <v/>
      </c>
    </row>
    <row r="249">
      <c r="A249" s="24" t="inlineStr">
        <is>
          <t>Hyderabad</t>
        </is>
      </c>
      <c r="B249" s="24" t="inlineStr">
        <is>
          <t>50X50X2</t>
        </is>
      </c>
      <c r="C249" s="6" t="n">
        <v>46260</v>
      </c>
      <c r="D249" s="24" t="n">
        <v>435</v>
      </c>
      <c r="E249" s="25" t="n">
        <v>7.868</v>
      </c>
      <c r="F249" s="14">
        <f>AsOf-C249</f>
        <v/>
      </c>
      <c r="G249" s="11">
        <f>SUMIFS($D$2:$D$5000,$A$2:$A$5000,A249,$B$2:$B$5000,B249,$C$2:$C$5000,"&lt;="&amp;C249)</f>
        <v/>
      </c>
      <c r="H249" s="11">
        <f>SUMIFS(Dispatched!$C$2:$C$5000,Dispatched!$A$2:$A$5000,A249,Dispatched!$B$2:$B$5000,B249)</f>
        <v/>
      </c>
      <c r="I249" s="11">
        <f>MAX(0,MIN(D249,G249-H249))</f>
        <v/>
      </c>
      <c r="J249" s="26">
        <f>I249*E249/D249</f>
        <v/>
      </c>
      <c r="K249" s="10">
        <f>IF(I249=0,"Dispatched",IF(F249&lt;=30,"0-30",IF(F249&lt;=60,"31-60",IF(F249&lt;=90,"61-90","90+"))))</f>
        <v/>
      </c>
    </row>
    <row r="250">
      <c r="A250" s="24" t="inlineStr">
        <is>
          <t>Hyderabad</t>
        </is>
      </c>
      <c r="B250" s="24" t="inlineStr">
        <is>
          <t>50X50X2</t>
        </is>
      </c>
      <c r="C250" s="6" t="n">
        <v>46273</v>
      </c>
      <c r="D250" s="24" t="n">
        <v>1951</v>
      </c>
      <c r="E250" s="25" t="n">
        <v>35.287</v>
      </c>
      <c r="F250" s="14">
        <f>AsOf-C250</f>
        <v/>
      </c>
      <c r="G250" s="11">
        <f>SUMIFS($D$2:$D$5000,$A$2:$A$5000,A250,$B$2:$B$5000,B250,$C$2:$C$5000,"&lt;="&amp;C250)</f>
        <v/>
      </c>
      <c r="H250" s="11">
        <f>SUMIFS(Dispatched!$C$2:$C$5000,Dispatched!$A$2:$A$5000,A250,Dispatched!$B$2:$B$5000,B250)</f>
        <v/>
      </c>
      <c r="I250" s="11">
        <f>MAX(0,MIN(D250,G250-H250))</f>
        <v/>
      </c>
      <c r="J250" s="26">
        <f>I250*E250/D250</f>
        <v/>
      </c>
      <c r="K250" s="10">
        <f>IF(I250=0,"Dispatched",IF(F250&lt;=30,"0-30",IF(F250&lt;=60,"31-60",IF(F250&lt;=90,"61-90","90+"))))</f>
        <v/>
      </c>
    </row>
    <row r="251">
      <c r="A251" s="24" t="inlineStr">
        <is>
          <t>Hyderabad</t>
        </is>
      </c>
      <c r="B251" s="24" t="inlineStr">
        <is>
          <t>50X50X2</t>
        </is>
      </c>
      <c r="C251" s="6" t="n">
        <v>46287</v>
      </c>
      <c r="D251" s="24" t="n">
        <v>131</v>
      </c>
      <c r="E251" s="25" t="n">
        <v>2.369</v>
      </c>
      <c r="F251" s="14">
        <f>AsOf-C251</f>
        <v/>
      </c>
      <c r="G251" s="11">
        <f>SUMIFS($D$2:$D$5000,$A$2:$A$5000,A251,$B$2:$B$5000,B251,$C$2:$C$5000,"&lt;="&amp;C251)</f>
        <v/>
      </c>
      <c r="H251" s="11">
        <f>SUMIFS(Dispatched!$C$2:$C$5000,Dispatched!$A$2:$A$5000,A251,Dispatched!$B$2:$B$5000,B251)</f>
        <v/>
      </c>
      <c r="I251" s="11">
        <f>MAX(0,MIN(D251,G251-H251))</f>
        <v/>
      </c>
      <c r="J251" s="26">
        <f>I251*E251/D251</f>
        <v/>
      </c>
      <c r="K251" s="10">
        <f>IF(I251=0,"Dispatched",IF(F251&lt;=30,"0-30",IF(F251&lt;=60,"31-60",IF(F251&lt;=90,"61-90","90+"))))</f>
        <v/>
      </c>
    </row>
    <row r="252">
      <c r="A252" s="24" t="inlineStr">
        <is>
          <t>Hyderabad</t>
        </is>
      </c>
      <c r="B252" s="24" t="inlineStr">
        <is>
          <t>50X50X2</t>
        </is>
      </c>
      <c r="C252" s="6" t="n">
        <v>46288</v>
      </c>
      <c r="D252" s="24" t="n">
        <v>1087</v>
      </c>
      <c r="E252" s="25" t="n">
        <v>19.66</v>
      </c>
      <c r="F252" s="14">
        <f>AsOf-C252</f>
        <v/>
      </c>
      <c r="G252" s="11">
        <f>SUMIFS($D$2:$D$5000,$A$2:$A$5000,A252,$B$2:$B$5000,B252,$C$2:$C$5000,"&lt;="&amp;C252)</f>
        <v/>
      </c>
      <c r="H252" s="11">
        <f>SUMIFS(Dispatched!$C$2:$C$5000,Dispatched!$A$2:$A$5000,A252,Dispatched!$B$2:$B$5000,B252)</f>
        <v/>
      </c>
      <c r="I252" s="11">
        <f>MAX(0,MIN(D252,G252-H252))</f>
        <v/>
      </c>
      <c r="J252" s="26">
        <f>I252*E252/D252</f>
        <v/>
      </c>
      <c r="K252" s="10">
        <f>IF(I252=0,"Dispatched",IF(F252&lt;=30,"0-30",IF(F252&lt;=60,"31-60",IF(F252&lt;=90,"61-90","90+"))))</f>
        <v/>
      </c>
    </row>
    <row r="253">
      <c r="A253" s="24" t="inlineStr">
        <is>
          <t>Hyderabad</t>
        </is>
      </c>
      <c r="B253" s="24" t="inlineStr">
        <is>
          <t>50X50X2</t>
        </is>
      </c>
      <c r="C253" s="6" t="n">
        <v>46302</v>
      </c>
      <c r="D253" s="24" t="n">
        <v>2048</v>
      </c>
      <c r="E253" s="25" t="n">
        <v>37.041</v>
      </c>
      <c r="F253" s="14">
        <f>AsOf-C253</f>
        <v/>
      </c>
      <c r="G253" s="11">
        <f>SUMIFS($D$2:$D$5000,$A$2:$A$5000,A253,$B$2:$B$5000,B253,$C$2:$C$5000,"&lt;="&amp;C253)</f>
        <v/>
      </c>
      <c r="H253" s="11">
        <f>SUMIFS(Dispatched!$C$2:$C$5000,Dispatched!$A$2:$A$5000,A253,Dispatched!$B$2:$B$5000,B253)</f>
        <v/>
      </c>
      <c r="I253" s="11">
        <f>MAX(0,MIN(D253,G253-H253))</f>
        <v/>
      </c>
      <c r="J253" s="26">
        <f>I253*E253/D253</f>
        <v/>
      </c>
      <c r="K253" s="10">
        <f>IF(I253=0,"Dispatched",IF(F253&lt;=30,"0-30",IF(F253&lt;=60,"31-60",IF(F253&lt;=90,"61-90","90+"))))</f>
        <v/>
      </c>
    </row>
    <row r="254">
      <c r="A254" s="24" t="inlineStr">
        <is>
          <t>Hyderabad</t>
        </is>
      </c>
      <c r="B254" s="24" t="inlineStr">
        <is>
          <t>50X50X2.2</t>
        </is>
      </c>
      <c r="C254" s="6" t="n">
        <v>46113</v>
      </c>
      <c r="D254" s="24" t="n">
        <v>433</v>
      </c>
      <c r="E254" s="25" t="n">
        <v>8.579000000000001</v>
      </c>
      <c r="F254" s="14">
        <f>AsOf-C254</f>
        <v/>
      </c>
      <c r="G254" s="11">
        <f>SUMIFS($D$2:$D$5000,$A$2:$A$5000,A254,$B$2:$B$5000,B254,$C$2:$C$5000,"&lt;="&amp;C254)</f>
        <v/>
      </c>
      <c r="H254" s="11">
        <f>SUMIFS(Dispatched!$C$2:$C$5000,Dispatched!$A$2:$A$5000,A254,Dispatched!$B$2:$B$5000,B254)</f>
        <v/>
      </c>
      <c r="I254" s="11">
        <f>MAX(0,MIN(D254,G254-H254))</f>
        <v/>
      </c>
      <c r="J254" s="26">
        <f>I254*E254/D254</f>
        <v/>
      </c>
      <c r="K254" s="10">
        <f>IF(I254=0,"Dispatched",IF(F254&lt;=30,"0-30",IF(F254&lt;=60,"31-60",IF(F254&lt;=90,"61-90","90+"))))</f>
        <v/>
      </c>
    </row>
    <row r="255">
      <c r="A255" s="24" t="inlineStr">
        <is>
          <t>Hyderabad</t>
        </is>
      </c>
      <c r="B255" s="24" t="inlineStr">
        <is>
          <t>50X50X2.5</t>
        </is>
      </c>
      <c r="C255" s="6" t="n">
        <v>46112</v>
      </c>
      <c r="D255" s="24" t="n">
        <v>320</v>
      </c>
      <c r="E255" s="25" t="n">
        <v>7.159</v>
      </c>
      <c r="F255" s="14">
        <f>AsOf-C255</f>
        <v/>
      </c>
      <c r="G255" s="11">
        <f>SUMIFS($D$2:$D$5000,$A$2:$A$5000,A255,$B$2:$B$5000,B255,$C$2:$C$5000,"&lt;="&amp;C255)</f>
        <v/>
      </c>
      <c r="H255" s="11">
        <f>SUMIFS(Dispatched!$C$2:$C$5000,Dispatched!$A$2:$A$5000,A255,Dispatched!$B$2:$B$5000,B255)</f>
        <v/>
      </c>
      <c r="I255" s="11">
        <f>MAX(0,MIN(D255,G255-H255))</f>
        <v/>
      </c>
      <c r="J255" s="26">
        <f>I255*E255/D255</f>
        <v/>
      </c>
      <c r="K255" s="10">
        <f>IF(I255=0,"Dispatched",IF(F255&lt;=30,"0-30",IF(F255&lt;=60,"31-60",IF(F255&lt;=90,"61-90","90+"))))</f>
        <v/>
      </c>
    </row>
    <row r="256">
      <c r="A256" s="24" t="inlineStr">
        <is>
          <t>Hyderabad</t>
        </is>
      </c>
      <c r="B256" s="24" t="inlineStr">
        <is>
          <t>50X50X2.5</t>
        </is>
      </c>
      <c r="C256" s="6" t="n">
        <v>46113</v>
      </c>
      <c r="D256" s="24" t="n">
        <v>162</v>
      </c>
      <c r="E256" s="25" t="n">
        <v>3.624</v>
      </c>
      <c r="F256" s="14">
        <f>AsOf-C256</f>
        <v/>
      </c>
      <c r="G256" s="11">
        <f>SUMIFS($D$2:$D$5000,$A$2:$A$5000,A256,$B$2:$B$5000,B256,$C$2:$C$5000,"&lt;="&amp;C256)</f>
        <v/>
      </c>
      <c r="H256" s="11">
        <f>SUMIFS(Dispatched!$C$2:$C$5000,Dispatched!$A$2:$A$5000,A256,Dispatched!$B$2:$B$5000,B256)</f>
        <v/>
      </c>
      <c r="I256" s="11">
        <f>MAX(0,MIN(D256,G256-H256))</f>
        <v/>
      </c>
      <c r="J256" s="26">
        <f>I256*E256/D256</f>
        <v/>
      </c>
      <c r="K256" s="10">
        <f>IF(I256=0,"Dispatched",IF(F256&lt;=30,"0-30",IF(F256&lt;=60,"31-60",IF(F256&lt;=90,"61-90","90+"))))</f>
        <v/>
      </c>
    </row>
    <row r="257">
      <c r="A257" s="24" t="inlineStr">
        <is>
          <t>Hyderabad</t>
        </is>
      </c>
      <c r="B257" s="24" t="inlineStr">
        <is>
          <t>50X50X2.5</t>
        </is>
      </c>
      <c r="C257" s="6" t="n">
        <v>46160</v>
      </c>
      <c r="D257" s="24" t="n">
        <v>464</v>
      </c>
      <c r="E257" s="25" t="n">
        <v>10.381</v>
      </c>
      <c r="F257" s="14">
        <f>AsOf-C257</f>
        <v/>
      </c>
      <c r="G257" s="11">
        <f>SUMIFS($D$2:$D$5000,$A$2:$A$5000,A257,$B$2:$B$5000,B257,$C$2:$C$5000,"&lt;="&amp;C257)</f>
        <v/>
      </c>
      <c r="H257" s="11">
        <f>SUMIFS(Dispatched!$C$2:$C$5000,Dispatched!$A$2:$A$5000,A257,Dispatched!$B$2:$B$5000,B257)</f>
        <v/>
      </c>
      <c r="I257" s="11">
        <f>MAX(0,MIN(D257,G257-H257))</f>
        <v/>
      </c>
      <c r="J257" s="26">
        <f>I257*E257/D257</f>
        <v/>
      </c>
      <c r="K257" s="10">
        <f>IF(I257=0,"Dispatched",IF(F257&lt;=30,"0-30",IF(F257&lt;=60,"31-60",IF(F257&lt;=90,"61-90","90+"))))</f>
        <v/>
      </c>
    </row>
    <row r="258">
      <c r="A258" s="24" t="inlineStr">
        <is>
          <t>Hyderabad</t>
        </is>
      </c>
      <c r="B258" s="24" t="inlineStr">
        <is>
          <t>50X50X2.5</t>
        </is>
      </c>
      <c r="C258" s="6" t="n">
        <v>46161</v>
      </c>
      <c r="D258" s="24" t="n">
        <v>1749</v>
      </c>
      <c r="E258" s="25" t="n">
        <v>39.13</v>
      </c>
      <c r="F258" s="14">
        <f>AsOf-C258</f>
        <v/>
      </c>
      <c r="G258" s="11">
        <f>SUMIFS($D$2:$D$5000,$A$2:$A$5000,A258,$B$2:$B$5000,B258,$C$2:$C$5000,"&lt;="&amp;C258)</f>
        <v/>
      </c>
      <c r="H258" s="11">
        <f>SUMIFS(Dispatched!$C$2:$C$5000,Dispatched!$A$2:$A$5000,A258,Dispatched!$B$2:$B$5000,B258)</f>
        <v/>
      </c>
      <c r="I258" s="11">
        <f>MAX(0,MIN(D258,G258-H258))</f>
        <v/>
      </c>
      <c r="J258" s="26">
        <f>I258*E258/D258</f>
        <v/>
      </c>
      <c r="K258" s="10">
        <f>IF(I258=0,"Dispatched",IF(F258&lt;=30,"0-30",IF(F258&lt;=60,"31-60",IF(F258&lt;=90,"61-90","90+"))))</f>
        <v/>
      </c>
    </row>
    <row r="259">
      <c r="A259" s="24" t="inlineStr">
        <is>
          <t>Hyderabad</t>
        </is>
      </c>
      <c r="B259" s="24" t="inlineStr">
        <is>
          <t>50X50X2.5</t>
        </is>
      </c>
      <c r="C259" s="6" t="n">
        <v>46162</v>
      </c>
      <c r="D259" s="24" t="n">
        <v>1204</v>
      </c>
      <c r="E259" s="25" t="n">
        <v>26.936</v>
      </c>
      <c r="F259" s="14">
        <f>AsOf-C259</f>
        <v/>
      </c>
      <c r="G259" s="11">
        <f>SUMIFS($D$2:$D$5000,$A$2:$A$5000,A259,$B$2:$B$5000,B259,$C$2:$C$5000,"&lt;="&amp;C259)</f>
        <v/>
      </c>
      <c r="H259" s="11">
        <f>SUMIFS(Dispatched!$C$2:$C$5000,Dispatched!$A$2:$A$5000,A259,Dispatched!$B$2:$B$5000,B259)</f>
        <v/>
      </c>
      <c r="I259" s="11">
        <f>MAX(0,MIN(D259,G259-H259))</f>
        <v/>
      </c>
      <c r="J259" s="26">
        <f>I259*E259/D259</f>
        <v/>
      </c>
      <c r="K259" s="10">
        <f>IF(I259=0,"Dispatched",IF(F259&lt;=30,"0-30",IF(F259&lt;=60,"31-60",IF(F259&lt;=90,"61-90","90+"))))</f>
        <v/>
      </c>
    </row>
    <row r="260">
      <c r="A260" s="24" t="inlineStr">
        <is>
          <t>Hyderabad</t>
        </is>
      </c>
      <c r="B260" s="24" t="inlineStr">
        <is>
          <t>50X50X2.5</t>
        </is>
      </c>
      <c r="C260" s="6" t="n">
        <v>46163</v>
      </c>
      <c r="D260" s="24" t="n">
        <v>1557</v>
      </c>
      <c r="E260" s="25" t="n">
        <v>34.834</v>
      </c>
      <c r="F260" s="14">
        <f>AsOf-C260</f>
        <v/>
      </c>
      <c r="G260" s="11">
        <f>SUMIFS($D$2:$D$5000,$A$2:$A$5000,A260,$B$2:$B$5000,B260,$C$2:$C$5000,"&lt;="&amp;C260)</f>
        <v/>
      </c>
      <c r="H260" s="11">
        <f>SUMIFS(Dispatched!$C$2:$C$5000,Dispatched!$A$2:$A$5000,A260,Dispatched!$B$2:$B$5000,B260)</f>
        <v/>
      </c>
      <c r="I260" s="11">
        <f>MAX(0,MIN(D260,G260-H260))</f>
        <v/>
      </c>
      <c r="J260" s="26">
        <f>I260*E260/D260</f>
        <v/>
      </c>
      <c r="K260" s="10">
        <f>IF(I260=0,"Dispatched",IF(F260&lt;=30,"0-30",IF(F260&lt;=60,"31-60",IF(F260&lt;=90,"61-90","90+"))))</f>
        <v/>
      </c>
    </row>
    <row r="261">
      <c r="A261" s="24" t="inlineStr">
        <is>
          <t>Hyderabad</t>
        </is>
      </c>
      <c r="B261" s="24" t="inlineStr">
        <is>
          <t>50X50X2.5</t>
        </is>
      </c>
      <c r="C261" s="6" t="n">
        <v>46195</v>
      </c>
      <c r="D261" s="24" t="n">
        <v>294</v>
      </c>
      <c r="E261" s="25" t="n">
        <v>6.578</v>
      </c>
      <c r="F261" s="14">
        <f>AsOf-C261</f>
        <v/>
      </c>
      <c r="G261" s="11">
        <f>SUMIFS($D$2:$D$5000,$A$2:$A$5000,A261,$B$2:$B$5000,B261,$C$2:$C$5000,"&lt;="&amp;C261)</f>
        <v/>
      </c>
      <c r="H261" s="11">
        <f>SUMIFS(Dispatched!$C$2:$C$5000,Dispatched!$A$2:$A$5000,A261,Dispatched!$B$2:$B$5000,B261)</f>
        <v/>
      </c>
      <c r="I261" s="11">
        <f>MAX(0,MIN(D261,G261-H261))</f>
        <v/>
      </c>
      <c r="J261" s="26">
        <f>I261*E261/D261</f>
        <v/>
      </c>
      <c r="K261" s="10">
        <f>IF(I261=0,"Dispatched",IF(F261&lt;=30,"0-30",IF(F261&lt;=60,"31-60",IF(F261&lt;=90,"61-90","90+"))))</f>
        <v/>
      </c>
    </row>
    <row r="262">
      <c r="A262" s="24" t="inlineStr">
        <is>
          <t>Hyderabad</t>
        </is>
      </c>
      <c r="B262" s="24" t="inlineStr">
        <is>
          <t>50X50X2.5</t>
        </is>
      </c>
      <c r="C262" s="6" t="n">
        <v>46273</v>
      </c>
      <c r="D262" s="24" t="n">
        <v>583</v>
      </c>
      <c r="E262" s="25" t="n">
        <v>13.043</v>
      </c>
      <c r="F262" s="14">
        <f>AsOf-C262</f>
        <v/>
      </c>
      <c r="G262" s="11">
        <f>SUMIFS($D$2:$D$5000,$A$2:$A$5000,A262,$B$2:$B$5000,B262,$C$2:$C$5000,"&lt;="&amp;C262)</f>
        <v/>
      </c>
      <c r="H262" s="11">
        <f>SUMIFS(Dispatched!$C$2:$C$5000,Dispatched!$A$2:$A$5000,A262,Dispatched!$B$2:$B$5000,B262)</f>
        <v/>
      </c>
      <c r="I262" s="11">
        <f>MAX(0,MIN(D262,G262-H262))</f>
        <v/>
      </c>
      <c r="J262" s="26">
        <f>I262*E262/D262</f>
        <v/>
      </c>
      <c r="K262" s="10">
        <f>IF(I262=0,"Dispatched",IF(F262&lt;=30,"0-30",IF(F262&lt;=60,"31-60",IF(F262&lt;=90,"61-90","90+"))))</f>
        <v/>
      </c>
    </row>
    <row r="263">
      <c r="A263" s="24" t="inlineStr">
        <is>
          <t>Hyderabad</t>
        </is>
      </c>
      <c r="B263" s="24" t="inlineStr">
        <is>
          <t>50X50X2.5</t>
        </is>
      </c>
      <c r="C263" s="6" t="n">
        <v>46274</v>
      </c>
      <c r="D263" s="24" t="n">
        <v>776</v>
      </c>
      <c r="E263" s="25" t="n">
        <v>17.361</v>
      </c>
      <c r="F263" s="14">
        <f>AsOf-C263</f>
        <v/>
      </c>
      <c r="G263" s="11">
        <f>SUMIFS($D$2:$D$5000,$A$2:$A$5000,A263,$B$2:$B$5000,B263,$C$2:$C$5000,"&lt;="&amp;C263)</f>
        <v/>
      </c>
      <c r="H263" s="11">
        <f>SUMIFS(Dispatched!$C$2:$C$5000,Dispatched!$A$2:$A$5000,A263,Dispatched!$B$2:$B$5000,B263)</f>
        <v/>
      </c>
      <c r="I263" s="11">
        <f>MAX(0,MIN(D263,G263-H263))</f>
        <v/>
      </c>
      <c r="J263" s="26">
        <f>I263*E263/D263</f>
        <v/>
      </c>
      <c r="K263" s="10">
        <f>IF(I263=0,"Dispatched",IF(F263&lt;=30,"0-30",IF(F263&lt;=60,"31-60",IF(F263&lt;=90,"61-90","90+"))))</f>
        <v/>
      </c>
    </row>
    <row r="264">
      <c r="A264" s="24" t="inlineStr">
        <is>
          <t>Hyderabad</t>
        </is>
      </c>
      <c r="B264" s="24" t="inlineStr">
        <is>
          <t>50X50X2.8</t>
        </is>
      </c>
      <c r="C264" s="6" t="n">
        <v>46112</v>
      </c>
      <c r="D264" s="24" t="n">
        <v>500</v>
      </c>
      <c r="E264" s="25" t="n">
        <v>12.449</v>
      </c>
      <c r="F264" s="14">
        <f>AsOf-C264</f>
        <v/>
      </c>
      <c r="G264" s="11">
        <f>SUMIFS($D$2:$D$5000,$A$2:$A$5000,A264,$B$2:$B$5000,B264,$C$2:$C$5000,"&lt;="&amp;C264)</f>
        <v/>
      </c>
      <c r="H264" s="11">
        <f>SUMIFS(Dispatched!$C$2:$C$5000,Dispatched!$A$2:$A$5000,A264,Dispatched!$B$2:$B$5000,B264)</f>
        <v/>
      </c>
      <c r="I264" s="11">
        <f>MAX(0,MIN(D264,G264-H264))</f>
        <v/>
      </c>
      <c r="J264" s="26">
        <f>I264*E264/D264</f>
        <v/>
      </c>
      <c r="K264" s="10">
        <f>IF(I264=0,"Dispatched",IF(F264&lt;=30,"0-30",IF(F264&lt;=60,"31-60",IF(F264&lt;=90,"61-90","90+"))))</f>
        <v/>
      </c>
    </row>
    <row r="265">
      <c r="A265" s="24" t="inlineStr">
        <is>
          <t>Hyderabad</t>
        </is>
      </c>
      <c r="B265" s="24" t="inlineStr">
        <is>
          <t>50X50X2.8</t>
        </is>
      </c>
      <c r="C265" s="6" t="n">
        <v>46192</v>
      </c>
      <c r="D265" s="24" t="n">
        <v>1441</v>
      </c>
      <c r="E265" s="25" t="n">
        <v>35.879</v>
      </c>
      <c r="F265" s="14">
        <f>AsOf-C265</f>
        <v/>
      </c>
      <c r="G265" s="11">
        <f>SUMIFS($D$2:$D$5000,$A$2:$A$5000,A265,$B$2:$B$5000,B265,$C$2:$C$5000,"&lt;="&amp;C265)</f>
        <v/>
      </c>
      <c r="H265" s="11">
        <f>SUMIFS(Dispatched!$C$2:$C$5000,Dispatched!$A$2:$A$5000,A265,Dispatched!$B$2:$B$5000,B265)</f>
        <v/>
      </c>
      <c r="I265" s="11">
        <f>MAX(0,MIN(D265,G265-H265))</f>
        <v/>
      </c>
      <c r="J265" s="26">
        <f>I265*E265/D265</f>
        <v/>
      </c>
      <c r="K265" s="10">
        <f>IF(I265=0,"Dispatched",IF(F265&lt;=30,"0-30",IF(F265&lt;=60,"31-60",IF(F265&lt;=90,"61-90","90+"))))</f>
        <v/>
      </c>
    </row>
    <row r="266">
      <c r="A266" s="24" t="inlineStr">
        <is>
          <t>Hyderabad</t>
        </is>
      </c>
      <c r="B266" s="24" t="inlineStr">
        <is>
          <t>50X50X2.8</t>
        </is>
      </c>
      <c r="C266" s="6" t="n">
        <v>46218</v>
      </c>
      <c r="D266" s="24" t="n">
        <v>1294</v>
      </c>
      <c r="E266" s="25" t="n">
        <v>32.219</v>
      </c>
      <c r="F266" s="14">
        <f>AsOf-C266</f>
        <v/>
      </c>
      <c r="G266" s="11">
        <f>SUMIFS($D$2:$D$5000,$A$2:$A$5000,A266,$B$2:$B$5000,B266,$C$2:$C$5000,"&lt;="&amp;C266)</f>
        <v/>
      </c>
      <c r="H266" s="11">
        <f>SUMIFS(Dispatched!$C$2:$C$5000,Dispatched!$A$2:$A$5000,A266,Dispatched!$B$2:$B$5000,B266)</f>
        <v/>
      </c>
      <c r="I266" s="11">
        <f>MAX(0,MIN(D266,G266-H266))</f>
        <v/>
      </c>
      <c r="J266" s="26">
        <f>I266*E266/D266</f>
        <v/>
      </c>
      <c r="K266" s="10">
        <f>IF(I266=0,"Dispatched",IF(F266&lt;=30,"0-30",IF(F266&lt;=60,"31-60",IF(F266&lt;=90,"61-90","90+"))))</f>
        <v/>
      </c>
    </row>
    <row r="267">
      <c r="A267" s="24" t="inlineStr">
        <is>
          <t>Hyderabad</t>
        </is>
      </c>
      <c r="B267" s="24" t="inlineStr">
        <is>
          <t>50X50X2.8</t>
        </is>
      </c>
      <c r="C267" s="6" t="n">
        <v>46260</v>
      </c>
      <c r="D267" s="24" t="n">
        <v>788</v>
      </c>
      <c r="E267" s="25" t="n">
        <v>19.62</v>
      </c>
      <c r="F267" s="14">
        <f>AsOf-C267</f>
        <v/>
      </c>
      <c r="G267" s="11">
        <f>SUMIFS($D$2:$D$5000,$A$2:$A$5000,A267,$B$2:$B$5000,B267,$C$2:$C$5000,"&lt;="&amp;C267)</f>
        <v/>
      </c>
      <c r="H267" s="11">
        <f>SUMIFS(Dispatched!$C$2:$C$5000,Dispatched!$A$2:$A$5000,A267,Dispatched!$B$2:$B$5000,B267)</f>
        <v/>
      </c>
      <c r="I267" s="11">
        <f>MAX(0,MIN(D267,G267-H267))</f>
        <v/>
      </c>
      <c r="J267" s="26">
        <f>I267*E267/D267</f>
        <v/>
      </c>
      <c r="K267" s="10">
        <f>IF(I267=0,"Dispatched",IF(F267&lt;=30,"0-30",IF(F267&lt;=60,"31-60",IF(F267&lt;=90,"61-90","90+"))))</f>
        <v/>
      </c>
    </row>
    <row r="268">
      <c r="A268" s="24" t="inlineStr">
        <is>
          <t>Hyderabad</t>
        </is>
      </c>
      <c r="B268" s="24" t="inlineStr">
        <is>
          <t>50X50X2.8</t>
        </is>
      </c>
      <c r="C268" s="6" t="n">
        <v>46274</v>
      </c>
      <c r="D268" s="24" t="n">
        <v>1091</v>
      </c>
      <c r="E268" s="25" t="n">
        <v>27.165</v>
      </c>
      <c r="F268" s="14">
        <f>AsOf-C268</f>
        <v/>
      </c>
      <c r="G268" s="11">
        <f>SUMIFS($D$2:$D$5000,$A$2:$A$5000,A268,$B$2:$B$5000,B268,$C$2:$C$5000,"&lt;="&amp;C268)</f>
        <v/>
      </c>
      <c r="H268" s="11">
        <f>SUMIFS(Dispatched!$C$2:$C$5000,Dispatched!$A$2:$A$5000,A268,Dispatched!$B$2:$B$5000,B268)</f>
        <v/>
      </c>
      <c r="I268" s="11">
        <f>MAX(0,MIN(D268,G268-H268))</f>
        <v/>
      </c>
      <c r="J268" s="26">
        <f>I268*E268/D268</f>
        <v/>
      </c>
      <c r="K268" s="10">
        <f>IF(I268=0,"Dispatched",IF(F268&lt;=30,"0-30",IF(F268&lt;=60,"31-60",IF(F268&lt;=90,"61-90","90+"))))</f>
        <v/>
      </c>
    </row>
    <row r="269">
      <c r="A269" s="24" t="inlineStr">
        <is>
          <t>Hyderabad</t>
        </is>
      </c>
      <c r="B269" s="24" t="inlineStr">
        <is>
          <t>50X50X3</t>
        </is>
      </c>
      <c r="C269" s="6" t="n">
        <v>46228</v>
      </c>
      <c r="D269" s="24" t="n">
        <v>1708</v>
      </c>
      <c r="E269" s="25" t="n">
        <v>45.372</v>
      </c>
      <c r="F269" s="14">
        <f>AsOf-C269</f>
        <v/>
      </c>
      <c r="G269" s="11">
        <f>SUMIFS($D$2:$D$5000,$A$2:$A$5000,A269,$B$2:$B$5000,B269,$C$2:$C$5000,"&lt;="&amp;C269)</f>
        <v/>
      </c>
      <c r="H269" s="11">
        <f>SUMIFS(Dispatched!$C$2:$C$5000,Dispatched!$A$2:$A$5000,A269,Dispatched!$B$2:$B$5000,B269)</f>
        <v/>
      </c>
      <c r="I269" s="11">
        <f>MAX(0,MIN(D269,G269-H269))</f>
        <v/>
      </c>
      <c r="J269" s="26">
        <f>I269*E269/D269</f>
        <v/>
      </c>
      <c r="K269" s="10">
        <f>IF(I269=0,"Dispatched",IF(F269&lt;=30,"0-30",IF(F269&lt;=60,"31-60",IF(F269&lt;=90,"61-90","90+"))))</f>
        <v/>
      </c>
    </row>
    <row r="270">
      <c r="A270" s="24" t="inlineStr">
        <is>
          <t>Hyderabad</t>
        </is>
      </c>
      <c r="B270" s="24" t="inlineStr">
        <is>
          <t>50X50X3</t>
        </is>
      </c>
      <c r="C270" s="6" t="n">
        <v>46230</v>
      </c>
      <c r="D270" s="24" t="n">
        <v>570</v>
      </c>
      <c r="E270" s="25" t="n">
        <v>15.142</v>
      </c>
      <c r="F270" s="14">
        <f>AsOf-C270</f>
        <v/>
      </c>
      <c r="G270" s="11">
        <f>SUMIFS($D$2:$D$5000,$A$2:$A$5000,A270,$B$2:$B$5000,B270,$C$2:$C$5000,"&lt;="&amp;C270)</f>
        <v/>
      </c>
      <c r="H270" s="11">
        <f>SUMIFS(Dispatched!$C$2:$C$5000,Dispatched!$A$2:$A$5000,A270,Dispatched!$B$2:$B$5000,B270)</f>
        <v/>
      </c>
      <c r="I270" s="11">
        <f>MAX(0,MIN(D270,G270-H270))</f>
        <v/>
      </c>
      <c r="J270" s="26">
        <f>I270*E270/D270</f>
        <v/>
      </c>
      <c r="K270" s="10">
        <f>IF(I270=0,"Dispatched",IF(F270&lt;=30,"0-30",IF(F270&lt;=60,"31-60",IF(F270&lt;=90,"61-90","90+"))))</f>
        <v/>
      </c>
    </row>
    <row r="271">
      <c r="A271" s="24" t="inlineStr">
        <is>
          <t>Hyderabad</t>
        </is>
      </c>
      <c r="B271" s="24" t="inlineStr">
        <is>
          <t>50X50X4</t>
        </is>
      </c>
      <c r="C271" s="6" t="n">
        <v>46162</v>
      </c>
      <c r="D271" s="24" t="n">
        <v>178</v>
      </c>
      <c r="E271" s="25" t="n">
        <v>6.17</v>
      </c>
      <c r="F271" s="14">
        <f>AsOf-C271</f>
        <v/>
      </c>
      <c r="G271" s="11">
        <f>SUMIFS($D$2:$D$5000,$A$2:$A$5000,A271,$B$2:$B$5000,B271,$C$2:$C$5000,"&lt;="&amp;C271)</f>
        <v/>
      </c>
      <c r="H271" s="11">
        <f>SUMIFS(Dispatched!$C$2:$C$5000,Dispatched!$A$2:$A$5000,A271,Dispatched!$B$2:$B$5000,B271)</f>
        <v/>
      </c>
      <c r="I271" s="11">
        <f>MAX(0,MIN(D271,G271-H271))</f>
        <v/>
      </c>
      <c r="J271" s="26">
        <f>I271*E271/D271</f>
        <v/>
      </c>
      <c r="K271" s="10">
        <f>IF(I271=0,"Dispatched",IF(F271&lt;=30,"0-30",IF(F271&lt;=60,"31-60",IF(F271&lt;=90,"61-90","90+"))))</f>
        <v/>
      </c>
    </row>
    <row r="272">
      <c r="A272" s="24" t="inlineStr">
        <is>
          <t>Hyderabad</t>
        </is>
      </c>
      <c r="B272" s="24" t="inlineStr">
        <is>
          <t>50X50X4</t>
        </is>
      </c>
      <c r="C272" s="6" t="n">
        <v>46163</v>
      </c>
      <c r="D272" s="24" t="n">
        <v>357</v>
      </c>
      <c r="E272" s="25" t="n">
        <v>12.376</v>
      </c>
      <c r="F272" s="14">
        <f>AsOf-C272</f>
        <v/>
      </c>
      <c r="G272" s="11">
        <f>SUMIFS($D$2:$D$5000,$A$2:$A$5000,A272,$B$2:$B$5000,B272,$C$2:$C$5000,"&lt;="&amp;C272)</f>
        <v/>
      </c>
      <c r="H272" s="11">
        <f>SUMIFS(Dispatched!$C$2:$C$5000,Dispatched!$A$2:$A$5000,A272,Dispatched!$B$2:$B$5000,B272)</f>
        <v/>
      </c>
      <c r="I272" s="11">
        <f>MAX(0,MIN(D272,G272-H272))</f>
        <v/>
      </c>
      <c r="J272" s="26">
        <f>I272*E272/D272</f>
        <v/>
      </c>
      <c r="K272" s="10">
        <f>IF(I272=0,"Dispatched",IF(F272&lt;=30,"0-30",IF(F272&lt;=60,"31-60",IF(F272&lt;=90,"61-90","90+"))))</f>
        <v/>
      </c>
    </row>
    <row r="273">
      <c r="A273" s="24" t="inlineStr">
        <is>
          <t>Hyderabad</t>
        </is>
      </c>
      <c r="B273" s="24" t="inlineStr">
        <is>
          <t>50X50X4</t>
        </is>
      </c>
      <c r="C273" s="6" t="n">
        <v>46193</v>
      </c>
      <c r="D273" s="24" t="n">
        <v>745</v>
      </c>
      <c r="E273" s="25" t="n">
        <v>25.826</v>
      </c>
      <c r="F273" s="14">
        <f>AsOf-C273</f>
        <v/>
      </c>
      <c r="G273" s="11">
        <f>SUMIFS($D$2:$D$5000,$A$2:$A$5000,A273,$B$2:$B$5000,B273,$C$2:$C$5000,"&lt;="&amp;C273)</f>
        <v/>
      </c>
      <c r="H273" s="11">
        <f>SUMIFS(Dispatched!$C$2:$C$5000,Dispatched!$A$2:$A$5000,A273,Dispatched!$B$2:$B$5000,B273)</f>
        <v/>
      </c>
      <c r="I273" s="11">
        <f>MAX(0,MIN(D273,G273-H273))</f>
        <v/>
      </c>
      <c r="J273" s="26">
        <f>I273*E273/D273</f>
        <v/>
      </c>
      <c r="K273" s="10">
        <f>IF(I273=0,"Dispatched",IF(F273&lt;=30,"0-30",IF(F273&lt;=60,"31-60",IF(F273&lt;=90,"61-90","90+"))))</f>
        <v/>
      </c>
    </row>
    <row r="274">
      <c r="A274" s="24" t="inlineStr">
        <is>
          <t>Hyderabad</t>
        </is>
      </c>
      <c r="B274" s="24" t="inlineStr">
        <is>
          <t>50X50X4</t>
        </is>
      </c>
      <c r="C274" s="6" t="n">
        <v>46194</v>
      </c>
      <c r="D274" s="24" t="n">
        <v>360</v>
      </c>
      <c r="E274" s="25" t="n">
        <v>12.48</v>
      </c>
      <c r="F274" s="14">
        <f>AsOf-C274</f>
        <v/>
      </c>
      <c r="G274" s="11">
        <f>SUMIFS($D$2:$D$5000,$A$2:$A$5000,A274,$B$2:$B$5000,B274,$C$2:$C$5000,"&lt;="&amp;C274)</f>
        <v/>
      </c>
      <c r="H274" s="11">
        <f>SUMIFS(Dispatched!$C$2:$C$5000,Dispatched!$A$2:$A$5000,A274,Dispatched!$B$2:$B$5000,B274)</f>
        <v/>
      </c>
      <c r="I274" s="11">
        <f>MAX(0,MIN(D274,G274-H274))</f>
        <v/>
      </c>
      <c r="J274" s="26">
        <f>I274*E274/D274</f>
        <v/>
      </c>
      <c r="K274" s="10">
        <f>IF(I274=0,"Dispatched",IF(F274&lt;=30,"0-30",IF(F274&lt;=60,"31-60",IF(F274&lt;=90,"61-90","90+"))))</f>
        <v/>
      </c>
    </row>
    <row r="275">
      <c r="A275" s="24" t="inlineStr">
        <is>
          <t>Hyderabad</t>
        </is>
      </c>
      <c r="B275" s="24" t="inlineStr">
        <is>
          <t>50X50X4</t>
        </is>
      </c>
      <c r="C275" s="6" t="n">
        <v>46288</v>
      </c>
      <c r="D275" s="24" t="n">
        <v>566</v>
      </c>
      <c r="E275" s="25" t="n">
        <v>19.621</v>
      </c>
      <c r="F275" s="14">
        <f>AsOf-C275</f>
        <v/>
      </c>
      <c r="G275" s="11">
        <f>SUMIFS($D$2:$D$5000,$A$2:$A$5000,A275,$B$2:$B$5000,B275,$C$2:$C$5000,"&lt;="&amp;C275)</f>
        <v/>
      </c>
      <c r="H275" s="11">
        <f>SUMIFS(Dispatched!$C$2:$C$5000,Dispatched!$A$2:$A$5000,A275,Dispatched!$B$2:$B$5000,B275)</f>
        <v/>
      </c>
      <c r="I275" s="11">
        <f>MAX(0,MIN(D275,G275-H275))</f>
        <v/>
      </c>
      <c r="J275" s="26">
        <f>I275*E275/D275</f>
        <v/>
      </c>
      <c r="K275" s="10">
        <f>IF(I275=0,"Dispatched",IF(F275&lt;=30,"0-30",IF(F275&lt;=60,"31-60",IF(F275&lt;=90,"61-90","90+"))))</f>
        <v/>
      </c>
    </row>
    <row r="276">
      <c r="A276" s="24" t="inlineStr">
        <is>
          <t>Hyderabad</t>
        </is>
      </c>
      <c r="B276" s="24" t="inlineStr">
        <is>
          <t>60X40X1.6</t>
        </is>
      </c>
      <c r="C276" s="6" t="n">
        <v>46148</v>
      </c>
      <c r="D276" s="24" t="n">
        <v>2278</v>
      </c>
      <c r="E276" s="25" t="n">
        <v>33.235</v>
      </c>
      <c r="F276" s="14">
        <f>AsOf-C276</f>
        <v/>
      </c>
      <c r="G276" s="11">
        <f>SUMIFS($D$2:$D$5000,$A$2:$A$5000,A276,$B$2:$B$5000,B276,$C$2:$C$5000,"&lt;="&amp;C276)</f>
        <v/>
      </c>
      <c r="H276" s="11">
        <f>SUMIFS(Dispatched!$C$2:$C$5000,Dispatched!$A$2:$A$5000,A276,Dispatched!$B$2:$B$5000,B276)</f>
        <v/>
      </c>
      <c r="I276" s="11">
        <f>MAX(0,MIN(D276,G276-H276))</f>
        <v/>
      </c>
      <c r="J276" s="26">
        <f>I276*E276/D276</f>
        <v/>
      </c>
      <c r="K276" s="10">
        <f>IF(I276=0,"Dispatched",IF(F276&lt;=30,"0-30",IF(F276&lt;=60,"31-60",IF(F276&lt;=90,"61-90","90+"))))</f>
        <v/>
      </c>
    </row>
    <row r="277">
      <c r="A277" s="24" t="inlineStr">
        <is>
          <t>Hyderabad</t>
        </is>
      </c>
      <c r="B277" s="24" t="inlineStr">
        <is>
          <t>60X40X1.6</t>
        </is>
      </c>
      <c r="C277" s="6" t="n">
        <v>46189</v>
      </c>
      <c r="D277" s="24" t="n">
        <v>825</v>
      </c>
      <c r="E277" s="25" t="n">
        <v>12.036</v>
      </c>
      <c r="F277" s="14">
        <f>AsOf-C277</f>
        <v/>
      </c>
      <c r="G277" s="11">
        <f>SUMIFS($D$2:$D$5000,$A$2:$A$5000,A277,$B$2:$B$5000,B277,$C$2:$C$5000,"&lt;="&amp;C277)</f>
        <v/>
      </c>
      <c r="H277" s="11">
        <f>SUMIFS(Dispatched!$C$2:$C$5000,Dispatched!$A$2:$A$5000,A277,Dispatched!$B$2:$B$5000,B277)</f>
        <v/>
      </c>
      <c r="I277" s="11">
        <f>MAX(0,MIN(D277,G277-H277))</f>
        <v/>
      </c>
      <c r="J277" s="26">
        <f>I277*E277/D277</f>
        <v/>
      </c>
      <c r="K277" s="10">
        <f>IF(I277=0,"Dispatched",IF(F277&lt;=30,"0-30",IF(F277&lt;=60,"31-60",IF(F277&lt;=90,"61-90","90+"))))</f>
        <v/>
      </c>
    </row>
    <row r="278">
      <c r="A278" s="24" t="inlineStr">
        <is>
          <t>Hyderabad</t>
        </is>
      </c>
      <c r="B278" s="24" t="inlineStr">
        <is>
          <t>60X40X1.6</t>
        </is>
      </c>
      <c r="C278" s="6" t="n">
        <v>46190</v>
      </c>
      <c r="D278" s="24" t="n">
        <v>3018</v>
      </c>
      <c r="E278" s="25" t="n">
        <v>44.032</v>
      </c>
      <c r="F278" s="14">
        <f>AsOf-C278</f>
        <v/>
      </c>
      <c r="G278" s="11">
        <f>SUMIFS($D$2:$D$5000,$A$2:$A$5000,A278,$B$2:$B$5000,B278,$C$2:$C$5000,"&lt;="&amp;C278)</f>
        <v/>
      </c>
      <c r="H278" s="11">
        <f>SUMIFS(Dispatched!$C$2:$C$5000,Dispatched!$A$2:$A$5000,A278,Dispatched!$B$2:$B$5000,B278)</f>
        <v/>
      </c>
      <c r="I278" s="11">
        <f>MAX(0,MIN(D278,G278-H278))</f>
        <v/>
      </c>
      <c r="J278" s="26">
        <f>I278*E278/D278</f>
        <v/>
      </c>
      <c r="K278" s="10">
        <f>IF(I278=0,"Dispatched",IF(F278&lt;=30,"0-30",IF(F278&lt;=60,"31-60",IF(F278&lt;=90,"61-90","90+"))))</f>
        <v/>
      </c>
    </row>
    <row r="279">
      <c r="A279" s="24" t="inlineStr">
        <is>
          <t>Hyderabad</t>
        </is>
      </c>
      <c r="B279" s="24" t="inlineStr">
        <is>
          <t>60X40X1.6</t>
        </is>
      </c>
      <c r="C279" s="6" t="n">
        <v>46191</v>
      </c>
      <c r="D279" s="24" t="n">
        <v>2576</v>
      </c>
      <c r="E279" s="25" t="n">
        <v>37.583</v>
      </c>
      <c r="F279" s="14">
        <f>AsOf-C279</f>
        <v/>
      </c>
      <c r="G279" s="11">
        <f>SUMIFS($D$2:$D$5000,$A$2:$A$5000,A279,$B$2:$B$5000,B279,$C$2:$C$5000,"&lt;="&amp;C279)</f>
        <v/>
      </c>
      <c r="H279" s="11">
        <f>SUMIFS(Dispatched!$C$2:$C$5000,Dispatched!$A$2:$A$5000,A279,Dispatched!$B$2:$B$5000,B279)</f>
        <v/>
      </c>
      <c r="I279" s="11">
        <f>MAX(0,MIN(D279,G279-H279))</f>
        <v/>
      </c>
      <c r="J279" s="26">
        <f>I279*E279/D279</f>
        <v/>
      </c>
      <c r="K279" s="10">
        <f>IF(I279=0,"Dispatched",IF(F279&lt;=30,"0-30",IF(F279&lt;=60,"31-60",IF(F279&lt;=90,"61-90","90+"))))</f>
        <v/>
      </c>
    </row>
    <row r="280">
      <c r="A280" s="24" t="inlineStr">
        <is>
          <t>Hyderabad</t>
        </is>
      </c>
      <c r="B280" s="24" t="inlineStr">
        <is>
          <t>60X40X1.6</t>
        </is>
      </c>
      <c r="C280" s="6" t="n">
        <v>46219</v>
      </c>
      <c r="D280" s="24" t="n">
        <v>698</v>
      </c>
      <c r="E280" s="25" t="n">
        <v>10.184</v>
      </c>
      <c r="F280" s="14">
        <f>AsOf-C280</f>
        <v/>
      </c>
      <c r="G280" s="11">
        <f>SUMIFS($D$2:$D$5000,$A$2:$A$5000,A280,$B$2:$B$5000,B280,$C$2:$C$5000,"&lt;="&amp;C280)</f>
        <v/>
      </c>
      <c r="H280" s="11">
        <f>SUMIFS(Dispatched!$C$2:$C$5000,Dispatched!$A$2:$A$5000,A280,Dispatched!$B$2:$B$5000,B280)</f>
        <v/>
      </c>
      <c r="I280" s="11">
        <f>MAX(0,MIN(D280,G280-H280))</f>
        <v/>
      </c>
      <c r="J280" s="26">
        <f>I280*E280/D280</f>
        <v/>
      </c>
      <c r="K280" s="10">
        <f>IF(I280=0,"Dispatched",IF(F280&lt;=30,"0-30",IF(F280&lt;=60,"31-60",IF(F280&lt;=90,"61-90","90+"))))</f>
        <v/>
      </c>
    </row>
    <row r="281">
      <c r="A281" s="24" t="inlineStr">
        <is>
          <t>Hyderabad</t>
        </is>
      </c>
      <c r="B281" s="24" t="inlineStr">
        <is>
          <t>60X40X1.6</t>
        </is>
      </c>
      <c r="C281" s="6" t="n">
        <v>46220</v>
      </c>
      <c r="D281" s="24" t="n">
        <v>936</v>
      </c>
      <c r="E281" s="25" t="n">
        <v>13.656</v>
      </c>
      <c r="F281" s="14">
        <f>AsOf-C281</f>
        <v/>
      </c>
      <c r="G281" s="11">
        <f>SUMIFS($D$2:$D$5000,$A$2:$A$5000,A281,$B$2:$B$5000,B281,$C$2:$C$5000,"&lt;="&amp;C281)</f>
        <v/>
      </c>
      <c r="H281" s="11">
        <f>SUMIFS(Dispatched!$C$2:$C$5000,Dispatched!$A$2:$A$5000,A281,Dispatched!$B$2:$B$5000,B281)</f>
        <v/>
      </c>
      <c r="I281" s="11">
        <f>MAX(0,MIN(D281,G281-H281))</f>
        <v/>
      </c>
      <c r="J281" s="26">
        <f>I281*E281/D281</f>
        <v/>
      </c>
      <c r="K281" s="10">
        <f>IF(I281=0,"Dispatched",IF(F281&lt;=30,"0-30",IF(F281&lt;=60,"31-60",IF(F281&lt;=90,"61-90","90+"))))</f>
        <v/>
      </c>
    </row>
    <row r="282">
      <c r="A282" s="24" t="inlineStr">
        <is>
          <t>Hyderabad</t>
        </is>
      </c>
      <c r="B282" s="24" t="inlineStr">
        <is>
          <t>60X40X1.6</t>
        </is>
      </c>
      <c r="C282" s="6" t="n">
        <v>46240</v>
      </c>
      <c r="D282" s="24" t="n">
        <v>451</v>
      </c>
      <c r="E282" s="25" t="n">
        <v>6.58</v>
      </c>
      <c r="F282" s="14">
        <f>AsOf-C282</f>
        <v/>
      </c>
      <c r="G282" s="11">
        <f>SUMIFS($D$2:$D$5000,$A$2:$A$5000,A282,$B$2:$B$5000,B282,$C$2:$C$5000,"&lt;="&amp;C282)</f>
        <v/>
      </c>
      <c r="H282" s="11">
        <f>SUMIFS(Dispatched!$C$2:$C$5000,Dispatched!$A$2:$A$5000,A282,Dispatched!$B$2:$B$5000,B282)</f>
        <v/>
      </c>
      <c r="I282" s="11">
        <f>MAX(0,MIN(D282,G282-H282))</f>
        <v/>
      </c>
      <c r="J282" s="26">
        <f>I282*E282/D282</f>
        <v/>
      </c>
      <c r="K282" s="10">
        <f>IF(I282=0,"Dispatched",IF(F282&lt;=30,"0-30",IF(F282&lt;=60,"31-60",IF(F282&lt;=90,"61-90","90+"))))</f>
        <v/>
      </c>
    </row>
    <row r="283">
      <c r="A283" s="24" t="inlineStr">
        <is>
          <t>Hyderabad</t>
        </is>
      </c>
      <c r="B283" s="24" t="inlineStr">
        <is>
          <t>60X40X1.6</t>
        </is>
      </c>
      <c r="C283" s="6" t="n">
        <v>46241</v>
      </c>
      <c r="D283" s="24" t="n">
        <v>1632</v>
      </c>
      <c r="E283" s="25" t="n">
        <v>23.81</v>
      </c>
      <c r="F283" s="14">
        <f>AsOf-C283</f>
        <v/>
      </c>
      <c r="G283" s="11">
        <f>SUMIFS($D$2:$D$5000,$A$2:$A$5000,A283,$B$2:$B$5000,B283,$C$2:$C$5000,"&lt;="&amp;C283)</f>
        <v/>
      </c>
      <c r="H283" s="11">
        <f>SUMIFS(Dispatched!$C$2:$C$5000,Dispatched!$A$2:$A$5000,A283,Dispatched!$B$2:$B$5000,B283)</f>
        <v/>
      </c>
      <c r="I283" s="11">
        <f>MAX(0,MIN(D283,G283-H283))</f>
        <v/>
      </c>
      <c r="J283" s="26">
        <f>I283*E283/D283</f>
        <v/>
      </c>
      <c r="K283" s="10">
        <f>IF(I283=0,"Dispatched",IF(F283&lt;=30,"0-30",IF(F283&lt;=60,"31-60",IF(F283&lt;=90,"61-90","90+"))))</f>
        <v/>
      </c>
    </row>
    <row r="284">
      <c r="A284" s="24" t="inlineStr">
        <is>
          <t>Hyderabad</t>
        </is>
      </c>
      <c r="B284" s="24" t="inlineStr">
        <is>
          <t>60X40X1.6</t>
        </is>
      </c>
      <c r="C284" s="6" t="n">
        <v>46303</v>
      </c>
      <c r="D284" s="24" t="n">
        <v>2348</v>
      </c>
      <c r="E284" s="25" t="n">
        <v>34.257</v>
      </c>
      <c r="F284" s="14">
        <f>AsOf-C284</f>
        <v/>
      </c>
      <c r="G284" s="11">
        <f>SUMIFS($D$2:$D$5000,$A$2:$A$5000,A284,$B$2:$B$5000,B284,$C$2:$C$5000,"&lt;="&amp;C284)</f>
        <v/>
      </c>
      <c r="H284" s="11">
        <f>SUMIFS(Dispatched!$C$2:$C$5000,Dispatched!$A$2:$A$5000,A284,Dispatched!$B$2:$B$5000,B284)</f>
        <v/>
      </c>
      <c r="I284" s="11">
        <f>MAX(0,MIN(D284,G284-H284))</f>
        <v/>
      </c>
      <c r="J284" s="26">
        <f>I284*E284/D284</f>
        <v/>
      </c>
      <c r="K284" s="10">
        <f>IF(I284=0,"Dispatched",IF(F284&lt;=30,"0-30",IF(F284&lt;=60,"31-60",IF(F284&lt;=90,"61-90","90+"))))</f>
        <v/>
      </c>
    </row>
    <row r="285">
      <c r="A285" s="24" t="inlineStr">
        <is>
          <t>Hyderabad</t>
        </is>
      </c>
      <c r="B285" s="24" t="inlineStr">
        <is>
          <t>60X40X2</t>
        </is>
      </c>
      <c r="C285" s="6" t="n">
        <v>46128</v>
      </c>
      <c r="D285" s="24" t="n">
        <v>174</v>
      </c>
      <c r="E285" s="25" t="n">
        <v>3.147</v>
      </c>
      <c r="F285" s="14">
        <f>AsOf-C285</f>
        <v/>
      </c>
      <c r="G285" s="11">
        <f>SUMIFS($D$2:$D$5000,$A$2:$A$5000,A285,$B$2:$B$5000,B285,$C$2:$C$5000,"&lt;="&amp;C285)</f>
        <v/>
      </c>
      <c r="H285" s="11">
        <f>SUMIFS(Dispatched!$C$2:$C$5000,Dispatched!$A$2:$A$5000,A285,Dispatched!$B$2:$B$5000,B285)</f>
        <v/>
      </c>
      <c r="I285" s="11">
        <f>MAX(0,MIN(D285,G285-H285))</f>
        <v/>
      </c>
      <c r="J285" s="26">
        <f>I285*E285/D285</f>
        <v/>
      </c>
      <c r="K285" s="10">
        <f>IF(I285=0,"Dispatched",IF(F285&lt;=30,"0-30",IF(F285&lt;=60,"31-60",IF(F285&lt;=90,"61-90","90+"))))</f>
        <v/>
      </c>
    </row>
    <row r="286">
      <c r="A286" s="24" t="inlineStr">
        <is>
          <t>Hyderabad</t>
        </is>
      </c>
      <c r="B286" s="24" t="inlineStr">
        <is>
          <t>60X40X2</t>
        </is>
      </c>
      <c r="C286" s="6" t="n">
        <v>46129</v>
      </c>
      <c r="D286" s="24" t="n">
        <v>1861</v>
      </c>
      <c r="E286" s="25" t="n">
        <v>33.659</v>
      </c>
      <c r="F286" s="14">
        <f>AsOf-C286</f>
        <v/>
      </c>
      <c r="G286" s="11">
        <f>SUMIFS($D$2:$D$5000,$A$2:$A$5000,A286,$B$2:$B$5000,B286,$C$2:$C$5000,"&lt;="&amp;C286)</f>
        <v/>
      </c>
      <c r="H286" s="11">
        <f>SUMIFS(Dispatched!$C$2:$C$5000,Dispatched!$A$2:$A$5000,A286,Dispatched!$B$2:$B$5000,B286)</f>
        <v/>
      </c>
      <c r="I286" s="11">
        <f>MAX(0,MIN(D286,G286-H286))</f>
        <v/>
      </c>
      <c r="J286" s="26">
        <f>I286*E286/D286</f>
        <v/>
      </c>
      <c r="K286" s="10">
        <f>IF(I286=0,"Dispatched",IF(F286&lt;=30,"0-30",IF(F286&lt;=60,"31-60",IF(F286&lt;=90,"61-90","90+"))))</f>
        <v/>
      </c>
    </row>
    <row r="287">
      <c r="A287" s="24" t="inlineStr">
        <is>
          <t>Hyderabad</t>
        </is>
      </c>
      <c r="B287" s="24" t="inlineStr">
        <is>
          <t>60X40X2</t>
        </is>
      </c>
      <c r="C287" s="6" t="n">
        <v>46130</v>
      </c>
      <c r="D287" s="24" t="n">
        <v>733</v>
      </c>
      <c r="E287" s="25" t="n">
        <v>13.257</v>
      </c>
      <c r="F287" s="14">
        <f>AsOf-C287</f>
        <v/>
      </c>
      <c r="G287" s="11">
        <f>SUMIFS($D$2:$D$5000,$A$2:$A$5000,A287,$B$2:$B$5000,B287,$C$2:$C$5000,"&lt;="&amp;C287)</f>
        <v/>
      </c>
      <c r="H287" s="11">
        <f>SUMIFS(Dispatched!$C$2:$C$5000,Dispatched!$A$2:$A$5000,A287,Dispatched!$B$2:$B$5000,B287)</f>
        <v/>
      </c>
      <c r="I287" s="11">
        <f>MAX(0,MIN(D287,G287-H287))</f>
        <v/>
      </c>
      <c r="J287" s="26">
        <f>I287*E287/D287</f>
        <v/>
      </c>
      <c r="K287" s="10">
        <f>IF(I287=0,"Dispatched",IF(F287&lt;=30,"0-30",IF(F287&lt;=60,"31-60",IF(F287&lt;=90,"61-90","90+"))))</f>
        <v/>
      </c>
    </row>
    <row r="288">
      <c r="A288" s="24" t="inlineStr">
        <is>
          <t>Hyderabad</t>
        </is>
      </c>
      <c r="B288" s="24" t="inlineStr">
        <is>
          <t>60X40X2</t>
        </is>
      </c>
      <c r="C288" s="6" t="n">
        <v>46148</v>
      </c>
      <c r="D288" s="24" t="n">
        <v>177</v>
      </c>
      <c r="E288" s="25" t="n">
        <v>3.201</v>
      </c>
      <c r="F288" s="14">
        <f>AsOf-C288</f>
        <v/>
      </c>
      <c r="G288" s="11">
        <f>SUMIFS($D$2:$D$5000,$A$2:$A$5000,A288,$B$2:$B$5000,B288,$C$2:$C$5000,"&lt;="&amp;C288)</f>
        <v/>
      </c>
      <c r="H288" s="11">
        <f>SUMIFS(Dispatched!$C$2:$C$5000,Dispatched!$A$2:$A$5000,A288,Dispatched!$B$2:$B$5000,B288)</f>
        <v/>
      </c>
      <c r="I288" s="11">
        <f>MAX(0,MIN(D288,G288-H288))</f>
        <v/>
      </c>
      <c r="J288" s="26">
        <f>I288*E288/D288</f>
        <v/>
      </c>
      <c r="K288" s="10">
        <f>IF(I288=0,"Dispatched",IF(F288&lt;=30,"0-30",IF(F288&lt;=60,"31-60",IF(F288&lt;=90,"61-90","90+"))))</f>
        <v/>
      </c>
    </row>
    <row r="289">
      <c r="A289" s="24" t="inlineStr">
        <is>
          <t>Hyderabad</t>
        </is>
      </c>
      <c r="B289" s="24" t="inlineStr">
        <is>
          <t>60X40X2</t>
        </is>
      </c>
      <c r="C289" s="6" t="n">
        <v>46149</v>
      </c>
      <c r="D289" s="24" t="n">
        <v>1118</v>
      </c>
      <c r="E289" s="25" t="n">
        <v>20.221</v>
      </c>
      <c r="F289" s="14">
        <f>AsOf-C289</f>
        <v/>
      </c>
      <c r="G289" s="11">
        <f>SUMIFS($D$2:$D$5000,$A$2:$A$5000,A289,$B$2:$B$5000,B289,$C$2:$C$5000,"&lt;="&amp;C289)</f>
        <v/>
      </c>
      <c r="H289" s="11">
        <f>SUMIFS(Dispatched!$C$2:$C$5000,Dispatched!$A$2:$A$5000,A289,Dispatched!$B$2:$B$5000,B289)</f>
        <v/>
      </c>
      <c r="I289" s="11">
        <f>MAX(0,MIN(D289,G289-H289))</f>
        <v/>
      </c>
      <c r="J289" s="26">
        <f>I289*E289/D289</f>
        <v/>
      </c>
      <c r="K289" s="10">
        <f>IF(I289=0,"Dispatched",IF(F289&lt;=30,"0-30",IF(F289&lt;=60,"31-60",IF(F289&lt;=90,"61-90","90+"))))</f>
        <v/>
      </c>
    </row>
    <row r="290">
      <c r="A290" s="24" t="inlineStr">
        <is>
          <t>Hyderabad</t>
        </is>
      </c>
      <c r="B290" s="24" t="inlineStr">
        <is>
          <t>60X40X2</t>
        </is>
      </c>
      <c r="C290" s="6" t="n">
        <v>46190</v>
      </c>
      <c r="D290" s="24" t="n">
        <v>3398</v>
      </c>
      <c r="E290" s="25" t="n">
        <v>61.458</v>
      </c>
      <c r="F290" s="14">
        <f>AsOf-C290</f>
        <v/>
      </c>
      <c r="G290" s="11">
        <f>SUMIFS($D$2:$D$5000,$A$2:$A$5000,A290,$B$2:$B$5000,B290,$C$2:$C$5000,"&lt;="&amp;C290)</f>
        <v/>
      </c>
      <c r="H290" s="11">
        <f>SUMIFS(Dispatched!$C$2:$C$5000,Dispatched!$A$2:$A$5000,A290,Dispatched!$B$2:$B$5000,B290)</f>
        <v/>
      </c>
      <c r="I290" s="11">
        <f>MAX(0,MIN(D290,G290-H290))</f>
        <v/>
      </c>
      <c r="J290" s="26">
        <f>I290*E290/D290</f>
        <v/>
      </c>
      <c r="K290" s="10">
        <f>IF(I290=0,"Dispatched",IF(F290&lt;=30,"0-30",IF(F290&lt;=60,"31-60",IF(F290&lt;=90,"61-90","90+"))))</f>
        <v/>
      </c>
    </row>
    <row r="291">
      <c r="A291" s="24" t="inlineStr">
        <is>
          <t>Hyderabad</t>
        </is>
      </c>
      <c r="B291" s="24" t="inlineStr">
        <is>
          <t>60X40X2</t>
        </is>
      </c>
      <c r="C291" s="6" t="n">
        <v>46240</v>
      </c>
      <c r="D291" s="24" t="n">
        <v>1715</v>
      </c>
      <c r="E291" s="25" t="n">
        <v>31.018</v>
      </c>
      <c r="F291" s="14">
        <f>AsOf-C291</f>
        <v/>
      </c>
      <c r="G291" s="11">
        <f>SUMIFS($D$2:$D$5000,$A$2:$A$5000,A291,$B$2:$B$5000,B291,$C$2:$C$5000,"&lt;="&amp;C291)</f>
        <v/>
      </c>
      <c r="H291" s="11">
        <f>SUMIFS(Dispatched!$C$2:$C$5000,Dispatched!$A$2:$A$5000,A291,Dispatched!$B$2:$B$5000,B291)</f>
        <v/>
      </c>
      <c r="I291" s="11">
        <f>MAX(0,MIN(D291,G291-H291))</f>
        <v/>
      </c>
      <c r="J291" s="26">
        <f>I291*E291/D291</f>
        <v/>
      </c>
      <c r="K291" s="10">
        <f>IF(I291=0,"Dispatched",IF(F291&lt;=30,"0-30",IF(F291&lt;=60,"31-60",IF(F291&lt;=90,"61-90","90+"))))</f>
        <v/>
      </c>
    </row>
    <row r="292">
      <c r="A292" s="24" t="inlineStr">
        <is>
          <t>Hyderabad</t>
        </is>
      </c>
      <c r="B292" s="24" t="inlineStr">
        <is>
          <t>60X40X2</t>
        </is>
      </c>
      <c r="C292" s="6" t="n">
        <v>46262</v>
      </c>
      <c r="D292" s="24" t="n">
        <v>1133</v>
      </c>
      <c r="E292" s="25" t="n">
        <v>20.492</v>
      </c>
      <c r="F292" s="14">
        <f>AsOf-C292</f>
        <v/>
      </c>
      <c r="G292" s="11">
        <f>SUMIFS($D$2:$D$5000,$A$2:$A$5000,A292,$B$2:$B$5000,B292,$C$2:$C$5000,"&lt;="&amp;C292)</f>
        <v/>
      </c>
      <c r="H292" s="11">
        <f>SUMIFS(Dispatched!$C$2:$C$5000,Dispatched!$A$2:$A$5000,A292,Dispatched!$B$2:$B$5000,B292)</f>
        <v/>
      </c>
      <c r="I292" s="11">
        <f>MAX(0,MIN(D292,G292-H292))</f>
        <v/>
      </c>
      <c r="J292" s="26">
        <f>I292*E292/D292</f>
        <v/>
      </c>
      <c r="K292" s="10">
        <f>IF(I292=0,"Dispatched",IF(F292&lt;=30,"0-30",IF(F292&lt;=60,"31-60",IF(F292&lt;=90,"61-90","90+"))))</f>
        <v/>
      </c>
    </row>
    <row r="293">
      <c r="A293" s="24" t="inlineStr">
        <is>
          <t>Hyderabad</t>
        </is>
      </c>
      <c r="B293" s="24" t="inlineStr">
        <is>
          <t>60X40X2</t>
        </is>
      </c>
      <c r="C293" s="6" t="n">
        <v>46276</v>
      </c>
      <c r="D293" s="24" t="n">
        <v>1200</v>
      </c>
      <c r="E293" s="25" t="n">
        <v>21.704</v>
      </c>
      <c r="F293" s="14">
        <f>AsOf-C293</f>
        <v/>
      </c>
      <c r="G293" s="11">
        <f>SUMIFS($D$2:$D$5000,$A$2:$A$5000,A293,$B$2:$B$5000,B293,$C$2:$C$5000,"&lt;="&amp;C293)</f>
        <v/>
      </c>
      <c r="H293" s="11">
        <f>SUMIFS(Dispatched!$C$2:$C$5000,Dispatched!$A$2:$A$5000,A293,Dispatched!$B$2:$B$5000,B293)</f>
        <v/>
      </c>
      <c r="I293" s="11">
        <f>MAX(0,MIN(D293,G293-H293))</f>
        <v/>
      </c>
      <c r="J293" s="26">
        <f>I293*E293/D293</f>
        <v/>
      </c>
      <c r="K293" s="10">
        <f>IF(I293=0,"Dispatched",IF(F293&lt;=30,"0-30",IF(F293&lt;=60,"31-60",IF(F293&lt;=90,"61-90","90+"))))</f>
        <v/>
      </c>
    </row>
    <row r="294">
      <c r="A294" s="24" t="inlineStr">
        <is>
          <t>Hyderabad</t>
        </is>
      </c>
      <c r="B294" s="24" t="inlineStr">
        <is>
          <t>60X40X2</t>
        </is>
      </c>
      <c r="C294" s="6" t="n">
        <v>46288</v>
      </c>
      <c r="D294" s="24" t="n">
        <v>2131</v>
      </c>
      <c r="E294" s="25" t="n">
        <v>38.542</v>
      </c>
      <c r="F294" s="14">
        <f>AsOf-C294</f>
        <v/>
      </c>
      <c r="G294" s="11">
        <f>SUMIFS($D$2:$D$5000,$A$2:$A$5000,A294,$B$2:$B$5000,B294,$C$2:$C$5000,"&lt;="&amp;C294)</f>
        <v/>
      </c>
      <c r="H294" s="11">
        <f>SUMIFS(Dispatched!$C$2:$C$5000,Dispatched!$A$2:$A$5000,A294,Dispatched!$B$2:$B$5000,B294)</f>
        <v/>
      </c>
      <c r="I294" s="11">
        <f>MAX(0,MIN(D294,G294-H294))</f>
        <v/>
      </c>
      <c r="J294" s="26">
        <f>I294*E294/D294</f>
        <v/>
      </c>
      <c r="K294" s="10">
        <f>IF(I294=0,"Dispatched",IF(F294&lt;=30,"0-30",IF(F294&lt;=60,"31-60",IF(F294&lt;=90,"61-90","90+"))))</f>
        <v/>
      </c>
    </row>
    <row r="295">
      <c r="A295" s="24" t="inlineStr">
        <is>
          <t>Hyderabad</t>
        </is>
      </c>
      <c r="B295" s="24" t="inlineStr">
        <is>
          <t>60X40X2</t>
        </is>
      </c>
      <c r="C295" s="6" t="n">
        <v>46303</v>
      </c>
      <c r="D295" s="24" t="n">
        <v>1069</v>
      </c>
      <c r="E295" s="25" t="n">
        <v>19.334</v>
      </c>
      <c r="F295" s="14">
        <f>AsOf-C295</f>
        <v/>
      </c>
      <c r="G295" s="11">
        <f>SUMIFS($D$2:$D$5000,$A$2:$A$5000,A295,$B$2:$B$5000,B295,$C$2:$C$5000,"&lt;="&amp;C295)</f>
        <v/>
      </c>
      <c r="H295" s="11">
        <f>SUMIFS(Dispatched!$C$2:$C$5000,Dispatched!$A$2:$A$5000,A295,Dispatched!$B$2:$B$5000,B295)</f>
        <v/>
      </c>
      <c r="I295" s="11">
        <f>MAX(0,MIN(D295,G295-H295))</f>
        <v/>
      </c>
      <c r="J295" s="26">
        <f>I295*E295/D295</f>
        <v/>
      </c>
      <c r="K295" s="10">
        <f>IF(I295=0,"Dispatched",IF(F295&lt;=30,"0-30",IF(F295&lt;=60,"31-60",IF(F295&lt;=90,"61-90","90+"))))</f>
        <v/>
      </c>
    </row>
    <row r="296">
      <c r="A296" s="24" t="inlineStr">
        <is>
          <t>Hyderabad</t>
        </is>
      </c>
      <c r="B296" s="24" t="inlineStr">
        <is>
          <t>60X40X2.5</t>
        </is>
      </c>
      <c r="C296" s="6" t="n">
        <v>46130</v>
      </c>
      <c r="D296" s="24" t="n">
        <v>230</v>
      </c>
      <c r="E296" s="25" t="n">
        <v>5.146</v>
      </c>
      <c r="F296" s="14">
        <f>AsOf-C296</f>
        <v/>
      </c>
      <c r="G296" s="11">
        <f>SUMIFS($D$2:$D$5000,$A$2:$A$5000,A296,$B$2:$B$5000,B296,$C$2:$C$5000,"&lt;="&amp;C296)</f>
        <v/>
      </c>
      <c r="H296" s="11">
        <f>SUMIFS(Dispatched!$C$2:$C$5000,Dispatched!$A$2:$A$5000,A296,Dispatched!$B$2:$B$5000,B296)</f>
        <v/>
      </c>
      <c r="I296" s="11">
        <f>MAX(0,MIN(D296,G296-H296))</f>
        <v/>
      </c>
      <c r="J296" s="26">
        <f>I296*E296/D296</f>
        <v/>
      </c>
      <c r="K296" s="10">
        <f>IF(I296=0,"Dispatched",IF(F296&lt;=30,"0-30",IF(F296&lt;=60,"31-60",IF(F296&lt;=90,"61-90","90+"))))</f>
        <v/>
      </c>
    </row>
    <row r="297">
      <c r="A297" s="24" t="inlineStr">
        <is>
          <t>Hyderabad</t>
        </is>
      </c>
      <c r="B297" s="24" t="inlineStr">
        <is>
          <t>60X40X2.5</t>
        </is>
      </c>
      <c r="C297" s="6" t="n">
        <v>46132</v>
      </c>
      <c r="D297" s="24" t="n">
        <v>1019</v>
      </c>
      <c r="E297" s="25" t="n">
        <v>22.798</v>
      </c>
      <c r="F297" s="14">
        <f>AsOf-C297</f>
        <v/>
      </c>
      <c r="G297" s="11">
        <f>SUMIFS($D$2:$D$5000,$A$2:$A$5000,A297,$B$2:$B$5000,B297,$C$2:$C$5000,"&lt;="&amp;C297)</f>
        <v/>
      </c>
      <c r="H297" s="11">
        <f>SUMIFS(Dispatched!$C$2:$C$5000,Dispatched!$A$2:$A$5000,A297,Dispatched!$B$2:$B$5000,B297)</f>
        <v/>
      </c>
      <c r="I297" s="11">
        <f>MAX(0,MIN(D297,G297-H297))</f>
        <v/>
      </c>
      <c r="J297" s="26">
        <f>I297*E297/D297</f>
        <v/>
      </c>
      <c r="K297" s="10">
        <f>IF(I297=0,"Dispatched",IF(F297&lt;=30,"0-30",IF(F297&lt;=60,"31-60",IF(F297&lt;=90,"61-90","90+"))))</f>
        <v/>
      </c>
    </row>
    <row r="298">
      <c r="A298" s="24" t="inlineStr">
        <is>
          <t>Hyderabad</t>
        </is>
      </c>
      <c r="B298" s="24" t="inlineStr">
        <is>
          <t>60X40X2.5</t>
        </is>
      </c>
      <c r="C298" s="6" t="n">
        <v>46191</v>
      </c>
      <c r="D298" s="24" t="n">
        <v>761</v>
      </c>
      <c r="E298" s="25" t="n">
        <v>17.025</v>
      </c>
      <c r="F298" s="14">
        <f>AsOf-C298</f>
        <v/>
      </c>
      <c r="G298" s="11">
        <f>SUMIFS($D$2:$D$5000,$A$2:$A$5000,A298,$B$2:$B$5000,B298,$C$2:$C$5000,"&lt;="&amp;C298)</f>
        <v/>
      </c>
      <c r="H298" s="11">
        <f>SUMIFS(Dispatched!$C$2:$C$5000,Dispatched!$A$2:$A$5000,A298,Dispatched!$B$2:$B$5000,B298)</f>
        <v/>
      </c>
      <c r="I298" s="11">
        <f>MAX(0,MIN(D298,G298-H298))</f>
        <v/>
      </c>
      <c r="J298" s="26">
        <f>I298*E298/D298</f>
        <v/>
      </c>
      <c r="K298" s="10">
        <f>IF(I298=0,"Dispatched",IF(F298&lt;=30,"0-30",IF(F298&lt;=60,"31-60",IF(F298&lt;=90,"61-90","90+"))))</f>
        <v/>
      </c>
    </row>
    <row r="299">
      <c r="A299" s="24" t="inlineStr">
        <is>
          <t>Hyderabad</t>
        </is>
      </c>
      <c r="B299" s="24" t="inlineStr">
        <is>
          <t>60X40X2.5</t>
        </is>
      </c>
      <c r="C299" s="6" t="n">
        <v>46219</v>
      </c>
      <c r="D299" s="24" t="n">
        <v>1584</v>
      </c>
      <c r="E299" s="25" t="n">
        <v>35.438</v>
      </c>
      <c r="F299" s="14">
        <f>AsOf-C299</f>
        <v/>
      </c>
      <c r="G299" s="11">
        <f>SUMIFS($D$2:$D$5000,$A$2:$A$5000,A299,$B$2:$B$5000,B299,$C$2:$C$5000,"&lt;="&amp;C299)</f>
        <v/>
      </c>
      <c r="H299" s="11">
        <f>SUMIFS(Dispatched!$C$2:$C$5000,Dispatched!$A$2:$A$5000,A299,Dispatched!$B$2:$B$5000,B299)</f>
        <v/>
      </c>
      <c r="I299" s="11">
        <f>MAX(0,MIN(D299,G299-H299))</f>
        <v/>
      </c>
      <c r="J299" s="26">
        <f>I299*E299/D299</f>
        <v/>
      </c>
      <c r="K299" s="10">
        <f>IF(I299=0,"Dispatched",IF(F299&lt;=30,"0-30",IF(F299&lt;=60,"31-60",IF(F299&lt;=90,"61-90","90+"))))</f>
        <v/>
      </c>
    </row>
    <row r="300">
      <c r="A300" s="24" t="inlineStr">
        <is>
          <t>Hyderabad</t>
        </is>
      </c>
      <c r="B300" s="24" t="inlineStr">
        <is>
          <t>60X40X2.5</t>
        </is>
      </c>
      <c r="C300" s="6" t="n">
        <v>46241</v>
      </c>
      <c r="D300" s="24" t="n">
        <v>270</v>
      </c>
      <c r="E300" s="25" t="n">
        <v>6.041</v>
      </c>
      <c r="F300" s="14">
        <f>AsOf-C300</f>
        <v/>
      </c>
      <c r="G300" s="11">
        <f>SUMIFS($D$2:$D$5000,$A$2:$A$5000,A300,$B$2:$B$5000,B300,$C$2:$C$5000,"&lt;="&amp;C300)</f>
        <v/>
      </c>
      <c r="H300" s="11">
        <f>SUMIFS(Dispatched!$C$2:$C$5000,Dispatched!$A$2:$A$5000,A300,Dispatched!$B$2:$B$5000,B300)</f>
        <v/>
      </c>
      <c r="I300" s="11">
        <f>MAX(0,MIN(D300,G300-H300))</f>
        <v/>
      </c>
      <c r="J300" s="26">
        <f>I300*E300/D300</f>
        <v/>
      </c>
      <c r="K300" s="10">
        <f>IF(I300=0,"Dispatched",IF(F300&lt;=30,"0-30",IF(F300&lt;=60,"31-60",IF(F300&lt;=90,"61-90","90+"))))</f>
        <v/>
      </c>
    </row>
    <row r="301">
      <c r="A301" s="24" t="inlineStr">
        <is>
          <t>Hyderabad</t>
        </is>
      </c>
      <c r="B301" s="24" t="inlineStr">
        <is>
          <t>60X40X2.5</t>
        </is>
      </c>
      <c r="C301" s="6" t="n">
        <v>46276</v>
      </c>
      <c r="D301" s="24" t="n">
        <v>1799</v>
      </c>
      <c r="E301" s="25" t="n">
        <v>40.248</v>
      </c>
      <c r="F301" s="14">
        <f>AsOf-C301</f>
        <v/>
      </c>
      <c r="G301" s="11">
        <f>SUMIFS($D$2:$D$5000,$A$2:$A$5000,A301,$B$2:$B$5000,B301,$C$2:$C$5000,"&lt;="&amp;C301)</f>
        <v/>
      </c>
      <c r="H301" s="11">
        <f>SUMIFS(Dispatched!$C$2:$C$5000,Dispatched!$A$2:$A$5000,A301,Dispatched!$B$2:$B$5000,B301)</f>
        <v/>
      </c>
      <c r="I301" s="11">
        <f>MAX(0,MIN(D301,G301-H301))</f>
        <v/>
      </c>
      <c r="J301" s="26">
        <f>I301*E301/D301</f>
        <v/>
      </c>
      <c r="K301" s="10">
        <f>IF(I301=0,"Dispatched",IF(F301&lt;=30,"0-30",IF(F301&lt;=60,"31-60",IF(F301&lt;=90,"61-90","90+"))))</f>
        <v/>
      </c>
    </row>
    <row r="302">
      <c r="A302" s="24" t="inlineStr">
        <is>
          <t>Hyderabad</t>
        </is>
      </c>
      <c r="B302" s="24" t="inlineStr">
        <is>
          <t>60X40X2.8</t>
        </is>
      </c>
      <c r="C302" s="6" t="n">
        <v>46133</v>
      </c>
      <c r="D302" s="24" t="n">
        <v>232</v>
      </c>
      <c r="E302" s="25" t="n">
        <v>5.777</v>
      </c>
      <c r="F302" s="14">
        <f>AsOf-C302</f>
        <v/>
      </c>
      <c r="G302" s="11">
        <f>SUMIFS($D$2:$D$5000,$A$2:$A$5000,A302,$B$2:$B$5000,B302,$C$2:$C$5000,"&lt;="&amp;C302)</f>
        <v/>
      </c>
      <c r="H302" s="11">
        <f>SUMIFS(Dispatched!$C$2:$C$5000,Dispatched!$A$2:$A$5000,A302,Dispatched!$B$2:$B$5000,B302)</f>
        <v/>
      </c>
      <c r="I302" s="11">
        <f>MAX(0,MIN(D302,G302-H302))</f>
        <v/>
      </c>
      <c r="J302" s="26">
        <f>I302*E302/D302</f>
        <v/>
      </c>
      <c r="K302" s="10">
        <f>IF(I302=0,"Dispatched",IF(F302&lt;=30,"0-30",IF(F302&lt;=60,"31-60",IF(F302&lt;=90,"61-90","90+"))))</f>
        <v/>
      </c>
    </row>
    <row r="303">
      <c r="A303" s="24" t="inlineStr">
        <is>
          <t>Hyderabad</t>
        </is>
      </c>
      <c r="B303" s="24" t="inlineStr">
        <is>
          <t>60X40X2.8</t>
        </is>
      </c>
      <c r="C303" s="6" t="n">
        <v>46134</v>
      </c>
      <c r="D303" s="24" t="n">
        <v>2290</v>
      </c>
      <c r="E303" s="25" t="n">
        <v>57.019</v>
      </c>
      <c r="F303" s="14">
        <f>AsOf-C303</f>
        <v/>
      </c>
      <c r="G303" s="11">
        <f>SUMIFS($D$2:$D$5000,$A$2:$A$5000,A303,$B$2:$B$5000,B303,$C$2:$C$5000,"&lt;="&amp;C303)</f>
        <v/>
      </c>
      <c r="H303" s="11">
        <f>SUMIFS(Dispatched!$C$2:$C$5000,Dispatched!$A$2:$A$5000,A303,Dispatched!$B$2:$B$5000,B303)</f>
        <v/>
      </c>
      <c r="I303" s="11">
        <f>MAX(0,MIN(D303,G303-H303))</f>
        <v/>
      </c>
      <c r="J303" s="26">
        <f>I303*E303/D303</f>
        <v/>
      </c>
      <c r="K303" s="10">
        <f>IF(I303=0,"Dispatched",IF(F303&lt;=30,"0-30",IF(F303&lt;=60,"31-60",IF(F303&lt;=90,"61-90","90+"))))</f>
        <v/>
      </c>
    </row>
    <row r="304">
      <c r="A304" s="24" t="inlineStr">
        <is>
          <t>Hyderabad</t>
        </is>
      </c>
      <c r="B304" s="24" t="inlineStr">
        <is>
          <t>60X40X2.8</t>
        </is>
      </c>
      <c r="C304" s="6" t="n">
        <v>46149</v>
      </c>
      <c r="D304" s="24" t="n">
        <v>269</v>
      </c>
      <c r="E304" s="25" t="n">
        <v>6.698</v>
      </c>
      <c r="F304" s="14">
        <f>AsOf-C304</f>
        <v/>
      </c>
      <c r="G304" s="11">
        <f>SUMIFS($D$2:$D$5000,$A$2:$A$5000,A304,$B$2:$B$5000,B304,$C$2:$C$5000,"&lt;="&amp;C304)</f>
        <v/>
      </c>
      <c r="H304" s="11">
        <f>SUMIFS(Dispatched!$C$2:$C$5000,Dispatched!$A$2:$A$5000,A304,Dispatched!$B$2:$B$5000,B304)</f>
        <v/>
      </c>
      <c r="I304" s="11">
        <f>MAX(0,MIN(D304,G304-H304))</f>
        <v/>
      </c>
      <c r="J304" s="26">
        <f>I304*E304/D304</f>
        <v/>
      </c>
      <c r="K304" s="10">
        <f>IF(I304=0,"Dispatched",IF(F304&lt;=30,"0-30",IF(F304&lt;=60,"31-60",IF(F304&lt;=90,"61-90","90+"))))</f>
        <v/>
      </c>
    </row>
    <row r="305">
      <c r="A305" s="24" t="inlineStr">
        <is>
          <t>Hyderabad</t>
        </is>
      </c>
      <c r="B305" s="24" t="inlineStr">
        <is>
          <t>60X40X2.8</t>
        </is>
      </c>
      <c r="C305" s="6" t="n">
        <v>46305</v>
      </c>
      <c r="D305" s="24" t="n">
        <v>560</v>
      </c>
      <c r="E305" s="25" t="n">
        <v>13.943</v>
      </c>
      <c r="F305" s="14">
        <f>AsOf-C305</f>
        <v/>
      </c>
      <c r="G305" s="11">
        <f>SUMIFS($D$2:$D$5000,$A$2:$A$5000,A305,$B$2:$B$5000,B305,$C$2:$C$5000,"&lt;="&amp;C305)</f>
        <v/>
      </c>
      <c r="H305" s="11">
        <f>SUMIFS(Dispatched!$C$2:$C$5000,Dispatched!$A$2:$A$5000,A305,Dispatched!$B$2:$B$5000,B305)</f>
        <v/>
      </c>
      <c r="I305" s="11">
        <f>MAX(0,MIN(D305,G305-H305))</f>
        <v/>
      </c>
      <c r="J305" s="26">
        <f>I305*E305/D305</f>
        <v/>
      </c>
      <c r="K305" s="10">
        <f>IF(I305=0,"Dispatched",IF(F305&lt;=30,"0-30",IF(F305&lt;=60,"31-60",IF(F305&lt;=90,"61-90","90+"))))</f>
        <v/>
      </c>
    </row>
    <row r="306">
      <c r="A306" s="24" t="inlineStr">
        <is>
          <t>Hyderabad</t>
        </is>
      </c>
      <c r="B306" s="24" t="inlineStr">
        <is>
          <t>60X60X2</t>
        </is>
      </c>
      <c r="C306" s="6" t="n">
        <v>46175</v>
      </c>
      <c r="D306" s="24" t="n">
        <v>385</v>
      </c>
      <c r="E306" s="25" t="n">
        <v>8.414</v>
      </c>
      <c r="F306" s="14">
        <f>AsOf-C306</f>
        <v/>
      </c>
      <c r="G306" s="11">
        <f>SUMIFS($D$2:$D$5000,$A$2:$A$5000,A306,$B$2:$B$5000,B306,$C$2:$C$5000,"&lt;="&amp;C306)</f>
        <v/>
      </c>
      <c r="H306" s="11">
        <f>SUMIFS(Dispatched!$C$2:$C$5000,Dispatched!$A$2:$A$5000,A306,Dispatched!$B$2:$B$5000,B306)</f>
        <v/>
      </c>
      <c r="I306" s="11">
        <f>MAX(0,MIN(D306,G306-H306))</f>
        <v/>
      </c>
      <c r="J306" s="26">
        <f>I306*E306/D306</f>
        <v/>
      </c>
      <c r="K306" s="10">
        <f>IF(I306=0,"Dispatched",IF(F306&lt;=30,"0-30",IF(F306&lt;=60,"31-60",IF(F306&lt;=90,"61-90","90+"))))</f>
        <v/>
      </c>
    </row>
    <row r="307">
      <c r="A307" s="24" t="inlineStr">
        <is>
          <t>Hyderabad</t>
        </is>
      </c>
      <c r="B307" s="24" t="inlineStr">
        <is>
          <t>60X60X2</t>
        </is>
      </c>
      <c r="C307" s="6" t="n">
        <v>46202</v>
      </c>
      <c r="D307" s="24" t="n">
        <v>982</v>
      </c>
      <c r="E307" s="25" t="n">
        <v>21.461</v>
      </c>
      <c r="F307" s="14">
        <f>AsOf-C307</f>
        <v/>
      </c>
      <c r="G307" s="11">
        <f>SUMIFS($D$2:$D$5000,$A$2:$A$5000,A307,$B$2:$B$5000,B307,$C$2:$C$5000,"&lt;="&amp;C307)</f>
        <v/>
      </c>
      <c r="H307" s="11">
        <f>SUMIFS(Dispatched!$C$2:$C$5000,Dispatched!$A$2:$A$5000,A307,Dispatched!$B$2:$B$5000,B307)</f>
        <v/>
      </c>
      <c r="I307" s="11">
        <f>MAX(0,MIN(D307,G307-H307))</f>
        <v/>
      </c>
      <c r="J307" s="26">
        <f>I307*E307/D307</f>
        <v/>
      </c>
      <c r="K307" s="10">
        <f>IF(I307=0,"Dispatched",IF(F307&lt;=30,"0-30",IF(F307&lt;=60,"31-60",IF(F307&lt;=90,"61-90","90+"))))</f>
        <v/>
      </c>
    </row>
    <row r="308">
      <c r="A308" s="24" t="inlineStr">
        <is>
          <t>Hyderabad</t>
        </is>
      </c>
      <c r="B308" s="24" t="inlineStr">
        <is>
          <t>60X60X2</t>
        </is>
      </c>
      <c r="C308" s="6" t="n">
        <v>46283</v>
      </c>
      <c r="D308" s="24" t="n">
        <v>360</v>
      </c>
      <c r="E308" s="25" t="n">
        <v>7.92</v>
      </c>
      <c r="F308" s="14">
        <f>AsOf-C308</f>
        <v/>
      </c>
      <c r="G308" s="11">
        <f>SUMIFS($D$2:$D$5000,$A$2:$A$5000,A308,$B$2:$B$5000,B308,$C$2:$C$5000,"&lt;="&amp;C308)</f>
        <v/>
      </c>
      <c r="H308" s="11">
        <f>SUMIFS(Dispatched!$C$2:$C$5000,Dispatched!$A$2:$A$5000,A308,Dispatched!$B$2:$B$5000,B308)</f>
        <v/>
      </c>
      <c r="I308" s="11">
        <f>MAX(0,MIN(D308,G308-H308))</f>
        <v/>
      </c>
      <c r="J308" s="26">
        <f>I308*E308/D308</f>
        <v/>
      </c>
      <c r="K308" s="10">
        <f>IF(I308=0,"Dispatched",IF(F308&lt;=30,"0-30",IF(F308&lt;=60,"31-60",IF(F308&lt;=90,"61-90","90+"))))</f>
        <v/>
      </c>
    </row>
    <row r="309">
      <c r="A309" s="24" t="inlineStr">
        <is>
          <t>Hyderabad</t>
        </is>
      </c>
      <c r="B309" s="24" t="inlineStr">
        <is>
          <t>60X60X2</t>
        </is>
      </c>
      <c r="C309" s="6" t="n">
        <v>46284</v>
      </c>
      <c r="D309" s="24" t="n">
        <v>542</v>
      </c>
      <c r="E309" s="25" t="n">
        <v>11.924</v>
      </c>
      <c r="F309" s="14">
        <f>AsOf-C309</f>
        <v/>
      </c>
      <c r="G309" s="11">
        <f>SUMIFS($D$2:$D$5000,$A$2:$A$5000,A309,$B$2:$B$5000,B309,$C$2:$C$5000,"&lt;="&amp;C309)</f>
        <v/>
      </c>
      <c r="H309" s="11">
        <f>SUMIFS(Dispatched!$C$2:$C$5000,Dispatched!$A$2:$A$5000,A309,Dispatched!$B$2:$B$5000,B309)</f>
        <v/>
      </c>
      <c r="I309" s="11">
        <f>MAX(0,MIN(D309,G309-H309))</f>
        <v/>
      </c>
      <c r="J309" s="26">
        <f>I309*E309/D309</f>
        <v/>
      </c>
      <c r="K309" s="10">
        <f>IF(I309=0,"Dispatched",IF(F309&lt;=30,"0-30",IF(F309&lt;=60,"31-60",IF(F309&lt;=90,"61-90","90+"))))</f>
        <v/>
      </c>
    </row>
    <row r="310">
      <c r="A310" s="24" t="inlineStr">
        <is>
          <t>Hyderabad</t>
        </is>
      </c>
      <c r="B310" s="24" t="inlineStr">
        <is>
          <t>60X60X2.5</t>
        </is>
      </c>
      <c r="C310" s="6" t="n">
        <v>46175</v>
      </c>
      <c r="D310" s="24" t="n">
        <v>304</v>
      </c>
      <c r="E310" s="25" t="n">
        <v>8.233000000000001</v>
      </c>
      <c r="F310" s="14">
        <f>AsOf-C310</f>
        <v/>
      </c>
      <c r="G310" s="11">
        <f>SUMIFS($D$2:$D$5000,$A$2:$A$5000,A310,$B$2:$B$5000,B310,$C$2:$C$5000,"&lt;="&amp;C310)</f>
        <v/>
      </c>
      <c r="H310" s="11">
        <f>SUMIFS(Dispatched!$C$2:$C$5000,Dispatched!$A$2:$A$5000,A310,Dispatched!$B$2:$B$5000,B310)</f>
        <v/>
      </c>
      <c r="I310" s="11">
        <f>MAX(0,MIN(D310,G310-H310))</f>
        <v/>
      </c>
      <c r="J310" s="26">
        <f>I310*E310/D310</f>
        <v/>
      </c>
      <c r="K310" s="10">
        <f>IF(I310=0,"Dispatched",IF(F310&lt;=30,"0-30",IF(F310&lt;=60,"31-60",IF(F310&lt;=90,"61-90","90+"))))</f>
        <v/>
      </c>
    </row>
    <row r="311">
      <c r="A311" s="24" t="inlineStr">
        <is>
          <t>Hyderabad</t>
        </is>
      </c>
      <c r="B311" s="24" t="inlineStr">
        <is>
          <t>60X60X2.5</t>
        </is>
      </c>
      <c r="C311" s="6" t="n">
        <v>46202</v>
      </c>
      <c r="D311" s="24" t="n">
        <v>765</v>
      </c>
      <c r="E311" s="25" t="n">
        <v>20.718</v>
      </c>
      <c r="F311" s="14">
        <f>AsOf-C311</f>
        <v/>
      </c>
      <c r="G311" s="11">
        <f>SUMIFS($D$2:$D$5000,$A$2:$A$5000,A311,$B$2:$B$5000,B311,$C$2:$C$5000,"&lt;="&amp;C311)</f>
        <v/>
      </c>
      <c r="H311" s="11">
        <f>SUMIFS(Dispatched!$C$2:$C$5000,Dispatched!$A$2:$A$5000,A311,Dispatched!$B$2:$B$5000,B311)</f>
        <v/>
      </c>
      <c r="I311" s="11">
        <f>MAX(0,MIN(D311,G311-H311))</f>
        <v/>
      </c>
      <c r="J311" s="26">
        <f>I311*E311/D311</f>
        <v/>
      </c>
      <c r="K311" s="10">
        <f>IF(I311=0,"Dispatched",IF(F311&lt;=30,"0-30",IF(F311&lt;=60,"31-60",IF(F311&lt;=90,"61-90","90+"))))</f>
        <v/>
      </c>
    </row>
    <row r="312">
      <c r="A312" s="24" t="inlineStr">
        <is>
          <t>Hyderabad</t>
        </is>
      </c>
      <c r="B312" s="24" t="inlineStr">
        <is>
          <t>60X60X2.8</t>
        </is>
      </c>
      <c r="C312" s="6" t="n">
        <v>46202</v>
      </c>
      <c r="D312" s="24" t="n">
        <v>609</v>
      </c>
      <c r="E312" s="25" t="n">
        <v>18.376</v>
      </c>
      <c r="F312" s="14">
        <f>AsOf-C312</f>
        <v/>
      </c>
      <c r="G312" s="11">
        <f>SUMIFS($D$2:$D$5000,$A$2:$A$5000,A312,$B$2:$B$5000,B312,$C$2:$C$5000,"&lt;="&amp;C312)</f>
        <v/>
      </c>
      <c r="H312" s="11">
        <f>SUMIFS(Dispatched!$C$2:$C$5000,Dispatched!$A$2:$A$5000,A312,Dispatched!$B$2:$B$5000,B312)</f>
        <v/>
      </c>
      <c r="I312" s="11">
        <f>MAX(0,MIN(D312,G312-H312))</f>
        <v/>
      </c>
      <c r="J312" s="26">
        <f>I312*E312/D312</f>
        <v/>
      </c>
      <c r="K312" s="10">
        <f>IF(I312=0,"Dispatched",IF(F312&lt;=30,"0-30",IF(F312&lt;=60,"31-60",IF(F312&lt;=90,"61-90","90+"))))</f>
        <v/>
      </c>
    </row>
    <row r="313">
      <c r="A313" s="24" t="inlineStr">
        <is>
          <t>Hyderabad</t>
        </is>
      </c>
      <c r="B313" s="24" t="inlineStr">
        <is>
          <t>60X60X2.8</t>
        </is>
      </c>
      <c r="C313" s="6" t="n">
        <v>46284</v>
      </c>
      <c r="D313" s="24" t="n">
        <v>431</v>
      </c>
      <c r="E313" s="25" t="n">
        <v>13.005</v>
      </c>
      <c r="F313" s="14">
        <f>AsOf-C313</f>
        <v/>
      </c>
      <c r="G313" s="11">
        <f>SUMIFS($D$2:$D$5000,$A$2:$A$5000,A313,$B$2:$B$5000,B313,$C$2:$C$5000,"&lt;="&amp;C313)</f>
        <v/>
      </c>
      <c r="H313" s="11">
        <f>SUMIFS(Dispatched!$C$2:$C$5000,Dispatched!$A$2:$A$5000,A313,Dispatched!$B$2:$B$5000,B313)</f>
        <v/>
      </c>
      <c r="I313" s="11">
        <f>MAX(0,MIN(D313,G313-H313))</f>
        <v/>
      </c>
      <c r="J313" s="26">
        <f>I313*E313/D313</f>
        <v/>
      </c>
      <c r="K313" s="10">
        <f>IF(I313=0,"Dispatched",IF(F313&lt;=30,"0-30",IF(F313&lt;=60,"31-60",IF(F313&lt;=90,"61-90","90+"))))</f>
        <v/>
      </c>
    </row>
    <row r="314">
      <c r="A314" s="24" t="inlineStr">
        <is>
          <t>Hyderabad</t>
        </is>
      </c>
      <c r="B314" s="24" t="inlineStr">
        <is>
          <t>60X60X4</t>
        </is>
      </c>
      <c r="C314" s="6" t="n">
        <v>46176</v>
      </c>
      <c r="D314" s="24" t="n">
        <v>167</v>
      </c>
      <c r="E314" s="25" t="n">
        <v>7.048</v>
      </c>
      <c r="F314" s="14">
        <f>AsOf-C314</f>
        <v/>
      </c>
      <c r="G314" s="11">
        <f>SUMIFS($D$2:$D$5000,$A$2:$A$5000,A314,$B$2:$B$5000,B314,$C$2:$C$5000,"&lt;="&amp;C314)</f>
        <v/>
      </c>
      <c r="H314" s="11">
        <f>SUMIFS(Dispatched!$C$2:$C$5000,Dispatched!$A$2:$A$5000,A314,Dispatched!$B$2:$B$5000,B314)</f>
        <v/>
      </c>
      <c r="I314" s="11">
        <f>MAX(0,MIN(D314,G314-H314))</f>
        <v/>
      </c>
      <c r="J314" s="26">
        <f>I314*E314/D314</f>
        <v/>
      </c>
      <c r="K314" s="10">
        <f>IF(I314=0,"Dispatched",IF(F314&lt;=30,"0-30",IF(F314&lt;=60,"31-60",IF(F314&lt;=90,"61-90","90+"))))</f>
        <v/>
      </c>
    </row>
    <row r="315">
      <c r="A315" s="24" t="inlineStr">
        <is>
          <t>Hyderabad</t>
        </is>
      </c>
      <c r="B315" s="24" t="inlineStr">
        <is>
          <t>60X60X4</t>
        </is>
      </c>
      <c r="C315" s="6" t="n">
        <v>46289</v>
      </c>
      <c r="D315" s="24" t="n">
        <v>519</v>
      </c>
      <c r="E315" s="25" t="n">
        <v>21.903</v>
      </c>
      <c r="F315" s="14">
        <f>AsOf-C315</f>
        <v/>
      </c>
      <c r="G315" s="11">
        <f>SUMIFS($D$2:$D$5000,$A$2:$A$5000,A315,$B$2:$B$5000,B315,$C$2:$C$5000,"&lt;="&amp;C315)</f>
        <v/>
      </c>
      <c r="H315" s="11">
        <f>SUMIFS(Dispatched!$C$2:$C$5000,Dispatched!$A$2:$A$5000,A315,Dispatched!$B$2:$B$5000,B315)</f>
        <v/>
      </c>
      <c r="I315" s="11">
        <f>MAX(0,MIN(D315,G315-H315))</f>
        <v/>
      </c>
      <c r="J315" s="26">
        <f>I315*E315/D315</f>
        <v/>
      </c>
      <c r="K315" s="10">
        <f>IF(I315=0,"Dispatched",IF(F315&lt;=30,"0-30",IF(F315&lt;=60,"31-60",IF(F315&lt;=90,"61-90","90+"))))</f>
        <v/>
      </c>
    </row>
    <row r="316">
      <c r="A316" s="24" t="inlineStr">
        <is>
          <t>Hyderabad</t>
        </is>
      </c>
      <c r="B316" s="24" t="inlineStr">
        <is>
          <t>65NBX2</t>
        </is>
      </c>
      <c r="C316" s="6" t="n">
        <v>46201</v>
      </c>
      <c r="D316" s="24" t="n">
        <v>905</v>
      </c>
      <c r="E316" s="25" t="n">
        <v>19.846</v>
      </c>
      <c r="F316" s="14">
        <f>AsOf-C316</f>
        <v/>
      </c>
      <c r="G316" s="11">
        <f>SUMIFS($D$2:$D$5000,$A$2:$A$5000,A316,$B$2:$B$5000,B316,$C$2:$C$5000,"&lt;="&amp;C316)</f>
        <v/>
      </c>
      <c r="H316" s="11">
        <f>SUMIFS(Dispatched!$C$2:$C$5000,Dispatched!$A$2:$A$5000,A316,Dispatched!$B$2:$B$5000,B316)</f>
        <v/>
      </c>
      <c r="I316" s="11">
        <f>MAX(0,MIN(D316,G316-H316))</f>
        <v/>
      </c>
      <c r="J316" s="26">
        <f>I316*E316/D316</f>
        <v/>
      </c>
      <c r="K316" s="10">
        <f>IF(I316=0,"Dispatched",IF(F316&lt;=30,"0-30",IF(F316&lt;=60,"31-60",IF(F316&lt;=90,"61-90","90+"))))</f>
        <v/>
      </c>
    </row>
    <row r="317">
      <c r="A317" s="24" t="inlineStr">
        <is>
          <t>Hyderabad</t>
        </is>
      </c>
      <c r="B317" s="24" t="inlineStr">
        <is>
          <t>65NBX2</t>
        </is>
      </c>
      <c r="C317" s="6" t="n">
        <v>46279</v>
      </c>
      <c r="D317" s="24" t="n">
        <v>838</v>
      </c>
      <c r="E317" s="25" t="n">
        <v>18.377</v>
      </c>
      <c r="F317" s="14">
        <f>AsOf-C317</f>
        <v/>
      </c>
      <c r="G317" s="11">
        <f>SUMIFS($D$2:$D$5000,$A$2:$A$5000,A317,$B$2:$B$5000,B317,$C$2:$C$5000,"&lt;="&amp;C317)</f>
        <v/>
      </c>
      <c r="H317" s="11">
        <f>SUMIFS(Dispatched!$C$2:$C$5000,Dispatched!$A$2:$A$5000,A317,Dispatched!$B$2:$B$5000,B317)</f>
        <v/>
      </c>
      <c r="I317" s="11">
        <f>MAX(0,MIN(D317,G317-H317))</f>
        <v/>
      </c>
      <c r="J317" s="26">
        <f>I317*E317/D317</f>
        <v/>
      </c>
      <c r="K317" s="10">
        <f>IF(I317=0,"Dispatched",IF(F317&lt;=30,"0-30",IF(F317&lt;=60,"31-60",IF(F317&lt;=90,"61-90","90+"))))</f>
        <v/>
      </c>
    </row>
    <row r="318">
      <c r="A318" s="24" t="inlineStr">
        <is>
          <t>Hyderabad</t>
        </is>
      </c>
      <c r="B318" s="24" t="inlineStr">
        <is>
          <t>65NBX2.5</t>
        </is>
      </c>
      <c r="C318" s="6" t="n">
        <v>46201</v>
      </c>
      <c r="D318" s="24" t="n">
        <v>754</v>
      </c>
      <c r="E318" s="25" t="n">
        <v>20.529</v>
      </c>
      <c r="F318" s="14">
        <f>AsOf-C318</f>
        <v/>
      </c>
      <c r="G318" s="11">
        <f>SUMIFS($D$2:$D$5000,$A$2:$A$5000,A318,$B$2:$B$5000,B318,$C$2:$C$5000,"&lt;="&amp;C318)</f>
        <v/>
      </c>
      <c r="H318" s="11">
        <f>SUMIFS(Dispatched!$C$2:$C$5000,Dispatched!$A$2:$A$5000,A318,Dispatched!$B$2:$B$5000,B318)</f>
        <v/>
      </c>
      <c r="I318" s="11">
        <f>MAX(0,MIN(D318,G318-H318))</f>
        <v/>
      </c>
      <c r="J318" s="26">
        <f>I318*E318/D318</f>
        <v/>
      </c>
      <c r="K318" s="10">
        <f>IF(I318=0,"Dispatched",IF(F318&lt;=30,"0-30",IF(F318&lt;=60,"31-60",IF(F318&lt;=90,"61-90","90+"))))</f>
        <v/>
      </c>
    </row>
    <row r="319">
      <c r="A319" s="24" t="inlineStr">
        <is>
          <t>Hyderabad</t>
        </is>
      </c>
      <c r="B319" s="24" t="inlineStr">
        <is>
          <t>65NBX2.8</t>
        </is>
      </c>
      <c r="C319" s="6" t="n">
        <v>46201</v>
      </c>
      <c r="D319" s="24" t="n">
        <v>914</v>
      </c>
      <c r="E319" s="25" t="n">
        <v>27.757</v>
      </c>
      <c r="F319" s="14">
        <f>AsOf-C319</f>
        <v/>
      </c>
      <c r="G319" s="11">
        <f>SUMIFS($D$2:$D$5000,$A$2:$A$5000,A319,$B$2:$B$5000,B319,$C$2:$C$5000,"&lt;="&amp;C319)</f>
        <v/>
      </c>
      <c r="H319" s="11">
        <f>SUMIFS(Dispatched!$C$2:$C$5000,Dispatched!$A$2:$A$5000,A319,Dispatched!$B$2:$B$5000,B319)</f>
        <v/>
      </c>
      <c r="I319" s="11">
        <f>MAX(0,MIN(D319,G319-H319))</f>
        <v/>
      </c>
      <c r="J319" s="26">
        <f>I319*E319/D319</f>
        <v/>
      </c>
      <c r="K319" s="10">
        <f>IF(I319=0,"Dispatched",IF(F319&lt;=30,"0-30",IF(F319&lt;=60,"31-60",IF(F319&lt;=90,"61-90","90+"))))</f>
        <v/>
      </c>
    </row>
    <row r="320">
      <c r="A320" s="24" t="inlineStr">
        <is>
          <t>Hyderabad</t>
        </is>
      </c>
      <c r="B320" s="24" t="inlineStr">
        <is>
          <t>65NBX2.8</t>
        </is>
      </c>
      <c r="C320" s="6" t="n">
        <v>46279</v>
      </c>
      <c r="D320" s="24" t="n">
        <v>654</v>
      </c>
      <c r="E320" s="25" t="n">
        <v>19.861</v>
      </c>
      <c r="F320" s="14">
        <f>AsOf-C320</f>
        <v/>
      </c>
      <c r="G320" s="11">
        <f>SUMIFS($D$2:$D$5000,$A$2:$A$5000,A320,$B$2:$B$5000,B320,$C$2:$C$5000,"&lt;="&amp;C320)</f>
        <v/>
      </c>
      <c r="H320" s="11">
        <f>SUMIFS(Dispatched!$C$2:$C$5000,Dispatched!$A$2:$A$5000,A320,Dispatched!$B$2:$B$5000,B320)</f>
        <v/>
      </c>
      <c r="I320" s="11">
        <f>MAX(0,MIN(D320,G320-H320))</f>
        <v/>
      </c>
      <c r="J320" s="26">
        <f>I320*E320/D320</f>
        <v/>
      </c>
      <c r="K320" s="10">
        <f>IF(I320=0,"Dispatched",IF(F320&lt;=30,"0-30",IF(F320&lt;=60,"31-60",IF(F320&lt;=90,"61-90","90+"))))</f>
        <v/>
      </c>
    </row>
    <row r="321">
      <c r="A321" s="24" t="inlineStr">
        <is>
          <t>Hyderabad</t>
        </is>
      </c>
      <c r="B321" s="24" t="inlineStr">
        <is>
          <t>65NBX4</t>
        </is>
      </c>
      <c r="C321" s="6" t="n">
        <v>46200</v>
      </c>
      <c r="D321" s="24" t="n">
        <v>96</v>
      </c>
      <c r="E321" s="25" t="n">
        <v>4.142</v>
      </c>
      <c r="F321" s="14">
        <f>AsOf-C321</f>
        <v/>
      </c>
      <c r="G321" s="11">
        <f>SUMIFS($D$2:$D$5000,$A$2:$A$5000,A321,$B$2:$B$5000,B321,$C$2:$C$5000,"&lt;="&amp;C321)</f>
        <v/>
      </c>
      <c r="H321" s="11">
        <f>SUMIFS(Dispatched!$C$2:$C$5000,Dispatched!$A$2:$A$5000,A321,Dispatched!$B$2:$B$5000,B321)</f>
        <v/>
      </c>
      <c r="I321" s="11">
        <f>MAX(0,MIN(D321,G321-H321))</f>
        <v/>
      </c>
      <c r="J321" s="26">
        <f>I321*E321/D321</f>
        <v/>
      </c>
      <c r="K321" s="10">
        <f>IF(I321=0,"Dispatched",IF(F321&lt;=30,"0-30",IF(F321&lt;=60,"31-60",IF(F321&lt;=90,"61-90","90+"))))</f>
        <v/>
      </c>
    </row>
    <row r="322">
      <c r="A322" s="24" t="inlineStr">
        <is>
          <t>Hyderabad</t>
        </is>
      </c>
      <c r="B322" s="24" t="inlineStr">
        <is>
          <t>65NBX4</t>
        </is>
      </c>
      <c r="C322" s="6" t="n">
        <v>46201</v>
      </c>
      <c r="D322" s="24" t="n">
        <v>192</v>
      </c>
      <c r="E322" s="25" t="n">
        <v>8.285</v>
      </c>
      <c r="F322" s="14">
        <f>AsOf-C322</f>
        <v/>
      </c>
      <c r="G322" s="11">
        <f>SUMIFS($D$2:$D$5000,$A$2:$A$5000,A322,$B$2:$B$5000,B322,$C$2:$C$5000,"&lt;="&amp;C322)</f>
        <v/>
      </c>
      <c r="H322" s="11">
        <f>SUMIFS(Dispatched!$C$2:$C$5000,Dispatched!$A$2:$A$5000,A322,Dispatched!$B$2:$B$5000,B322)</f>
        <v/>
      </c>
      <c r="I322" s="11">
        <f>MAX(0,MIN(D322,G322-H322))</f>
        <v/>
      </c>
      <c r="J322" s="26">
        <f>I322*E322/D322</f>
        <v/>
      </c>
      <c r="K322" s="10">
        <f>IF(I322=0,"Dispatched",IF(F322&lt;=30,"0-30",IF(F322&lt;=60,"31-60",IF(F322&lt;=90,"61-90","90+"))))</f>
        <v/>
      </c>
    </row>
    <row r="323">
      <c r="A323" s="24" t="inlineStr">
        <is>
          <t>Hyderabad</t>
        </is>
      </c>
      <c r="B323" s="24" t="inlineStr">
        <is>
          <t>75X25X1.6</t>
        </is>
      </c>
      <c r="C323" s="6" t="n">
        <v>46149</v>
      </c>
      <c r="D323" s="24" t="n">
        <v>1573</v>
      </c>
      <c r="E323" s="25" t="n">
        <v>22.95</v>
      </c>
      <c r="F323" s="14">
        <f>AsOf-C323</f>
        <v/>
      </c>
      <c r="G323" s="11">
        <f>SUMIFS($D$2:$D$5000,$A$2:$A$5000,A323,$B$2:$B$5000,B323,$C$2:$C$5000,"&lt;="&amp;C323)</f>
        <v/>
      </c>
      <c r="H323" s="11">
        <f>SUMIFS(Dispatched!$C$2:$C$5000,Dispatched!$A$2:$A$5000,A323,Dispatched!$B$2:$B$5000,B323)</f>
        <v/>
      </c>
      <c r="I323" s="11">
        <f>MAX(0,MIN(D323,G323-H323))</f>
        <v/>
      </c>
      <c r="J323" s="26">
        <f>I323*E323/D323</f>
        <v/>
      </c>
      <c r="K323" s="10">
        <f>IF(I323=0,"Dispatched",IF(F323&lt;=30,"0-30",IF(F323&lt;=60,"31-60",IF(F323&lt;=90,"61-90","90+"))))</f>
        <v/>
      </c>
    </row>
    <row r="324">
      <c r="A324" s="24" t="inlineStr">
        <is>
          <t>Hyderabad</t>
        </is>
      </c>
      <c r="B324" s="24" t="inlineStr">
        <is>
          <t>75X25X1.6</t>
        </is>
      </c>
      <c r="C324" s="6" t="n">
        <v>46150</v>
      </c>
      <c r="D324" s="24" t="n">
        <v>3519</v>
      </c>
      <c r="E324" s="25" t="n">
        <v>51.341</v>
      </c>
      <c r="F324" s="14">
        <f>AsOf-C324</f>
        <v/>
      </c>
      <c r="G324" s="11">
        <f>SUMIFS($D$2:$D$5000,$A$2:$A$5000,A324,$B$2:$B$5000,B324,$C$2:$C$5000,"&lt;="&amp;C324)</f>
        <v/>
      </c>
      <c r="H324" s="11">
        <f>SUMIFS(Dispatched!$C$2:$C$5000,Dispatched!$A$2:$A$5000,A324,Dispatched!$B$2:$B$5000,B324)</f>
        <v/>
      </c>
      <c r="I324" s="11">
        <f>MAX(0,MIN(D324,G324-H324))</f>
        <v/>
      </c>
      <c r="J324" s="26">
        <f>I324*E324/D324</f>
        <v/>
      </c>
      <c r="K324" s="10">
        <f>IF(I324=0,"Dispatched",IF(F324&lt;=30,"0-30",IF(F324&lt;=60,"31-60",IF(F324&lt;=90,"61-90","90+"))))</f>
        <v/>
      </c>
    </row>
    <row r="325">
      <c r="A325" s="24" t="inlineStr">
        <is>
          <t>Hyderabad</t>
        </is>
      </c>
      <c r="B325" s="24" t="inlineStr">
        <is>
          <t>75X25X2</t>
        </is>
      </c>
      <c r="C325" s="6" t="n">
        <v>46136</v>
      </c>
      <c r="D325" s="24" t="n">
        <v>1074</v>
      </c>
      <c r="E325" s="25" t="n">
        <v>19.425</v>
      </c>
      <c r="F325" s="14">
        <f>AsOf-C325</f>
        <v/>
      </c>
      <c r="G325" s="11">
        <f>SUMIFS($D$2:$D$5000,$A$2:$A$5000,A325,$B$2:$B$5000,B325,$C$2:$C$5000,"&lt;="&amp;C325)</f>
        <v/>
      </c>
      <c r="H325" s="11">
        <f>SUMIFS(Dispatched!$C$2:$C$5000,Dispatched!$A$2:$A$5000,A325,Dispatched!$B$2:$B$5000,B325)</f>
        <v/>
      </c>
      <c r="I325" s="11">
        <f>MAX(0,MIN(D325,G325-H325))</f>
        <v/>
      </c>
      <c r="J325" s="26">
        <f>I325*E325/D325</f>
        <v/>
      </c>
      <c r="K325" s="10">
        <f>IF(I325=0,"Dispatched",IF(F325&lt;=30,"0-30",IF(F325&lt;=60,"31-60",IF(F325&lt;=90,"61-90","90+"))))</f>
        <v/>
      </c>
    </row>
    <row r="326">
      <c r="A326" s="24" t="inlineStr">
        <is>
          <t>Hyderabad</t>
        </is>
      </c>
      <c r="B326" s="24" t="inlineStr">
        <is>
          <t>75X25X2</t>
        </is>
      </c>
      <c r="C326" s="6" t="n">
        <v>46137</v>
      </c>
      <c r="D326" s="24" t="n">
        <v>3004</v>
      </c>
      <c r="E326" s="25" t="n">
        <v>54.332</v>
      </c>
      <c r="F326" s="14">
        <f>AsOf-C326</f>
        <v/>
      </c>
      <c r="G326" s="11">
        <f>SUMIFS($D$2:$D$5000,$A$2:$A$5000,A326,$B$2:$B$5000,B326,$C$2:$C$5000,"&lt;="&amp;C326)</f>
        <v/>
      </c>
      <c r="H326" s="11">
        <f>SUMIFS(Dispatched!$C$2:$C$5000,Dispatched!$A$2:$A$5000,A326,Dispatched!$B$2:$B$5000,B326)</f>
        <v/>
      </c>
      <c r="I326" s="11">
        <f>MAX(0,MIN(D326,G326-H326))</f>
        <v/>
      </c>
      <c r="J326" s="26">
        <f>I326*E326/D326</f>
        <v/>
      </c>
      <c r="K326" s="10">
        <f>IF(I326=0,"Dispatched",IF(F326&lt;=30,"0-30",IF(F326&lt;=60,"31-60",IF(F326&lt;=90,"61-90","90+"))))</f>
        <v/>
      </c>
    </row>
    <row r="327">
      <c r="A327" s="24" t="inlineStr">
        <is>
          <t>Hyderabad</t>
        </is>
      </c>
      <c r="B327" s="24" t="inlineStr">
        <is>
          <t>75X25X2.5</t>
        </is>
      </c>
      <c r="C327" s="6" t="n">
        <v>46139</v>
      </c>
      <c r="D327" s="24" t="n">
        <v>778</v>
      </c>
      <c r="E327" s="25" t="n">
        <v>17.406</v>
      </c>
      <c r="F327" s="14">
        <f>AsOf-C327</f>
        <v/>
      </c>
      <c r="G327" s="11">
        <f>SUMIFS($D$2:$D$5000,$A$2:$A$5000,A327,$B$2:$B$5000,B327,$C$2:$C$5000,"&lt;="&amp;C327)</f>
        <v/>
      </c>
      <c r="H327" s="11">
        <f>SUMIFS(Dispatched!$C$2:$C$5000,Dispatched!$A$2:$A$5000,A327,Dispatched!$B$2:$B$5000,B327)</f>
        <v/>
      </c>
      <c r="I327" s="11">
        <f>MAX(0,MIN(D327,G327-H327))</f>
        <v/>
      </c>
      <c r="J327" s="26">
        <f>I327*E327/D327</f>
        <v/>
      </c>
      <c r="K327" s="10">
        <f>IF(I327=0,"Dispatched",IF(F327&lt;=30,"0-30",IF(F327&lt;=60,"31-60",IF(F327&lt;=90,"61-90","90+"))))</f>
        <v/>
      </c>
    </row>
    <row r="328">
      <c r="A328" s="24" t="inlineStr">
        <is>
          <t>Hyderabad</t>
        </is>
      </c>
      <c r="B328" s="24" t="inlineStr">
        <is>
          <t>75X25X2.8</t>
        </is>
      </c>
      <c r="C328" s="6" t="n">
        <v>46135</v>
      </c>
      <c r="D328" s="24" t="n">
        <v>825</v>
      </c>
      <c r="E328" s="25" t="n">
        <v>20.542</v>
      </c>
      <c r="F328" s="14">
        <f>AsOf-C328</f>
        <v/>
      </c>
      <c r="G328" s="11">
        <f>SUMIFS($D$2:$D$5000,$A$2:$A$5000,A328,$B$2:$B$5000,B328,$C$2:$C$5000,"&lt;="&amp;C328)</f>
        <v/>
      </c>
      <c r="H328" s="11">
        <f>SUMIFS(Dispatched!$C$2:$C$5000,Dispatched!$A$2:$A$5000,A328,Dispatched!$B$2:$B$5000,B328)</f>
        <v/>
      </c>
      <c r="I328" s="11">
        <f>MAX(0,MIN(D328,G328-H328))</f>
        <v/>
      </c>
      <c r="J328" s="26">
        <f>I328*E328/D328</f>
        <v/>
      </c>
      <c r="K328" s="10">
        <f>IF(I328=0,"Dispatched",IF(F328&lt;=30,"0-30",IF(F328&lt;=60,"31-60",IF(F328&lt;=90,"61-90","90+"))))</f>
        <v/>
      </c>
    </row>
    <row r="329">
      <c r="A329" s="24" t="inlineStr">
        <is>
          <t>Hyderabad</t>
        </is>
      </c>
      <c r="B329" s="24" t="inlineStr">
        <is>
          <t>75X25X2.8</t>
        </is>
      </c>
      <c r="C329" s="6" t="n">
        <v>46137</v>
      </c>
      <c r="D329" s="24" t="n">
        <v>160</v>
      </c>
      <c r="E329" s="25" t="n">
        <v>3.984</v>
      </c>
      <c r="F329" s="14">
        <f>AsOf-C329</f>
        <v/>
      </c>
      <c r="G329" s="11">
        <f>SUMIFS($D$2:$D$5000,$A$2:$A$5000,A329,$B$2:$B$5000,B329,$C$2:$C$5000,"&lt;="&amp;C329)</f>
        <v/>
      </c>
      <c r="H329" s="11">
        <f>SUMIFS(Dispatched!$C$2:$C$5000,Dispatched!$A$2:$A$5000,A329,Dispatched!$B$2:$B$5000,B329)</f>
        <v/>
      </c>
      <c r="I329" s="11">
        <f>MAX(0,MIN(D329,G329-H329))</f>
        <v/>
      </c>
      <c r="J329" s="26">
        <f>I329*E329/D329</f>
        <v/>
      </c>
      <c r="K329" s="10">
        <f>IF(I329=0,"Dispatched",IF(F329&lt;=30,"0-30",IF(F329&lt;=60,"31-60",IF(F329&lt;=90,"61-90","90+"))))</f>
        <v/>
      </c>
    </row>
    <row r="330">
      <c r="A330" s="24" t="inlineStr">
        <is>
          <t>Hyderabad</t>
        </is>
      </c>
      <c r="B330" s="24" t="inlineStr">
        <is>
          <t>75X25X2.8</t>
        </is>
      </c>
      <c r="C330" s="6" t="n">
        <v>46139</v>
      </c>
      <c r="D330" s="24" t="n">
        <v>110</v>
      </c>
      <c r="E330" s="25" t="n">
        <v>2.739</v>
      </c>
      <c r="F330" s="14">
        <f>AsOf-C330</f>
        <v/>
      </c>
      <c r="G330" s="11">
        <f>SUMIFS($D$2:$D$5000,$A$2:$A$5000,A330,$B$2:$B$5000,B330,$C$2:$C$5000,"&lt;="&amp;C330)</f>
        <v/>
      </c>
      <c r="H330" s="11">
        <f>SUMIFS(Dispatched!$C$2:$C$5000,Dispatched!$A$2:$A$5000,A330,Dispatched!$B$2:$B$5000,B330)</f>
        <v/>
      </c>
      <c r="I330" s="11">
        <f>MAX(0,MIN(D330,G330-H330))</f>
        <v/>
      </c>
      <c r="J330" s="26">
        <f>I330*E330/D330</f>
        <v/>
      </c>
      <c r="K330" s="10">
        <f>IF(I330=0,"Dispatched",IF(F330&lt;=30,"0-30",IF(F330&lt;=60,"31-60",IF(F330&lt;=90,"61-90","90+"))))</f>
        <v/>
      </c>
    </row>
    <row r="331">
      <c r="A331" s="24" t="inlineStr">
        <is>
          <t>Hyderabad</t>
        </is>
      </c>
      <c r="B331" s="24" t="inlineStr">
        <is>
          <t>75X75X2</t>
        </is>
      </c>
      <c r="C331" s="6" t="n">
        <v>46203</v>
      </c>
      <c r="D331" s="24" t="n">
        <v>920</v>
      </c>
      <c r="E331" s="25" t="n">
        <v>25.3</v>
      </c>
      <c r="F331" s="14">
        <f>AsOf-C331</f>
        <v/>
      </c>
      <c r="G331" s="11">
        <f>SUMIFS($D$2:$D$5000,$A$2:$A$5000,A331,$B$2:$B$5000,B331,$C$2:$C$5000,"&lt;="&amp;C331)</f>
        <v/>
      </c>
      <c r="H331" s="11">
        <f>SUMIFS(Dispatched!$C$2:$C$5000,Dispatched!$A$2:$A$5000,A331,Dispatched!$B$2:$B$5000,B331)</f>
        <v/>
      </c>
      <c r="I331" s="11">
        <f>MAX(0,MIN(D331,G331-H331))</f>
        <v/>
      </c>
      <c r="J331" s="26">
        <f>I331*E331/D331</f>
        <v/>
      </c>
      <c r="K331" s="10">
        <f>IF(I331=0,"Dispatched",IF(F331&lt;=30,"0-30",IF(F331&lt;=60,"31-60",IF(F331&lt;=90,"61-90","90+"))))</f>
        <v/>
      </c>
    </row>
    <row r="332">
      <c r="A332" s="24" t="inlineStr">
        <is>
          <t>Hyderabad</t>
        </is>
      </c>
      <c r="B332" s="24" t="inlineStr">
        <is>
          <t>75X75X2.5</t>
        </is>
      </c>
      <c r="C332" s="6" t="n">
        <v>46203</v>
      </c>
      <c r="D332" s="24" t="n">
        <v>750</v>
      </c>
      <c r="E332" s="25" t="n">
        <v>25.875</v>
      </c>
      <c r="F332" s="14">
        <f>AsOf-C332</f>
        <v/>
      </c>
      <c r="G332" s="11">
        <f>SUMIFS($D$2:$D$5000,$A$2:$A$5000,A332,$B$2:$B$5000,B332,$C$2:$C$5000,"&lt;="&amp;C332)</f>
        <v/>
      </c>
      <c r="H332" s="11">
        <f>SUMIFS(Dispatched!$C$2:$C$5000,Dispatched!$A$2:$A$5000,A332,Dispatched!$B$2:$B$5000,B332)</f>
        <v/>
      </c>
      <c r="I332" s="11">
        <f>MAX(0,MIN(D332,G332-H332))</f>
        <v/>
      </c>
      <c r="J332" s="26">
        <f>I332*E332/D332</f>
        <v/>
      </c>
      <c r="K332" s="10">
        <f>IF(I332=0,"Dispatched",IF(F332&lt;=30,"0-30",IF(F332&lt;=60,"31-60",IF(F332&lt;=90,"61-90","90+"))))</f>
        <v/>
      </c>
    </row>
    <row r="333">
      <c r="A333" s="24" t="inlineStr">
        <is>
          <t>Hyderabad</t>
        </is>
      </c>
      <c r="B333" s="24" t="inlineStr">
        <is>
          <t>80NBX1.6</t>
        </is>
      </c>
      <c r="C333" s="6" t="n">
        <v>46211</v>
      </c>
      <c r="D333" s="24" t="n">
        <v>900</v>
      </c>
      <c r="E333" s="25" t="n">
        <v>18.45</v>
      </c>
      <c r="F333" s="14">
        <f>AsOf-C333</f>
        <v/>
      </c>
      <c r="G333" s="11">
        <f>SUMIFS($D$2:$D$5000,$A$2:$A$5000,A333,$B$2:$B$5000,B333,$C$2:$C$5000,"&lt;="&amp;C333)</f>
        <v/>
      </c>
      <c r="H333" s="11">
        <f>SUMIFS(Dispatched!$C$2:$C$5000,Dispatched!$A$2:$A$5000,A333,Dispatched!$B$2:$B$5000,B333)</f>
        <v/>
      </c>
      <c r="I333" s="11">
        <f>MAX(0,MIN(D333,G333-H333))</f>
        <v/>
      </c>
      <c r="J333" s="26">
        <f>I333*E333/D333</f>
        <v/>
      </c>
      <c r="K333" s="10">
        <f>IF(I333=0,"Dispatched",IF(F333&lt;=30,"0-30",IF(F333&lt;=60,"31-60",IF(F333&lt;=90,"61-90","90+"))))</f>
        <v/>
      </c>
    </row>
    <row r="334">
      <c r="A334" s="24" t="inlineStr">
        <is>
          <t>Hyderabad</t>
        </is>
      </c>
      <c r="B334" s="24" t="inlineStr">
        <is>
          <t>80NBX2</t>
        </is>
      </c>
      <c r="C334" s="6" t="n">
        <v>46210</v>
      </c>
      <c r="D334" s="24" t="n">
        <v>1184</v>
      </c>
      <c r="E334" s="25" t="n">
        <v>30.449</v>
      </c>
      <c r="F334" s="14">
        <f>AsOf-C334</f>
        <v/>
      </c>
      <c r="G334" s="11">
        <f>SUMIFS($D$2:$D$5000,$A$2:$A$5000,A334,$B$2:$B$5000,B334,$C$2:$C$5000,"&lt;="&amp;C334)</f>
        <v/>
      </c>
      <c r="H334" s="11">
        <f>SUMIFS(Dispatched!$C$2:$C$5000,Dispatched!$A$2:$A$5000,A334,Dispatched!$B$2:$B$5000,B334)</f>
        <v/>
      </c>
      <c r="I334" s="11">
        <f>MAX(0,MIN(D334,G334-H334))</f>
        <v/>
      </c>
      <c r="J334" s="26">
        <f>I334*E334/D334</f>
        <v/>
      </c>
      <c r="K334" s="10">
        <f>IF(I334=0,"Dispatched",IF(F334&lt;=30,"0-30",IF(F334&lt;=60,"31-60",IF(F334&lt;=90,"61-90","90+"))))</f>
        <v/>
      </c>
    </row>
    <row r="335">
      <c r="A335" s="24" t="inlineStr">
        <is>
          <t>Hyderabad</t>
        </is>
      </c>
      <c r="B335" s="24" t="inlineStr">
        <is>
          <t>80NBX2.5</t>
        </is>
      </c>
      <c r="C335" s="6" t="n">
        <v>46210</v>
      </c>
      <c r="D335" s="24" t="n">
        <v>1272</v>
      </c>
      <c r="E335" s="25" t="n">
        <v>40.655</v>
      </c>
      <c r="F335" s="14">
        <f>AsOf-C335</f>
        <v/>
      </c>
      <c r="G335" s="11">
        <f>SUMIFS($D$2:$D$5000,$A$2:$A$5000,A335,$B$2:$B$5000,B335,$C$2:$C$5000,"&lt;="&amp;C335)</f>
        <v/>
      </c>
      <c r="H335" s="11">
        <f>SUMIFS(Dispatched!$C$2:$C$5000,Dispatched!$A$2:$A$5000,A335,Dispatched!$B$2:$B$5000,B335)</f>
        <v/>
      </c>
      <c r="I335" s="11">
        <f>MAX(0,MIN(D335,G335-H335))</f>
        <v/>
      </c>
      <c r="J335" s="26">
        <f>I335*E335/D335</f>
        <v/>
      </c>
      <c r="K335" s="10">
        <f>IF(I335=0,"Dispatched",IF(F335&lt;=30,"0-30",IF(F335&lt;=60,"31-60",IF(F335&lt;=90,"61-90","90+"))))</f>
        <v/>
      </c>
    </row>
    <row r="336">
      <c r="A336" s="24" t="inlineStr">
        <is>
          <t>Hyderabad</t>
        </is>
      </c>
      <c r="B336" s="24" t="inlineStr">
        <is>
          <t>80NBX2.5</t>
        </is>
      </c>
      <c r="C336" s="6" t="n">
        <v>46233</v>
      </c>
      <c r="D336" s="24" t="n">
        <v>280</v>
      </c>
      <c r="E336" s="25" t="n">
        <v>8.949</v>
      </c>
      <c r="F336" s="14">
        <f>AsOf-C336</f>
        <v/>
      </c>
      <c r="G336" s="11">
        <f>SUMIFS($D$2:$D$5000,$A$2:$A$5000,A336,$B$2:$B$5000,B336,$C$2:$C$5000,"&lt;="&amp;C336)</f>
        <v/>
      </c>
      <c r="H336" s="11">
        <f>SUMIFS(Dispatched!$C$2:$C$5000,Dispatched!$A$2:$A$5000,A336,Dispatched!$B$2:$B$5000,B336)</f>
        <v/>
      </c>
      <c r="I336" s="11">
        <f>MAX(0,MIN(D336,G336-H336))</f>
        <v/>
      </c>
      <c r="J336" s="26">
        <f>I336*E336/D336</f>
        <v/>
      </c>
      <c r="K336" s="10">
        <f>IF(I336=0,"Dispatched",IF(F336&lt;=30,"0-30",IF(F336&lt;=60,"31-60",IF(F336&lt;=90,"61-90","90+"))))</f>
        <v/>
      </c>
    </row>
    <row r="337">
      <c r="A337" s="24" t="inlineStr">
        <is>
          <t>Hyderabad</t>
        </is>
      </c>
      <c r="B337" s="24" t="inlineStr">
        <is>
          <t>80NBX2.8</t>
        </is>
      </c>
      <c r="C337" s="6" t="n">
        <v>46210</v>
      </c>
      <c r="D337" s="24" t="n">
        <v>395</v>
      </c>
      <c r="E337" s="25" t="n">
        <v>14.091</v>
      </c>
      <c r="F337" s="14">
        <f>AsOf-C337</f>
        <v/>
      </c>
      <c r="G337" s="11">
        <f>SUMIFS($D$2:$D$5000,$A$2:$A$5000,A337,$B$2:$B$5000,B337,$C$2:$C$5000,"&lt;="&amp;C337)</f>
        <v/>
      </c>
      <c r="H337" s="11">
        <f>SUMIFS(Dispatched!$C$2:$C$5000,Dispatched!$A$2:$A$5000,A337,Dispatched!$B$2:$B$5000,B337)</f>
        <v/>
      </c>
      <c r="I337" s="11">
        <f>MAX(0,MIN(D337,G337-H337))</f>
        <v/>
      </c>
      <c r="J337" s="26">
        <f>I337*E337/D337</f>
        <v/>
      </c>
      <c r="K337" s="10">
        <f>IF(I337=0,"Dispatched",IF(F337&lt;=30,"0-30",IF(F337&lt;=60,"31-60",IF(F337&lt;=90,"61-90","90+"))))</f>
        <v/>
      </c>
    </row>
    <row r="338">
      <c r="A338" s="24" t="inlineStr">
        <is>
          <t>Hyderabad</t>
        </is>
      </c>
      <c r="B338" s="24" t="inlineStr">
        <is>
          <t>80NBX2.8</t>
        </is>
      </c>
      <c r="C338" s="6" t="n">
        <v>46211</v>
      </c>
      <c r="D338" s="24" t="n">
        <v>663</v>
      </c>
      <c r="E338" s="25" t="n">
        <v>23.651</v>
      </c>
      <c r="F338" s="14">
        <f>AsOf-C338</f>
        <v/>
      </c>
      <c r="G338" s="11">
        <f>SUMIFS($D$2:$D$5000,$A$2:$A$5000,A338,$B$2:$B$5000,B338,$C$2:$C$5000,"&lt;="&amp;C338)</f>
        <v/>
      </c>
      <c r="H338" s="11">
        <f>SUMIFS(Dispatched!$C$2:$C$5000,Dispatched!$A$2:$A$5000,A338,Dispatched!$B$2:$B$5000,B338)</f>
        <v/>
      </c>
      <c r="I338" s="11">
        <f>MAX(0,MIN(D338,G338-H338))</f>
        <v/>
      </c>
      <c r="J338" s="26">
        <f>I338*E338/D338</f>
        <v/>
      </c>
      <c r="K338" s="10">
        <f>IF(I338=0,"Dispatched",IF(F338&lt;=30,"0-30",IF(F338&lt;=60,"31-60",IF(F338&lt;=90,"61-90","90+"))))</f>
        <v/>
      </c>
    </row>
    <row r="339">
      <c r="A339" s="24" t="inlineStr">
        <is>
          <t>Hyderabad</t>
        </is>
      </c>
      <c r="B339" s="24" t="inlineStr">
        <is>
          <t>80NBX3.2</t>
        </is>
      </c>
      <c r="C339" s="6" t="n">
        <v>46233</v>
      </c>
      <c r="D339" s="24" t="n">
        <v>450</v>
      </c>
      <c r="E339" s="25" t="n">
        <v>17.235</v>
      </c>
      <c r="F339" s="14">
        <f>AsOf-C339</f>
        <v/>
      </c>
      <c r="G339" s="11">
        <f>SUMIFS($D$2:$D$5000,$A$2:$A$5000,A339,$B$2:$B$5000,B339,$C$2:$C$5000,"&lt;="&amp;C339)</f>
        <v/>
      </c>
      <c r="H339" s="11">
        <f>SUMIFS(Dispatched!$C$2:$C$5000,Dispatched!$A$2:$A$5000,A339,Dispatched!$B$2:$B$5000,B339)</f>
        <v/>
      </c>
      <c r="I339" s="11">
        <f>MAX(0,MIN(D339,G339-H339))</f>
        <v/>
      </c>
      <c r="J339" s="26">
        <f>I339*E339/D339</f>
        <v/>
      </c>
      <c r="K339" s="10">
        <f>IF(I339=0,"Dispatched",IF(F339&lt;=30,"0-30",IF(F339&lt;=60,"31-60",IF(F339&lt;=90,"61-90","90+"))))</f>
        <v/>
      </c>
    </row>
    <row r="340">
      <c r="A340" s="24" t="inlineStr">
        <is>
          <t>Hyderabad</t>
        </is>
      </c>
      <c r="B340" s="24" t="inlineStr">
        <is>
          <t>80NBX4</t>
        </is>
      </c>
      <c r="C340" s="6" t="n">
        <v>46233</v>
      </c>
      <c r="D340" s="24" t="n">
        <v>344</v>
      </c>
      <c r="E340" s="25" t="n">
        <v>17.303</v>
      </c>
      <c r="F340" s="14">
        <f>AsOf-C340</f>
        <v/>
      </c>
      <c r="G340" s="11">
        <f>SUMIFS($D$2:$D$5000,$A$2:$A$5000,A340,$B$2:$B$5000,B340,$C$2:$C$5000,"&lt;="&amp;C340)</f>
        <v/>
      </c>
      <c r="H340" s="11">
        <f>SUMIFS(Dispatched!$C$2:$C$5000,Dispatched!$A$2:$A$5000,A340,Dispatched!$B$2:$B$5000,B340)</f>
        <v/>
      </c>
      <c r="I340" s="11">
        <f>MAX(0,MIN(D340,G340-H340))</f>
        <v/>
      </c>
      <c r="J340" s="26">
        <f>I340*E340/D340</f>
        <v/>
      </c>
      <c r="K340" s="10">
        <f>IF(I340=0,"Dispatched",IF(F340&lt;=30,"0-30",IF(F340&lt;=60,"31-60",IF(F340&lt;=90,"61-90","90+"))))</f>
        <v/>
      </c>
    </row>
    <row r="341">
      <c r="A341" s="24" t="inlineStr">
        <is>
          <t>Hyderabad</t>
        </is>
      </c>
      <c r="B341" s="24" t="inlineStr">
        <is>
          <t>80X40X1.6</t>
        </is>
      </c>
      <c r="C341" s="6" t="n">
        <v>46146</v>
      </c>
      <c r="D341" s="24" t="n">
        <v>1376</v>
      </c>
      <c r="E341" s="25" t="n">
        <v>24.223</v>
      </c>
      <c r="F341" s="14">
        <f>AsOf-C341</f>
        <v/>
      </c>
      <c r="G341" s="11">
        <f>SUMIFS($D$2:$D$5000,$A$2:$A$5000,A341,$B$2:$B$5000,B341,$C$2:$C$5000,"&lt;="&amp;C341)</f>
        <v/>
      </c>
      <c r="H341" s="11">
        <f>SUMIFS(Dispatched!$C$2:$C$5000,Dispatched!$A$2:$A$5000,A341,Dispatched!$B$2:$B$5000,B341)</f>
        <v/>
      </c>
      <c r="I341" s="11">
        <f>MAX(0,MIN(D341,G341-H341))</f>
        <v/>
      </c>
      <c r="J341" s="26">
        <f>I341*E341/D341</f>
        <v/>
      </c>
      <c r="K341" s="10">
        <f>IF(I341=0,"Dispatched",IF(F341&lt;=30,"0-30",IF(F341&lt;=60,"31-60",IF(F341&lt;=90,"61-90","90+"))))</f>
        <v/>
      </c>
    </row>
    <row r="342">
      <c r="A342" s="24" t="inlineStr">
        <is>
          <t>Hyderabad</t>
        </is>
      </c>
      <c r="B342" s="24" t="inlineStr">
        <is>
          <t>80X40X1.6</t>
        </is>
      </c>
      <c r="C342" s="6" t="n">
        <v>46174</v>
      </c>
      <c r="D342" s="24" t="n">
        <v>2005</v>
      </c>
      <c r="E342" s="25" t="n">
        <v>35.296</v>
      </c>
      <c r="F342" s="14">
        <f>AsOf-C342</f>
        <v/>
      </c>
      <c r="G342" s="11">
        <f>SUMIFS($D$2:$D$5000,$A$2:$A$5000,A342,$B$2:$B$5000,B342,$C$2:$C$5000,"&lt;="&amp;C342)</f>
        <v/>
      </c>
      <c r="H342" s="11">
        <f>SUMIFS(Dispatched!$C$2:$C$5000,Dispatched!$A$2:$A$5000,A342,Dispatched!$B$2:$B$5000,B342)</f>
        <v/>
      </c>
      <c r="I342" s="11">
        <f>MAX(0,MIN(D342,G342-H342))</f>
        <v/>
      </c>
      <c r="J342" s="26">
        <f>I342*E342/D342</f>
        <v/>
      </c>
      <c r="K342" s="10">
        <f>IF(I342=0,"Dispatched",IF(F342&lt;=30,"0-30",IF(F342&lt;=60,"31-60",IF(F342&lt;=90,"61-90","90+"))))</f>
        <v/>
      </c>
    </row>
    <row r="343">
      <c r="A343" s="24" t="inlineStr">
        <is>
          <t>Hyderabad</t>
        </is>
      </c>
      <c r="B343" s="24" t="inlineStr">
        <is>
          <t>80X40X1.6</t>
        </is>
      </c>
      <c r="C343" s="6" t="n">
        <v>46200</v>
      </c>
      <c r="D343" s="24" t="n">
        <v>955</v>
      </c>
      <c r="E343" s="25" t="n">
        <v>16.812</v>
      </c>
      <c r="F343" s="14">
        <f>AsOf-C343</f>
        <v/>
      </c>
      <c r="G343" s="11">
        <f>SUMIFS($D$2:$D$5000,$A$2:$A$5000,A343,$B$2:$B$5000,B343,$C$2:$C$5000,"&lt;="&amp;C343)</f>
        <v/>
      </c>
      <c r="H343" s="11">
        <f>SUMIFS(Dispatched!$C$2:$C$5000,Dispatched!$A$2:$A$5000,A343,Dispatched!$B$2:$B$5000,B343)</f>
        <v/>
      </c>
      <c r="I343" s="11">
        <f>MAX(0,MIN(D343,G343-H343))</f>
        <v/>
      </c>
      <c r="J343" s="26">
        <f>I343*E343/D343</f>
        <v/>
      </c>
      <c r="K343" s="10">
        <f>IF(I343=0,"Dispatched",IF(F343&lt;=30,"0-30",IF(F343&lt;=60,"31-60",IF(F343&lt;=90,"61-90","90+"))))</f>
        <v/>
      </c>
    </row>
    <row r="344">
      <c r="A344" s="24" t="inlineStr">
        <is>
          <t>Hyderabad</t>
        </is>
      </c>
      <c r="B344" s="24" t="inlineStr">
        <is>
          <t>80X40X1.6</t>
        </is>
      </c>
      <c r="C344" s="6" t="n">
        <v>46235</v>
      </c>
      <c r="D344" s="24" t="n">
        <v>1659</v>
      </c>
      <c r="E344" s="25" t="n">
        <v>29.205</v>
      </c>
      <c r="F344" s="14">
        <f>AsOf-C344</f>
        <v/>
      </c>
      <c r="G344" s="11">
        <f>SUMIFS($D$2:$D$5000,$A$2:$A$5000,A344,$B$2:$B$5000,B344,$C$2:$C$5000,"&lt;="&amp;C344)</f>
        <v/>
      </c>
      <c r="H344" s="11">
        <f>SUMIFS(Dispatched!$C$2:$C$5000,Dispatched!$A$2:$A$5000,A344,Dispatched!$B$2:$B$5000,B344)</f>
        <v/>
      </c>
      <c r="I344" s="11">
        <f>MAX(0,MIN(D344,G344-H344))</f>
        <v/>
      </c>
      <c r="J344" s="26">
        <f>I344*E344/D344</f>
        <v/>
      </c>
      <c r="K344" s="10">
        <f>IF(I344=0,"Dispatched",IF(F344&lt;=30,"0-30",IF(F344&lt;=60,"31-60",IF(F344&lt;=90,"61-90","90+"))))</f>
        <v/>
      </c>
    </row>
    <row r="345">
      <c r="A345" s="24" t="inlineStr">
        <is>
          <t>Hyderabad</t>
        </is>
      </c>
      <c r="B345" s="24" t="inlineStr">
        <is>
          <t>80X40X1.6</t>
        </is>
      </c>
      <c r="C345" s="6" t="n">
        <v>46237</v>
      </c>
      <c r="D345" s="24" t="n">
        <v>1181</v>
      </c>
      <c r="E345" s="25" t="n">
        <v>20.79</v>
      </c>
      <c r="F345" s="14">
        <f>AsOf-C345</f>
        <v/>
      </c>
      <c r="G345" s="11">
        <f>SUMIFS($D$2:$D$5000,$A$2:$A$5000,A345,$B$2:$B$5000,B345,$C$2:$C$5000,"&lt;="&amp;C345)</f>
        <v/>
      </c>
      <c r="H345" s="11">
        <f>SUMIFS(Dispatched!$C$2:$C$5000,Dispatched!$A$2:$A$5000,A345,Dispatched!$B$2:$B$5000,B345)</f>
        <v/>
      </c>
      <c r="I345" s="11">
        <f>MAX(0,MIN(D345,G345-H345))</f>
        <v/>
      </c>
      <c r="J345" s="26">
        <f>I345*E345/D345</f>
        <v/>
      </c>
      <c r="K345" s="10">
        <f>IF(I345=0,"Dispatched",IF(F345&lt;=30,"0-30",IF(F345&lt;=60,"31-60",IF(F345&lt;=90,"61-90","90+"))))</f>
        <v/>
      </c>
    </row>
    <row r="346">
      <c r="A346" s="24" t="inlineStr">
        <is>
          <t>Hyderabad</t>
        </is>
      </c>
      <c r="B346" s="24" t="inlineStr">
        <is>
          <t>80X40X2</t>
        </is>
      </c>
      <c r="C346" s="6" t="n">
        <v>46141</v>
      </c>
      <c r="D346" s="24" t="n">
        <v>990</v>
      </c>
      <c r="E346" s="25" t="n">
        <v>21.636</v>
      </c>
      <c r="F346" s="14">
        <f>AsOf-C346</f>
        <v/>
      </c>
      <c r="G346" s="11">
        <f>SUMIFS($D$2:$D$5000,$A$2:$A$5000,A346,$B$2:$B$5000,B346,$C$2:$C$5000,"&lt;="&amp;C346)</f>
        <v/>
      </c>
      <c r="H346" s="11">
        <f>SUMIFS(Dispatched!$C$2:$C$5000,Dispatched!$A$2:$A$5000,A346,Dispatched!$B$2:$B$5000,B346)</f>
        <v/>
      </c>
      <c r="I346" s="11">
        <f>MAX(0,MIN(D346,G346-H346))</f>
        <v/>
      </c>
      <c r="J346" s="26">
        <f>I346*E346/D346</f>
        <v/>
      </c>
      <c r="K346" s="10">
        <f>IF(I346=0,"Dispatched",IF(F346&lt;=30,"0-30",IF(F346&lt;=60,"31-60",IF(F346&lt;=90,"61-90","90+"))))</f>
        <v/>
      </c>
    </row>
    <row r="347">
      <c r="A347" s="24" t="inlineStr">
        <is>
          <t>Hyderabad</t>
        </is>
      </c>
      <c r="B347" s="24" t="inlineStr">
        <is>
          <t>80X40X2</t>
        </is>
      </c>
      <c r="C347" s="6" t="n">
        <v>46142</v>
      </c>
      <c r="D347" s="24" t="n">
        <v>990</v>
      </c>
      <c r="E347" s="25" t="n">
        <v>21.636</v>
      </c>
      <c r="F347" s="14">
        <f>AsOf-C347</f>
        <v/>
      </c>
      <c r="G347" s="11">
        <f>SUMIFS($D$2:$D$5000,$A$2:$A$5000,A347,$B$2:$B$5000,B347,$C$2:$C$5000,"&lt;="&amp;C347)</f>
        <v/>
      </c>
      <c r="H347" s="11">
        <f>SUMIFS(Dispatched!$C$2:$C$5000,Dispatched!$A$2:$A$5000,A347,Dispatched!$B$2:$B$5000,B347)</f>
        <v/>
      </c>
      <c r="I347" s="11">
        <f>MAX(0,MIN(D347,G347-H347))</f>
        <v/>
      </c>
      <c r="J347" s="26">
        <f>I347*E347/D347</f>
        <v/>
      </c>
      <c r="K347" s="10">
        <f>IF(I347=0,"Dispatched",IF(F347&lt;=30,"0-30",IF(F347&lt;=60,"31-60",IF(F347&lt;=90,"61-90","90+"))))</f>
        <v/>
      </c>
    </row>
    <row r="348">
      <c r="A348" s="24" t="inlineStr">
        <is>
          <t>Hyderabad</t>
        </is>
      </c>
      <c r="B348" s="24" t="inlineStr">
        <is>
          <t>80X40X2</t>
        </is>
      </c>
      <c r="C348" s="6" t="n">
        <v>46146</v>
      </c>
      <c r="D348" s="24" t="n">
        <v>318</v>
      </c>
      <c r="E348" s="25" t="n">
        <v>6.95</v>
      </c>
      <c r="F348" s="14">
        <f>AsOf-C348</f>
        <v/>
      </c>
      <c r="G348" s="11">
        <f>SUMIFS($D$2:$D$5000,$A$2:$A$5000,A348,$B$2:$B$5000,B348,$C$2:$C$5000,"&lt;="&amp;C348)</f>
        <v/>
      </c>
      <c r="H348" s="11">
        <f>SUMIFS(Dispatched!$C$2:$C$5000,Dispatched!$A$2:$A$5000,A348,Dispatched!$B$2:$B$5000,B348)</f>
        <v/>
      </c>
      <c r="I348" s="11">
        <f>MAX(0,MIN(D348,G348-H348))</f>
        <v/>
      </c>
      <c r="J348" s="26">
        <f>I348*E348/D348</f>
        <v/>
      </c>
      <c r="K348" s="10">
        <f>IF(I348=0,"Dispatched",IF(F348&lt;=30,"0-30",IF(F348&lt;=60,"31-60",IF(F348&lt;=90,"61-90","90+"))))</f>
        <v/>
      </c>
    </row>
    <row r="349">
      <c r="A349" s="24" t="inlineStr">
        <is>
          <t>Hyderabad</t>
        </is>
      </c>
      <c r="B349" s="24" t="inlineStr">
        <is>
          <t>80X40X2</t>
        </is>
      </c>
      <c r="C349" s="6" t="n">
        <v>46172</v>
      </c>
      <c r="D349" s="24" t="n">
        <v>1877</v>
      </c>
      <c r="E349" s="25" t="n">
        <v>41.021</v>
      </c>
      <c r="F349" s="14">
        <f>AsOf-C349</f>
        <v/>
      </c>
      <c r="G349" s="11">
        <f>SUMIFS($D$2:$D$5000,$A$2:$A$5000,A349,$B$2:$B$5000,B349,$C$2:$C$5000,"&lt;="&amp;C349)</f>
        <v/>
      </c>
      <c r="H349" s="11">
        <f>SUMIFS(Dispatched!$C$2:$C$5000,Dispatched!$A$2:$A$5000,A349,Dispatched!$B$2:$B$5000,B349)</f>
        <v/>
      </c>
      <c r="I349" s="11">
        <f>MAX(0,MIN(D349,G349-H349))</f>
        <v/>
      </c>
      <c r="J349" s="26">
        <f>I349*E349/D349</f>
        <v/>
      </c>
      <c r="K349" s="10">
        <f>IF(I349=0,"Dispatched",IF(F349&lt;=30,"0-30",IF(F349&lt;=60,"31-60",IF(F349&lt;=90,"61-90","90+"))))</f>
        <v/>
      </c>
    </row>
    <row r="350">
      <c r="A350" s="24" t="inlineStr">
        <is>
          <t>Hyderabad</t>
        </is>
      </c>
      <c r="B350" s="24" t="inlineStr">
        <is>
          <t>80X40X2</t>
        </is>
      </c>
      <c r="C350" s="6" t="n">
        <v>46199</v>
      </c>
      <c r="D350" s="24" t="n">
        <v>1415</v>
      </c>
      <c r="E350" s="25" t="n">
        <v>30.924</v>
      </c>
      <c r="F350" s="14">
        <f>AsOf-C350</f>
        <v/>
      </c>
      <c r="G350" s="11">
        <f>SUMIFS($D$2:$D$5000,$A$2:$A$5000,A350,$B$2:$B$5000,B350,$C$2:$C$5000,"&lt;="&amp;C350)</f>
        <v/>
      </c>
      <c r="H350" s="11">
        <f>SUMIFS(Dispatched!$C$2:$C$5000,Dispatched!$A$2:$A$5000,A350,Dispatched!$B$2:$B$5000,B350)</f>
        <v/>
      </c>
      <c r="I350" s="11">
        <f>MAX(0,MIN(D350,G350-H350))</f>
        <v/>
      </c>
      <c r="J350" s="26">
        <f>I350*E350/D350</f>
        <v/>
      </c>
      <c r="K350" s="10">
        <f>IF(I350=0,"Dispatched",IF(F350&lt;=30,"0-30",IF(F350&lt;=60,"31-60",IF(F350&lt;=90,"61-90","90+"))))</f>
        <v/>
      </c>
    </row>
    <row r="351">
      <c r="A351" s="24" t="inlineStr">
        <is>
          <t>Hyderabad</t>
        </is>
      </c>
      <c r="B351" s="24" t="inlineStr">
        <is>
          <t>80X40X2</t>
        </is>
      </c>
      <c r="C351" s="6" t="n">
        <v>46200</v>
      </c>
      <c r="D351" s="24" t="n">
        <v>319</v>
      </c>
      <c r="E351" s="25" t="n">
        <v>6.972</v>
      </c>
      <c r="F351" s="14">
        <f>AsOf-C351</f>
        <v/>
      </c>
      <c r="G351" s="11">
        <f>SUMIFS($D$2:$D$5000,$A$2:$A$5000,A351,$B$2:$B$5000,B351,$C$2:$C$5000,"&lt;="&amp;C351)</f>
        <v/>
      </c>
      <c r="H351" s="11">
        <f>SUMIFS(Dispatched!$C$2:$C$5000,Dispatched!$A$2:$A$5000,A351,Dispatched!$B$2:$B$5000,B351)</f>
        <v/>
      </c>
      <c r="I351" s="11">
        <f>MAX(0,MIN(D351,G351-H351))</f>
        <v/>
      </c>
      <c r="J351" s="26">
        <f>I351*E351/D351</f>
        <v/>
      </c>
      <c r="K351" s="10">
        <f>IF(I351=0,"Dispatched",IF(F351&lt;=30,"0-30",IF(F351&lt;=60,"31-60",IF(F351&lt;=90,"61-90","90+"))))</f>
        <v/>
      </c>
    </row>
    <row r="352">
      <c r="A352" s="24" t="inlineStr">
        <is>
          <t>Hyderabad</t>
        </is>
      </c>
      <c r="B352" s="24" t="inlineStr">
        <is>
          <t>80X40X2</t>
        </is>
      </c>
      <c r="C352" s="6" t="n">
        <v>46238</v>
      </c>
      <c r="D352" s="24" t="n">
        <v>991</v>
      </c>
      <c r="E352" s="25" t="n">
        <v>21.658</v>
      </c>
      <c r="F352" s="14">
        <f>AsOf-C352</f>
        <v/>
      </c>
      <c r="G352" s="11">
        <f>SUMIFS($D$2:$D$5000,$A$2:$A$5000,A352,$B$2:$B$5000,B352,$C$2:$C$5000,"&lt;="&amp;C352)</f>
        <v/>
      </c>
      <c r="H352" s="11">
        <f>SUMIFS(Dispatched!$C$2:$C$5000,Dispatched!$A$2:$A$5000,A352,Dispatched!$B$2:$B$5000,B352)</f>
        <v/>
      </c>
      <c r="I352" s="11">
        <f>MAX(0,MIN(D352,G352-H352))</f>
        <v/>
      </c>
      <c r="J352" s="26">
        <f>I352*E352/D352</f>
        <v/>
      </c>
      <c r="K352" s="10">
        <f>IF(I352=0,"Dispatched",IF(F352&lt;=30,"0-30",IF(F352&lt;=60,"31-60",IF(F352&lt;=90,"61-90","90+"))))</f>
        <v/>
      </c>
    </row>
    <row r="353">
      <c r="A353" s="24" t="inlineStr">
        <is>
          <t>Hyderabad</t>
        </is>
      </c>
      <c r="B353" s="24" t="inlineStr">
        <is>
          <t>80X40X2</t>
        </is>
      </c>
      <c r="C353" s="6" t="n">
        <v>46266</v>
      </c>
      <c r="D353" s="24" t="n">
        <v>1426</v>
      </c>
      <c r="E353" s="25" t="n">
        <v>31.164</v>
      </c>
      <c r="F353" s="14">
        <f>AsOf-C353</f>
        <v/>
      </c>
      <c r="G353" s="11">
        <f>SUMIFS($D$2:$D$5000,$A$2:$A$5000,A353,$B$2:$B$5000,B353,$C$2:$C$5000,"&lt;="&amp;C353)</f>
        <v/>
      </c>
      <c r="H353" s="11">
        <f>SUMIFS(Dispatched!$C$2:$C$5000,Dispatched!$A$2:$A$5000,A353,Dispatched!$B$2:$B$5000,B353)</f>
        <v/>
      </c>
      <c r="I353" s="11">
        <f>MAX(0,MIN(D353,G353-H353))</f>
        <v/>
      </c>
      <c r="J353" s="26">
        <f>I353*E353/D353</f>
        <v/>
      </c>
      <c r="K353" s="10">
        <f>IF(I353=0,"Dispatched",IF(F353&lt;=30,"0-30",IF(F353&lt;=60,"31-60",IF(F353&lt;=90,"61-90","90+"))))</f>
        <v/>
      </c>
    </row>
    <row r="354">
      <c r="A354" s="24" t="inlineStr">
        <is>
          <t>Hyderabad</t>
        </is>
      </c>
      <c r="B354" s="24" t="inlineStr">
        <is>
          <t>80X40X2</t>
        </is>
      </c>
      <c r="C354" s="6" t="n">
        <v>46277</v>
      </c>
      <c r="D354" s="24" t="n">
        <v>1109</v>
      </c>
      <c r="E354" s="25" t="n">
        <v>24.237</v>
      </c>
      <c r="F354" s="14">
        <f>AsOf-C354</f>
        <v/>
      </c>
      <c r="G354" s="11">
        <f>SUMIFS($D$2:$D$5000,$A$2:$A$5000,A354,$B$2:$B$5000,B354,$C$2:$C$5000,"&lt;="&amp;C354)</f>
        <v/>
      </c>
      <c r="H354" s="11">
        <f>SUMIFS(Dispatched!$C$2:$C$5000,Dispatched!$A$2:$A$5000,A354,Dispatched!$B$2:$B$5000,B354)</f>
        <v/>
      </c>
      <c r="I354" s="11">
        <f>MAX(0,MIN(D354,G354-H354))</f>
        <v/>
      </c>
      <c r="J354" s="26">
        <f>I354*E354/D354</f>
        <v/>
      </c>
      <c r="K354" s="10">
        <f>IF(I354=0,"Dispatched",IF(F354&lt;=30,"0-30",IF(F354&lt;=60,"31-60",IF(F354&lt;=90,"61-90","90+"))))</f>
        <v/>
      </c>
    </row>
    <row r="355">
      <c r="A355" s="24" t="inlineStr">
        <is>
          <t>Hyderabad</t>
        </is>
      </c>
      <c r="B355" s="24" t="inlineStr">
        <is>
          <t>80X40X2</t>
        </is>
      </c>
      <c r="C355" s="6" t="n">
        <v>46289</v>
      </c>
      <c r="D355" s="24" t="n">
        <v>1214</v>
      </c>
      <c r="E355" s="25" t="n">
        <v>26.531</v>
      </c>
      <c r="F355" s="14">
        <f>AsOf-C355</f>
        <v/>
      </c>
      <c r="G355" s="11">
        <f>SUMIFS($D$2:$D$5000,$A$2:$A$5000,A355,$B$2:$B$5000,B355,$C$2:$C$5000,"&lt;="&amp;C355)</f>
        <v/>
      </c>
      <c r="H355" s="11">
        <f>SUMIFS(Dispatched!$C$2:$C$5000,Dispatched!$A$2:$A$5000,A355,Dispatched!$B$2:$B$5000,B355)</f>
        <v/>
      </c>
      <c r="I355" s="11">
        <f>MAX(0,MIN(D355,G355-H355))</f>
        <v/>
      </c>
      <c r="J355" s="26">
        <f>I355*E355/D355</f>
        <v/>
      </c>
      <c r="K355" s="10">
        <f>IF(I355=0,"Dispatched",IF(F355&lt;=30,"0-30",IF(F355&lt;=60,"31-60",IF(F355&lt;=90,"61-90","90+"))))</f>
        <v/>
      </c>
    </row>
    <row r="356">
      <c r="A356" s="24" t="inlineStr">
        <is>
          <t>Hyderabad</t>
        </is>
      </c>
      <c r="B356" s="24" t="inlineStr">
        <is>
          <t>80X40X2.5</t>
        </is>
      </c>
      <c r="C356" s="6" t="n">
        <v>46142</v>
      </c>
      <c r="D356" s="24" t="n">
        <v>617</v>
      </c>
      <c r="E356" s="25" t="n">
        <v>16.71</v>
      </c>
      <c r="F356" s="14">
        <f>AsOf-C356</f>
        <v/>
      </c>
      <c r="G356" s="11">
        <f>SUMIFS($D$2:$D$5000,$A$2:$A$5000,A356,$B$2:$B$5000,B356,$C$2:$C$5000,"&lt;="&amp;C356)</f>
        <v/>
      </c>
      <c r="H356" s="11">
        <f>SUMIFS(Dispatched!$C$2:$C$5000,Dispatched!$A$2:$A$5000,A356,Dispatched!$B$2:$B$5000,B356)</f>
        <v/>
      </c>
      <c r="I356" s="11">
        <f>MAX(0,MIN(D356,G356-H356))</f>
        <v/>
      </c>
      <c r="J356" s="26">
        <f>I356*E356/D356</f>
        <v/>
      </c>
      <c r="K356" s="10">
        <f>IF(I356=0,"Dispatched",IF(F356&lt;=30,"0-30",IF(F356&lt;=60,"31-60",IF(F356&lt;=90,"61-90","90+"))))</f>
        <v/>
      </c>
    </row>
    <row r="357">
      <c r="A357" s="24" t="inlineStr">
        <is>
          <t>Hyderabad</t>
        </is>
      </c>
      <c r="B357" s="24" t="inlineStr">
        <is>
          <t>80X40X2.5</t>
        </is>
      </c>
      <c r="C357" s="6" t="n">
        <v>46200</v>
      </c>
      <c r="D357" s="24" t="n">
        <v>1149</v>
      </c>
      <c r="E357" s="25" t="n">
        <v>31.118</v>
      </c>
      <c r="F357" s="14">
        <f>AsOf-C357</f>
        <v/>
      </c>
      <c r="G357" s="11">
        <f>SUMIFS($D$2:$D$5000,$A$2:$A$5000,A357,$B$2:$B$5000,B357,$C$2:$C$5000,"&lt;="&amp;C357)</f>
        <v/>
      </c>
      <c r="H357" s="11">
        <f>SUMIFS(Dispatched!$C$2:$C$5000,Dispatched!$A$2:$A$5000,A357,Dispatched!$B$2:$B$5000,B357)</f>
        <v/>
      </c>
      <c r="I357" s="11">
        <f>MAX(0,MIN(D357,G357-H357))</f>
        <v/>
      </c>
      <c r="J357" s="26">
        <f>I357*E357/D357</f>
        <v/>
      </c>
      <c r="K357" s="10">
        <f>IF(I357=0,"Dispatched",IF(F357&lt;=30,"0-30",IF(F357&lt;=60,"31-60",IF(F357&lt;=90,"61-90","90+"))))</f>
        <v/>
      </c>
    </row>
    <row r="358">
      <c r="A358" s="24" t="inlineStr">
        <is>
          <t>Hyderabad</t>
        </is>
      </c>
      <c r="B358" s="24" t="inlineStr">
        <is>
          <t>80X40X2.5</t>
        </is>
      </c>
      <c r="C358" s="6" t="n">
        <v>46237</v>
      </c>
      <c r="D358" s="24" t="n">
        <v>408</v>
      </c>
      <c r="E358" s="25" t="n">
        <v>11.05</v>
      </c>
      <c r="F358" s="14">
        <f>AsOf-C358</f>
        <v/>
      </c>
      <c r="G358" s="11">
        <f>SUMIFS($D$2:$D$5000,$A$2:$A$5000,A358,$B$2:$B$5000,B358,$C$2:$C$5000,"&lt;="&amp;C358)</f>
        <v/>
      </c>
      <c r="H358" s="11">
        <f>SUMIFS(Dispatched!$C$2:$C$5000,Dispatched!$A$2:$A$5000,A358,Dispatched!$B$2:$B$5000,B358)</f>
        <v/>
      </c>
      <c r="I358" s="11">
        <f>MAX(0,MIN(D358,G358-H358))</f>
        <v/>
      </c>
      <c r="J358" s="26">
        <f>I358*E358/D358</f>
        <v/>
      </c>
      <c r="K358" s="10">
        <f>IF(I358=0,"Dispatched",IF(F358&lt;=30,"0-30",IF(F358&lt;=60,"31-60",IF(F358&lt;=90,"61-90","90+"))))</f>
        <v/>
      </c>
    </row>
    <row r="359">
      <c r="A359" s="24" t="inlineStr">
        <is>
          <t>Hyderabad</t>
        </is>
      </c>
      <c r="B359" s="24" t="inlineStr">
        <is>
          <t>80X40X2.5</t>
        </is>
      </c>
      <c r="C359" s="6" t="n">
        <v>46238</v>
      </c>
      <c r="D359" s="24" t="n">
        <v>572</v>
      </c>
      <c r="E359" s="25" t="n">
        <v>15.491</v>
      </c>
      <c r="F359" s="14">
        <f>AsOf-C359</f>
        <v/>
      </c>
      <c r="G359" s="11">
        <f>SUMIFS($D$2:$D$5000,$A$2:$A$5000,A359,$B$2:$B$5000,B359,$C$2:$C$5000,"&lt;="&amp;C359)</f>
        <v/>
      </c>
      <c r="H359" s="11">
        <f>SUMIFS(Dispatched!$C$2:$C$5000,Dispatched!$A$2:$A$5000,A359,Dispatched!$B$2:$B$5000,B359)</f>
        <v/>
      </c>
      <c r="I359" s="11">
        <f>MAX(0,MIN(D359,G359-H359))</f>
        <v/>
      </c>
      <c r="J359" s="26">
        <f>I359*E359/D359</f>
        <v/>
      </c>
      <c r="K359" s="10">
        <f>IF(I359=0,"Dispatched",IF(F359&lt;=30,"0-30",IF(F359&lt;=60,"31-60",IF(F359&lt;=90,"61-90","90+"))))</f>
        <v/>
      </c>
    </row>
    <row r="360">
      <c r="A360" s="24" t="inlineStr">
        <is>
          <t>Hyderabad</t>
        </is>
      </c>
      <c r="B360" s="24" t="inlineStr">
        <is>
          <t>80X40X2.5</t>
        </is>
      </c>
      <c r="C360" s="6" t="n">
        <v>46266</v>
      </c>
      <c r="D360" s="24" t="n">
        <v>258</v>
      </c>
      <c r="E360" s="25" t="n">
        <v>6.987</v>
      </c>
      <c r="F360" s="14">
        <f>AsOf-C360</f>
        <v/>
      </c>
      <c r="G360" s="11">
        <f>SUMIFS($D$2:$D$5000,$A$2:$A$5000,A360,$B$2:$B$5000,B360,$C$2:$C$5000,"&lt;="&amp;C360)</f>
        <v/>
      </c>
      <c r="H360" s="11">
        <f>SUMIFS(Dispatched!$C$2:$C$5000,Dispatched!$A$2:$A$5000,A360,Dispatched!$B$2:$B$5000,B360)</f>
        <v/>
      </c>
      <c r="I360" s="11">
        <f>MAX(0,MIN(D360,G360-H360))</f>
        <v/>
      </c>
      <c r="J360" s="26">
        <f>I360*E360/D360</f>
        <v/>
      </c>
      <c r="K360" s="10">
        <f>IF(I360=0,"Dispatched",IF(F360&lt;=30,"0-30",IF(F360&lt;=60,"31-60",IF(F360&lt;=90,"61-90","90+"))))</f>
        <v/>
      </c>
    </row>
    <row r="361">
      <c r="A361" s="24" t="inlineStr">
        <is>
          <t>Hyderabad</t>
        </is>
      </c>
      <c r="B361" s="24" t="inlineStr">
        <is>
          <t>80X40X2.5</t>
        </is>
      </c>
      <c r="C361" s="6" t="n">
        <v>46267</v>
      </c>
      <c r="D361" s="24" t="n">
        <v>624</v>
      </c>
      <c r="E361" s="25" t="n">
        <v>16.899</v>
      </c>
      <c r="F361" s="14">
        <f>AsOf-C361</f>
        <v/>
      </c>
      <c r="G361" s="11">
        <f>SUMIFS($D$2:$D$5000,$A$2:$A$5000,A361,$B$2:$B$5000,B361,$C$2:$C$5000,"&lt;="&amp;C361)</f>
        <v/>
      </c>
      <c r="H361" s="11">
        <f>SUMIFS(Dispatched!$C$2:$C$5000,Dispatched!$A$2:$A$5000,A361,Dispatched!$B$2:$B$5000,B361)</f>
        <v/>
      </c>
      <c r="I361" s="11">
        <f>MAX(0,MIN(D361,G361-H361))</f>
        <v/>
      </c>
      <c r="J361" s="26">
        <f>I361*E361/D361</f>
        <v/>
      </c>
      <c r="K361" s="10">
        <f>IF(I361=0,"Dispatched",IF(F361&lt;=30,"0-30",IF(F361&lt;=60,"31-60",IF(F361&lt;=90,"61-90","90+"))))</f>
        <v/>
      </c>
    </row>
    <row r="362">
      <c r="A362" s="24" t="inlineStr">
        <is>
          <t>Hyderabad</t>
        </is>
      </c>
      <c r="B362" s="24" t="inlineStr">
        <is>
          <t>80X40X2.5</t>
        </is>
      </c>
      <c r="C362" s="6" t="n">
        <v>46277</v>
      </c>
      <c r="D362" s="24" t="n">
        <v>603</v>
      </c>
      <c r="E362" s="25" t="n">
        <v>16.331</v>
      </c>
      <c r="F362" s="14">
        <f>AsOf-C362</f>
        <v/>
      </c>
      <c r="G362" s="11">
        <f>SUMIFS($D$2:$D$5000,$A$2:$A$5000,A362,$B$2:$B$5000,B362,$C$2:$C$5000,"&lt;="&amp;C362)</f>
        <v/>
      </c>
      <c r="H362" s="11">
        <f>SUMIFS(Dispatched!$C$2:$C$5000,Dispatched!$A$2:$A$5000,A362,Dispatched!$B$2:$B$5000,B362)</f>
        <v/>
      </c>
      <c r="I362" s="11">
        <f>MAX(0,MIN(D362,G362-H362))</f>
        <v/>
      </c>
      <c r="J362" s="26">
        <f>I362*E362/D362</f>
        <v/>
      </c>
      <c r="K362" s="10">
        <f>IF(I362=0,"Dispatched",IF(F362&lt;=30,"0-30",IF(F362&lt;=60,"31-60",IF(F362&lt;=90,"61-90","90+"))))</f>
        <v/>
      </c>
    </row>
    <row r="363">
      <c r="A363" s="24" t="inlineStr">
        <is>
          <t>Hyderabad</t>
        </is>
      </c>
      <c r="B363" s="24" t="inlineStr">
        <is>
          <t>80X40X2.8</t>
        </is>
      </c>
      <c r="C363" s="6" t="n">
        <v>46142</v>
      </c>
      <c r="D363" s="24" t="n">
        <v>541</v>
      </c>
      <c r="E363" s="25" t="n">
        <v>16.324</v>
      </c>
      <c r="F363" s="14">
        <f>AsOf-C363</f>
        <v/>
      </c>
      <c r="G363" s="11">
        <f>SUMIFS($D$2:$D$5000,$A$2:$A$5000,A363,$B$2:$B$5000,B363,$C$2:$C$5000,"&lt;="&amp;C363)</f>
        <v/>
      </c>
      <c r="H363" s="11">
        <f>SUMIFS(Dispatched!$C$2:$C$5000,Dispatched!$A$2:$A$5000,A363,Dispatched!$B$2:$B$5000,B363)</f>
        <v/>
      </c>
      <c r="I363" s="11">
        <f>MAX(0,MIN(D363,G363-H363))</f>
        <v/>
      </c>
      <c r="J363" s="26">
        <f>I363*E363/D363</f>
        <v/>
      </c>
      <c r="K363" s="10">
        <f>IF(I363=0,"Dispatched",IF(F363&lt;=30,"0-30",IF(F363&lt;=60,"31-60",IF(F363&lt;=90,"61-90","90+"))))</f>
        <v/>
      </c>
    </row>
    <row r="364">
      <c r="A364" s="24" t="inlineStr">
        <is>
          <t>Hyderabad</t>
        </is>
      </c>
      <c r="B364" s="24" t="inlineStr">
        <is>
          <t>80X40X2.8</t>
        </is>
      </c>
      <c r="C364" s="6" t="n">
        <v>46144</v>
      </c>
      <c r="D364" s="24" t="n">
        <v>1151</v>
      </c>
      <c r="E364" s="25" t="n">
        <v>34.73</v>
      </c>
      <c r="F364" s="14">
        <f>AsOf-C364</f>
        <v/>
      </c>
      <c r="G364" s="11">
        <f>SUMIFS($D$2:$D$5000,$A$2:$A$5000,A364,$B$2:$B$5000,B364,$C$2:$C$5000,"&lt;="&amp;C364)</f>
        <v/>
      </c>
      <c r="H364" s="11">
        <f>SUMIFS(Dispatched!$C$2:$C$5000,Dispatched!$A$2:$A$5000,A364,Dispatched!$B$2:$B$5000,B364)</f>
        <v/>
      </c>
      <c r="I364" s="11">
        <f>MAX(0,MIN(D364,G364-H364))</f>
        <v/>
      </c>
      <c r="J364" s="26">
        <f>I364*E364/D364</f>
        <v/>
      </c>
      <c r="K364" s="10">
        <f>IF(I364=0,"Dispatched",IF(F364&lt;=30,"0-30",IF(F364&lt;=60,"31-60",IF(F364&lt;=90,"61-90","90+"))))</f>
        <v/>
      </c>
    </row>
    <row r="365">
      <c r="A365" s="24" t="inlineStr">
        <is>
          <t>Hyderabad</t>
        </is>
      </c>
      <c r="B365" s="24" t="inlineStr">
        <is>
          <t>80X40X2.8</t>
        </is>
      </c>
      <c r="C365" s="6" t="n">
        <v>46146</v>
      </c>
      <c r="D365" s="24" t="n">
        <v>211</v>
      </c>
      <c r="E365" s="25" t="n">
        <v>6.367</v>
      </c>
      <c r="F365" s="14">
        <f>AsOf-C365</f>
        <v/>
      </c>
      <c r="G365" s="11">
        <f>SUMIFS($D$2:$D$5000,$A$2:$A$5000,A365,$B$2:$B$5000,B365,$C$2:$C$5000,"&lt;="&amp;C365)</f>
        <v/>
      </c>
      <c r="H365" s="11">
        <f>SUMIFS(Dispatched!$C$2:$C$5000,Dispatched!$A$2:$A$5000,A365,Dispatched!$B$2:$B$5000,B365)</f>
        <v/>
      </c>
      <c r="I365" s="11">
        <f>MAX(0,MIN(D365,G365-H365))</f>
        <v/>
      </c>
      <c r="J365" s="26">
        <f>I365*E365/D365</f>
        <v/>
      </c>
      <c r="K365" s="10">
        <f>IF(I365=0,"Dispatched",IF(F365&lt;=30,"0-30",IF(F365&lt;=60,"31-60",IF(F365&lt;=90,"61-90","90+"))))</f>
        <v/>
      </c>
    </row>
    <row r="366">
      <c r="A366" s="24" t="inlineStr">
        <is>
          <t>Hyderabad</t>
        </is>
      </c>
      <c r="B366" s="24" t="inlineStr">
        <is>
          <t>80X40X2.8</t>
        </is>
      </c>
      <c r="C366" s="6" t="n">
        <v>46200</v>
      </c>
      <c r="D366" s="24" t="n">
        <v>762</v>
      </c>
      <c r="E366" s="25" t="n">
        <v>22.993</v>
      </c>
      <c r="F366" s="14">
        <f>AsOf-C366</f>
        <v/>
      </c>
      <c r="G366" s="11">
        <f>SUMIFS($D$2:$D$5000,$A$2:$A$5000,A366,$B$2:$B$5000,B366,$C$2:$C$5000,"&lt;="&amp;C366)</f>
        <v/>
      </c>
      <c r="H366" s="11">
        <f>SUMIFS(Dispatched!$C$2:$C$5000,Dispatched!$A$2:$A$5000,A366,Dispatched!$B$2:$B$5000,B366)</f>
        <v/>
      </c>
      <c r="I366" s="11">
        <f>MAX(0,MIN(D366,G366-H366))</f>
        <v/>
      </c>
      <c r="J366" s="26">
        <f>I366*E366/D366</f>
        <v/>
      </c>
      <c r="K366" s="10">
        <f>IF(I366=0,"Dispatched",IF(F366&lt;=30,"0-30",IF(F366&lt;=60,"31-60",IF(F366&lt;=90,"61-90","90+"))))</f>
        <v/>
      </c>
    </row>
    <row r="367">
      <c r="A367" s="24" t="inlineStr">
        <is>
          <t>Hyderabad</t>
        </is>
      </c>
      <c r="B367" s="24" t="inlineStr">
        <is>
          <t>80X40X2.8</t>
        </is>
      </c>
      <c r="C367" s="6" t="n">
        <v>46267</v>
      </c>
      <c r="D367" s="24" t="n">
        <v>752</v>
      </c>
      <c r="E367" s="25" t="n">
        <v>22.691</v>
      </c>
      <c r="F367" s="14">
        <f>AsOf-C367</f>
        <v/>
      </c>
      <c r="G367" s="11">
        <f>SUMIFS($D$2:$D$5000,$A$2:$A$5000,A367,$B$2:$B$5000,B367,$C$2:$C$5000,"&lt;="&amp;C367)</f>
        <v/>
      </c>
      <c r="H367" s="11">
        <f>SUMIFS(Dispatched!$C$2:$C$5000,Dispatched!$A$2:$A$5000,A367,Dispatched!$B$2:$B$5000,B367)</f>
        <v/>
      </c>
      <c r="I367" s="11">
        <f>MAX(0,MIN(D367,G367-H367))</f>
        <v/>
      </c>
      <c r="J367" s="26">
        <f>I367*E367/D367</f>
        <v/>
      </c>
      <c r="K367" s="10">
        <f>IF(I367=0,"Dispatched",IF(F367&lt;=30,"0-30",IF(F367&lt;=60,"31-60",IF(F367&lt;=90,"61-90","90+"))))</f>
        <v/>
      </c>
    </row>
    <row r="368">
      <c r="A368" s="24" t="inlineStr">
        <is>
          <t>Hyderabad</t>
        </is>
      </c>
      <c r="B368" s="24" t="inlineStr">
        <is>
          <t>80X40X2.8</t>
        </is>
      </c>
      <c r="C368" s="6" t="n">
        <v>46277</v>
      </c>
      <c r="D368" s="24" t="n">
        <v>532</v>
      </c>
      <c r="E368" s="25" t="n">
        <v>16.053</v>
      </c>
      <c r="F368" s="14">
        <f>AsOf-C368</f>
        <v/>
      </c>
      <c r="G368" s="11">
        <f>SUMIFS($D$2:$D$5000,$A$2:$A$5000,A368,$B$2:$B$5000,B368,$C$2:$C$5000,"&lt;="&amp;C368)</f>
        <v/>
      </c>
      <c r="H368" s="11">
        <f>SUMIFS(Dispatched!$C$2:$C$5000,Dispatched!$A$2:$A$5000,A368,Dispatched!$B$2:$B$5000,B368)</f>
        <v/>
      </c>
      <c r="I368" s="11">
        <f>MAX(0,MIN(D368,G368-H368))</f>
        <v/>
      </c>
      <c r="J368" s="26">
        <f>I368*E368/D368</f>
        <v/>
      </c>
      <c r="K368" s="10">
        <f>IF(I368=0,"Dispatched",IF(F368&lt;=30,"0-30",IF(F368&lt;=60,"31-60",IF(F368&lt;=90,"61-90","90+"))))</f>
        <v/>
      </c>
    </row>
    <row r="369">
      <c r="A369" s="24" t="inlineStr">
        <is>
          <t>Hyderabad</t>
        </is>
      </c>
      <c r="B369" s="24" t="inlineStr">
        <is>
          <t>80X40X4</t>
        </is>
      </c>
      <c r="C369" s="6" t="n">
        <v>46200</v>
      </c>
      <c r="D369" s="24" t="n">
        <v>305</v>
      </c>
      <c r="E369" s="25" t="n">
        <v>12.871</v>
      </c>
      <c r="F369" s="14">
        <f>AsOf-C369</f>
        <v/>
      </c>
      <c r="G369" s="11">
        <f>SUMIFS($D$2:$D$5000,$A$2:$A$5000,A369,$B$2:$B$5000,B369,$C$2:$C$5000,"&lt;="&amp;C369)</f>
        <v/>
      </c>
      <c r="H369" s="11">
        <f>SUMIFS(Dispatched!$C$2:$C$5000,Dispatched!$A$2:$A$5000,A369,Dispatched!$B$2:$B$5000,B369)</f>
        <v/>
      </c>
      <c r="I369" s="11">
        <f>MAX(0,MIN(D369,G369-H369))</f>
        <v/>
      </c>
      <c r="J369" s="26">
        <f>I369*E369/D369</f>
        <v/>
      </c>
      <c r="K369" s="10">
        <f>IF(I369=0,"Dispatched",IF(F369&lt;=30,"0-30",IF(F369&lt;=60,"31-60",IF(F369&lt;=90,"61-90","90+"))))</f>
        <v/>
      </c>
    </row>
    <row r="370">
      <c r="A370" s="24" t="inlineStr">
        <is>
          <t>Hyderabad</t>
        </is>
      </c>
      <c r="B370" s="24" t="inlineStr">
        <is>
          <t>80X40X4</t>
        </is>
      </c>
      <c r="C370" s="6" t="n">
        <v>46201</v>
      </c>
      <c r="D370" s="24" t="n">
        <v>304</v>
      </c>
      <c r="E370" s="25" t="n">
        <v>12.829</v>
      </c>
      <c r="F370" s="14">
        <f>AsOf-C370</f>
        <v/>
      </c>
      <c r="G370" s="11">
        <f>SUMIFS($D$2:$D$5000,$A$2:$A$5000,A370,$B$2:$B$5000,B370,$C$2:$C$5000,"&lt;="&amp;C370)</f>
        <v/>
      </c>
      <c r="H370" s="11">
        <f>SUMIFS(Dispatched!$C$2:$C$5000,Dispatched!$A$2:$A$5000,A370,Dispatched!$B$2:$B$5000,B370)</f>
        <v/>
      </c>
      <c r="I370" s="11">
        <f>MAX(0,MIN(D370,G370-H370))</f>
        <v/>
      </c>
      <c r="J370" s="26">
        <f>I370*E370/D370</f>
        <v/>
      </c>
      <c r="K370" s="10">
        <f>IF(I370=0,"Dispatched",IF(F370&lt;=30,"0-30",IF(F370&lt;=60,"31-60",IF(F370&lt;=90,"61-90","90+"))))</f>
        <v/>
      </c>
    </row>
    <row r="371">
      <c r="A371" s="24" t="inlineStr">
        <is>
          <t>Hyderabad</t>
        </is>
      </c>
      <c r="B371" s="24" t="inlineStr">
        <is>
          <t>80X40X4</t>
        </is>
      </c>
      <c r="C371" s="6" t="n">
        <v>46279</v>
      </c>
      <c r="D371" s="24" t="n">
        <v>432</v>
      </c>
      <c r="E371" s="25" t="n">
        <v>18.231</v>
      </c>
      <c r="F371" s="14">
        <f>AsOf-C371</f>
        <v/>
      </c>
      <c r="G371" s="11">
        <f>SUMIFS($D$2:$D$5000,$A$2:$A$5000,A371,$B$2:$B$5000,B371,$C$2:$C$5000,"&lt;="&amp;C371)</f>
        <v/>
      </c>
      <c r="H371" s="11">
        <f>SUMIFS(Dispatched!$C$2:$C$5000,Dispatched!$A$2:$A$5000,A371,Dispatched!$B$2:$B$5000,B371)</f>
        <v/>
      </c>
      <c r="I371" s="11">
        <f>MAX(0,MIN(D371,G371-H371))</f>
        <v/>
      </c>
      <c r="J371" s="26">
        <f>I371*E371/D371</f>
        <v/>
      </c>
      <c r="K371" s="10">
        <f>IF(I371=0,"Dispatched",IF(F371&lt;=30,"0-30",IF(F371&lt;=60,"31-60",IF(F371&lt;=90,"61-90","90+"))))</f>
        <v/>
      </c>
    </row>
    <row r="372">
      <c r="A372" s="24" t="inlineStr">
        <is>
          <t>Lepakshi</t>
        </is>
      </c>
      <c r="B372" s="24" t="inlineStr">
        <is>
          <t>100X100X2</t>
        </is>
      </c>
      <c r="C372" s="6" t="n">
        <v>46266</v>
      </c>
      <c r="D372" s="24" t="n">
        <v>878</v>
      </c>
      <c r="E372" s="25" t="n">
        <v>32.421</v>
      </c>
      <c r="F372" s="14">
        <f>AsOf-C372</f>
        <v/>
      </c>
      <c r="G372" s="11">
        <f>SUMIFS($D$2:$D$5000,$A$2:$A$5000,A372,$B$2:$B$5000,B372,$C$2:$C$5000,"&lt;="&amp;C372)</f>
        <v/>
      </c>
      <c r="H372" s="11">
        <f>SUMIFS(Dispatched!$C$2:$C$5000,Dispatched!$A$2:$A$5000,A372,Dispatched!$B$2:$B$5000,B372)</f>
        <v/>
      </c>
      <c r="I372" s="11">
        <f>MAX(0,MIN(D372,G372-H372))</f>
        <v/>
      </c>
      <c r="J372" s="26">
        <f>I372*E372/D372</f>
        <v/>
      </c>
      <c r="K372" s="10">
        <f>IF(I372=0,"Dispatched",IF(F372&lt;=30,"0-30",IF(F372&lt;=60,"31-60",IF(F372&lt;=90,"61-90","90+"))))</f>
        <v/>
      </c>
    </row>
    <row r="373">
      <c r="A373" s="24" t="inlineStr">
        <is>
          <t>Lepakshi</t>
        </is>
      </c>
      <c r="B373" s="24" t="inlineStr">
        <is>
          <t>100X100X2</t>
        </is>
      </c>
      <c r="C373" s="6" t="n">
        <v>46267</v>
      </c>
      <c r="D373" s="24" t="n">
        <v>494</v>
      </c>
      <c r="E373" s="25" t="n">
        <v>18.242</v>
      </c>
      <c r="F373" s="14">
        <f>AsOf-C373</f>
        <v/>
      </c>
      <c r="G373" s="11">
        <f>SUMIFS($D$2:$D$5000,$A$2:$A$5000,A373,$B$2:$B$5000,B373,$C$2:$C$5000,"&lt;="&amp;C373)</f>
        <v/>
      </c>
      <c r="H373" s="11">
        <f>SUMIFS(Dispatched!$C$2:$C$5000,Dispatched!$A$2:$A$5000,A373,Dispatched!$B$2:$B$5000,B373)</f>
        <v/>
      </c>
      <c r="I373" s="11">
        <f>MAX(0,MIN(D373,G373-H373))</f>
        <v/>
      </c>
      <c r="J373" s="26">
        <f>I373*E373/D373</f>
        <v/>
      </c>
      <c r="K373" s="10">
        <f>IF(I373=0,"Dispatched",IF(F373&lt;=30,"0-30",IF(F373&lt;=60,"31-60",IF(F373&lt;=90,"61-90","90+"))))</f>
        <v/>
      </c>
    </row>
    <row r="374">
      <c r="A374" s="24" t="inlineStr">
        <is>
          <t>Lepakshi</t>
        </is>
      </c>
      <c r="B374" s="24" t="inlineStr">
        <is>
          <t>100X100X2.5</t>
        </is>
      </c>
      <c r="C374" s="6" t="n">
        <v>46265</v>
      </c>
      <c r="D374" s="24" t="n">
        <v>346</v>
      </c>
      <c r="E374" s="25" t="n">
        <v>15.889</v>
      </c>
      <c r="F374" s="14">
        <f>AsOf-C374</f>
        <v/>
      </c>
      <c r="G374" s="11">
        <f>SUMIFS($D$2:$D$5000,$A$2:$A$5000,A374,$B$2:$B$5000,B374,$C$2:$C$5000,"&lt;="&amp;C374)</f>
        <v/>
      </c>
      <c r="H374" s="11">
        <f>SUMIFS(Dispatched!$C$2:$C$5000,Dispatched!$A$2:$A$5000,A374,Dispatched!$B$2:$B$5000,B374)</f>
        <v/>
      </c>
      <c r="I374" s="11">
        <f>MAX(0,MIN(D374,G374-H374))</f>
        <v/>
      </c>
      <c r="J374" s="26">
        <f>I374*E374/D374</f>
        <v/>
      </c>
      <c r="K374" s="10">
        <f>IF(I374=0,"Dispatched",IF(F374&lt;=30,"0-30",IF(F374&lt;=60,"31-60",IF(F374&lt;=90,"61-90","90+"))))</f>
        <v/>
      </c>
    </row>
    <row r="375">
      <c r="A375" s="24" t="inlineStr">
        <is>
          <t>Lepakshi</t>
        </is>
      </c>
      <c r="B375" s="24" t="inlineStr">
        <is>
          <t>100X100X2.5</t>
        </is>
      </c>
      <c r="C375" s="6" t="n">
        <v>46266</v>
      </c>
      <c r="D375" s="24" t="n">
        <v>348</v>
      </c>
      <c r="E375" s="25" t="n">
        <v>15.981</v>
      </c>
      <c r="F375" s="14">
        <f>AsOf-C375</f>
        <v/>
      </c>
      <c r="G375" s="11">
        <f>SUMIFS($D$2:$D$5000,$A$2:$A$5000,A375,$B$2:$B$5000,B375,$C$2:$C$5000,"&lt;="&amp;C375)</f>
        <v/>
      </c>
      <c r="H375" s="11">
        <f>SUMIFS(Dispatched!$C$2:$C$5000,Dispatched!$A$2:$A$5000,A375,Dispatched!$B$2:$B$5000,B375)</f>
        <v/>
      </c>
      <c r="I375" s="11">
        <f>MAX(0,MIN(D375,G375-H375))</f>
        <v/>
      </c>
      <c r="J375" s="26">
        <f>I375*E375/D375</f>
        <v/>
      </c>
      <c r="K375" s="10">
        <f>IF(I375=0,"Dispatched",IF(F375&lt;=30,"0-30",IF(F375&lt;=60,"31-60",IF(F375&lt;=90,"61-90","90+"))))</f>
        <v/>
      </c>
    </row>
    <row r="376">
      <c r="A376" s="24" t="inlineStr">
        <is>
          <t>Lepakshi</t>
        </is>
      </c>
      <c r="B376" s="24" t="inlineStr">
        <is>
          <t>100X100X2.5</t>
        </is>
      </c>
      <c r="C376" s="6" t="n">
        <v>46284</v>
      </c>
      <c r="D376" s="24" t="n">
        <v>290</v>
      </c>
      <c r="E376" s="25" t="n">
        <v>13.318</v>
      </c>
      <c r="F376" s="14">
        <f>AsOf-C376</f>
        <v/>
      </c>
      <c r="G376" s="11">
        <f>SUMIFS($D$2:$D$5000,$A$2:$A$5000,A376,$B$2:$B$5000,B376,$C$2:$C$5000,"&lt;="&amp;C376)</f>
        <v/>
      </c>
      <c r="H376" s="11">
        <f>SUMIFS(Dispatched!$C$2:$C$5000,Dispatched!$A$2:$A$5000,A376,Dispatched!$B$2:$B$5000,B376)</f>
        <v/>
      </c>
      <c r="I376" s="11">
        <f>MAX(0,MIN(D376,G376-H376))</f>
        <v/>
      </c>
      <c r="J376" s="26">
        <f>I376*E376/D376</f>
        <v/>
      </c>
      <c r="K376" s="10">
        <f>IF(I376=0,"Dispatched",IF(F376&lt;=30,"0-30",IF(F376&lt;=60,"31-60",IF(F376&lt;=90,"61-90","90+"))))</f>
        <v/>
      </c>
    </row>
    <row r="377">
      <c r="A377" s="24" t="inlineStr">
        <is>
          <t>Lepakshi</t>
        </is>
      </c>
      <c r="B377" s="24" t="inlineStr">
        <is>
          <t>100X100X3</t>
        </is>
      </c>
      <c r="C377" s="6" t="n">
        <v>46264</v>
      </c>
      <c r="D377" s="24" t="n">
        <v>732</v>
      </c>
      <c r="E377" s="25" t="n">
        <v>40.131</v>
      </c>
      <c r="F377" s="14">
        <f>AsOf-C377</f>
        <v/>
      </c>
      <c r="G377" s="11">
        <f>SUMIFS($D$2:$D$5000,$A$2:$A$5000,A377,$B$2:$B$5000,B377,$C$2:$C$5000,"&lt;="&amp;C377)</f>
        <v/>
      </c>
      <c r="H377" s="11">
        <f>SUMIFS(Dispatched!$C$2:$C$5000,Dispatched!$A$2:$A$5000,A377,Dispatched!$B$2:$B$5000,B377)</f>
        <v/>
      </c>
      <c r="I377" s="11">
        <f>MAX(0,MIN(D377,G377-H377))</f>
        <v/>
      </c>
      <c r="J377" s="26">
        <f>I377*E377/D377</f>
        <v/>
      </c>
      <c r="K377" s="10">
        <f>IF(I377=0,"Dispatched",IF(F377&lt;=30,"0-30",IF(F377&lt;=60,"31-60",IF(F377&lt;=90,"61-90","90+"))))</f>
        <v/>
      </c>
    </row>
    <row r="378">
      <c r="A378" s="24" t="inlineStr">
        <is>
          <t>Lepakshi</t>
        </is>
      </c>
      <c r="B378" s="24" t="inlineStr">
        <is>
          <t>100X100X3</t>
        </is>
      </c>
      <c r="C378" s="6" t="n">
        <v>46284</v>
      </c>
      <c r="D378" s="24" t="n">
        <v>260</v>
      </c>
      <c r="E378" s="25" t="n">
        <v>14.254</v>
      </c>
      <c r="F378" s="14">
        <f>AsOf-C378</f>
        <v/>
      </c>
      <c r="G378" s="11">
        <f>SUMIFS($D$2:$D$5000,$A$2:$A$5000,A378,$B$2:$B$5000,B378,$C$2:$C$5000,"&lt;="&amp;C378)</f>
        <v/>
      </c>
      <c r="H378" s="11">
        <f>SUMIFS(Dispatched!$C$2:$C$5000,Dispatched!$A$2:$A$5000,A378,Dispatched!$B$2:$B$5000,B378)</f>
        <v/>
      </c>
      <c r="I378" s="11">
        <f>MAX(0,MIN(D378,G378-H378))</f>
        <v/>
      </c>
      <c r="J378" s="26">
        <f>I378*E378/D378</f>
        <v/>
      </c>
      <c r="K378" s="10">
        <f>IF(I378=0,"Dispatched",IF(F378&lt;=30,"0-30",IF(F378&lt;=60,"31-60",IF(F378&lt;=90,"61-90","90+"))))</f>
        <v/>
      </c>
    </row>
    <row r="379">
      <c r="A379" s="24" t="inlineStr">
        <is>
          <t>Lepakshi</t>
        </is>
      </c>
      <c r="B379" s="24" t="inlineStr">
        <is>
          <t>100X100X4</t>
        </is>
      </c>
      <c r="C379" s="6" t="n">
        <v>46280</v>
      </c>
      <c r="D379" s="24" t="n">
        <v>520</v>
      </c>
      <c r="E379" s="25" t="n">
        <v>37.62</v>
      </c>
      <c r="F379" s="14">
        <f>AsOf-C379</f>
        <v/>
      </c>
      <c r="G379" s="11">
        <f>SUMIFS($D$2:$D$5000,$A$2:$A$5000,A379,$B$2:$B$5000,B379,$C$2:$C$5000,"&lt;="&amp;C379)</f>
        <v/>
      </c>
      <c r="H379" s="11">
        <f>SUMIFS(Dispatched!$C$2:$C$5000,Dispatched!$A$2:$A$5000,A379,Dispatched!$B$2:$B$5000,B379)</f>
        <v/>
      </c>
      <c r="I379" s="11">
        <f>MAX(0,MIN(D379,G379-H379))</f>
        <v/>
      </c>
      <c r="J379" s="26">
        <f>I379*E379/D379</f>
        <v/>
      </c>
      <c r="K379" s="10">
        <f>IF(I379=0,"Dispatched",IF(F379&lt;=30,"0-30",IF(F379&lt;=60,"31-60",IF(F379&lt;=90,"61-90","90+"))))</f>
        <v/>
      </c>
    </row>
    <row r="380">
      <c r="A380" s="24" t="inlineStr">
        <is>
          <t>Lepakshi</t>
        </is>
      </c>
      <c r="B380" s="24" t="inlineStr">
        <is>
          <t>100X100X5</t>
        </is>
      </c>
      <c r="C380" s="6" t="n">
        <v>46280</v>
      </c>
      <c r="D380" s="24" t="n">
        <v>168</v>
      </c>
      <c r="E380" s="25" t="n">
        <v>15.034</v>
      </c>
      <c r="F380" s="14">
        <f>AsOf-C380</f>
        <v/>
      </c>
      <c r="G380" s="11">
        <f>SUMIFS($D$2:$D$5000,$A$2:$A$5000,A380,$B$2:$B$5000,B380,$C$2:$C$5000,"&lt;="&amp;C380)</f>
        <v/>
      </c>
      <c r="H380" s="11">
        <f>SUMIFS(Dispatched!$C$2:$C$5000,Dispatched!$A$2:$A$5000,A380,Dispatched!$B$2:$B$5000,B380)</f>
        <v/>
      </c>
      <c r="I380" s="11">
        <f>MAX(0,MIN(D380,G380-H380))</f>
        <v/>
      </c>
      <c r="J380" s="26">
        <f>I380*E380/D380</f>
        <v/>
      </c>
      <c r="K380" s="10">
        <f>IF(I380=0,"Dispatched",IF(F380&lt;=30,"0-30",IF(F380&lt;=60,"31-60",IF(F380&lt;=90,"61-90","90+"))))</f>
        <v/>
      </c>
    </row>
    <row r="381">
      <c r="A381" s="24" t="inlineStr">
        <is>
          <t>Lepakshi</t>
        </is>
      </c>
      <c r="B381" s="24" t="inlineStr">
        <is>
          <t>100X100X5</t>
        </is>
      </c>
      <c r="C381" s="6" t="n">
        <v>46283</v>
      </c>
      <c r="D381" s="24" t="n">
        <v>328</v>
      </c>
      <c r="E381" s="25" t="n">
        <v>29.353</v>
      </c>
      <c r="F381" s="14">
        <f>AsOf-C381</f>
        <v/>
      </c>
      <c r="G381" s="11">
        <f>SUMIFS($D$2:$D$5000,$A$2:$A$5000,A381,$B$2:$B$5000,B381,$C$2:$C$5000,"&lt;="&amp;C381)</f>
        <v/>
      </c>
      <c r="H381" s="11">
        <f>SUMIFS(Dispatched!$C$2:$C$5000,Dispatched!$A$2:$A$5000,A381,Dispatched!$B$2:$B$5000,B381)</f>
        <v/>
      </c>
      <c r="I381" s="11">
        <f>MAX(0,MIN(D381,G381-H381))</f>
        <v/>
      </c>
      <c r="J381" s="26">
        <f>I381*E381/D381</f>
        <v/>
      </c>
      <c r="K381" s="10">
        <f>IF(I381=0,"Dispatched",IF(F381&lt;=30,"0-30",IF(F381&lt;=60,"31-60",IF(F381&lt;=90,"61-90","90+"))))</f>
        <v/>
      </c>
    </row>
    <row r="382">
      <c r="A382" s="24" t="inlineStr">
        <is>
          <t>Lepakshi</t>
        </is>
      </c>
      <c r="B382" s="24" t="inlineStr">
        <is>
          <t>100X100X5</t>
        </is>
      </c>
      <c r="C382" s="6" t="n">
        <v>46284</v>
      </c>
      <c r="D382" s="24" t="n">
        <v>82</v>
      </c>
      <c r="E382" s="25" t="n">
        <v>7.338</v>
      </c>
      <c r="F382" s="14">
        <f>AsOf-C382</f>
        <v/>
      </c>
      <c r="G382" s="11">
        <f>SUMIFS($D$2:$D$5000,$A$2:$A$5000,A382,$B$2:$B$5000,B382,$C$2:$C$5000,"&lt;="&amp;C382)</f>
        <v/>
      </c>
      <c r="H382" s="11">
        <f>SUMIFS(Dispatched!$C$2:$C$5000,Dispatched!$A$2:$A$5000,A382,Dispatched!$B$2:$B$5000,B382)</f>
        <v/>
      </c>
      <c r="I382" s="11">
        <f>MAX(0,MIN(D382,G382-H382))</f>
        <v/>
      </c>
      <c r="J382" s="26">
        <f>I382*E382/D382</f>
        <v/>
      </c>
      <c r="K382" s="10">
        <f>IF(I382=0,"Dispatched",IF(F382&lt;=30,"0-30",IF(F382&lt;=60,"31-60",IF(F382&lt;=90,"61-90","90+"))))</f>
        <v/>
      </c>
    </row>
    <row r="383">
      <c r="A383" s="24" t="inlineStr">
        <is>
          <t>Lepakshi</t>
        </is>
      </c>
      <c r="B383" s="24" t="inlineStr">
        <is>
          <t>122X61X2</t>
        </is>
      </c>
      <c r="C383" s="6" t="n">
        <v>46302</v>
      </c>
      <c r="D383" s="24" t="n">
        <v>535</v>
      </c>
      <c r="E383" s="25" t="n">
        <v>18.042</v>
      </c>
      <c r="F383" s="14">
        <f>AsOf-C383</f>
        <v/>
      </c>
      <c r="G383" s="11">
        <f>SUMIFS($D$2:$D$5000,$A$2:$A$5000,A383,$B$2:$B$5000,B383,$C$2:$C$5000,"&lt;="&amp;C383)</f>
        <v/>
      </c>
      <c r="H383" s="11">
        <f>SUMIFS(Dispatched!$C$2:$C$5000,Dispatched!$A$2:$A$5000,A383,Dispatched!$B$2:$B$5000,B383)</f>
        <v/>
      </c>
      <c r="I383" s="11">
        <f>MAX(0,MIN(D383,G383-H383))</f>
        <v/>
      </c>
      <c r="J383" s="26">
        <f>I383*E383/D383</f>
        <v/>
      </c>
      <c r="K383" s="10">
        <f>IF(I383=0,"Dispatched",IF(F383&lt;=30,"0-30",IF(F383&lt;=60,"31-60",IF(F383&lt;=90,"61-90","90+"))))</f>
        <v/>
      </c>
    </row>
    <row r="384">
      <c r="A384" s="24" t="inlineStr">
        <is>
          <t>Lepakshi</t>
        </is>
      </c>
      <c r="B384" s="24" t="inlineStr">
        <is>
          <t>122X61X2.5</t>
        </is>
      </c>
      <c r="C384" s="6" t="n">
        <v>46298</v>
      </c>
      <c r="D384" s="24" t="n">
        <v>100</v>
      </c>
      <c r="E384" s="25" t="n">
        <v>4.192</v>
      </c>
      <c r="F384" s="14">
        <f>AsOf-C384</f>
        <v/>
      </c>
      <c r="G384" s="11">
        <f>SUMIFS($D$2:$D$5000,$A$2:$A$5000,A384,$B$2:$B$5000,B384,$C$2:$C$5000,"&lt;="&amp;C384)</f>
        <v/>
      </c>
      <c r="H384" s="11">
        <f>SUMIFS(Dispatched!$C$2:$C$5000,Dispatched!$A$2:$A$5000,A384,Dispatched!$B$2:$B$5000,B384)</f>
        <v/>
      </c>
      <c r="I384" s="11">
        <f>MAX(0,MIN(D384,G384-H384))</f>
        <v/>
      </c>
      <c r="J384" s="26">
        <f>I384*E384/D384</f>
        <v/>
      </c>
      <c r="K384" s="10">
        <f>IF(I384=0,"Dispatched",IF(F384&lt;=30,"0-30",IF(F384&lt;=60,"31-60",IF(F384&lt;=90,"61-90","90+"))))</f>
        <v/>
      </c>
    </row>
    <row r="385">
      <c r="A385" s="24" t="inlineStr">
        <is>
          <t>Lepakshi</t>
        </is>
      </c>
      <c r="B385" s="24" t="inlineStr">
        <is>
          <t>122X61X2.5</t>
        </is>
      </c>
      <c r="C385" s="6" t="n">
        <v>46299</v>
      </c>
      <c r="D385" s="24" t="n">
        <v>253</v>
      </c>
      <c r="E385" s="25" t="n">
        <v>10.606</v>
      </c>
      <c r="F385" s="14">
        <f>AsOf-C385</f>
        <v/>
      </c>
      <c r="G385" s="11">
        <f>SUMIFS($D$2:$D$5000,$A$2:$A$5000,A385,$B$2:$B$5000,B385,$C$2:$C$5000,"&lt;="&amp;C385)</f>
        <v/>
      </c>
      <c r="H385" s="11">
        <f>SUMIFS(Dispatched!$C$2:$C$5000,Dispatched!$A$2:$A$5000,A385,Dispatched!$B$2:$B$5000,B385)</f>
        <v/>
      </c>
      <c r="I385" s="11">
        <f>MAX(0,MIN(D385,G385-H385))</f>
        <v/>
      </c>
      <c r="J385" s="26">
        <f>I385*E385/D385</f>
        <v/>
      </c>
      <c r="K385" s="10">
        <f>IF(I385=0,"Dispatched",IF(F385&lt;=30,"0-30",IF(F385&lt;=60,"31-60",IF(F385&lt;=90,"61-90","90+"))))</f>
        <v/>
      </c>
    </row>
    <row r="386">
      <c r="A386" s="24" t="inlineStr">
        <is>
          <t>Lepakshi</t>
        </is>
      </c>
      <c r="B386" s="24" t="inlineStr">
        <is>
          <t>122X61X2.5</t>
        </is>
      </c>
      <c r="C386" s="6" t="n">
        <v>46302</v>
      </c>
      <c r="D386" s="24" t="n">
        <v>415</v>
      </c>
      <c r="E386" s="25" t="n">
        <v>17.396</v>
      </c>
      <c r="F386" s="14">
        <f>AsOf-C386</f>
        <v/>
      </c>
      <c r="G386" s="11">
        <f>SUMIFS($D$2:$D$5000,$A$2:$A$5000,A386,$B$2:$B$5000,B386,$C$2:$C$5000,"&lt;="&amp;C386)</f>
        <v/>
      </c>
      <c r="H386" s="11">
        <f>SUMIFS(Dispatched!$C$2:$C$5000,Dispatched!$A$2:$A$5000,A386,Dispatched!$B$2:$B$5000,B386)</f>
        <v/>
      </c>
      <c r="I386" s="11">
        <f>MAX(0,MIN(D386,G386-H386))</f>
        <v/>
      </c>
      <c r="J386" s="26">
        <f>I386*E386/D386</f>
        <v/>
      </c>
      <c r="K386" s="10">
        <f>IF(I386=0,"Dispatched",IF(F386&lt;=30,"0-30",IF(F386&lt;=60,"31-60",IF(F386&lt;=90,"61-90","90+"))))</f>
        <v/>
      </c>
    </row>
    <row r="387">
      <c r="A387" s="24" t="inlineStr">
        <is>
          <t>Lepakshi</t>
        </is>
      </c>
      <c r="B387" s="24" t="inlineStr">
        <is>
          <t>122X61X3</t>
        </is>
      </c>
      <c r="C387" s="6" t="n">
        <v>46299</v>
      </c>
      <c r="D387" s="24" t="n">
        <v>199</v>
      </c>
      <c r="E387" s="25" t="n">
        <v>9.954000000000001</v>
      </c>
      <c r="F387" s="14">
        <f>AsOf-C387</f>
        <v/>
      </c>
      <c r="G387" s="11">
        <f>SUMIFS($D$2:$D$5000,$A$2:$A$5000,A387,$B$2:$B$5000,B387,$C$2:$C$5000,"&lt;="&amp;C387)</f>
        <v/>
      </c>
      <c r="H387" s="11">
        <f>SUMIFS(Dispatched!$C$2:$C$5000,Dispatched!$A$2:$A$5000,A387,Dispatched!$B$2:$B$5000,B387)</f>
        <v/>
      </c>
      <c r="I387" s="11">
        <f>MAX(0,MIN(D387,G387-H387))</f>
        <v/>
      </c>
      <c r="J387" s="26">
        <f>I387*E387/D387</f>
        <v/>
      </c>
      <c r="K387" s="10">
        <f>IF(I387=0,"Dispatched",IF(F387&lt;=30,"0-30",IF(F387&lt;=60,"31-60",IF(F387&lt;=90,"61-90","90+"))))</f>
        <v/>
      </c>
    </row>
    <row r="388">
      <c r="A388" s="24" t="inlineStr">
        <is>
          <t>Lepakshi</t>
        </is>
      </c>
      <c r="B388" s="24" t="inlineStr">
        <is>
          <t>122X61X3</t>
        </is>
      </c>
      <c r="C388" s="6" t="n">
        <v>46300</v>
      </c>
      <c r="D388" s="24" t="n">
        <v>336</v>
      </c>
      <c r="E388" s="25" t="n">
        <v>16.807</v>
      </c>
      <c r="F388" s="14">
        <f>AsOf-C388</f>
        <v/>
      </c>
      <c r="G388" s="11">
        <f>SUMIFS($D$2:$D$5000,$A$2:$A$5000,A388,$B$2:$B$5000,B388,$C$2:$C$5000,"&lt;="&amp;C388)</f>
        <v/>
      </c>
      <c r="H388" s="11">
        <f>SUMIFS(Dispatched!$C$2:$C$5000,Dispatched!$A$2:$A$5000,A388,Dispatched!$B$2:$B$5000,B388)</f>
        <v/>
      </c>
      <c r="I388" s="11">
        <f>MAX(0,MIN(D388,G388-H388))</f>
        <v/>
      </c>
      <c r="J388" s="26">
        <f>I388*E388/D388</f>
        <v/>
      </c>
      <c r="K388" s="10">
        <f>IF(I388=0,"Dispatched",IF(F388&lt;=30,"0-30",IF(F388&lt;=60,"31-60",IF(F388&lt;=90,"61-90","90+"))))</f>
        <v/>
      </c>
    </row>
    <row r="389">
      <c r="A389" s="24" t="inlineStr">
        <is>
          <t>Lepakshi</t>
        </is>
      </c>
      <c r="B389" s="24" t="inlineStr">
        <is>
          <t>122X61X4</t>
        </is>
      </c>
      <c r="C389" s="6" t="n">
        <v>46300</v>
      </c>
      <c r="D389" s="24" t="n">
        <v>207</v>
      </c>
      <c r="E389" s="25" t="n">
        <v>13.65</v>
      </c>
      <c r="F389" s="14">
        <f>AsOf-C389</f>
        <v/>
      </c>
      <c r="G389" s="11">
        <f>SUMIFS($D$2:$D$5000,$A$2:$A$5000,A389,$B$2:$B$5000,B389,$C$2:$C$5000,"&lt;="&amp;C389)</f>
        <v/>
      </c>
      <c r="H389" s="11">
        <f>SUMIFS(Dispatched!$C$2:$C$5000,Dispatched!$A$2:$A$5000,A389,Dispatched!$B$2:$B$5000,B389)</f>
        <v/>
      </c>
      <c r="I389" s="11">
        <f>MAX(0,MIN(D389,G389-H389))</f>
        <v/>
      </c>
      <c r="J389" s="26">
        <f>I389*E389/D389</f>
        <v/>
      </c>
      <c r="K389" s="10">
        <f>IF(I389=0,"Dispatched",IF(F389&lt;=30,"0-30",IF(F389&lt;=60,"31-60",IF(F389&lt;=90,"61-90","90+"))))</f>
        <v/>
      </c>
    </row>
    <row r="390">
      <c r="A390" s="24" t="inlineStr">
        <is>
          <t>Lepakshi</t>
        </is>
      </c>
      <c r="B390" s="24" t="inlineStr">
        <is>
          <t>122X61X4</t>
        </is>
      </c>
      <c r="C390" s="6" t="n">
        <v>46301</v>
      </c>
      <c r="D390" s="24" t="n">
        <v>515</v>
      </c>
      <c r="E390" s="25" t="n">
        <v>33.959</v>
      </c>
      <c r="F390" s="14">
        <f>AsOf-C390</f>
        <v/>
      </c>
      <c r="G390" s="11">
        <f>SUMIFS($D$2:$D$5000,$A$2:$A$5000,A390,$B$2:$B$5000,B390,$C$2:$C$5000,"&lt;="&amp;C390)</f>
        <v/>
      </c>
      <c r="H390" s="11">
        <f>SUMIFS(Dispatched!$C$2:$C$5000,Dispatched!$A$2:$A$5000,A390,Dispatched!$B$2:$B$5000,B390)</f>
        <v/>
      </c>
      <c r="I390" s="11">
        <f>MAX(0,MIN(D390,G390-H390))</f>
        <v/>
      </c>
      <c r="J390" s="26">
        <f>I390*E390/D390</f>
        <v/>
      </c>
      <c r="K390" s="10">
        <f>IF(I390=0,"Dispatched",IF(F390&lt;=30,"0-30",IF(F390&lt;=60,"31-60",IF(F390&lt;=90,"61-90","90+"))))</f>
        <v/>
      </c>
    </row>
    <row r="391">
      <c r="A391" s="24" t="inlineStr">
        <is>
          <t>Lepakshi</t>
        </is>
      </c>
      <c r="B391" s="24" t="inlineStr">
        <is>
          <t>122X61X5</t>
        </is>
      </c>
      <c r="C391" s="6" t="n">
        <v>46301</v>
      </c>
      <c r="D391" s="24" t="n">
        <v>216</v>
      </c>
      <c r="E391" s="25" t="n">
        <v>17.6</v>
      </c>
      <c r="F391" s="14">
        <f>AsOf-C391</f>
        <v/>
      </c>
      <c r="G391" s="11">
        <f>SUMIFS($D$2:$D$5000,$A$2:$A$5000,A391,$B$2:$B$5000,B391,$C$2:$C$5000,"&lt;="&amp;C391)</f>
        <v/>
      </c>
      <c r="H391" s="11">
        <f>SUMIFS(Dispatched!$C$2:$C$5000,Dispatched!$A$2:$A$5000,A391,Dispatched!$B$2:$B$5000,B391)</f>
        <v/>
      </c>
      <c r="I391" s="11">
        <f>MAX(0,MIN(D391,G391-H391))</f>
        <v/>
      </c>
      <c r="J391" s="26">
        <f>I391*E391/D391</f>
        <v/>
      </c>
      <c r="K391" s="10">
        <f>IF(I391=0,"Dispatched",IF(F391&lt;=30,"0-30",IF(F391&lt;=60,"31-60",IF(F391&lt;=90,"61-90","90+"))))</f>
        <v/>
      </c>
    </row>
    <row r="392">
      <c r="A392" s="24" t="inlineStr">
        <is>
          <t>Lepakshi</t>
        </is>
      </c>
      <c r="B392" s="24" t="inlineStr">
        <is>
          <t>122X61X5</t>
        </is>
      </c>
      <c r="C392" s="6" t="n">
        <v>46302</v>
      </c>
      <c r="D392" s="24" t="n">
        <v>173</v>
      </c>
      <c r="E392" s="25" t="n">
        <v>14.097</v>
      </c>
      <c r="F392" s="14">
        <f>AsOf-C392</f>
        <v/>
      </c>
      <c r="G392" s="11">
        <f>SUMIFS($D$2:$D$5000,$A$2:$A$5000,A392,$B$2:$B$5000,B392,$C$2:$C$5000,"&lt;="&amp;C392)</f>
        <v/>
      </c>
      <c r="H392" s="11">
        <f>SUMIFS(Dispatched!$C$2:$C$5000,Dispatched!$A$2:$A$5000,A392,Dispatched!$B$2:$B$5000,B392)</f>
        <v/>
      </c>
      <c r="I392" s="11">
        <f>MAX(0,MIN(D392,G392-H392))</f>
        <v/>
      </c>
      <c r="J392" s="26">
        <f>I392*E392/D392</f>
        <v/>
      </c>
      <c r="K392" s="10">
        <f>IF(I392=0,"Dispatched",IF(F392&lt;=30,"0-30",IF(F392&lt;=60,"31-60",IF(F392&lt;=90,"61-90","90+"))))</f>
        <v/>
      </c>
    </row>
    <row r="393">
      <c r="A393" s="24" t="inlineStr">
        <is>
          <t>Lepakshi</t>
        </is>
      </c>
      <c r="B393" s="24" t="inlineStr">
        <is>
          <t>40X40X2</t>
        </is>
      </c>
      <c r="C393" s="6" t="n">
        <v>46268</v>
      </c>
      <c r="D393" s="24" t="n">
        <v>2355</v>
      </c>
      <c r="E393" s="25" t="n">
        <v>33.72</v>
      </c>
      <c r="F393" s="14">
        <f>AsOf-C393</f>
        <v/>
      </c>
      <c r="G393" s="11">
        <f>SUMIFS($D$2:$D$5000,$A$2:$A$5000,A393,$B$2:$B$5000,B393,$C$2:$C$5000,"&lt;="&amp;C393)</f>
        <v/>
      </c>
      <c r="H393" s="11">
        <f>SUMIFS(Dispatched!$C$2:$C$5000,Dispatched!$A$2:$A$5000,A393,Dispatched!$B$2:$B$5000,B393)</f>
        <v/>
      </c>
      <c r="I393" s="11">
        <f>MAX(0,MIN(D393,G393-H393))</f>
        <v/>
      </c>
      <c r="J393" s="26">
        <f>I393*E393/D393</f>
        <v/>
      </c>
      <c r="K393" s="10">
        <f>IF(I393=0,"Dispatched",IF(F393&lt;=30,"0-30",IF(F393&lt;=60,"31-60",IF(F393&lt;=90,"61-90","90+"))))</f>
        <v/>
      </c>
    </row>
    <row r="394">
      <c r="A394" s="24" t="inlineStr">
        <is>
          <t>Lepakshi</t>
        </is>
      </c>
      <c r="B394" s="24" t="inlineStr">
        <is>
          <t>40X40X2</t>
        </is>
      </c>
      <c r="C394" s="6" t="n">
        <v>46290</v>
      </c>
      <c r="D394" s="24" t="n">
        <v>1000</v>
      </c>
      <c r="E394" s="25" t="n">
        <v>14.318</v>
      </c>
      <c r="F394" s="14">
        <f>AsOf-C394</f>
        <v/>
      </c>
      <c r="G394" s="11">
        <f>SUMIFS($D$2:$D$5000,$A$2:$A$5000,A394,$B$2:$B$5000,B394,$C$2:$C$5000,"&lt;="&amp;C394)</f>
        <v/>
      </c>
      <c r="H394" s="11">
        <f>SUMIFS(Dispatched!$C$2:$C$5000,Dispatched!$A$2:$A$5000,A394,Dispatched!$B$2:$B$5000,B394)</f>
        <v/>
      </c>
      <c r="I394" s="11">
        <f>MAX(0,MIN(D394,G394-H394))</f>
        <v/>
      </c>
      <c r="J394" s="26">
        <f>I394*E394/D394</f>
        <v/>
      </c>
      <c r="K394" s="10">
        <f>IF(I394=0,"Dispatched",IF(F394&lt;=30,"0-30",IF(F394&lt;=60,"31-60",IF(F394&lt;=90,"61-90","90+"))))</f>
        <v/>
      </c>
    </row>
    <row r="395">
      <c r="A395" s="24" t="inlineStr">
        <is>
          <t>Lepakshi</t>
        </is>
      </c>
      <c r="B395" s="24" t="inlineStr">
        <is>
          <t>40X40X2</t>
        </is>
      </c>
      <c r="C395" s="6" t="n">
        <v>46291</v>
      </c>
      <c r="D395" s="24" t="n">
        <v>200</v>
      </c>
      <c r="E395" s="25" t="n">
        <v>2.864</v>
      </c>
      <c r="F395" s="14">
        <f>AsOf-C395</f>
        <v/>
      </c>
      <c r="G395" s="11">
        <f>SUMIFS($D$2:$D$5000,$A$2:$A$5000,A395,$B$2:$B$5000,B395,$C$2:$C$5000,"&lt;="&amp;C395)</f>
        <v/>
      </c>
      <c r="H395" s="11">
        <f>SUMIFS(Dispatched!$C$2:$C$5000,Dispatched!$A$2:$A$5000,A395,Dispatched!$B$2:$B$5000,B395)</f>
        <v/>
      </c>
      <c r="I395" s="11">
        <f>MAX(0,MIN(D395,G395-H395))</f>
        <v/>
      </c>
      <c r="J395" s="26">
        <f>I395*E395/D395</f>
        <v/>
      </c>
      <c r="K395" s="10">
        <f>IF(I395=0,"Dispatched",IF(F395&lt;=30,"0-30",IF(F395&lt;=60,"31-60",IF(F395&lt;=90,"61-90","90+"))))</f>
        <v/>
      </c>
    </row>
    <row r="396">
      <c r="A396" s="24" t="inlineStr">
        <is>
          <t>Lepakshi</t>
        </is>
      </c>
      <c r="B396" s="24" t="inlineStr">
        <is>
          <t>40X40X2.5</t>
        </is>
      </c>
      <c r="C396" s="6" t="n">
        <v>46268</v>
      </c>
      <c r="D396" s="24" t="n">
        <v>1280</v>
      </c>
      <c r="E396" s="25" t="n">
        <v>22.608</v>
      </c>
      <c r="F396" s="14">
        <f>AsOf-C396</f>
        <v/>
      </c>
      <c r="G396" s="11">
        <f>SUMIFS($D$2:$D$5000,$A$2:$A$5000,A396,$B$2:$B$5000,B396,$C$2:$C$5000,"&lt;="&amp;C396)</f>
        <v/>
      </c>
      <c r="H396" s="11">
        <f>SUMIFS(Dispatched!$C$2:$C$5000,Dispatched!$A$2:$A$5000,A396,Dispatched!$B$2:$B$5000,B396)</f>
        <v/>
      </c>
      <c r="I396" s="11">
        <f>MAX(0,MIN(D396,G396-H396))</f>
        <v/>
      </c>
      <c r="J396" s="26">
        <f>I396*E396/D396</f>
        <v/>
      </c>
      <c r="K396" s="10">
        <f>IF(I396=0,"Dispatched",IF(F396&lt;=30,"0-30",IF(F396&lt;=60,"31-60",IF(F396&lt;=90,"61-90","90+"))))</f>
        <v/>
      </c>
    </row>
    <row r="397">
      <c r="A397" s="24" t="inlineStr">
        <is>
          <t>Lepakshi</t>
        </is>
      </c>
      <c r="B397" s="24" t="inlineStr">
        <is>
          <t>40X40X3</t>
        </is>
      </c>
      <c r="C397" s="6" t="n">
        <v>46294</v>
      </c>
      <c r="D397" s="24" t="n">
        <v>432</v>
      </c>
      <c r="E397" s="25" t="n">
        <v>9.034000000000001</v>
      </c>
      <c r="F397" s="14">
        <f>AsOf-C397</f>
        <v/>
      </c>
      <c r="G397" s="11">
        <f>SUMIFS($D$2:$D$5000,$A$2:$A$5000,A397,$B$2:$B$5000,B397,$C$2:$C$5000,"&lt;="&amp;C397)</f>
        <v/>
      </c>
      <c r="H397" s="11">
        <f>SUMIFS(Dispatched!$C$2:$C$5000,Dispatched!$A$2:$A$5000,A397,Dispatched!$B$2:$B$5000,B397)</f>
        <v/>
      </c>
      <c r="I397" s="11">
        <f>MAX(0,MIN(D397,G397-H397))</f>
        <v/>
      </c>
      <c r="J397" s="26">
        <f>I397*E397/D397</f>
        <v/>
      </c>
      <c r="K397" s="10">
        <f>IF(I397=0,"Dispatched",IF(F397&lt;=30,"0-30",IF(F397&lt;=60,"31-60",IF(F397&lt;=90,"61-90","90+"))))</f>
        <v/>
      </c>
    </row>
    <row r="398">
      <c r="A398" s="24" t="inlineStr">
        <is>
          <t>Lepakshi</t>
        </is>
      </c>
      <c r="B398" s="24" t="inlineStr">
        <is>
          <t>40X40X3</t>
        </is>
      </c>
      <c r="C398" s="6" t="n">
        <v>46295</v>
      </c>
      <c r="D398" s="24" t="n">
        <v>706</v>
      </c>
      <c r="E398" s="25" t="n">
        <v>14.764</v>
      </c>
      <c r="F398" s="14">
        <f>AsOf-C398</f>
        <v/>
      </c>
      <c r="G398" s="11">
        <f>SUMIFS($D$2:$D$5000,$A$2:$A$5000,A398,$B$2:$B$5000,B398,$C$2:$C$5000,"&lt;="&amp;C398)</f>
        <v/>
      </c>
      <c r="H398" s="11">
        <f>SUMIFS(Dispatched!$C$2:$C$5000,Dispatched!$A$2:$A$5000,A398,Dispatched!$B$2:$B$5000,B398)</f>
        <v/>
      </c>
      <c r="I398" s="11">
        <f>MAX(0,MIN(D398,G398-H398))</f>
        <v/>
      </c>
      <c r="J398" s="26">
        <f>I398*E398/D398</f>
        <v/>
      </c>
      <c r="K398" s="10">
        <f>IF(I398=0,"Dispatched",IF(F398&lt;=30,"0-30",IF(F398&lt;=60,"31-60",IF(F398&lt;=90,"61-90","90+"))))</f>
        <v/>
      </c>
    </row>
    <row r="399">
      <c r="A399" s="24" t="inlineStr">
        <is>
          <t>Lepakshi</t>
        </is>
      </c>
      <c r="B399" s="24" t="inlineStr">
        <is>
          <t>40X40X3</t>
        </is>
      </c>
      <c r="C399" s="6" t="n">
        <v>46300</v>
      </c>
      <c r="D399" s="24" t="n">
        <v>680</v>
      </c>
      <c r="E399" s="25" t="n">
        <v>14.22</v>
      </c>
      <c r="F399" s="14">
        <f>AsOf-C399</f>
        <v/>
      </c>
      <c r="G399" s="11">
        <f>SUMIFS($D$2:$D$5000,$A$2:$A$5000,A399,$B$2:$B$5000,B399,$C$2:$C$5000,"&lt;="&amp;C399)</f>
        <v/>
      </c>
      <c r="H399" s="11">
        <f>SUMIFS(Dispatched!$C$2:$C$5000,Dispatched!$A$2:$A$5000,A399,Dispatched!$B$2:$B$5000,B399)</f>
        <v/>
      </c>
      <c r="I399" s="11">
        <f>MAX(0,MIN(D399,G399-H399))</f>
        <v/>
      </c>
      <c r="J399" s="26">
        <f>I399*E399/D399</f>
        <v/>
      </c>
      <c r="K399" s="10">
        <f>IF(I399=0,"Dispatched",IF(F399&lt;=30,"0-30",IF(F399&lt;=60,"31-60",IF(F399&lt;=90,"61-90","90+"))))</f>
        <v/>
      </c>
    </row>
    <row r="400">
      <c r="A400" s="24" t="inlineStr">
        <is>
          <t>Lepakshi</t>
        </is>
      </c>
      <c r="B400" s="24" t="inlineStr">
        <is>
          <t>40X40X3</t>
        </is>
      </c>
      <c r="C400" s="6" t="n">
        <v>46301</v>
      </c>
      <c r="D400" s="24" t="n">
        <v>952</v>
      </c>
      <c r="E400" s="25" t="n">
        <v>19.909</v>
      </c>
      <c r="F400" s="14">
        <f>AsOf-C400</f>
        <v/>
      </c>
      <c r="G400" s="11">
        <f>SUMIFS($D$2:$D$5000,$A$2:$A$5000,A400,$B$2:$B$5000,B400,$C$2:$C$5000,"&lt;="&amp;C400)</f>
        <v/>
      </c>
      <c r="H400" s="11">
        <f>SUMIFS(Dispatched!$C$2:$C$5000,Dispatched!$A$2:$A$5000,A400,Dispatched!$B$2:$B$5000,B400)</f>
        <v/>
      </c>
      <c r="I400" s="11">
        <f>MAX(0,MIN(D400,G400-H400))</f>
        <v/>
      </c>
      <c r="J400" s="26">
        <f>I400*E400/D400</f>
        <v/>
      </c>
      <c r="K400" s="10">
        <f>IF(I400=0,"Dispatched",IF(F400&lt;=30,"0-30",IF(F400&lt;=60,"31-60",IF(F400&lt;=90,"61-90","90+"))))</f>
        <v/>
      </c>
    </row>
    <row r="401">
      <c r="A401" s="24" t="inlineStr">
        <is>
          <t>Lepakshi</t>
        </is>
      </c>
      <c r="B401" s="24" t="inlineStr">
        <is>
          <t>72X72X2</t>
        </is>
      </c>
      <c r="C401" s="6" t="n">
        <v>46286</v>
      </c>
      <c r="D401" s="24" t="n">
        <v>835</v>
      </c>
      <c r="E401" s="25" t="n">
        <v>22.024</v>
      </c>
      <c r="F401" s="14">
        <f>AsOf-C401</f>
        <v/>
      </c>
      <c r="G401" s="11">
        <f>SUMIFS($D$2:$D$5000,$A$2:$A$5000,A401,$B$2:$B$5000,B401,$C$2:$C$5000,"&lt;="&amp;C401)</f>
        <v/>
      </c>
      <c r="H401" s="11">
        <f>SUMIFS(Dispatched!$C$2:$C$5000,Dispatched!$A$2:$A$5000,A401,Dispatched!$B$2:$B$5000,B401)</f>
        <v/>
      </c>
      <c r="I401" s="11">
        <f>MAX(0,MIN(D401,G401-H401))</f>
        <v/>
      </c>
      <c r="J401" s="26">
        <f>I401*E401/D401</f>
        <v/>
      </c>
      <c r="K401" s="10">
        <f>IF(I401=0,"Dispatched",IF(F401&lt;=30,"0-30",IF(F401&lt;=60,"31-60",IF(F401&lt;=90,"61-90","90+"))))</f>
        <v/>
      </c>
    </row>
    <row r="402">
      <c r="A402" s="24" t="inlineStr">
        <is>
          <t>Lepakshi</t>
        </is>
      </c>
      <c r="B402" s="24" t="inlineStr">
        <is>
          <t>72X72X2</t>
        </is>
      </c>
      <c r="C402" s="6" t="n">
        <v>46287</v>
      </c>
      <c r="D402" s="24" t="n">
        <v>625</v>
      </c>
      <c r="E402" s="25" t="n">
        <v>16.485</v>
      </c>
      <c r="F402" s="14">
        <f>AsOf-C402</f>
        <v/>
      </c>
      <c r="G402" s="11">
        <f>SUMIFS($D$2:$D$5000,$A$2:$A$5000,A402,$B$2:$B$5000,B402,$C$2:$C$5000,"&lt;="&amp;C402)</f>
        <v/>
      </c>
      <c r="H402" s="11">
        <f>SUMIFS(Dispatched!$C$2:$C$5000,Dispatched!$A$2:$A$5000,A402,Dispatched!$B$2:$B$5000,B402)</f>
        <v/>
      </c>
      <c r="I402" s="11">
        <f>MAX(0,MIN(D402,G402-H402))</f>
        <v/>
      </c>
      <c r="J402" s="26">
        <f>I402*E402/D402</f>
        <v/>
      </c>
      <c r="K402" s="10">
        <f>IF(I402=0,"Dispatched",IF(F402&lt;=30,"0-30",IF(F402&lt;=60,"31-60",IF(F402&lt;=90,"61-90","90+"))))</f>
        <v/>
      </c>
    </row>
    <row r="403">
      <c r="A403" s="24" t="inlineStr">
        <is>
          <t>Lepakshi</t>
        </is>
      </c>
      <c r="B403" s="24" t="inlineStr">
        <is>
          <t>72X72X2.5</t>
        </is>
      </c>
      <c r="C403" s="6" t="n">
        <v>46289</v>
      </c>
      <c r="D403" s="24" t="n">
        <v>793</v>
      </c>
      <c r="E403" s="25" t="n">
        <v>25.958</v>
      </c>
      <c r="F403" s="14">
        <f>AsOf-C403</f>
        <v/>
      </c>
      <c r="G403" s="11">
        <f>SUMIFS($D$2:$D$5000,$A$2:$A$5000,A403,$B$2:$B$5000,B403,$C$2:$C$5000,"&lt;="&amp;C403)</f>
        <v/>
      </c>
      <c r="H403" s="11">
        <f>SUMIFS(Dispatched!$C$2:$C$5000,Dispatched!$A$2:$A$5000,A403,Dispatched!$B$2:$B$5000,B403)</f>
        <v/>
      </c>
      <c r="I403" s="11">
        <f>MAX(0,MIN(D403,G403-H403))</f>
        <v/>
      </c>
      <c r="J403" s="26">
        <f>I403*E403/D403</f>
        <v/>
      </c>
      <c r="K403" s="10">
        <f>IF(I403=0,"Dispatched",IF(F403&lt;=30,"0-30",IF(F403&lt;=60,"31-60",IF(F403&lt;=90,"61-90","90+"))))</f>
        <v/>
      </c>
    </row>
    <row r="404">
      <c r="A404" s="24" t="inlineStr">
        <is>
          <t>Lepakshi</t>
        </is>
      </c>
      <c r="B404" s="24" t="inlineStr">
        <is>
          <t>72X72X3</t>
        </is>
      </c>
      <c r="C404" s="6" t="n">
        <v>46287</v>
      </c>
      <c r="D404" s="24" t="n">
        <v>802</v>
      </c>
      <c r="E404" s="25" t="n">
        <v>31.277</v>
      </c>
      <c r="F404" s="14">
        <f>AsOf-C404</f>
        <v/>
      </c>
      <c r="G404" s="11">
        <f>SUMIFS($D$2:$D$5000,$A$2:$A$5000,A404,$B$2:$B$5000,B404,$C$2:$C$5000,"&lt;="&amp;C404)</f>
        <v/>
      </c>
      <c r="H404" s="11">
        <f>SUMIFS(Dispatched!$C$2:$C$5000,Dispatched!$A$2:$A$5000,A404,Dispatched!$B$2:$B$5000,B404)</f>
        <v/>
      </c>
      <c r="I404" s="11">
        <f>MAX(0,MIN(D404,G404-H404))</f>
        <v/>
      </c>
      <c r="J404" s="26">
        <f>I404*E404/D404</f>
        <v/>
      </c>
      <c r="K404" s="10">
        <f>IF(I404=0,"Dispatched",IF(F404&lt;=30,"0-30",IF(F404&lt;=60,"31-60",IF(F404&lt;=90,"61-90","90+"))))</f>
        <v/>
      </c>
    </row>
    <row r="405">
      <c r="A405" s="24" t="inlineStr">
        <is>
          <t>Lepakshi</t>
        </is>
      </c>
      <c r="B405" s="24" t="inlineStr">
        <is>
          <t>72X72X4</t>
        </is>
      </c>
      <c r="C405" s="6" t="n">
        <v>46288</v>
      </c>
      <c r="D405" s="24" t="n">
        <v>306</v>
      </c>
      <c r="E405" s="25" t="n">
        <v>15.681</v>
      </c>
      <c r="F405" s="14">
        <f>AsOf-C405</f>
        <v/>
      </c>
      <c r="G405" s="11">
        <f>SUMIFS($D$2:$D$5000,$A$2:$A$5000,A405,$B$2:$B$5000,B405,$C$2:$C$5000,"&lt;="&amp;C405)</f>
        <v/>
      </c>
      <c r="H405" s="11">
        <f>SUMIFS(Dispatched!$C$2:$C$5000,Dispatched!$A$2:$A$5000,A405,Dispatched!$B$2:$B$5000,B405)</f>
        <v/>
      </c>
      <c r="I405" s="11">
        <f>MAX(0,MIN(D405,G405-H405))</f>
        <v/>
      </c>
      <c r="J405" s="26">
        <f>I405*E405/D405</f>
        <v/>
      </c>
      <c r="K405" s="10">
        <f>IF(I405=0,"Dispatched",IF(F405&lt;=30,"0-30",IF(F405&lt;=60,"31-60",IF(F405&lt;=90,"61-90","90+"))))</f>
        <v/>
      </c>
    </row>
    <row r="406">
      <c r="A406" s="24" t="inlineStr">
        <is>
          <t>Lepakshi</t>
        </is>
      </c>
      <c r="B406" s="24" t="inlineStr">
        <is>
          <t>72X72X4</t>
        </is>
      </c>
      <c r="C406" s="6" t="n">
        <v>46289</v>
      </c>
      <c r="D406" s="24" t="n">
        <v>400</v>
      </c>
      <c r="E406" s="25" t="n">
        <v>20.498</v>
      </c>
      <c r="F406" s="14">
        <f>AsOf-C406</f>
        <v/>
      </c>
      <c r="G406" s="11">
        <f>SUMIFS($D$2:$D$5000,$A$2:$A$5000,A406,$B$2:$B$5000,B406,$C$2:$C$5000,"&lt;="&amp;C406)</f>
        <v/>
      </c>
      <c r="H406" s="11">
        <f>SUMIFS(Dispatched!$C$2:$C$5000,Dispatched!$A$2:$A$5000,A406,Dispatched!$B$2:$B$5000,B406)</f>
        <v/>
      </c>
      <c r="I406" s="11">
        <f>MAX(0,MIN(D406,G406-H406))</f>
        <v/>
      </c>
      <c r="J406" s="26">
        <f>I406*E406/D406</f>
        <v/>
      </c>
      <c r="K406" s="10">
        <f>IF(I406=0,"Dispatched",IF(F406&lt;=30,"0-30",IF(F406&lt;=60,"31-60",IF(F406&lt;=90,"61-90","90+"))))</f>
        <v/>
      </c>
    </row>
    <row r="407">
      <c r="A407" s="24" t="inlineStr">
        <is>
          <t>Lepakshi</t>
        </is>
      </c>
      <c r="B407" s="24" t="inlineStr">
        <is>
          <t>72X72X5</t>
        </is>
      </c>
      <c r="C407" s="6" t="n">
        <v>46287</v>
      </c>
      <c r="D407" s="24" t="n">
        <v>170</v>
      </c>
      <c r="E407" s="25" t="n">
        <v>10.729</v>
      </c>
      <c r="F407" s="14">
        <f>AsOf-C407</f>
        <v/>
      </c>
      <c r="G407" s="11">
        <f>SUMIFS($D$2:$D$5000,$A$2:$A$5000,A407,$B$2:$B$5000,B407,$C$2:$C$5000,"&lt;="&amp;C407)</f>
        <v/>
      </c>
      <c r="H407" s="11">
        <f>SUMIFS(Dispatched!$C$2:$C$5000,Dispatched!$A$2:$A$5000,A407,Dispatched!$B$2:$B$5000,B407)</f>
        <v/>
      </c>
      <c r="I407" s="11">
        <f>MAX(0,MIN(D407,G407-H407))</f>
        <v/>
      </c>
      <c r="J407" s="26">
        <f>I407*E407/D407</f>
        <v/>
      </c>
      <c r="K407" s="10">
        <f>IF(I407=0,"Dispatched",IF(F407&lt;=30,"0-30",IF(F407&lt;=60,"31-60",IF(F407&lt;=90,"61-90","90+"))))</f>
        <v/>
      </c>
    </row>
    <row r="408">
      <c r="A408" s="24" t="inlineStr">
        <is>
          <t>Lepakshi</t>
        </is>
      </c>
      <c r="B408" s="24" t="inlineStr">
        <is>
          <t>72X72X5</t>
        </is>
      </c>
      <c r="C408" s="6" t="n">
        <v>46288</v>
      </c>
      <c r="D408" s="24" t="n">
        <v>650</v>
      </c>
      <c r="E408" s="25" t="n">
        <v>41.024</v>
      </c>
      <c r="F408" s="14">
        <f>AsOf-C408</f>
        <v/>
      </c>
      <c r="G408" s="11">
        <f>SUMIFS($D$2:$D$5000,$A$2:$A$5000,A408,$B$2:$B$5000,B408,$C$2:$C$5000,"&lt;="&amp;C408)</f>
        <v/>
      </c>
      <c r="H408" s="11">
        <f>SUMIFS(Dispatched!$C$2:$C$5000,Dispatched!$A$2:$A$5000,A408,Dispatched!$B$2:$B$5000,B408)</f>
        <v/>
      </c>
      <c r="I408" s="11">
        <f>MAX(0,MIN(D408,G408-H408))</f>
        <v/>
      </c>
      <c r="J408" s="26">
        <f>I408*E408/D408</f>
        <v/>
      </c>
      <c r="K408" s="10">
        <f>IF(I408=0,"Dispatched",IF(F408&lt;=30,"0-30",IF(F408&lt;=60,"31-60",IF(F408&lt;=90,"61-90","90+"))))</f>
        <v/>
      </c>
    </row>
    <row r="409">
      <c r="A409" s="24" t="inlineStr">
        <is>
          <t>Lepakshi</t>
        </is>
      </c>
      <c r="B409" s="24" t="inlineStr">
        <is>
          <t>96X48X2</t>
        </is>
      </c>
      <c r="C409" s="6" t="n">
        <v>46292</v>
      </c>
      <c r="D409" s="24" t="n">
        <v>746</v>
      </c>
      <c r="E409" s="25" t="n">
        <v>19.676</v>
      </c>
      <c r="F409" s="14">
        <f>AsOf-C409</f>
        <v/>
      </c>
      <c r="G409" s="11">
        <f>SUMIFS($D$2:$D$5000,$A$2:$A$5000,A409,$B$2:$B$5000,B409,$C$2:$C$5000,"&lt;="&amp;C409)</f>
        <v/>
      </c>
      <c r="H409" s="11">
        <f>SUMIFS(Dispatched!$C$2:$C$5000,Dispatched!$A$2:$A$5000,A409,Dispatched!$B$2:$B$5000,B409)</f>
        <v/>
      </c>
      <c r="I409" s="11">
        <f>MAX(0,MIN(D409,G409-H409))</f>
        <v/>
      </c>
      <c r="J409" s="26">
        <f>I409*E409/D409</f>
        <v/>
      </c>
      <c r="K409" s="10">
        <f>IF(I409=0,"Dispatched",IF(F409&lt;=30,"0-30",IF(F409&lt;=60,"31-60",IF(F409&lt;=90,"61-90","90+"))))</f>
        <v/>
      </c>
    </row>
    <row r="410">
      <c r="A410" s="24" t="inlineStr">
        <is>
          <t>Lepakshi</t>
        </is>
      </c>
      <c r="B410" s="24" t="inlineStr">
        <is>
          <t>96X48X2</t>
        </is>
      </c>
      <c r="C410" s="6" t="n">
        <v>46293</v>
      </c>
      <c r="D410" s="24" t="n">
        <v>814</v>
      </c>
      <c r="E410" s="25" t="n">
        <v>21.47</v>
      </c>
      <c r="F410" s="14">
        <f>AsOf-C410</f>
        <v/>
      </c>
      <c r="G410" s="11">
        <f>SUMIFS($D$2:$D$5000,$A$2:$A$5000,A410,$B$2:$B$5000,B410,$C$2:$C$5000,"&lt;="&amp;C410)</f>
        <v/>
      </c>
      <c r="H410" s="11">
        <f>SUMIFS(Dispatched!$C$2:$C$5000,Dispatched!$A$2:$A$5000,A410,Dispatched!$B$2:$B$5000,B410)</f>
        <v/>
      </c>
      <c r="I410" s="11">
        <f>MAX(0,MIN(D410,G410-H410))</f>
        <v/>
      </c>
      <c r="J410" s="26">
        <f>I410*E410/D410</f>
        <v/>
      </c>
      <c r="K410" s="10">
        <f>IF(I410=0,"Dispatched",IF(F410&lt;=30,"0-30",IF(F410&lt;=60,"31-60",IF(F410&lt;=90,"61-90","90+"))))</f>
        <v/>
      </c>
    </row>
    <row r="411">
      <c r="A411" s="24" t="inlineStr">
        <is>
          <t>Lepakshi</t>
        </is>
      </c>
      <c r="B411" s="24" t="inlineStr">
        <is>
          <t>96X48X2.5</t>
        </is>
      </c>
      <c r="C411" s="6" t="n">
        <v>46291</v>
      </c>
      <c r="D411" s="24" t="n">
        <v>732</v>
      </c>
      <c r="E411" s="25" t="n">
        <v>23.962</v>
      </c>
      <c r="F411" s="14">
        <f>AsOf-C411</f>
        <v/>
      </c>
      <c r="G411" s="11">
        <f>SUMIFS($D$2:$D$5000,$A$2:$A$5000,A411,$B$2:$B$5000,B411,$C$2:$C$5000,"&lt;="&amp;C411)</f>
        <v/>
      </c>
      <c r="H411" s="11">
        <f>SUMIFS(Dispatched!$C$2:$C$5000,Dispatched!$A$2:$A$5000,A411,Dispatched!$B$2:$B$5000,B411)</f>
        <v/>
      </c>
      <c r="I411" s="11">
        <f>MAX(0,MIN(D411,G411-H411))</f>
        <v/>
      </c>
      <c r="J411" s="26">
        <f>I411*E411/D411</f>
        <v/>
      </c>
      <c r="K411" s="10">
        <f>IF(I411=0,"Dispatched",IF(F411&lt;=30,"0-30",IF(F411&lt;=60,"31-60",IF(F411&lt;=90,"61-90","90+"))))</f>
        <v/>
      </c>
    </row>
    <row r="412">
      <c r="A412" s="24" t="inlineStr">
        <is>
          <t>Lepakshi</t>
        </is>
      </c>
      <c r="B412" s="24" t="inlineStr">
        <is>
          <t>96X48X3</t>
        </is>
      </c>
      <c r="C412" s="6" t="n">
        <v>46295</v>
      </c>
      <c r="D412" s="24" t="n">
        <v>789</v>
      </c>
      <c r="E412" s="25" t="n">
        <v>30.77</v>
      </c>
      <c r="F412" s="14">
        <f>AsOf-C412</f>
        <v/>
      </c>
      <c r="G412" s="11">
        <f>SUMIFS($D$2:$D$5000,$A$2:$A$5000,A412,$B$2:$B$5000,B412,$C$2:$C$5000,"&lt;="&amp;C412)</f>
        <v/>
      </c>
      <c r="H412" s="11">
        <f>SUMIFS(Dispatched!$C$2:$C$5000,Dispatched!$A$2:$A$5000,A412,Dispatched!$B$2:$B$5000,B412)</f>
        <v/>
      </c>
      <c r="I412" s="11">
        <f>MAX(0,MIN(D412,G412-H412))</f>
        <v/>
      </c>
      <c r="J412" s="26">
        <f>I412*E412/D412</f>
        <v/>
      </c>
      <c r="K412" s="10">
        <f>IF(I412=0,"Dispatched",IF(F412&lt;=30,"0-30",IF(F412&lt;=60,"31-60",IF(F412&lt;=90,"61-90","90+"))))</f>
        <v/>
      </c>
    </row>
    <row r="413">
      <c r="A413" s="24" t="inlineStr">
        <is>
          <t>Lepakshi</t>
        </is>
      </c>
      <c r="B413" s="24" t="inlineStr">
        <is>
          <t>96X48X4</t>
        </is>
      </c>
      <c r="C413" s="6" t="n">
        <v>46293</v>
      </c>
      <c r="D413" s="24" t="n">
        <v>364</v>
      </c>
      <c r="E413" s="25" t="n">
        <v>18.653</v>
      </c>
      <c r="F413" s="14">
        <f>AsOf-C413</f>
        <v/>
      </c>
      <c r="G413" s="11">
        <f>SUMIFS($D$2:$D$5000,$A$2:$A$5000,A413,$B$2:$B$5000,B413,$C$2:$C$5000,"&lt;="&amp;C413)</f>
        <v/>
      </c>
      <c r="H413" s="11">
        <f>SUMIFS(Dispatched!$C$2:$C$5000,Dispatched!$A$2:$A$5000,A413,Dispatched!$B$2:$B$5000,B413)</f>
        <v/>
      </c>
      <c r="I413" s="11">
        <f>MAX(0,MIN(D413,G413-H413))</f>
        <v/>
      </c>
      <c r="J413" s="26">
        <f>I413*E413/D413</f>
        <v/>
      </c>
      <c r="K413" s="10">
        <f>IF(I413=0,"Dispatched",IF(F413&lt;=30,"0-30",IF(F413&lt;=60,"31-60",IF(F413&lt;=90,"61-90","90+"))))</f>
        <v/>
      </c>
    </row>
    <row r="414">
      <c r="A414" s="24" t="inlineStr">
        <is>
          <t>Lepakshi</t>
        </is>
      </c>
      <c r="B414" s="24" t="inlineStr">
        <is>
          <t>96X48X4</t>
        </is>
      </c>
      <c r="C414" s="6" t="n">
        <v>46294</v>
      </c>
      <c r="D414" s="24" t="n">
        <v>207</v>
      </c>
      <c r="E414" s="25" t="n">
        <v>10.608</v>
      </c>
      <c r="F414" s="14">
        <f>AsOf-C414</f>
        <v/>
      </c>
      <c r="G414" s="11">
        <f>SUMIFS($D$2:$D$5000,$A$2:$A$5000,A414,$B$2:$B$5000,B414,$C$2:$C$5000,"&lt;="&amp;C414)</f>
        <v/>
      </c>
      <c r="H414" s="11">
        <f>SUMIFS(Dispatched!$C$2:$C$5000,Dispatched!$A$2:$A$5000,A414,Dispatched!$B$2:$B$5000,B414)</f>
        <v/>
      </c>
      <c r="I414" s="11">
        <f>MAX(0,MIN(D414,G414-H414))</f>
        <v/>
      </c>
      <c r="J414" s="26">
        <f>I414*E414/D414</f>
        <v/>
      </c>
      <c r="K414" s="10">
        <f>IF(I414=0,"Dispatched",IF(F414&lt;=30,"0-30",IF(F414&lt;=60,"31-60",IF(F414&lt;=90,"61-90","90+"))))</f>
        <v/>
      </c>
    </row>
    <row r="415">
      <c r="A415" s="24" t="inlineStr">
        <is>
          <t>Lepakshi</t>
        </is>
      </c>
      <c r="B415" s="24" t="inlineStr">
        <is>
          <t>96X48X5</t>
        </is>
      </c>
      <c r="C415" s="6" t="n">
        <v>46294</v>
      </c>
      <c r="D415" s="24" t="n">
        <v>568</v>
      </c>
      <c r="E415" s="25" t="n">
        <v>35.849</v>
      </c>
      <c r="F415" s="14">
        <f>AsOf-C415</f>
        <v/>
      </c>
      <c r="G415" s="11">
        <f>SUMIFS($D$2:$D$5000,$A$2:$A$5000,A415,$B$2:$B$5000,B415,$C$2:$C$5000,"&lt;="&amp;C415)</f>
        <v/>
      </c>
      <c r="H415" s="11">
        <f>SUMIFS(Dispatched!$C$2:$C$5000,Dispatched!$A$2:$A$5000,A415,Dispatched!$B$2:$B$5000,B415)</f>
        <v/>
      </c>
      <c r="I415" s="11">
        <f>MAX(0,MIN(D415,G415-H415))</f>
        <v/>
      </c>
      <c r="J415" s="26">
        <f>I415*E415/D415</f>
        <v/>
      </c>
      <c r="K415" s="10">
        <f>IF(I415=0,"Dispatched",IF(F415&lt;=30,"0-30",IF(F415&lt;=60,"31-60",IF(F415&lt;=90,"61-90","90+"))))</f>
        <v/>
      </c>
    </row>
    <row r="416">
      <c r="A416" s="24" t="inlineStr">
        <is>
          <t>Lepakshi</t>
        </is>
      </c>
      <c r="B416" s="24" t="inlineStr">
        <is>
          <t>96X48X5</t>
        </is>
      </c>
      <c r="C416" s="6" t="n">
        <v>46295</v>
      </c>
      <c r="D416" s="24" t="n">
        <v>65</v>
      </c>
      <c r="E416" s="25" t="n">
        <v>4.102</v>
      </c>
      <c r="F416" s="14">
        <f>AsOf-C416</f>
        <v/>
      </c>
      <c r="G416" s="11">
        <f>SUMIFS($D$2:$D$5000,$A$2:$A$5000,A416,$B$2:$B$5000,B416,$C$2:$C$5000,"&lt;="&amp;C416)</f>
        <v/>
      </c>
      <c r="H416" s="11">
        <f>SUMIFS(Dispatched!$C$2:$C$5000,Dispatched!$A$2:$A$5000,A416,Dispatched!$B$2:$B$5000,B416)</f>
        <v/>
      </c>
      <c r="I416" s="11">
        <f>MAX(0,MIN(D416,G416-H416))</f>
        <v/>
      </c>
      <c r="J416" s="26">
        <f>I416*E416/D416</f>
        <v/>
      </c>
      <c r="K416" s="10">
        <f>IF(I416=0,"Dispatched",IF(F416&lt;=30,"0-30",IF(F416&lt;=60,"31-60",IF(F416&lt;=90,"61-90","90+"))))</f>
        <v/>
      </c>
    </row>
    <row r="417">
      <c r="A417" s="24" t="inlineStr">
        <is>
          <t>NPMD</t>
        </is>
      </c>
      <c r="B417" s="24" t="inlineStr">
        <is>
          <t>50X25X1.6</t>
        </is>
      </c>
      <c r="C417" s="6" t="n">
        <v>46288</v>
      </c>
      <c r="D417" s="24" t="n">
        <v>1603</v>
      </c>
      <c r="E417" s="25" t="n">
        <v>17.347</v>
      </c>
      <c r="F417" s="14">
        <f>AsOf-C417</f>
        <v/>
      </c>
      <c r="G417" s="11">
        <f>SUMIFS($D$2:$D$5000,$A$2:$A$5000,A417,$B$2:$B$5000,B417,$C$2:$C$5000,"&lt;="&amp;C417)</f>
        <v/>
      </c>
      <c r="H417" s="11">
        <f>SUMIFS(Dispatched!$C$2:$C$5000,Dispatched!$A$2:$A$5000,A417,Dispatched!$B$2:$B$5000,B417)</f>
        <v/>
      </c>
      <c r="I417" s="11">
        <f>MAX(0,MIN(D417,G417-H417))</f>
        <v/>
      </c>
      <c r="J417" s="26">
        <f>I417*E417/D417</f>
        <v/>
      </c>
      <c r="K417" s="10">
        <f>IF(I417=0,"Dispatched",IF(F417&lt;=30,"0-30",IF(F417&lt;=60,"31-60",IF(F417&lt;=90,"61-90","90+"))))</f>
        <v/>
      </c>
    </row>
    <row r="418">
      <c r="A418" s="24" t="inlineStr">
        <is>
          <t>NPMD</t>
        </is>
      </c>
      <c r="B418" s="24" t="inlineStr">
        <is>
          <t>50X25X2.5</t>
        </is>
      </c>
      <c r="C418" s="6" t="n">
        <v>46291</v>
      </c>
      <c r="D418" s="24" t="n">
        <v>817</v>
      </c>
      <c r="E418" s="25" t="n">
        <v>13.468</v>
      </c>
      <c r="F418" s="14">
        <f>AsOf-C418</f>
        <v/>
      </c>
      <c r="G418" s="11">
        <f>SUMIFS($D$2:$D$5000,$A$2:$A$5000,A418,$B$2:$B$5000,B418,$C$2:$C$5000,"&lt;="&amp;C418)</f>
        <v/>
      </c>
      <c r="H418" s="11">
        <f>SUMIFS(Dispatched!$C$2:$C$5000,Dispatched!$A$2:$A$5000,A418,Dispatched!$B$2:$B$5000,B418)</f>
        <v/>
      </c>
      <c r="I418" s="11">
        <f>MAX(0,MIN(D418,G418-H418))</f>
        <v/>
      </c>
      <c r="J418" s="26">
        <f>I418*E418/D418</f>
        <v/>
      </c>
      <c r="K418" s="10">
        <f>IF(I418=0,"Dispatched",IF(F418&lt;=30,"0-30",IF(F418&lt;=60,"31-60",IF(F418&lt;=90,"61-90","90+"))))</f>
        <v/>
      </c>
    </row>
    <row r="419">
      <c r="A419" s="24" t="inlineStr">
        <is>
          <t>NPMD</t>
        </is>
      </c>
      <c r="B419" s="24" t="inlineStr">
        <is>
          <t>50X25X3</t>
        </is>
      </c>
      <c r="C419" s="6" t="n">
        <v>46290</v>
      </c>
      <c r="D419" s="24" t="n">
        <v>407</v>
      </c>
      <c r="E419" s="25" t="n">
        <v>7.936</v>
      </c>
      <c r="F419" s="14">
        <f>AsOf-C419</f>
        <v/>
      </c>
      <c r="G419" s="11">
        <f>SUMIFS($D$2:$D$5000,$A$2:$A$5000,A419,$B$2:$B$5000,B419,$C$2:$C$5000,"&lt;="&amp;C419)</f>
        <v/>
      </c>
      <c r="H419" s="11">
        <f>SUMIFS(Dispatched!$C$2:$C$5000,Dispatched!$A$2:$A$5000,A419,Dispatched!$B$2:$B$5000,B419)</f>
        <v/>
      </c>
      <c r="I419" s="11">
        <f>MAX(0,MIN(D419,G419-H419))</f>
        <v/>
      </c>
      <c r="J419" s="26">
        <f>I419*E419/D419</f>
        <v/>
      </c>
      <c r="K419" s="10">
        <f>IF(I419=0,"Dispatched",IF(F419&lt;=30,"0-30",IF(F419&lt;=60,"31-60",IF(F419&lt;=90,"61-90","90+"))))</f>
        <v/>
      </c>
    </row>
    <row r="420">
      <c r="A420" s="24" t="inlineStr">
        <is>
          <t>NPMD</t>
        </is>
      </c>
      <c r="B420" s="24" t="inlineStr">
        <is>
          <t>50X25X3</t>
        </is>
      </c>
      <c r="C420" s="6" t="n">
        <v>46291</v>
      </c>
      <c r="D420" s="24" t="n">
        <v>275</v>
      </c>
      <c r="E420" s="25" t="n">
        <v>5.362</v>
      </c>
      <c r="F420" s="14">
        <f>AsOf-C420</f>
        <v/>
      </c>
      <c r="G420" s="11">
        <f>SUMIFS($D$2:$D$5000,$A$2:$A$5000,A420,$B$2:$B$5000,B420,$C$2:$C$5000,"&lt;="&amp;C420)</f>
        <v/>
      </c>
      <c r="H420" s="11">
        <f>SUMIFS(Dispatched!$C$2:$C$5000,Dispatched!$A$2:$A$5000,A420,Dispatched!$B$2:$B$5000,B420)</f>
        <v/>
      </c>
      <c r="I420" s="11">
        <f>MAX(0,MIN(D420,G420-H420))</f>
        <v/>
      </c>
      <c r="J420" s="26">
        <f>I420*E420/D420</f>
        <v/>
      </c>
      <c r="K420" s="10">
        <f>IF(I420=0,"Dispatched",IF(F420&lt;=30,"0-30",IF(F420&lt;=60,"31-60",IF(F420&lt;=90,"61-90","90+"))))</f>
        <v/>
      </c>
    </row>
    <row r="421">
      <c r="A421" s="24" t="inlineStr">
        <is>
          <t>NPMD</t>
        </is>
      </c>
      <c r="B421" s="24" t="inlineStr">
        <is>
          <t>50X50X1.2</t>
        </is>
      </c>
      <c r="C421" s="6" t="n">
        <v>46297</v>
      </c>
      <c r="D421" s="24" t="n">
        <v>1100</v>
      </c>
      <c r="E421" s="25" t="n">
        <v>12.136</v>
      </c>
      <c r="F421" s="14">
        <f>AsOf-C421</f>
        <v/>
      </c>
      <c r="G421" s="11">
        <f>SUMIFS($D$2:$D$5000,$A$2:$A$5000,A421,$B$2:$B$5000,B421,$C$2:$C$5000,"&lt;="&amp;C421)</f>
        <v/>
      </c>
      <c r="H421" s="11">
        <f>SUMIFS(Dispatched!$C$2:$C$5000,Dispatched!$A$2:$A$5000,A421,Dispatched!$B$2:$B$5000,B421)</f>
        <v/>
      </c>
      <c r="I421" s="11">
        <f>MAX(0,MIN(D421,G421-H421))</f>
        <v/>
      </c>
      <c r="J421" s="26">
        <f>I421*E421/D421</f>
        <v/>
      </c>
      <c r="K421" s="10">
        <f>IF(I421=0,"Dispatched",IF(F421&lt;=30,"0-30",IF(F421&lt;=60,"31-60",IF(F421&lt;=90,"61-90","90+"))))</f>
        <v/>
      </c>
    </row>
    <row r="422">
      <c r="A422" s="24" t="inlineStr">
        <is>
          <t>NPMD</t>
        </is>
      </c>
      <c r="B422" s="24" t="inlineStr">
        <is>
          <t>50X50X1.6</t>
        </is>
      </c>
      <c r="C422" s="6" t="n">
        <v>46259</v>
      </c>
      <c r="D422" s="24" t="n">
        <v>170</v>
      </c>
      <c r="E422" s="25" t="n">
        <v>2.48</v>
      </c>
      <c r="F422" s="14">
        <f>AsOf-C422</f>
        <v/>
      </c>
      <c r="G422" s="11">
        <f>SUMIFS($D$2:$D$5000,$A$2:$A$5000,A422,$B$2:$B$5000,B422,$C$2:$C$5000,"&lt;="&amp;C422)</f>
        <v/>
      </c>
      <c r="H422" s="11">
        <f>SUMIFS(Dispatched!$C$2:$C$5000,Dispatched!$A$2:$A$5000,A422,Dispatched!$B$2:$B$5000,B422)</f>
        <v/>
      </c>
      <c r="I422" s="11">
        <f>MAX(0,MIN(D422,G422-H422))</f>
        <v/>
      </c>
      <c r="J422" s="26">
        <f>I422*E422/D422</f>
        <v/>
      </c>
      <c r="K422" s="10">
        <f>IF(I422=0,"Dispatched",IF(F422&lt;=30,"0-30",IF(F422&lt;=60,"31-60",IF(F422&lt;=90,"61-90","90+"))))</f>
        <v/>
      </c>
    </row>
    <row r="423">
      <c r="A423" s="24" t="inlineStr">
        <is>
          <t>NPMD</t>
        </is>
      </c>
      <c r="B423" s="24" t="inlineStr">
        <is>
          <t>50X50X1.6</t>
        </is>
      </c>
      <c r="C423" s="6" t="n">
        <v>46262</v>
      </c>
      <c r="D423" s="24" t="n">
        <v>706</v>
      </c>
      <c r="E423" s="25" t="n">
        <v>10.3</v>
      </c>
      <c r="F423" s="14">
        <f>AsOf-C423</f>
        <v/>
      </c>
      <c r="G423" s="11">
        <f>SUMIFS($D$2:$D$5000,$A$2:$A$5000,A423,$B$2:$B$5000,B423,$C$2:$C$5000,"&lt;="&amp;C423)</f>
        <v/>
      </c>
      <c r="H423" s="11">
        <f>SUMIFS(Dispatched!$C$2:$C$5000,Dispatched!$A$2:$A$5000,A423,Dispatched!$B$2:$B$5000,B423)</f>
        <v/>
      </c>
      <c r="I423" s="11">
        <f>MAX(0,MIN(D423,G423-H423))</f>
        <v/>
      </c>
      <c r="J423" s="26">
        <f>I423*E423/D423</f>
        <v/>
      </c>
      <c r="K423" s="10">
        <f>IF(I423=0,"Dispatched",IF(F423&lt;=30,"0-30",IF(F423&lt;=60,"31-60",IF(F423&lt;=90,"61-90","90+"))))</f>
        <v/>
      </c>
    </row>
    <row r="424">
      <c r="A424" s="24" t="inlineStr">
        <is>
          <t>NPMD</t>
        </is>
      </c>
      <c r="B424" s="24" t="inlineStr">
        <is>
          <t>50X50X1.6</t>
        </is>
      </c>
      <c r="C424" s="6" t="n">
        <v>46263</v>
      </c>
      <c r="D424" s="24" t="n">
        <v>2866</v>
      </c>
      <c r="E424" s="25" t="n">
        <v>41.814</v>
      </c>
      <c r="F424" s="14">
        <f>AsOf-C424</f>
        <v/>
      </c>
      <c r="G424" s="11">
        <f>SUMIFS($D$2:$D$5000,$A$2:$A$5000,A424,$B$2:$B$5000,B424,$C$2:$C$5000,"&lt;="&amp;C424)</f>
        <v/>
      </c>
      <c r="H424" s="11">
        <f>SUMIFS(Dispatched!$C$2:$C$5000,Dispatched!$A$2:$A$5000,A424,Dispatched!$B$2:$B$5000,B424)</f>
        <v/>
      </c>
      <c r="I424" s="11">
        <f>MAX(0,MIN(D424,G424-H424))</f>
        <v/>
      </c>
      <c r="J424" s="26">
        <f>I424*E424/D424</f>
        <v/>
      </c>
      <c r="K424" s="10">
        <f>IF(I424=0,"Dispatched",IF(F424&lt;=30,"0-30",IF(F424&lt;=60,"31-60",IF(F424&lt;=90,"61-90","90+"))))</f>
        <v/>
      </c>
    </row>
    <row r="425">
      <c r="A425" s="24" t="inlineStr">
        <is>
          <t>NPMD</t>
        </is>
      </c>
      <c r="B425" s="24" t="inlineStr">
        <is>
          <t>50X50X1.6</t>
        </is>
      </c>
      <c r="C425" s="6" t="n">
        <v>46264</v>
      </c>
      <c r="D425" s="24" t="n">
        <v>2764</v>
      </c>
      <c r="E425" s="25" t="n">
        <v>40.326</v>
      </c>
      <c r="F425" s="14">
        <f>AsOf-C425</f>
        <v/>
      </c>
      <c r="G425" s="11">
        <f>SUMIFS($D$2:$D$5000,$A$2:$A$5000,A425,$B$2:$B$5000,B425,$C$2:$C$5000,"&lt;="&amp;C425)</f>
        <v/>
      </c>
      <c r="H425" s="11">
        <f>SUMIFS(Dispatched!$C$2:$C$5000,Dispatched!$A$2:$A$5000,A425,Dispatched!$B$2:$B$5000,B425)</f>
        <v/>
      </c>
      <c r="I425" s="11">
        <f>MAX(0,MIN(D425,G425-H425))</f>
        <v/>
      </c>
      <c r="J425" s="26">
        <f>I425*E425/D425</f>
        <v/>
      </c>
      <c r="K425" s="10">
        <f>IF(I425=0,"Dispatched",IF(F425&lt;=30,"0-30",IF(F425&lt;=60,"31-60",IF(F425&lt;=90,"61-90","90+"))))</f>
        <v/>
      </c>
    </row>
    <row r="426">
      <c r="A426" s="24" t="inlineStr">
        <is>
          <t>NPMD</t>
        </is>
      </c>
      <c r="B426" s="24" t="inlineStr">
        <is>
          <t>50X50X1.6</t>
        </is>
      </c>
      <c r="C426" s="6" t="n">
        <v>46267</v>
      </c>
      <c r="D426" s="24" t="n">
        <v>1306</v>
      </c>
      <c r="E426" s="25" t="n">
        <v>19.054</v>
      </c>
      <c r="F426" s="14">
        <f>AsOf-C426</f>
        <v/>
      </c>
      <c r="G426" s="11">
        <f>SUMIFS($D$2:$D$5000,$A$2:$A$5000,A426,$B$2:$B$5000,B426,$C$2:$C$5000,"&lt;="&amp;C426)</f>
        <v/>
      </c>
      <c r="H426" s="11">
        <f>SUMIFS(Dispatched!$C$2:$C$5000,Dispatched!$A$2:$A$5000,A426,Dispatched!$B$2:$B$5000,B426)</f>
        <v/>
      </c>
      <c r="I426" s="11">
        <f>MAX(0,MIN(D426,G426-H426))</f>
        <v/>
      </c>
      <c r="J426" s="26">
        <f>I426*E426/D426</f>
        <v/>
      </c>
      <c r="K426" s="10">
        <f>IF(I426=0,"Dispatched",IF(F426&lt;=30,"0-30",IF(F426&lt;=60,"31-60",IF(F426&lt;=90,"61-90","90+"))))</f>
        <v/>
      </c>
    </row>
    <row r="427">
      <c r="A427" s="24" t="inlineStr">
        <is>
          <t>NPMD</t>
        </is>
      </c>
      <c r="B427" s="24" t="inlineStr">
        <is>
          <t>50X50X1.6</t>
        </is>
      </c>
      <c r="C427" s="6" t="n">
        <v>46295</v>
      </c>
      <c r="D427" s="24" t="n">
        <v>972</v>
      </c>
      <c r="E427" s="25" t="n">
        <v>14.181</v>
      </c>
      <c r="F427" s="14">
        <f>AsOf-C427</f>
        <v/>
      </c>
      <c r="G427" s="11">
        <f>SUMIFS($D$2:$D$5000,$A$2:$A$5000,A427,$B$2:$B$5000,B427,$C$2:$C$5000,"&lt;="&amp;C427)</f>
        <v/>
      </c>
      <c r="H427" s="11">
        <f>SUMIFS(Dispatched!$C$2:$C$5000,Dispatched!$A$2:$A$5000,A427,Dispatched!$B$2:$B$5000,B427)</f>
        <v/>
      </c>
      <c r="I427" s="11">
        <f>MAX(0,MIN(D427,G427-H427))</f>
        <v/>
      </c>
      <c r="J427" s="26">
        <f>I427*E427/D427</f>
        <v/>
      </c>
      <c r="K427" s="10">
        <f>IF(I427=0,"Dispatched",IF(F427&lt;=30,"0-30",IF(F427&lt;=60,"31-60",IF(F427&lt;=90,"61-90","90+"))))</f>
        <v/>
      </c>
    </row>
    <row r="428">
      <c r="A428" s="24" t="inlineStr">
        <is>
          <t>NPMD</t>
        </is>
      </c>
      <c r="B428" s="24" t="inlineStr">
        <is>
          <t>50X50X1.6</t>
        </is>
      </c>
      <c r="C428" s="6" t="n">
        <v>46297</v>
      </c>
      <c r="D428" s="24" t="n">
        <v>1135</v>
      </c>
      <c r="E428" s="25" t="n">
        <v>16.559</v>
      </c>
      <c r="F428" s="14">
        <f>AsOf-C428</f>
        <v/>
      </c>
      <c r="G428" s="11">
        <f>SUMIFS($D$2:$D$5000,$A$2:$A$5000,A428,$B$2:$B$5000,B428,$C$2:$C$5000,"&lt;="&amp;C428)</f>
        <v/>
      </c>
      <c r="H428" s="11">
        <f>SUMIFS(Dispatched!$C$2:$C$5000,Dispatched!$A$2:$A$5000,A428,Dispatched!$B$2:$B$5000,B428)</f>
        <v/>
      </c>
      <c r="I428" s="11">
        <f>MAX(0,MIN(D428,G428-H428))</f>
        <v/>
      </c>
      <c r="J428" s="26">
        <f>I428*E428/D428</f>
        <v/>
      </c>
      <c r="K428" s="10">
        <f>IF(I428=0,"Dispatched",IF(F428&lt;=30,"0-30",IF(F428&lt;=60,"31-60",IF(F428&lt;=90,"61-90","90+"))))</f>
        <v/>
      </c>
    </row>
    <row r="429">
      <c r="A429" s="24" t="inlineStr">
        <is>
          <t>NPMD</t>
        </is>
      </c>
      <c r="B429" s="24" t="inlineStr">
        <is>
          <t>50X50X1.6</t>
        </is>
      </c>
      <c r="C429" s="6" t="n">
        <v>46299</v>
      </c>
      <c r="D429" s="24" t="n">
        <v>2157</v>
      </c>
      <c r="E429" s="25" t="n">
        <v>31.47</v>
      </c>
      <c r="F429" s="14">
        <f>AsOf-C429</f>
        <v/>
      </c>
      <c r="G429" s="11">
        <f>SUMIFS($D$2:$D$5000,$A$2:$A$5000,A429,$B$2:$B$5000,B429,$C$2:$C$5000,"&lt;="&amp;C429)</f>
        <v/>
      </c>
      <c r="H429" s="11">
        <f>SUMIFS(Dispatched!$C$2:$C$5000,Dispatched!$A$2:$A$5000,A429,Dispatched!$B$2:$B$5000,B429)</f>
        <v/>
      </c>
      <c r="I429" s="11">
        <f>MAX(0,MIN(D429,G429-H429))</f>
        <v/>
      </c>
      <c r="J429" s="26">
        <f>I429*E429/D429</f>
        <v/>
      </c>
      <c r="K429" s="10">
        <f>IF(I429=0,"Dispatched",IF(F429&lt;=30,"0-30",IF(F429&lt;=60,"31-60",IF(F429&lt;=90,"61-90","90+"))))</f>
        <v/>
      </c>
    </row>
    <row r="430">
      <c r="A430" s="24" t="inlineStr">
        <is>
          <t>NPMD</t>
        </is>
      </c>
      <c r="B430" s="24" t="inlineStr">
        <is>
          <t>50X50X2</t>
        </is>
      </c>
      <c r="C430" s="6" t="n">
        <v>46264</v>
      </c>
      <c r="D430" s="24" t="n">
        <v>1122</v>
      </c>
      <c r="E430" s="25" t="n">
        <v>20.293</v>
      </c>
      <c r="F430" s="14">
        <f>AsOf-C430</f>
        <v/>
      </c>
      <c r="G430" s="11">
        <f>SUMIFS($D$2:$D$5000,$A$2:$A$5000,A430,$B$2:$B$5000,B430,$C$2:$C$5000,"&lt;="&amp;C430)</f>
        <v/>
      </c>
      <c r="H430" s="11">
        <f>SUMIFS(Dispatched!$C$2:$C$5000,Dispatched!$A$2:$A$5000,A430,Dispatched!$B$2:$B$5000,B430)</f>
        <v/>
      </c>
      <c r="I430" s="11">
        <f>MAX(0,MIN(D430,G430-H430))</f>
        <v/>
      </c>
      <c r="J430" s="26">
        <f>I430*E430/D430</f>
        <v/>
      </c>
      <c r="K430" s="10">
        <f>IF(I430=0,"Dispatched",IF(F430&lt;=30,"0-30",IF(F430&lt;=60,"31-60",IF(F430&lt;=90,"61-90","90+"))))</f>
        <v/>
      </c>
    </row>
    <row r="431">
      <c r="A431" s="24" t="inlineStr">
        <is>
          <t>NPMD</t>
        </is>
      </c>
      <c r="B431" s="24" t="inlineStr">
        <is>
          <t>50X50X2</t>
        </is>
      </c>
      <c r="C431" s="6" t="n">
        <v>46265</v>
      </c>
      <c r="D431" s="24" t="n">
        <v>1994</v>
      </c>
      <c r="E431" s="25" t="n">
        <v>36.064</v>
      </c>
      <c r="F431" s="14">
        <f>AsOf-C431</f>
        <v/>
      </c>
      <c r="G431" s="11">
        <f>SUMIFS($D$2:$D$5000,$A$2:$A$5000,A431,$B$2:$B$5000,B431,$C$2:$C$5000,"&lt;="&amp;C431)</f>
        <v/>
      </c>
      <c r="H431" s="11">
        <f>SUMIFS(Dispatched!$C$2:$C$5000,Dispatched!$A$2:$A$5000,A431,Dispatched!$B$2:$B$5000,B431)</f>
        <v/>
      </c>
      <c r="I431" s="11">
        <f>MAX(0,MIN(D431,G431-H431))</f>
        <v/>
      </c>
      <c r="J431" s="26">
        <f>I431*E431/D431</f>
        <v/>
      </c>
      <c r="K431" s="10">
        <f>IF(I431=0,"Dispatched",IF(F431&lt;=30,"0-30",IF(F431&lt;=60,"31-60",IF(F431&lt;=90,"61-90","90+"))))</f>
        <v/>
      </c>
    </row>
    <row r="432">
      <c r="A432" s="24" t="inlineStr">
        <is>
          <t>NPMD</t>
        </is>
      </c>
      <c r="B432" s="24" t="inlineStr">
        <is>
          <t>50X50X2</t>
        </is>
      </c>
      <c r="C432" s="6" t="n">
        <v>46267</v>
      </c>
      <c r="D432" s="24" t="n">
        <v>1038</v>
      </c>
      <c r="E432" s="25" t="n">
        <v>18.774</v>
      </c>
      <c r="F432" s="14">
        <f>AsOf-C432</f>
        <v/>
      </c>
      <c r="G432" s="11">
        <f>SUMIFS($D$2:$D$5000,$A$2:$A$5000,A432,$B$2:$B$5000,B432,$C$2:$C$5000,"&lt;="&amp;C432)</f>
        <v/>
      </c>
      <c r="H432" s="11">
        <f>SUMIFS(Dispatched!$C$2:$C$5000,Dispatched!$A$2:$A$5000,A432,Dispatched!$B$2:$B$5000,B432)</f>
        <v/>
      </c>
      <c r="I432" s="11">
        <f>MAX(0,MIN(D432,G432-H432))</f>
        <v/>
      </c>
      <c r="J432" s="26">
        <f>I432*E432/D432</f>
        <v/>
      </c>
      <c r="K432" s="10">
        <f>IF(I432=0,"Dispatched",IF(F432&lt;=30,"0-30",IF(F432&lt;=60,"31-60",IF(F432&lt;=90,"61-90","90+"))))</f>
        <v/>
      </c>
    </row>
    <row r="433">
      <c r="A433" s="24" t="inlineStr">
        <is>
          <t>NPMD</t>
        </is>
      </c>
      <c r="B433" s="24" t="inlineStr">
        <is>
          <t>50X50X2</t>
        </is>
      </c>
      <c r="C433" s="6" t="n">
        <v>46269</v>
      </c>
      <c r="D433" s="24" t="n">
        <v>1373</v>
      </c>
      <c r="E433" s="25" t="n">
        <v>24.833</v>
      </c>
      <c r="F433" s="14">
        <f>AsOf-C433</f>
        <v/>
      </c>
      <c r="G433" s="11">
        <f>SUMIFS($D$2:$D$5000,$A$2:$A$5000,A433,$B$2:$B$5000,B433,$C$2:$C$5000,"&lt;="&amp;C433)</f>
        <v/>
      </c>
      <c r="H433" s="11">
        <f>SUMIFS(Dispatched!$C$2:$C$5000,Dispatched!$A$2:$A$5000,A433,Dispatched!$B$2:$B$5000,B433)</f>
        <v/>
      </c>
      <c r="I433" s="11">
        <f>MAX(0,MIN(D433,G433-H433))</f>
        <v/>
      </c>
      <c r="J433" s="26">
        <f>I433*E433/D433</f>
        <v/>
      </c>
      <c r="K433" s="10">
        <f>IF(I433=0,"Dispatched",IF(F433&lt;=30,"0-30",IF(F433&lt;=60,"31-60",IF(F433&lt;=90,"61-90","90+"))))</f>
        <v/>
      </c>
    </row>
    <row r="434">
      <c r="A434" s="24" t="inlineStr">
        <is>
          <t>NPMD</t>
        </is>
      </c>
      <c r="B434" s="24" t="inlineStr">
        <is>
          <t>50X50X2</t>
        </is>
      </c>
      <c r="C434" s="6" t="n">
        <v>46270</v>
      </c>
      <c r="D434" s="24" t="n">
        <v>890</v>
      </c>
      <c r="E434" s="25" t="n">
        <v>16.097</v>
      </c>
      <c r="F434" s="14">
        <f>AsOf-C434</f>
        <v/>
      </c>
      <c r="G434" s="11">
        <f>SUMIFS($D$2:$D$5000,$A$2:$A$5000,A434,$B$2:$B$5000,B434,$C$2:$C$5000,"&lt;="&amp;C434)</f>
        <v/>
      </c>
      <c r="H434" s="11">
        <f>SUMIFS(Dispatched!$C$2:$C$5000,Dispatched!$A$2:$A$5000,A434,Dispatched!$B$2:$B$5000,B434)</f>
        <v/>
      </c>
      <c r="I434" s="11">
        <f>MAX(0,MIN(D434,G434-H434))</f>
        <v/>
      </c>
      <c r="J434" s="26">
        <f>I434*E434/D434</f>
        <v/>
      </c>
      <c r="K434" s="10">
        <f>IF(I434=0,"Dispatched",IF(F434&lt;=30,"0-30",IF(F434&lt;=60,"31-60",IF(F434&lt;=90,"61-90","90+"))))</f>
        <v/>
      </c>
    </row>
    <row r="435">
      <c r="A435" s="24" t="inlineStr">
        <is>
          <t>NPMD</t>
        </is>
      </c>
      <c r="B435" s="24" t="inlineStr">
        <is>
          <t>50X50X2</t>
        </is>
      </c>
      <c r="C435" s="6" t="n">
        <v>46293</v>
      </c>
      <c r="D435" s="24" t="n">
        <v>858</v>
      </c>
      <c r="E435" s="25" t="n">
        <v>15.518</v>
      </c>
      <c r="F435" s="14">
        <f>AsOf-C435</f>
        <v/>
      </c>
      <c r="G435" s="11">
        <f>SUMIFS($D$2:$D$5000,$A$2:$A$5000,A435,$B$2:$B$5000,B435,$C$2:$C$5000,"&lt;="&amp;C435)</f>
        <v/>
      </c>
      <c r="H435" s="11">
        <f>SUMIFS(Dispatched!$C$2:$C$5000,Dispatched!$A$2:$A$5000,A435,Dispatched!$B$2:$B$5000,B435)</f>
        <v/>
      </c>
      <c r="I435" s="11">
        <f>MAX(0,MIN(D435,G435-H435))</f>
        <v/>
      </c>
      <c r="J435" s="26">
        <f>I435*E435/D435</f>
        <v/>
      </c>
      <c r="K435" s="10">
        <f>IF(I435=0,"Dispatched",IF(F435&lt;=30,"0-30",IF(F435&lt;=60,"31-60",IF(F435&lt;=90,"61-90","90+"))))</f>
        <v/>
      </c>
    </row>
    <row r="436">
      <c r="A436" s="24" t="inlineStr">
        <is>
          <t>NPMD</t>
        </is>
      </c>
      <c r="B436" s="24" t="inlineStr">
        <is>
          <t>50X50X2</t>
        </is>
      </c>
      <c r="C436" s="6" t="n">
        <v>46294</v>
      </c>
      <c r="D436" s="24" t="n">
        <v>1460</v>
      </c>
      <c r="E436" s="25" t="n">
        <v>26.406</v>
      </c>
      <c r="F436" s="14">
        <f>AsOf-C436</f>
        <v/>
      </c>
      <c r="G436" s="11">
        <f>SUMIFS($D$2:$D$5000,$A$2:$A$5000,A436,$B$2:$B$5000,B436,$C$2:$C$5000,"&lt;="&amp;C436)</f>
        <v/>
      </c>
      <c r="H436" s="11">
        <f>SUMIFS(Dispatched!$C$2:$C$5000,Dispatched!$A$2:$A$5000,A436,Dispatched!$B$2:$B$5000,B436)</f>
        <v/>
      </c>
      <c r="I436" s="11">
        <f>MAX(0,MIN(D436,G436-H436))</f>
        <v/>
      </c>
      <c r="J436" s="26">
        <f>I436*E436/D436</f>
        <v/>
      </c>
      <c r="K436" s="10">
        <f>IF(I436=0,"Dispatched",IF(F436&lt;=30,"0-30",IF(F436&lt;=60,"31-60",IF(F436&lt;=90,"61-90","90+"))))</f>
        <v/>
      </c>
    </row>
    <row r="437">
      <c r="A437" s="24" t="inlineStr">
        <is>
          <t>NPMD</t>
        </is>
      </c>
      <c r="B437" s="24" t="inlineStr">
        <is>
          <t>50X50X2.5</t>
        </is>
      </c>
      <c r="C437" s="6" t="n">
        <v>46294</v>
      </c>
      <c r="D437" s="24" t="n">
        <v>825</v>
      </c>
      <c r="E437" s="25" t="n">
        <v>18.457</v>
      </c>
      <c r="F437" s="14">
        <f>AsOf-C437</f>
        <v/>
      </c>
      <c r="G437" s="11">
        <f>SUMIFS($D$2:$D$5000,$A$2:$A$5000,A437,$B$2:$B$5000,B437,$C$2:$C$5000,"&lt;="&amp;C437)</f>
        <v/>
      </c>
      <c r="H437" s="11">
        <f>SUMIFS(Dispatched!$C$2:$C$5000,Dispatched!$A$2:$A$5000,A437,Dispatched!$B$2:$B$5000,B437)</f>
        <v/>
      </c>
      <c r="I437" s="11">
        <f>MAX(0,MIN(D437,G437-H437))</f>
        <v/>
      </c>
      <c r="J437" s="26">
        <f>I437*E437/D437</f>
        <v/>
      </c>
      <c r="K437" s="10">
        <f>IF(I437=0,"Dispatched",IF(F437&lt;=30,"0-30",IF(F437&lt;=60,"31-60",IF(F437&lt;=90,"61-90","90+"))))</f>
        <v/>
      </c>
    </row>
    <row r="438">
      <c r="A438" s="24" t="inlineStr">
        <is>
          <t>NPMD</t>
        </is>
      </c>
      <c r="B438" s="24" t="inlineStr">
        <is>
          <t>50X50X2.5</t>
        </is>
      </c>
      <c r="C438" s="6" t="n">
        <v>46295</v>
      </c>
      <c r="D438" s="24" t="n">
        <v>1996</v>
      </c>
      <c r="E438" s="25" t="n">
        <v>44.656</v>
      </c>
      <c r="F438" s="14">
        <f>AsOf-C438</f>
        <v/>
      </c>
      <c r="G438" s="11">
        <f>SUMIFS($D$2:$D$5000,$A$2:$A$5000,A438,$B$2:$B$5000,B438,$C$2:$C$5000,"&lt;="&amp;C438)</f>
        <v/>
      </c>
      <c r="H438" s="11">
        <f>SUMIFS(Dispatched!$C$2:$C$5000,Dispatched!$A$2:$A$5000,A438,Dispatched!$B$2:$B$5000,B438)</f>
        <v/>
      </c>
      <c r="I438" s="11">
        <f>MAX(0,MIN(D438,G438-H438))</f>
        <v/>
      </c>
      <c r="J438" s="26">
        <f>I438*E438/D438</f>
        <v/>
      </c>
      <c r="K438" s="10">
        <f>IF(I438=0,"Dispatched",IF(F438&lt;=30,"0-30",IF(F438&lt;=60,"31-60",IF(F438&lt;=90,"61-90","90+"))))</f>
        <v/>
      </c>
    </row>
    <row r="439">
      <c r="A439" s="24" t="inlineStr">
        <is>
          <t>NPMD</t>
        </is>
      </c>
      <c r="B439" s="24" t="inlineStr">
        <is>
          <t>50X50X3</t>
        </is>
      </c>
      <c r="C439" s="6" t="n">
        <v>46265</v>
      </c>
      <c r="D439" s="24" t="n">
        <v>618</v>
      </c>
      <c r="E439" s="25" t="n">
        <v>16.417</v>
      </c>
      <c r="F439" s="14">
        <f>AsOf-C439</f>
        <v/>
      </c>
      <c r="G439" s="11">
        <f>SUMIFS($D$2:$D$5000,$A$2:$A$5000,A439,$B$2:$B$5000,B439,$C$2:$C$5000,"&lt;="&amp;C439)</f>
        <v/>
      </c>
      <c r="H439" s="11">
        <f>SUMIFS(Dispatched!$C$2:$C$5000,Dispatched!$A$2:$A$5000,A439,Dispatched!$B$2:$B$5000,B439)</f>
        <v/>
      </c>
      <c r="I439" s="11">
        <f>MAX(0,MIN(D439,G439-H439))</f>
        <v/>
      </c>
      <c r="J439" s="26">
        <f>I439*E439/D439</f>
        <v/>
      </c>
      <c r="K439" s="10">
        <f>IF(I439=0,"Dispatched",IF(F439&lt;=30,"0-30",IF(F439&lt;=60,"31-60",IF(F439&lt;=90,"61-90","90+"))))</f>
        <v/>
      </c>
    </row>
    <row r="440">
      <c r="A440" s="24" t="inlineStr">
        <is>
          <t>NPMD</t>
        </is>
      </c>
      <c r="B440" s="24" t="inlineStr">
        <is>
          <t>50X50X3</t>
        </is>
      </c>
      <c r="C440" s="6" t="n">
        <v>46267</v>
      </c>
      <c r="D440" s="24" t="n">
        <v>2019</v>
      </c>
      <c r="E440" s="25" t="n">
        <v>53.634</v>
      </c>
      <c r="F440" s="14">
        <f>AsOf-C440</f>
        <v/>
      </c>
      <c r="G440" s="11">
        <f>SUMIFS($D$2:$D$5000,$A$2:$A$5000,A440,$B$2:$B$5000,B440,$C$2:$C$5000,"&lt;="&amp;C440)</f>
        <v/>
      </c>
      <c r="H440" s="11">
        <f>SUMIFS(Dispatched!$C$2:$C$5000,Dispatched!$A$2:$A$5000,A440,Dispatched!$B$2:$B$5000,B440)</f>
        <v/>
      </c>
      <c r="I440" s="11">
        <f>MAX(0,MIN(D440,G440-H440))</f>
        <v/>
      </c>
      <c r="J440" s="26">
        <f>I440*E440/D440</f>
        <v/>
      </c>
      <c r="K440" s="10">
        <f>IF(I440=0,"Dispatched",IF(F440&lt;=30,"0-30",IF(F440&lt;=60,"31-60",IF(F440&lt;=90,"61-90","90+"))))</f>
        <v/>
      </c>
    </row>
    <row r="441">
      <c r="A441" s="24" t="inlineStr">
        <is>
          <t>NPMD</t>
        </is>
      </c>
      <c r="B441" s="24" t="inlineStr">
        <is>
          <t>60X40X1.6</t>
        </is>
      </c>
      <c r="C441" s="6" t="n">
        <v>46272</v>
      </c>
      <c r="D441" s="24" t="n">
        <v>2367</v>
      </c>
      <c r="E441" s="25" t="n">
        <v>34.534</v>
      </c>
      <c r="F441" s="14">
        <f>AsOf-C441</f>
        <v/>
      </c>
      <c r="G441" s="11">
        <f>SUMIFS($D$2:$D$5000,$A$2:$A$5000,A441,$B$2:$B$5000,B441,$C$2:$C$5000,"&lt;="&amp;C441)</f>
        <v/>
      </c>
      <c r="H441" s="11">
        <f>SUMIFS(Dispatched!$C$2:$C$5000,Dispatched!$A$2:$A$5000,A441,Dispatched!$B$2:$B$5000,B441)</f>
        <v/>
      </c>
      <c r="I441" s="11">
        <f>MAX(0,MIN(D441,G441-H441))</f>
        <v/>
      </c>
      <c r="J441" s="26">
        <f>I441*E441/D441</f>
        <v/>
      </c>
      <c r="K441" s="10">
        <f>IF(I441=0,"Dispatched",IF(F441&lt;=30,"0-30",IF(F441&lt;=60,"31-60",IF(F441&lt;=90,"61-90","90+"))))</f>
        <v/>
      </c>
    </row>
    <row r="442">
      <c r="A442" s="24" t="inlineStr">
        <is>
          <t>NPMD</t>
        </is>
      </c>
      <c r="B442" s="24" t="inlineStr">
        <is>
          <t>60X40X1.6</t>
        </is>
      </c>
      <c r="C442" s="6" t="n">
        <v>46273</v>
      </c>
      <c r="D442" s="24" t="n">
        <v>1763</v>
      </c>
      <c r="E442" s="25" t="n">
        <v>25.722</v>
      </c>
      <c r="F442" s="14">
        <f>AsOf-C442</f>
        <v/>
      </c>
      <c r="G442" s="11">
        <f>SUMIFS($D$2:$D$5000,$A$2:$A$5000,A442,$B$2:$B$5000,B442,$C$2:$C$5000,"&lt;="&amp;C442)</f>
        <v/>
      </c>
      <c r="H442" s="11">
        <f>SUMIFS(Dispatched!$C$2:$C$5000,Dispatched!$A$2:$A$5000,A442,Dispatched!$B$2:$B$5000,B442)</f>
        <v/>
      </c>
      <c r="I442" s="11">
        <f>MAX(0,MIN(D442,G442-H442))</f>
        <v/>
      </c>
      <c r="J442" s="26">
        <f>I442*E442/D442</f>
        <v/>
      </c>
      <c r="K442" s="10">
        <f>IF(I442=0,"Dispatched",IF(F442&lt;=30,"0-30",IF(F442&lt;=60,"31-60",IF(F442&lt;=90,"61-90","90+"))))</f>
        <v/>
      </c>
    </row>
    <row r="443">
      <c r="A443" s="24" t="inlineStr">
        <is>
          <t>NPMD</t>
        </is>
      </c>
      <c r="B443" s="24" t="inlineStr">
        <is>
          <t>60X40X1.6</t>
        </is>
      </c>
      <c r="C443" s="6" t="n">
        <v>46300</v>
      </c>
      <c r="D443" s="24" t="n">
        <v>1083</v>
      </c>
      <c r="E443" s="25" t="n">
        <v>15.801</v>
      </c>
      <c r="F443" s="14">
        <f>AsOf-C443</f>
        <v/>
      </c>
      <c r="G443" s="11">
        <f>SUMIFS($D$2:$D$5000,$A$2:$A$5000,A443,$B$2:$B$5000,B443,$C$2:$C$5000,"&lt;="&amp;C443)</f>
        <v/>
      </c>
      <c r="H443" s="11">
        <f>SUMIFS(Dispatched!$C$2:$C$5000,Dispatched!$A$2:$A$5000,A443,Dispatched!$B$2:$B$5000,B443)</f>
        <v/>
      </c>
      <c r="I443" s="11">
        <f>MAX(0,MIN(D443,G443-H443))</f>
        <v/>
      </c>
      <c r="J443" s="26">
        <f>I443*E443/D443</f>
        <v/>
      </c>
      <c r="K443" s="10">
        <f>IF(I443=0,"Dispatched",IF(F443&lt;=30,"0-30",IF(F443&lt;=60,"31-60",IF(F443&lt;=90,"61-90","90+"))))</f>
        <v/>
      </c>
    </row>
    <row r="444">
      <c r="A444" s="24" t="inlineStr">
        <is>
          <t>NPMD</t>
        </is>
      </c>
      <c r="B444" s="24" t="inlineStr">
        <is>
          <t>60X40X1.6</t>
        </is>
      </c>
      <c r="C444" s="6" t="n">
        <v>46304</v>
      </c>
      <c r="D444" s="24" t="n">
        <v>2156</v>
      </c>
      <c r="E444" s="25" t="n">
        <v>31.455</v>
      </c>
      <c r="F444" s="14">
        <f>AsOf-C444</f>
        <v/>
      </c>
      <c r="G444" s="11">
        <f>SUMIFS($D$2:$D$5000,$A$2:$A$5000,A444,$B$2:$B$5000,B444,$C$2:$C$5000,"&lt;="&amp;C444)</f>
        <v/>
      </c>
      <c r="H444" s="11">
        <f>SUMIFS(Dispatched!$C$2:$C$5000,Dispatched!$A$2:$A$5000,A444,Dispatched!$B$2:$B$5000,B444)</f>
        <v/>
      </c>
      <c r="I444" s="11">
        <f>MAX(0,MIN(D444,G444-H444))</f>
        <v/>
      </c>
      <c r="J444" s="26">
        <f>I444*E444/D444</f>
        <v/>
      </c>
      <c r="K444" s="10">
        <f>IF(I444=0,"Dispatched",IF(F444&lt;=30,"0-30",IF(F444&lt;=60,"31-60",IF(F444&lt;=90,"61-90","90+"))))</f>
        <v/>
      </c>
    </row>
    <row r="445">
      <c r="A445" s="24" t="inlineStr">
        <is>
          <t>NPMD</t>
        </is>
      </c>
      <c r="B445" s="24" t="inlineStr">
        <is>
          <t>60X40X1.6</t>
        </is>
      </c>
      <c r="C445" s="6" t="n">
        <v>46305</v>
      </c>
      <c r="D445" s="24" t="n">
        <v>3138</v>
      </c>
      <c r="E445" s="25" t="n">
        <v>45.782</v>
      </c>
      <c r="F445" s="14">
        <f>AsOf-C445</f>
        <v/>
      </c>
      <c r="G445" s="11">
        <f>SUMIFS($D$2:$D$5000,$A$2:$A$5000,A445,$B$2:$B$5000,B445,$C$2:$C$5000,"&lt;="&amp;C445)</f>
        <v/>
      </c>
      <c r="H445" s="11">
        <f>SUMIFS(Dispatched!$C$2:$C$5000,Dispatched!$A$2:$A$5000,A445,Dispatched!$B$2:$B$5000,B445)</f>
        <v/>
      </c>
      <c r="I445" s="11">
        <f>MAX(0,MIN(D445,G445-H445))</f>
        <v/>
      </c>
      <c r="J445" s="26">
        <f>I445*E445/D445</f>
        <v/>
      </c>
      <c r="K445" s="10">
        <f>IF(I445=0,"Dispatched",IF(F445&lt;=30,"0-30",IF(F445&lt;=60,"31-60",IF(F445&lt;=90,"61-90","90+"))))</f>
        <v/>
      </c>
    </row>
    <row r="446">
      <c r="A446" s="24" t="inlineStr">
        <is>
          <t>NPMD</t>
        </is>
      </c>
      <c r="B446" s="24" t="inlineStr">
        <is>
          <t>60X40X1.6</t>
        </is>
      </c>
      <c r="C446" s="6" t="n">
        <v>46306</v>
      </c>
      <c r="D446" s="24" t="n">
        <v>3327</v>
      </c>
      <c r="E446" s="25" t="n">
        <v>48.54</v>
      </c>
      <c r="F446" s="14">
        <f>AsOf-C446</f>
        <v/>
      </c>
      <c r="G446" s="11">
        <f>SUMIFS($D$2:$D$5000,$A$2:$A$5000,A446,$B$2:$B$5000,B446,$C$2:$C$5000,"&lt;="&amp;C446)</f>
        <v/>
      </c>
      <c r="H446" s="11">
        <f>SUMIFS(Dispatched!$C$2:$C$5000,Dispatched!$A$2:$A$5000,A446,Dispatched!$B$2:$B$5000,B446)</f>
        <v/>
      </c>
      <c r="I446" s="11">
        <f>MAX(0,MIN(D446,G446-H446))</f>
        <v/>
      </c>
      <c r="J446" s="26">
        <f>I446*E446/D446</f>
        <v/>
      </c>
      <c r="K446" s="10">
        <f>IF(I446=0,"Dispatched",IF(F446&lt;=30,"0-30",IF(F446&lt;=60,"31-60",IF(F446&lt;=90,"61-90","90+"))))</f>
        <v/>
      </c>
    </row>
    <row r="447">
      <c r="A447" s="24" t="inlineStr">
        <is>
          <t>NPMD</t>
        </is>
      </c>
      <c r="B447" s="24" t="inlineStr">
        <is>
          <t>60X40X2</t>
        </is>
      </c>
      <c r="C447" s="6" t="n">
        <v>46271</v>
      </c>
      <c r="D447" s="24" t="n">
        <v>408</v>
      </c>
      <c r="E447" s="25" t="n">
        <v>7.379</v>
      </c>
      <c r="F447" s="14">
        <f>AsOf-C447</f>
        <v/>
      </c>
      <c r="G447" s="11">
        <f>SUMIFS($D$2:$D$5000,$A$2:$A$5000,A447,$B$2:$B$5000,B447,$C$2:$C$5000,"&lt;="&amp;C447)</f>
        <v/>
      </c>
      <c r="H447" s="11">
        <f>SUMIFS(Dispatched!$C$2:$C$5000,Dispatched!$A$2:$A$5000,A447,Dispatched!$B$2:$B$5000,B447)</f>
        <v/>
      </c>
      <c r="I447" s="11">
        <f>MAX(0,MIN(D447,G447-H447))</f>
        <v/>
      </c>
      <c r="J447" s="26">
        <f>I447*E447/D447</f>
        <v/>
      </c>
      <c r="K447" s="10">
        <f>IF(I447=0,"Dispatched",IF(F447&lt;=30,"0-30",IF(F447&lt;=60,"31-60",IF(F447&lt;=90,"61-90","90+"))))</f>
        <v/>
      </c>
    </row>
    <row r="448">
      <c r="A448" s="24" t="inlineStr">
        <is>
          <t>NPMD</t>
        </is>
      </c>
      <c r="B448" s="24" t="inlineStr">
        <is>
          <t>60X40X2</t>
        </is>
      </c>
      <c r="C448" s="6" t="n">
        <v>46272</v>
      </c>
      <c r="D448" s="24" t="n">
        <v>2053</v>
      </c>
      <c r="E448" s="25" t="n">
        <v>37.131</v>
      </c>
      <c r="F448" s="14">
        <f>AsOf-C448</f>
        <v/>
      </c>
      <c r="G448" s="11">
        <f>SUMIFS($D$2:$D$5000,$A$2:$A$5000,A448,$B$2:$B$5000,B448,$C$2:$C$5000,"&lt;="&amp;C448)</f>
        <v/>
      </c>
      <c r="H448" s="11">
        <f>SUMIFS(Dispatched!$C$2:$C$5000,Dispatched!$A$2:$A$5000,A448,Dispatched!$B$2:$B$5000,B448)</f>
        <v/>
      </c>
      <c r="I448" s="11">
        <f>MAX(0,MIN(D448,G448-H448))</f>
        <v/>
      </c>
      <c r="J448" s="26">
        <f>I448*E448/D448</f>
        <v/>
      </c>
      <c r="K448" s="10">
        <f>IF(I448=0,"Dispatched",IF(F448&lt;=30,"0-30",IF(F448&lt;=60,"31-60",IF(F448&lt;=90,"61-90","90+"))))</f>
        <v/>
      </c>
    </row>
    <row r="449">
      <c r="A449" s="24" t="inlineStr">
        <is>
          <t>NPMD</t>
        </is>
      </c>
      <c r="B449" s="24" t="inlineStr">
        <is>
          <t>60X40X2</t>
        </is>
      </c>
      <c r="C449" s="6" t="n">
        <v>46273</v>
      </c>
      <c r="D449" s="24" t="n">
        <v>1288</v>
      </c>
      <c r="E449" s="25" t="n">
        <v>23.295</v>
      </c>
      <c r="F449" s="14">
        <f>AsOf-C449</f>
        <v/>
      </c>
      <c r="G449" s="11">
        <f>SUMIFS($D$2:$D$5000,$A$2:$A$5000,A449,$B$2:$B$5000,B449,$C$2:$C$5000,"&lt;="&amp;C449)</f>
        <v/>
      </c>
      <c r="H449" s="11">
        <f>SUMIFS(Dispatched!$C$2:$C$5000,Dispatched!$A$2:$A$5000,A449,Dispatched!$B$2:$B$5000,B449)</f>
        <v/>
      </c>
      <c r="I449" s="11">
        <f>MAX(0,MIN(D449,G449-H449))</f>
        <v/>
      </c>
      <c r="J449" s="26">
        <f>I449*E449/D449</f>
        <v/>
      </c>
      <c r="K449" s="10">
        <f>IF(I449=0,"Dispatched",IF(F449&lt;=30,"0-30",IF(F449&lt;=60,"31-60",IF(F449&lt;=90,"61-90","90+"))))</f>
        <v/>
      </c>
    </row>
    <row r="450">
      <c r="A450" s="24" t="inlineStr">
        <is>
          <t>NPMD</t>
        </is>
      </c>
      <c r="B450" s="24" t="inlineStr">
        <is>
          <t>60X40X2</t>
        </is>
      </c>
      <c r="C450" s="6" t="n">
        <v>46274</v>
      </c>
      <c r="D450" s="24" t="n">
        <v>168</v>
      </c>
      <c r="E450" s="25" t="n">
        <v>3.039</v>
      </c>
      <c r="F450" s="14">
        <f>AsOf-C450</f>
        <v/>
      </c>
      <c r="G450" s="11">
        <f>SUMIFS($D$2:$D$5000,$A$2:$A$5000,A450,$B$2:$B$5000,B450,$C$2:$C$5000,"&lt;="&amp;C450)</f>
        <v/>
      </c>
      <c r="H450" s="11">
        <f>SUMIFS(Dispatched!$C$2:$C$5000,Dispatched!$A$2:$A$5000,A450,Dispatched!$B$2:$B$5000,B450)</f>
        <v/>
      </c>
      <c r="I450" s="11">
        <f>MAX(0,MIN(D450,G450-H450))</f>
        <v/>
      </c>
      <c r="J450" s="26">
        <f>I450*E450/D450</f>
        <v/>
      </c>
      <c r="K450" s="10">
        <f>IF(I450=0,"Dispatched",IF(F450&lt;=30,"0-30",IF(F450&lt;=60,"31-60",IF(F450&lt;=90,"61-90","90+"))))</f>
        <v/>
      </c>
    </row>
    <row r="451">
      <c r="A451" s="24" t="inlineStr">
        <is>
          <t>NPMD</t>
        </is>
      </c>
      <c r="B451" s="24" t="inlineStr">
        <is>
          <t>60X40X2</t>
        </is>
      </c>
      <c r="C451" s="6" t="n">
        <v>46302</v>
      </c>
      <c r="D451" s="24" t="n">
        <v>3445</v>
      </c>
      <c r="E451" s="25" t="n">
        <v>62.308</v>
      </c>
      <c r="F451" s="14">
        <f>AsOf-C451</f>
        <v/>
      </c>
      <c r="G451" s="11">
        <f>SUMIFS($D$2:$D$5000,$A$2:$A$5000,A451,$B$2:$B$5000,B451,$C$2:$C$5000,"&lt;="&amp;C451)</f>
        <v/>
      </c>
      <c r="H451" s="11">
        <f>SUMIFS(Dispatched!$C$2:$C$5000,Dispatched!$A$2:$A$5000,A451,Dispatched!$B$2:$B$5000,B451)</f>
        <v/>
      </c>
      <c r="I451" s="11">
        <f>MAX(0,MIN(D451,G451-H451))</f>
        <v/>
      </c>
      <c r="J451" s="26">
        <f>I451*E451/D451</f>
        <v/>
      </c>
      <c r="K451" s="10">
        <f>IF(I451=0,"Dispatched",IF(F451&lt;=30,"0-30",IF(F451&lt;=60,"31-60",IF(F451&lt;=90,"61-90","90+"))))</f>
        <v/>
      </c>
    </row>
    <row r="452">
      <c r="A452" s="24" t="inlineStr">
        <is>
          <t>NPMD</t>
        </is>
      </c>
      <c r="B452" s="24" t="inlineStr">
        <is>
          <t>60X40X2</t>
        </is>
      </c>
      <c r="C452" s="6" t="n">
        <v>46304</v>
      </c>
      <c r="D452" s="24" t="n">
        <v>387</v>
      </c>
      <c r="E452" s="25" t="n">
        <v>6.999</v>
      </c>
      <c r="F452" s="14">
        <f>AsOf-C452</f>
        <v/>
      </c>
      <c r="G452" s="11">
        <f>SUMIFS($D$2:$D$5000,$A$2:$A$5000,A452,$B$2:$B$5000,B452,$C$2:$C$5000,"&lt;="&amp;C452)</f>
        <v/>
      </c>
      <c r="H452" s="11">
        <f>SUMIFS(Dispatched!$C$2:$C$5000,Dispatched!$A$2:$A$5000,A452,Dispatched!$B$2:$B$5000,B452)</f>
        <v/>
      </c>
      <c r="I452" s="11">
        <f>MAX(0,MIN(D452,G452-H452))</f>
        <v/>
      </c>
      <c r="J452" s="26">
        <f>I452*E452/D452</f>
        <v/>
      </c>
      <c r="K452" s="10">
        <f>IF(I452=0,"Dispatched",IF(F452&lt;=30,"0-30",IF(F452&lt;=60,"31-60",IF(F452&lt;=90,"61-90","90+"))))</f>
        <v/>
      </c>
    </row>
    <row r="453">
      <c r="A453" s="24" t="inlineStr">
        <is>
          <t>NPMD</t>
        </is>
      </c>
      <c r="B453" s="24" t="inlineStr">
        <is>
          <t>60X40X2.5</t>
        </is>
      </c>
      <c r="C453" s="6" t="n">
        <v>46300</v>
      </c>
      <c r="D453" s="24" t="n">
        <v>832</v>
      </c>
      <c r="E453" s="25" t="n">
        <v>18.614</v>
      </c>
      <c r="F453" s="14">
        <f>AsOf-C453</f>
        <v/>
      </c>
      <c r="G453" s="11">
        <f>SUMIFS($D$2:$D$5000,$A$2:$A$5000,A453,$B$2:$B$5000,B453,$C$2:$C$5000,"&lt;="&amp;C453)</f>
        <v/>
      </c>
      <c r="H453" s="11">
        <f>SUMIFS(Dispatched!$C$2:$C$5000,Dispatched!$A$2:$A$5000,A453,Dispatched!$B$2:$B$5000,B453)</f>
        <v/>
      </c>
      <c r="I453" s="11">
        <f>MAX(0,MIN(D453,G453-H453))</f>
        <v/>
      </c>
      <c r="J453" s="26">
        <f>I453*E453/D453</f>
        <v/>
      </c>
      <c r="K453" s="10">
        <f>IF(I453=0,"Dispatched",IF(F453&lt;=30,"0-30",IF(F453&lt;=60,"31-60",IF(F453&lt;=90,"61-90","90+"))))</f>
        <v/>
      </c>
    </row>
    <row r="454">
      <c r="A454" s="24" t="inlineStr">
        <is>
          <t>NPMD</t>
        </is>
      </c>
      <c r="B454" s="24" t="inlineStr">
        <is>
          <t>60X40X2.5</t>
        </is>
      </c>
      <c r="C454" s="6" t="n">
        <v>46301</v>
      </c>
      <c r="D454" s="24" t="n">
        <v>1157</v>
      </c>
      <c r="E454" s="25" t="n">
        <v>25.885</v>
      </c>
      <c r="F454" s="14">
        <f>AsOf-C454</f>
        <v/>
      </c>
      <c r="G454" s="11">
        <f>SUMIFS($D$2:$D$5000,$A$2:$A$5000,A454,$B$2:$B$5000,B454,$C$2:$C$5000,"&lt;="&amp;C454)</f>
        <v/>
      </c>
      <c r="H454" s="11">
        <f>SUMIFS(Dispatched!$C$2:$C$5000,Dispatched!$A$2:$A$5000,A454,Dispatched!$B$2:$B$5000,B454)</f>
        <v/>
      </c>
      <c r="I454" s="11">
        <f>MAX(0,MIN(D454,G454-H454))</f>
        <v/>
      </c>
      <c r="J454" s="26">
        <f>I454*E454/D454</f>
        <v/>
      </c>
      <c r="K454" s="10">
        <f>IF(I454=0,"Dispatched",IF(F454&lt;=30,"0-30",IF(F454&lt;=60,"31-60",IF(F454&lt;=90,"61-90","90+"))))</f>
        <v/>
      </c>
    </row>
    <row r="455">
      <c r="A455" s="24" t="inlineStr">
        <is>
          <t>NPMD</t>
        </is>
      </c>
      <c r="B455" s="24" t="inlineStr">
        <is>
          <t>60X40X3</t>
        </is>
      </c>
      <c r="C455" s="6" t="n">
        <v>46271</v>
      </c>
      <c r="D455" s="24" t="n">
        <v>1016</v>
      </c>
      <c r="E455" s="25" t="n">
        <v>26.989</v>
      </c>
      <c r="F455" s="14">
        <f>AsOf-C455</f>
        <v/>
      </c>
      <c r="G455" s="11">
        <f>SUMIFS($D$2:$D$5000,$A$2:$A$5000,A455,$B$2:$B$5000,B455,$C$2:$C$5000,"&lt;="&amp;C455)</f>
        <v/>
      </c>
      <c r="H455" s="11">
        <f>SUMIFS(Dispatched!$C$2:$C$5000,Dispatched!$A$2:$A$5000,A455,Dispatched!$B$2:$B$5000,B455)</f>
        <v/>
      </c>
      <c r="I455" s="11">
        <f>MAX(0,MIN(D455,G455-H455))</f>
        <v/>
      </c>
      <c r="J455" s="26">
        <f>I455*E455/D455</f>
        <v/>
      </c>
      <c r="K455" s="10">
        <f>IF(I455=0,"Dispatched",IF(F455&lt;=30,"0-30",IF(F455&lt;=60,"31-60",IF(F455&lt;=90,"61-90","90+"))))</f>
        <v/>
      </c>
    </row>
    <row r="456">
      <c r="A456" s="24" t="inlineStr">
        <is>
          <t>NPMD</t>
        </is>
      </c>
      <c r="B456" s="24" t="inlineStr">
        <is>
          <t>60X40X3</t>
        </is>
      </c>
      <c r="C456" s="6" t="n">
        <v>46272</v>
      </c>
      <c r="D456" s="24" t="n">
        <v>800</v>
      </c>
      <c r="E456" s="25" t="n">
        <v>21.252</v>
      </c>
      <c r="F456" s="14">
        <f>AsOf-C456</f>
        <v/>
      </c>
      <c r="G456" s="11">
        <f>SUMIFS($D$2:$D$5000,$A$2:$A$5000,A456,$B$2:$B$5000,B456,$C$2:$C$5000,"&lt;="&amp;C456)</f>
        <v/>
      </c>
      <c r="H456" s="11">
        <f>SUMIFS(Dispatched!$C$2:$C$5000,Dispatched!$A$2:$A$5000,A456,Dispatched!$B$2:$B$5000,B456)</f>
        <v/>
      </c>
      <c r="I456" s="11">
        <f>MAX(0,MIN(D456,G456-H456))</f>
        <v/>
      </c>
      <c r="J456" s="26">
        <f>I456*E456/D456</f>
        <v/>
      </c>
      <c r="K456" s="10">
        <f>IF(I456=0,"Dispatched",IF(F456&lt;=30,"0-30",IF(F456&lt;=60,"31-60",IF(F456&lt;=90,"61-90","90+"))))</f>
        <v/>
      </c>
    </row>
    <row r="457">
      <c r="A457" s="24" t="inlineStr">
        <is>
          <t>NPMD</t>
        </is>
      </c>
      <c r="B457" s="24" t="inlineStr">
        <is>
          <t>80X40X1.6</t>
        </is>
      </c>
      <c r="C457" s="6" t="n">
        <v>46283</v>
      </c>
      <c r="D457" s="24" t="n">
        <v>2330</v>
      </c>
      <c r="E457" s="25" t="n">
        <v>41.018</v>
      </c>
      <c r="F457" s="14">
        <f>AsOf-C457</f>
        <v/>
      </c>
      <c r="G457" s="11">
        <f>SUMIFS($D$2:$D$5000,$A$2:$A$5000,A457,$B$2:$B$5000,B457,$C$2:$C$5000,"&lt;="&amp;C457)</f>
        <v/>
      </c>
      <c r="H457" s="11">
        <f>SUMIFS(Dispatched!$C$2:$C$5000,Dispatched!$A$2:$A$5000,A457,Dispatched!$B$2:$B$5000,B457)</f>
        <v/>
      </c>
      <c r="I457" s="11">
        <f>MAX(0,MIN(D457,G457-H457))</f>
        <v/>
      </c>
      <c r="J457" s="26">
        <f>I457*E457/D457</f>
        <v/>
      </c>
      <c r="K457" s="10">
        <f>IF(I457=0,"Dispatched",IF(F457&lt;=30,"0-30",IF(F457&lt;=60,"31-60",IF(F457&lt;=90,"61-90","90+"))))</f>
        <v/>
      </c>
    </row>
    <row r="458">
      <c r="A458" s="24" t="inlineStr">
        <is>
          <t>NPMD</t>
        </is>
      </c>
      <c r="B458" s="24" t="inlineStr">
        <is>
          <t>80X40X2</t>
        </is>
      </c>
      <c r="C458" s="6" t="n">
        <v>46274</v>
      </c>
      <c r="D458" s="24" t="n">
        <v>196</v>
      </c>
      <c r="E458" s="25" t="n">
        <v>4.283</v>
      </c>
      <c r="F458" s="14">
        <f>AsOf-C458</f>
        <v/>
      </c>
      <c r="G458" s="11">
        <f>SUMIFS($D$2:$D$5000,$A$2:$A$5000,A458,$B$2:$B$5000,B458,$C$2:$C$5000,"&lt;="&amp;C458)</f>
        <v/>
      </c>
      <c r="H458" s="11">
        <f>SUMIFS(Dispatched!$C$2:$C$5000,Dispatched!$A$2:$A$5000,A458,Dispatched!$B$2:$B$5000,B458)</f>
        <v/>
      </c>
      <c r="I458" s="11">
        <f>MAX(0,MIN(D458,G458-H458))</f>
        <v/>
      </c>
      <c r="J458" s="26">
        <f>I458*E458/D458</f>
        <v/>
      </c>
      <c r="K458" s="10">
        <f>IF(I458=0,"Dispatched",IF(F458&lt;=30,"0-30",IF(F458&lt;=60,"31-60",IF(F458&lt;=90,"61-90","90+"))))</f>
        <v/>
      </c>
    </row>
    <row r="459">
      <c r="A459" s="24" t="inlineStr">
        <is>
          <t>NPMD</t>
        </is>
      </c>
      <c r="B459" s="24" t="inlineStr">
        <is>
          <t>80X40X2</t>
        </is>
      </c>
      <c r="C459" s="6" t="n">
        <v>46276</v>
      </c>
      <c r="D459" s="24" t="n">
        <v>1226</v>
      </c>
      <c r="E459" s="25" t="n">
        <v>26.793</v>
      </c>
      <c r="F459" s="14">
        <f>AsOf-C459</f>
        <v/>
      </c>
      <c r="G459" s="11">
        <f>SUMIFS($D$2:$D$5000,$A$2:$A$5000,A459,$B$2:$B$5000,B459,$C$2:$C$5000,"&lt;="&amp;C459)</f>
        <v/>
      </c>
      <c r="H459" s="11">
        <f>SUMIFS(Dispatched!$C$2:$C$5000,Dispatched!$A$2:$A$5000,A459,Dispatched!$B$2:$B$5000,B459)</f>
        <v/>
      </c>
      <c r="I459" s="11">
        <f>MAX(0,MIN(D459,G459-H459))</f>
        <v/>
      </c>
      <c r="J459" s="26">
        <f>I459*E459/D459</f>
        <v/>
      </c>
      <c r="K459" s="10">
        <f>IF(I459=0,"Dispatched",IF(F459&lt;=30,"0-30",IF(F459&lt;=60,"31-60",IF(F459&lt;=90,"61-90","90+"))))</f>
        <v/>
      </c>
    </row>
    <row r="460">
      <c r="A460" s="24" t="inlineStr">
        <is>
          <t>NPMD</t>
        </is>
      </c>
      <c r="B460" s="24" t="inlineStr">
        <is>
          <t>80X40X2</t>
        </is>
      </c>
      <c r="C460" s="6" t="n">
        <v>46280</v>
      </c>
      <c r="D460" s="24" t="n">
        <v>3646</v>
      </c>
      <c r="E460" s="25" t="n">
        <v>79.681</v>
      </c>
      <c r="F460" s="14">
        <f>AsOf-C460</f>
        <v/>
      </c>
      <c r="G460" s="11">
        <f>SUMIFS($D$2:$D$5000,$A$2:$A$5000,A460,$B$2:$B$5000,B460,$C$2:$C$5000,"&lt;="&amp;C460)</f>
        <v/>
      </c>
      <c r="H460" s="11">
        <f>SUMIFS(Dispatched!$C$2:$C$5000,Dispatched!$A$2:$A$5000,A460,Dispatched!$B$2:$B$5000,B460)</f>
        <v/>
      </c>
      <c r="I460" s="11">
        <f>MAX(0,MIN(D460,G460-H460))</f>
        <v/>
      </c>
      <c r="J460" s="26">
        <f>I460*E460/D460</f>
        <v/>
      </c>
      <c r="K460" s="10">
        <f>IF(I460=0,"Dispatched",IF(F460&lt;=30,"0-30",IF(F460&lt;=60,"31-60",IF(F460&lt;=90,"61-90","90+"))))</f>
        <v/>
      </c>
    </row>
    <row r="461">
      <c r="A461" s="24" t="inlineStr">
        <is>
          <t>NPMD</t>
        </is>
      </c>
      <c r="B461" s="24" t="inlineStr">
        <is>
          <t>80X40X2</t>
        </is>
      </c>
      <c r="C461" s="6" t="n">
        <v>46281</v>
      </c>
      <c r="D461" s="24" t="n">
        <v>817</v>
      </c>
      <c r="E461" s="25" t="n">
        <v>17.855</v>
      </c>
      <c r="F461" s="14">
        <f>AsOf-C461</f>
        <v/>
      </c>
      <c r="G461" s="11">
        <f>SUMIFS($D$2:$D$5000,$A$2:$A$5000,A461,$B$2:$B$5000,B461,$C$2:$C$5000,"&lt;="&amp;C461)</f>
        <v/>
      </c>
      <c r="H461" s="11">
        <f>SUMIFS(Dispatched!$C$2:$C$5000,Dispatched!$A$2:$A$5000,A461,Dispatched!$B$2:$B$5000,B461)</f>
        <v/>
      </c>
      <c r="I461" s="11">
        <f>MAX(0,MIN(D461,G461-H461))</f>
        <v/>
      </c>
      <c r="J461" s="26">
        <f>I461*E461/D461</f>
        <v/>
      </c>
      <c r="K461" s="10">
        <f>IF(I461=0,"Dispatched",IF(F461&lt;=30,"0-30",IF(F461&lt;=60,"31-60",IF(F461&lt;=90,"61-90","90+"))))</f>
        <v/>
      </c>
    </row>
    <row r="462">
      <c r="A462" s="24" t="inlineStr">
        <is>
          <t>NPMD</t>
        </is>
      </c>
      <c r="B462" s="24" t="inlineStr">
        <is>
          <t>80X40X3</t>
        </is>
      </c>
      <c r="C462" s="6" t="n">
        <v>46274</v>
      </c>
      <c r="D462" s="24" t="n">
        <v>562</v>
      </c>
      <c r="E462" s="25" t="n">
        <v>18.106</v>
      </c>
      <c r="F462" s="14">
        <f>AsOf-C462</f>
        <v/>
      </c>
      <c r="G462" s="11">
        <f>SUMIFS($D$2:$D$5000,$A$2:$A$5000,A462,$B$2:$B$5000,B462,$C$2:$C$5000,"&lt;="&amp;C462)</f>
        <v/>
      </c>
      <c r="H462" s="11">
        <f>SUMIFS(Dispatched!$C$2:$C$5000,Dispatched!$A$2:$A$5000,A462,Dispatched!$B$2:$B$5000,B462)</f>
        <v/>
      </c>
      <c r="I462" s="11">
        <f>MAX(0,MIN(D462,G462-H462))</f>
        <v/>
      </c>
      <c r="J462" s="26">
        <f>I462*E462/D462</f>
        <v/>
      </c>
      <c r="K462" s="10">
        <f>IF(I462=0,"Dispatched",IF(F462&lt;=30,"0-30",IF(F462&lt;=60,"31-60",IF(F462&lt;=90,"61-90","90+"))))</f>
        <v/>
      </c>
    </row>
    <row r="463">
      <c r="A463" s="24" t="inlineStr">
        <is>
          <t>NPMD</t>
        </is>
      </c>
      <c r="B463" s="24" t="inlineStr">
        <is>
          <t>80X40X3</t>
        </is>
      </c>
      <c r="C463" s="6" t="n">
        <v>46276</v>
      </c>
      <c r="D463" s="24" t="n">
        <v>1930</v>
      </c>
      <c r="E463" s="25" t="n">
        <v>62.178</v>
      </c>
      <c r="F463" s="14">
        <f>AsOf-C463</f>
        <v/>
      </c>
      <c r="G463" s="11">
        <f>SUMIFS($D$2:$D$5000,$A$2:$A$5000,A463,$B$2:$B$5000,B463,$C$2:$C$5000,"&lt;="&amp;C463)</f>
        <v/>
      </c>
      <c r="H463" s="11">
        <f>SUMIFS(Dispatched!$C$2:$C$5000,Dispatched!$A$2:$A$5000,A463,Dispatched!$B$2:$B$5000,B463)</f>
        <v/>
      </c>
      <c r="I463" s="11">
        <f>MAX(0,MIN(D463,G463-H463))</f>
        <v/>
      </c>
      <c r="J463" s="26">
        <f>I463*E463/D463</f>
        <v/>
      </c>
      <c r="K463" s="10">
        <f>IF(I463=0,"Dispatched",IF(F463&lt;=30,"0-30",IF(F463&lt;=60,"31-60",IF(F463&lt;=90,"61-90","90+"))))</f>
        <v/>
      </c>
    </row>
    <row r="464">
      <c r="A464" s="24" t="inlineStr">
        <is>
          <t>NPMD</t>
        </is>
      </c>
      <c r="B464" s="24" t="inlineStr">
        <is>
          <t>80X40X3</t>
        </is>
      </c>
      <c r="C464" s="6" t="n">
        <v>46278</v>
      </c>
      <c r="D464" s="24" t="n">
        <v>550</v>
      </c>
      <c r="E464" s="25" t="n">
        <v>17.719</v>
      </c>
      <c r="F464" s="14">
        <f>AsOf-C464</f>
        <v/>
      </c>
      <c r="G464" s="11">
        <f>SUMIFS($D$2:$D$5000,$A$2:$A$5000,A464,$B$2:$B$5000,B464,$C$2:$C$5000,"&lt;="&amp;C464)</f>
        <v/>
      </c>
      <c r="H464" s="11">
        <f>SUMIFS(Dispatched!$C$2:$C$5000,Dispatched!$A$2:$A$5000,A464,Dispatched!$B$2:$B$5000,B464)</f>
        <v/>
      </c>
      <c r="I464" s="11">
        <f>MAX(0,MIN(D464,G464-H464))</f>
        <v/>
      </c>
      <c r="J464" s="26">
        <f>I464*E464/D464</f>
        <v/>
      </c>
      <c r="K464" s="10">
        <f>IF(I464=0,"Dispatched",IF(F464&lt;=30,"0-30",IF(F464&lt;=60,"31-60",IF(F464&lt;=90,"61-90","90+"))))</f>
        <v/>
      </c>
    </row>
    <row r="465">
      <c r="A465" s="24" t="inlineStr">
        <is>
          <t>Tapi</t>
        </is>
      </c>
      <c r="B465" s="24" t="inlineStr">
        <is>
          <t>100X100X2</t>
        </is>
      </c>
      <c r="C465" s="6" t="n">
        <v>46263</v>
      </c>
      <c r="D465" s="24" t="n">
        <v>354</v>
      </c>
      <c r="E465" s="25" t="n">
        <v>13.072</v>
      </c>
      <c r="F465" s="14">
        <f>AsOf-C465</f>
        <v/>
      </c>
      <c r="G465" s="11">
        <f>SUMIFS($D$2:$D$5000,$A$2:$A$5000,A465,$B$2:$B$5000,B465,$C$2:$C$5000,"&lt;="&amp;C465)</f>
        <v/>
      </c>
      <c r="H465" s="11">
        <f>SUMIFS(Dispatched!$C$2:$C$5000,Dispatched!$A$2:$A$5000,A465,Dispatched!$B$2:$B$5000,B465)</f>
        <v/>
      </c>
      <c r="I465" s="11">
        <f>MAX(0,MIN(D465,G465-H465))</f>
        <v/>
      </c>
      <c r="J465" s="26">
        <f>I465*E465/D465</f>
        <v/>
      </c>
      <c r="K465" s="10">
        <f>IF(I465=0,"Dispatched",IF(F465&lt;=30,"0-30",IF(F465&lt;=60,"31-60",IF(F465&lt;=90,"61-90","90+"))))</f>
        <v/>
      </c>
    </row>
    <row r="466">
      <c r="A466" s="24" t="inlineStr">
        <is>
          <t>Tapi</t>
        </is>
      </c>
      <c r="B466" s="24" t="inlineStr">
        <is>
          <t>100X100X2</t>
        </is>
      </c>
      <c r="C466" s="6" t="n">
        <v>46268</v>
      </c>
      <c r="D466" s="24" t="n">
        <v>400</v>
      </c>
      <c r="E466" s="25" t="n">
        <v>14.771</v>
      </c>
      <c r="F466" s="14">
        <f>AsOf-C466</f>
        <v/>
      </c>
      <c r="G466" s="11">
        <f>SUMIFS($D$2:$D$5000,$A$2:$A$5000,A466,$B$2:$B$5000,B466,$C$2:$C$5000,"&lt;="&amp;C466)</f>
        <v/>
      </c>
      <c r="H466" s="11">
        <f>SUMIFS(Dispatched!$C$2:$C$5000,Dispatched!$A$2:$A$5000,A466,Dispatched!$B$2:$B$5000,B466)</f>
        <v/>
      </c>
      <c r="I466" s="11">
        <f>MAX(0,MIN(D466,G466-H466))</f>
        <v/>
      </c>
      <c r="J466" s="26">
        <f>I466*E466/D466</f>
        <v/>
      </c>
      <c r="K466" s="10">
        <f>IF(I466=0,"Dispatched",IF(F466&lt;=30,"0-30",IF(F466&lt;=60,"31-60",IF(F466&lt;=90,"61-90","90+"))))</f>
        <v/>
      </c>
    </row>
    <row r="467">
      <c r="A467" s="24" t="inlineStr">
        <is>
          <t>Tapi</t>
        </is>
      </c>
      <c r="B467" s="24" t="inlineStr">
        <is>
          <t>100X100X2.5</t>
        </is>
      </c>
      <c r="C467" s="6" t="n">
        <v>46262</v>
      </c>
      <c r="D467" s="24" t="n">
        <v>120</v>
      </c>
      <c r="E467" s="25" t="n">
        <v>5.511</v>
      </c>
      <c r="F467" s="14">
        <f>AsOf-C467</f>
        <v/>
      </c>
      <c r="G467" s="11">
        <f>SUMIFS($D$2:$D$5000,$A$2:$A$5000,A467,$B$2:$B$5000,B467,$C$2:$C$5000,"&lt;="&amp;C467)</f>
        <v/>
      </c>
      <c r="H467" s="11">
        <f>SUMIFS(Dispatched!$C$2:$C$5000,Dispatched!$A$2:$A$5000,A467,Dispatched!$B$2:$B$5000,B467)</f>
        <v/>
      </c>
      <c r="I467" s="11">
        <f>MAX(0,MIN(D467,G467-H467))</f>
        <v/>
      </c>
      <c r="J467" s="26">
        <f>I467*E467/D467</f>
        <v/>
      </c>
      <c r="K467" s="10">
        <f>IF(I467=0,"Dispatched",IF(F467&lt;=30,"0-30",IF(F467&lt;=60,"31-60",IF(F467&lt;=90,"61-90","90+"))))</f>
        <v/>
      </c>
    </row>
    <row r="468">
      <c r="A468" s="24" t="inlineStr">
        <is>
          <t>Tapi</t>
        </is>
      </c>
      <c r="B468" s="24" t="inlineStr">
        <is>
          <t>100X100X2.5</t>
        </is>
      </c>
      <c r="C468" s="6" t="n">
        <v>46263</v>
      </c>
      <c r="D468" s="24" t="n">
        <v>269</v>
      </c>
      <c r="E468" s="25" t="n">
        <v>12.353</v>
      </c>
      <c r="F468" s="14">
        <f>AsOf-C468</f>
        <v/>
      </c>
      <c r="G468" s="11">
        <f>SUMIFS($D$2:$D$5000,$A$2:$A$5000,A468,$B$2:$B$5000,B468,$C$2:$C$5000,"&lt;="&amp;C468)</f>
        <v/>
      </c>
      <c r="H468" s="11">
        <f>SUMIFS(Dispatched!$C$2:$C$5000,Dispatched!$A$2:$A$5000,A468,Dispatched!$B$2:$B$5000,B468)</f>
        <v/>
      </c>
      <c r="I468" s="11">
        <f>MAX(0,MIN(D468,G468-H468))</f>
        <v/>
      </c>
      <c r="J468" s="26">
        <f>I468*E468/D468</f>
        <v/>
      </c>
      <c r="K468" s="10">
        <f>IF(I468=0,"Dispatched",IF(F468&lt;=30,"0-30",IF(F468&lt;=60,"31-60",IF(F468&lt;=90,"61-90","90+"))))</f>
        <v/>
      </c>
    </row>
    <row r="469">
      <c r="A469" s="24" t="inlineStr">
        <is>
          <t>Tapi</t>
        </is>
      </c>
      <c r="B469" s="24" t="inlineStr">
        <is>
          <t>100X100X3</t>
        </is>
      </c>
      <c r="C469" s="6" t="n">
        <v>46262</v>
      </c>
      <c r="D469" s="24" t="n">
        <v>1041</v>
      </c>
      <c r="E469" s="25" t="n">
        <v>57.072</v>
      </c>
      <c r="F469" s="14">
        <f>AsOf-C469</f>
        <v/>
      </c>
      <c r="G469" s="11">
        <f>SUMIFS($D$2:$D$5000,$A$2:$A$5000,A469,$B$2:$B$5000,B469,$C$2:$C$5000,"&lt;="&amp;C469)</f>
        <v/>
      </c>
      <c r="H469" s="11">
        <f>SUMIFS(Dispatched!$C$2:$C$5000,Dispatched!$A$2:$A$5000,A469,Dispatched!$B$2:$B$5000,B469)</f>
        <v/>
      </c>
      <c r="I469" s="11">
        <f>MAX(0,MIN(D469,G469-H469))</f>
        <v/>
      </c>
      <c r="J469" s="26">
        <f>I469*E469/D469</f>
        <v/>
      </c>
      <c r="K469" s="10">
        <f>IF(I469=0,"Dispatched",IF(F469&lt;=30,"0-30",IF(F469&lt;=60,"31-60",IF(F469&lt;=90,"61-90","90+"))))</f>
        <v/>
      </c>
    </row>
    <row r="470">
      <c r="A470" s="24" t="inlineStr">
        <is>
          <t>Tapi</t>
        </is>
      </c>
      <c r="B470" s="24" t="inlineStr">
        <is>
          <t>100X100X3</t>
        </is>
      </c>
      <c r="C470" s="6" t="n">
        <v>46263</v>
      </c>
      <c r="D470" s="24" t="n">
        <v>115</v>
      </c>
      <c r="E470" s="25" t="n">
        <v>6.305</v>
      </c>
      <c r="F470" s="14">
        <f>AsOf-C470</f>
        <v/>
      </c>
      <c r="G470" s="11">
        <f>SUMIFS($D$2:$D$5000,$A$2:$A$5000,A470,$B$2:$B$5000,B470,$C$2:$C$5000,"&lt;="&amp;C470)</f>
        <v/>
      </c>
      <c r="H470" s="11">
        <f>SUMIFS(Dispatched!$C$2:$C$5000,Dispatched!$A$2:$A$5000,A470,Dispatched!$B$2:$B$5000,B470)</f>
        <v/>
      </c>
      <c r="I470" s="11">
        <f>MAX(0,MIN(D470,G470-H470))</f>
        <v/>
      </c>
      <c r="J470" s="26">
        <f>I470*E470/D470</f>
        <v/>
      </c>
      <c r="K470" s="10">
        <f>IF(I470=0,"Dispatched",IF(F470&lt;=30,"0-30",IF(F470&lt;=60,"31-60",IF(F470&lt;=90,"61-90","90+"))))</f>
        <v/>
      </c>
    </row>
    <row r="471">
      <c r="A471" s="24" t="inlineStr">
        <is>
          <t>Tapi</t>
        </is>
      </c>
      <c r="B471" s="24" t="inlineStr">
        <is>
          <t>100X100X4</t>
        </is>
      </c>
      <c r="C471" s="6" t="n">
        <v>46261</v>
      </c>
      <c r="D471" s="24" t="n">
        <v>90</v>
      </c>
      <c r="E471" s="25" t="n">
        <v>6.511</v>
      </c>
      <c r="F471" s="14">
        <f>AsOf-C471</f>
        <v/>
      </c>
      <c r="G471" s="11">
        <f>SUMIFS($D$2:$D$5000,$A$2:$A$5000,A471,$B$2:$B$5000,B471,$C$2:$C$5000,"&lt;="&amp;C471)</f>
        <v/>
      </c>
      <c r="H471" s="11">
        <f>SUMIFS(Dispatched!$C$2:$C$5000,Dispatched!$A$2:$A$5000,A471,Dispatched!$B$2:$B$5000,B471)</f>
        <v/>
      </c>
      <c r="I471" s="11">
        <f>MAX(0,MIN(D471,G471-H471))</f>
        <v/>
      </c>
      <c r="J471" s="26">
        <f>I471*E471/D471</f>
        <v/>
      </c>
      <c r="K471" s="10">
        <f>IF(I471=0,"Dispatched",IF(F471&lt;=30,"0-30",IF(F471&lt;=60,"31-60",IF(F471&lt;=90,"61-90","90+"))))</f>
        <v/>
      </c>
    </row>
    <row r="472">
      <c r="A472" s="24" t="inlineStr">
        <is>
          <t>Tapi</t>
        </is>
      </c>
      <c r="B472" s="24" t="inlineStr">
        <is>
          <t>100X100X4</t>
        </is>
      </c>
      <c r="C472" s="6" t="n">
        <v>46262</v>
      </c>
      <c r="D472" s="24" t="n">
        <v>193</v>
      </c>
      <c r="E472" s="25" t="n">
        <v>13.963</v>
      </c>
      <c r="F472" s="14">
        <f>AsOf-C472</f>
        <v/>
      </c>
      <c r="G472" s="11">
        <f>SUMIFS($D$2:$D$5000,$A$2:$A$5000,A472,$B$2:$B$5000,B472,$C$2:$C$5000,"&lt;="&amp;C472)</f>
        <v/>
      </c>
      <c r="H472" s="11">
        <f>SUMIFS(Dispatched!$C$2:$C$5000,Dispatched!$A$2:$A$5000,A472,Dispatched!$B$2:$B$5000,B472)</f>
        <v/>
      </c>
      <c r="I472" s="11">
        <f>MAX(0,MIN(D472,G472-H472))</f>
        <v/>
      </c>
      <c r="J472" s="26">
        <f>I472*E472/D472</f>
        <v/>
      </c>
      <c r="K472" s="10">
        <f>IF(I472=0,"Dispatched",IF(F472&lt;=30,"0-30",IF(F472&lt;=60,"31-60",IF(F472&lt;=90,"61-90","90+"))))</f>
        <v/>
      </c>
    </row>
    <row r="473">
      <c r="A473" s="24" t="inlineStr">
        <is>
          <t>Tapi</t>
        </is>
      </c>
      <c r="B473" s="24" t="inlineStr">
        <is>
          <t>100X100X4</t>
        </is>
      </c>
      <c r="C473" s="6" t="n">
        <v>46264</v>
      </c>
      <c r="D473" s="24" t="n">
        <v>192</v>
      </c>
      <c r="E473" s="25" t="n">
        <v>13.89</v>
      </c>
      <c r="F473" s="14">
        <f>AsOf-C473</f>
        <v/>
      </c>
      <c r="G473" s="11">
        <f>SUMIFS($D$2:$D$5000,$A$2:$A$5000,A473,$B$2:$B$5000,B473,$C$2:$C$5000,"&lt;="&amp;C473)</f>
        <v/>
      </c>
      <c r="H473" s="11">
        <f>SUMIFS(Dispatched!$C$2:$C$5000,Dispatched!$A$2:$A$5000,A473,Dispatched!$B$2:$B$5000,B473)</f>
        <v/>
      </c>
      <c r="I473" s="11">
        <f>MAX(0,MIN(D473,G473-H473))</f>
        <v/>
      </c>
      <c r="J473" s="26">
        <f>I473*E473/D473</f>
        <v/>
      </c>
      <c r="K473" s="10">
        <f>IF(I473=0,"Dispatched",IF(F473&lt;=30,"0-30",IF(F473&lt;=60,"31-60",IF(F473&lt;=90,"61-90","90+"))))</f>
        <v/>
      </c>
    </row>
    <row r="474">
      <c r="A474" s="24" t="inlineStr">
        <is>
          <t>Tapi</t>
        </is>
      </c>
      <c r="B474" s="24" t="inlineStr">
        <is>
          <t>100X100X4</t>
        </is>
      </c>
      <c r="C474" s="6" t="n">
        <v>46265</v>
      </c>
      <c r="D474" s="24" t="n">
        <v>296</v>
      </c>
      <c r="E474" s="25" t="n">
        <v>21.414</v>
      </c>
      <c r="F474" s="14">
        <f>AsOf-C474</f>
        <v/>
      </c>
      <c r="G474" s="11">
        <f>SUMIFS($D$2:$D$5000,$A$2:$A$5000,A474,$B$2:$B$5000,B474,$C$2:$C$5000,"&lt;="&amp;C474)</f>
        <v/>
      </c>
      <c r="H474" s="11">
        <f>SUMIFS(Dispatched!$C$2:$C$5000,Dispatched!$A$2:$A$5000,A474,Dispatched!$B$2:$B$5000,B474)</f>
        <v/>
      </c>
      <c r="I474" s="11">
        <f>MAX(0,MIN(D474,G474-H474))</f>
        <v/>
      </c>
      <c r="J474" s="26">
        <f>I474*E474/D474</f>
        <v/>
      </c>
      <c r="K474" s="10">
        <f>IF(I474=0,"Dispatched",IF(F474&lt;=30,"0-30",IF(F474&lt;=60,"31-60",IF(F474&lt;=90,"61-90","90+"))))</f>
        <v/>
      </c>
    </row>
    <row r="475">
      <c r="A475" s="24" t="inlineStr">
        <is>
          <t>Tapi</t>
        </is>
      </c>
      <c r="B475" s="24" t="inlineStr">
        <is>
          <t>100X100X4</t>
        </is>
      </c>
      <c r="C475" s="6" t="n">
        <v>46266</v>
      </c>
      <c r="D475" s="24" t="n">
        <v>100</v>
      </c>
      <c r="E475" s="25" t="n">
        <v>7.235</v>
      </c>
      <c r="F475" s="14">
        <f>AsOf-C475</f>
        <v/>
      </c>
      <c r="G475" s="11">
        <f>SUMIFS($D$2:$D$5000,$A$2:$A$5000,A475,$B$2:$B$5000,B475,$C$2:$C$5000,"&lt;="&amp;C475)</f>
        <v/>
      </c>
      <c r="H475" s="11">
        <f>SUMIFS(Dispatched!$C$2:$C$5000,Dispatched!$A$2:$A$5000,A475,Dispatched!$B$2:$B$5000,B475)</f>
        <v/>
      </c>
      <c r="I475" s="11">
        <f>MAX(0,MIN(D475,G475-H475))</f>
        <v/>
      </c>
      <c r="J475" s="26">
        <f>I475*E475/D475</f>
        <v/>
      </c>
      <c r="K475" s="10">
        <f>IF(I475=0,"Dispatched",IF(F475&lt;=30,"0-30",IF(F475&lt;=60,"31-60",IF(F475&lt;=90,"61-90","90+"))))</f>
        <v/>
      </c>
    </row>
    <row r="476">
      <c r="A476" s="24" t="inlineStr">
        <is>
          <t>Tapi</t>
        </is>
      </c>
      <c r="B476" s="24" t="inlineStr">
        <is>
          <t>100X100X5</t>
        </is>
      </c>
      <c r="C476" s="6" t="n">
        <v>46202</v>
      </c>
      <c r="D476" s="24" t="n">
        <v>270</v>
      </c>
      <c r="E476" s="25" t="n">
        <v>24.162</v>
      </c>
      <c r="F476" s="14">
        <f>AsOf-C476</f>
        <v/>
      </c>
      <c r="G476" s="11">
        <f>SUMIFS($D$2:$D$5000,$A$2:$A$5000,A476,$B$2:$B$5000,B476,$C$2:$C$5000,"&lt;="&amp;C476)</f>
        <v/>
      </c>
      <c r="H476" s="11">
        <f>SUMIFS(Dispatched!$C$2:$C$5000,Dispatched!$A$2:$A$5000,A476,Dispatched!$B$2:$B$5000,B476)</f>
        <v/>
      </c>
      <c r="I476" s="11">
        <f>MAX(0,MIN(D476,G476-H476))</f>
        <v/>
      </c>
      <c r="J476" s="26">
        <f>I476*E476/D476</f>
        <v/>
      </c>
      <c r="K476" s="10">
        <f>IF(I476=0,"Dispatched",IF(F476&lt;=30,"0-30",IF(F476&lt;=60,"31-60",IF(F476&lt;=90,"61-90","90+"))))</f>
        <v/>
      </c>
    </row>
    <row r="477">
      <c r="A477" s="24" t="inlineStr">
        <is>
          <t>Tapi</t>
        </is>
      </c>
      <c r="B477" s="24" t="inlineStr">
        <is>
          <t>100X100X5</t>
        </is>
      </c>
      <c r="C477" s="6" t="n">
        <v>46264</v>
      </c>
      <c r="D477" s="24" t="n">
        <v>320</v>
      </c>
      <c r="E477" s="25" t="n">
        <v>28.637</v>
      </c>
      <c r="F477" s="14">
        <f>AsOf-C477</f>
        <v/>
      </c>
      <c r="G477" s="11">
        <f>SUMIFS($D$2:$D$5000,$A$2:$A$5000,A477,$B$2:$B$5000,B477,$C$2:$C$5000,"&lt;="&amp;C477)</f>
        <v/>
      </c>
      <c r="H477" s="11">
        <f>SUMIFS(Dispatched!$C$2:$C$5000,Dispatched!$A$2:$A$5000,A477,Dispatched!$B$2:$B$5000,B477)</f>
        <v/>
      </c>
      <c r="I477" s="11">
        <f>MAX(0,MIN(D477,G477-H477))</f>
        <v/>
      </c>
      <c r="J477" s="26">
        <f>I477*E477/D477</f>
        <v/>
      </c>
      <c r="K477" s="10">
        <f>IF(I477=0,"Dispatched",IF(F477&lt;=30,"0-30",IF(F477&lt;=60,"31-60",IF(F477&lt;=90,"61-90","90+"))))</f>
        <v/>
      </c>
    </row>
    <row r="478">
      <c r="A478" s="24" t="inlineStr">
        <is>
          <t>Tapi</t>
        </is>
      </c>
      <c r="B478" s="24" t="inlineStr">
        <is>
          <t>100X100X6</t>
        </is>
      </c>
      <c r="C478" s="6" t="n">
        <v>46266</v>
      </c>
      <c r="D478" s="24" t="n">
        <v>186</v>
      </c>
      <c r="E478" s="25" t="n">
        <v>19.764</v>
      </c>
      <c r="F478" s="14">
        <f>AsOf-C478</f>
        <v/>
      </c>
      <c r="G478" s="11">
        <f>SUMIFS($D$2:$D$5000,$A$2:$A$5000,A478,$B$2:$B$5000,B478,$C$2:$C$5000,"&lt;="&amp;C478)</f>
        <v/>
      </c>
      <c r="H478" s="11">
        <f>SUMIFS(Dispatched!$C$2:$C$5000,Dispatched!$A$2:$A$5000,A478,Dispatched!$B$2:$B$5000,B478)</f>
        <v/>
      </c>
      <c r="I478" s="11">
        <f>MAX(0,MIN(D478,G478-H478))</f>
        <v/>
      </c>
      <c r="J478" s="26">
        <f>I478*E478/D478</f>
        <v/>
      </c>
      <c r="K478" s="10">
        <f>IF(I478=0,"Dispatched",IF(F478&lt;=30,"0-30",IF(F478&lt;=60,"31-60",IF(F478&lt;=90,"61-90","90+"))))</f>
        <v/>
      </c>
    </row>
    <row r="479">
      <c r="A479" s="24" t="inlineStr">
        <is>
          <t>Tapi</t>
        </is>
      </c>
      <c r="B479" s="24" t="inlineStr">
        <is>
          <t>122X61X2</t>
        </is>
      </c>
      <c r="C479" s="6" t="n">
        <v>46273</v>
      </c>
      <c r="D479" s="24" t="n">
        <v>504</v>
      </c>
      <c r="E479" s="25" t="n">
        <v>16.997</v>
      </c>
      <c r="F479" s="14">
        <f>AsOf-C479</f>
        <v/>
      </c>
      <c r="G479" s="11">
        <f>SUMIFS($D$2:$D$5000,$A$2:$A$5000,A479,$B$2:$B$5000,B479,$C$2:$C$5000,"&lt;="&amp;C479)</f>
        <v/>
      </c>
      <c r="H479" s="11">
        <f>SUMIFS(Dispatched!$C$2:$C$5000,Dispatched!$A$2:$A$5000,A479,Dispatched!$B$2:$B$5000,B479)</f>
        <v/>
      </c>
      <c r="I479" s="11">
        <f>MAX(0,MIN(D479,G479-H479))</f>
        <v/>
      </c>
      <c r="J479" s="26">
        <f>I479*E479/D479</f>
        <v/>
      </c>
      <c r="K479" s="10">
        <f>IF(I479=0,"Dispatched",IF(F479&lt;=30,"0-30",IF(F479&lt;=60,"31-60",IF(F479&lt;=90,"61-90","90+"))))</f>
        <v/>
      </c>
    </row>
    <row r="480">
      <c r="A480" s="24" t="inlineStr">
        <is>
          <t>Tapi</t>
        </is>
      </c>
      <c r="B480" s="24" t="inlineStr">
        <is>
          <t>122X61X2</t>
        </is>
      </c>
      <c r="C480" s="6" t="n">
        <v>46303</v>
      </c>
      <c r="D480" s="24" t="n">
        <v>390</v>
      </c>
      <c r="E480" s="25" t="n">
        <v>13.152</v>
      </c>
      <c r="F480" s="14">
        <f>AsOf-C480</f>
        <v/>
      </c>
      <c r="G480" s="11">
        <f>SUMIFS($D$2:$D$5000,$A$2:$A$5000,A480,$B$2:$B$5000,B480,$C$2:$C$5000,"&lt;="&amp;C480)</f>
        <v/>
      </c>
      <c r="H480" s="11">
        <f>SUMIFS(Dispatched!$C$2:$C$5000,Dispatched!$A$2:$A$5000,A480,Dispatched!$B$2:$B$5000,B480)</f>
        <v/>
      </c>
      <c r="I480" s="11">
        <f>MAX(0,MIN(D480,G480-H480))</f>
        <v/>
      </c>
      <c r="J480" s="26">
        <f>I480*E480/D480</f>
        <v/>
      </c>
      <c r="K480" s="10">
        <f>IF(I480=0,"Dispatched",IF(F480&lt;=30,"0-30",IF(F480&lt;=60,"31-60",IF(F480&lt;=90,"61-90","90+"))))</f>
        <v/>
      </c>
    </row>
    <row r="481">
      <c r="A481" s="24" t="inlineStr">
        <is>
          <t>Tapi</t>
        </is>
      </c>
      <c r="B481" s="24" t="inlineStr">
        <is>
          <t>122X61X2.5</t>
        </is>
      </c>
      <c r="C481" s="6" t="n">
        <v>46273</v>
      </c>
      <c r="D481" s="24" t="n">
        <v>135</v>
      </c>
      <c r="E481" s="25" t="n">
        <v>5.659</v>
      </c>
      <c r="F481" s="14">
        <f>AsOf-C481</f>
        <v/>
      </c>
      <c r="G481" s="11">
        <f>SUMIFS($D$2:$D$5000,$A$2:$A$5000,A481,$B$2:$B$5000,B481,$C$2:$C$5000,"&lt;="&amp;C481)</f>
        <v/>
      </c>
      <c r="H481" s="11">
        <f>SUMIFS(Dispatched!$C$2:$C$5000,Dispatched!$A$2:$A$5000,A481,Dispatched!$B$2:$B$5000,B481)</f>
        <v/>
      </c>
      <c r="I481" s="11">
        <f>MAX(0,MIN(D481,G481-H481))</f>
        <v/>
      </c>
      <c r="J481" s="26">
        <f>I481*E481/D481</f>
        <v/>
      </c>
      <c r="K481" s="10">
        <f>IF(I481=0,"Dispatched",IF(F481&lt;=30,"0-30",IF(F481&lt;=60,"31-60",IF(F481&lt;=90,"61-90","90+"))))</f>
        <v/>
      </c>
    </row>
    <row r="482">
      <c r="A482" s="24" t="inlineStr">
        <is>
          <t>Tapi</t>
        </is>
      </c>
      <c r="B482" s="24" t="inlineStr">
        <is>
          <t>122X61X2.5</t>
        </is>
      </c>
      <c r="C482" s="6" t="n">
        <v>46300</v>
      </c>
      <c r="D482" s="24" t="n">
        <v>1350</v>
      </c>
      <c r="E482" s="25" t="n">
        <v>56.591</v>
      </c>
      <c r="F482" s="14">
        <f>AsOf-C482</f>
        <v/>
      </c>
      <c r="G482" s="11">
        <f>SUMIFS($D$2:$D$5000,$A$2:$A$5000,A482,$B$2:$B$5000,B482,$C$2:$C$5000,"&lt;="&amp;C482)</f>
        <v/>
      </c>
      <c r="H482" s="11">
        <f>SUMIFS(Dispatched!$C$2:$C$5000,Dispatched!$A$2:$A$5000,A482,Dispatched!$B$2:$B$5000,B482)</f>
        <v/>
      </c>
      <c r="I482" s="11">
        <f>MAX(0,MIN(D482,G482-H482))</f>
        <v/>
      </c>
      <c r="J482" s="26">
        <f>I482*E482/D482</f>
        <v/>
      </c>
      <c r="K482" s="10">
        <f>IF(I482=0,"Dispatched",IF(F482&lt;=30,"0-30",IF(F482&lt;=60,"31-60",IF(F482&lt;=90,"61-90","90+"))))</f>
        <v/>
      </c>
    </row>
    <row r="483">
      <c r="A483" s="24" t="inlineStr">
        <is>
          <t>Tapi</t>
        </is>
      </c>
      <c r="B483" s="24" t="inlineStr">
        <is>
          <t>122X61X2.5</t>
        </is>
      </c>
      <c r="C483" s="6" t="n">
        <v>46301</v>
      </c>
      <c r="D483" s="24" t="n">
        <v>340</v>
      </c>
      <c r="E483" s="25" t="n">
        <v>14.252</v>
      </c>
      <c r="F483" s="14">
        <f>AsOf-C483</f>
        <v/>
      </c>
      <c r="G483" s="11">
        <f>SUMIFS($D$2:$D$5000,$A$2:$A$5000,A483,$B$2:$B$5000,B483,$C$2:$C$5000,"&lt;="&amp;C483)</f>
        <v/>
      </c>
      <c r="H483" s="11">
        <f>SUMIFS(Dispatched!$C$2:$C$5000,Dispatched!$A$2:$A$5000,A483,Dispatched!$B$2:$B$5000,B483)</f>
        <v/>
      </c>
      <c r="I483" s="11">
        <f>MAX(0,MIN(D483,G483-H483))</f>
        <v/>
      </c>
      <c r="J483" s="26">
        <f>I483*E483/D483</f>
        <v/>
      </c>
      <c r="K483" s="10">
        <f>IF(I483=0,"Dispatched",IF(F483&lt;=30,"0-30",IF(F483&lt;=60,"31-60",IF(F483&lt;=90,"61-90","90+"))))</f>
        <v/>
      </c>
    </row>
    <row r="484">
      <c r="A484" s="24" t="inlineStr">
        <is>
          <t>Tapi</t>
        </is>
      </c>
      <c r="B484" s="24" t="inlineStr">
        <is>
          <t>122X61X3</t>
        </is>
      </c>
      <c r="C484" s="6" t="n">
        <v>46270</v>
      </c>
      <c r="D484" s="24" t="n">
        <v>284</v>
      </c>
      <c r="E484" s="25" t="n">
        <v>14.206</v>
      </c>
      <c r="F484" s="14">
        <f>AsOf-C484</f>
        <v/>
      </c>
      <c r="G484" s="11">
        <f>SUMIFS($D$2:$D$5000,$A$2:$A$5000,A484,$B$2:$B$5000,B484,$C$2:$C$5000,"&lt;="&amp;C484)</f>
        <v/>
      </c>
      <c r="H484" s="11">
        <f>SUMIFS(Dispatched!$C$2:$C$5000,Dispatched!$A$2:$A$5000,A484,Dispatched!$B$2:$B$5000,B484)</f>
        <v/>
      </c>
      <c r="I484" s="11">
        <f>MAX(0,MIN(D484,G484-H484))</f>
        <v/>
      </c>
      <c r="J484" s="26">
        <f>I484*E484/D484</f>
        <v/>
      </c>
      <c r="K484" s="10">
        <f>IF(I484=0,"Dispatched",IF(F484&lt;=30,"0-30",IF(F484&lt;=60,"31-60",IF(F484&lt;=90,"61-90","90+"))))</f>
        <v/>
      </c>
    </row>
    <row r="485">
      <c r="A485" s="24" t="inlineStr">
        <is>
          <t>Tapi</t>
        </is>
      </c>
      <c r="B485" s="24" t="inlineStr">
        <is>
          <t>122X61X3</t>
        </is>
      </c>
      <c r="C485" s="6" t="n">
        <v>46271</v>
      </c>
      <c r="D485" s="24" t="n">
        <v>1010</v>
      </c>
      <c r="E485" s="25" t="n">
        <v>50.52</v>
      </c>
      <c r="F485" s="14">
        <f>AsOf-C485</f>
        <v/>
      </c>
      <c r="G485" s="11">
        <f>SUMIFS($D$2:$D$5000,$A$2:$A$5000,A485,$B$2:$B$5000,B485,$C$2:$C$5000,"&lt;="&amp;C485)</f>
        <v/>
      </c>
      <c r="H485" s="11">
        <f>SUMIFS(Dispatched!$C$2:$C$5000,Dispatched!$A$2:$A$5000,A485,Dispatched!$B$2:$B$5000,B485)</f>
        <v/>
      </c>
      <c r="I485" s="11">
        <f>MAX(0,MIN(D485,G485-H485))</f>
        <v/>
      </c>
      <c r="J485" s="26">
        <f>I485*E485/D485</f>
        <v/>
      </c>
      <c r="K485" s="10">
        <f>IF(I485=0,"Dispatched",IF(F485&lt;=30,"0-30",IF(F485&lt;=60,"31-60",IF(F485&lt;=90,"61-90","90+"))))</f>
        <v/>
      </c>
    </row>
    <row r="486">
      <c r="A486" s="24" t="inlineStr">
        <is>
          <t>Tapi</t>
        </is>
      </c>
      <c r="B486" s="24" t="inlineStr">
        <is>
          <t>122X61X3</t>
        </is>
      </c>
      <c r="C486" s="6" t="n">
        <v>46272</v>
      </c>
      <c r="D486" s="24" t="n">
        <v>260</v>
      </c>
      <c r="E486" s="25" t="n">
        <v>13.005</v>
      </c>
      <c r="F486" s="14">
        <f>AsOf-C486</f>
        <v/>
      </c>
      <c r="G486" s="11">
        <f>SUMIFS($D$2:$D$5000,$A$2:$A$5000,A486,$B$2:$B$5000,B486,$C$2:$C$5000,"&lt;="&amp;C486)</f>
        <v/>
      </c>
      <c r="H486" s="11">
        <f>SUMIFS(Dispatched!$C$2:$C$5000,Dispatched!$A$2:$A$5000,A486,Dispatched!$B$2:$B$5000,B486)</f>
        <v/>
      </c>
      <c r="I486" s="11">
        <f>MAX(0,MIN(D486,G486-H486))</f>
        <v/>
      </c>
      <c r="J486" s="26">
        <f>I486*E486/D486</f>
        <v/>
      </c>
      <c r="K486" s="10">
        <f>IF(I486=0,"Dispatched",IF(F486&lt;=30,"0-30",IF(F486&lt;=60,"31-60",IF(F486&lt;=90,"61-90","90+"))))</f>
        <v/>
      </c>
    </row>
    <row r="487">
      <c r="A487" s="24" t="inlineStr">
        <is>
          <t>Tapi</t>
        </is>
      </c>
      <c r="B487" s="24" t="inlineStr">
        <is>
          <t>122X61X3</t>
        </is>
      </c>
      <c r="C487" s="6" t="n">
        <v>46301</v>
      </c>
      <c r="D487" s="24" t="n">
        <v>1000</v>
      </c>
      <c r="E487" s="25" t="n">
        <v>50.02</v>
      </c>
      <c r="F487" s="14">
        <f>AsOf-C487</f>
        <v/>
      </c>
      <c r="G487" s="11">
        <f>SUMIFS($D$2:$D$5000,$A$2:$A$5000,A487,$B$2:$B$5000,B487,$C$2:$C$5000,"&lt;="&amp;C487)</f>
        <v/>
      </c>
      <c r="H487" s="11">
        <f>SUMIFS(Dispatched!$C$2:$C$5000,Dispatched!$A$2:$A$5000,A487,Dispatched!$B$2:$B$5000,B487)</f>
        <v/>
      </c>
      <c r="I487" s="11">
        <f>MAX(0,MIN(D487,G487-H487))</f>
        <v/>
      </c>
      <c r="J487" s="26">
        <f>I487*E487/D487</f>
        <v/>
      </c>
      <c r="K487" s="10">
        <f>IF(I487=0,"Dispatched",IF(F487&lt;=30,"0-30",IF(F487&lt;=60,"31-60",IF(F487&lt;=90,"61-90","90+"))))</f>
        <v/>
      </c>
    </row>
    <row r="488">
      <c r="A488" s="24" t="inlineStr">
        <is>
          <t>Tapi</t>
        </is>
      </c>
      <c r="B488" s="24" t="inlineStr">
        <is>
          <t>122X61X3</t>
        </is>
      </c>
      <c r="C488" s="6" t="n">
        <v>46303</v>
      </c>
      <c r="D488" s="24" t="n">
        <v>145</v>
      </c>
      <c r="E488" s="25" t="n">
        <v>7.253</v>
      </c>
      <c r="F488" s="14">
        <f>AsOf-C488</f>
        <v/>
      </c>
      <c r="G488" s="11">
        <f>SUMIFS($D$2:$D$5000,$A$2:$A$5000,A488,$B$2:$B$5000,B488,$C$2:$C$5000,"&lt;="&amp;C488)</f>
        <v/>
      </c>
      <c r="H488" s="11">
        <f>SUMIFS(Dispatched!$C$2:$C$5000,Dispatched!$A$2:$A$5000,A488,Dispatched!$B$2:$B$5000,B488)</f>
        <v/>
      </c>
      <c r="I488" s="11">
        <f>MAX(0,MIN(D488,G488-H488))</f>
        <v/>
      </c>
      <c r="J488" s="26">
        <f>I488*E488/D488</f>
        <v/>
      </c>
      <c r="K488" s="10">
        <f>IF(I488=0,"Dispatched",IF(F488&lt;=30,"0-30",IF(F488&lt;=60,"31-60",IF(F488&lt;=90,"61-90","90+"))))</f>
        <v/>
      </c>
    </row>
    <row r="489">
      <c r="A489" s="24" t="inlineStr">
        <is>
          <t>Tapi</t>
        </is>
      </c>
      <c r="B489" s="24" t="inlineStr">
        <is>
          <t>122X61X4</t>
        </is>
      </c>
      <c r="C489" s="6" t="n">
        <v>46272</v>
      </c>
      <c r="D489" s="24" t="n">
        <v>646</v>
      </c>
      <c r="E489" s="25" t="n">
        <v>42.597</v>
      </c>
      <c r="F489" s="14">
        <f>AsOf-C489</f>
        <v/>
      </c>
      <c r="G489" s="11">
        <f>SUMIFS($D$2:$D$5000,$A$2:$A$5000,A489,$B$2:$B$5000,B489,$C$2:$C$5000,"&lt;="&amp;C489)</f>
        <v/>
      </c>
      <c r="H489" s="11">
        <f>SUMIFS(Dispatched!$C$2:$C$5000,Dispatched!$A$2:$A$5000,A489,Dispatched!$B$2:$B$5000,B489)</f>
        <v/>
      </c>
      <c r="I489" s="11">
        <f>MAX(0,MIN(D489,G489-H489))</f>
        <v/>
      </c>
      <c r="J489" s="26">
        <f>I489*E489/D489</f>
        <v/>
      </c>
      <c r="K489" s="10">
        <f>IF(I489=0,"Dispatched",IF(F489&lt;=30,"0-30",IF(F489&lt;=60,"31-60",IF(F489&lt;=90,"61-90","90+"))))</f>
        <v/>
      </c>
    </row>
    <row r="490">
      <c r="A490" s="24" t="inlineStr">
        <is>
          <t>Tapi</t>
        </is>
      </c>
      <c r="B490" s="24" t="inlineStr">
        <is>
          <t>122X61X5</t>
        </is>
      </c>
      <c r="C490" s="6" t="n">
        <v>46272</v>
      </c>
      <c r="D490" s="24" t="n">
        <v>147</v>
      </c>
      <c r="E490" s="25" t="n">
        <v>11.978</v>
      </c>
      <c r="F490" s="14">
        <f>AsOf-C490</f>
        <v/>
      </c>
      <c r="G490" s="11">
        <f>SUMIFS($D$2:$D$5000,$A$2:$A$5000,A490,$B$2:$B$5000,B490,$C$2:$C$5000,"&lt;="&amp;C490)</f>
        <v/>
      </c>
      <c r="H490" s="11">
        <f>SUMIFS(Dispatched!$C$2:$C$5000,Dispatched!$A$2:$A$5000,A490,Dispatched!$B$2:$B$5000,B490)</f>
        <v/>
      </c>
      <c r="I490" s="11">
        <f>MAX(0,MIN(D490,G490-H490))</f>
        <v/>
      </c>
      <c r="J490" s="26">
        <f>I490*E490/D490</f>
        <v/>
      </c>
      <c r="K490" s="10">
        <f>IF(I490=0,"Dispatched",IF(F490&lt;=30,"0-30",IF(F490&lt;=60,"31-60",IF(F490&lt;=90,"61-90","90+"))))</f>
        <v/>
      </c>
    </row>
    <row r="491">
      <c r="A491" s="24" t="inlineStr">
        <is>
          <t>Tapi</t>
        </is>
      </c>
      <c r="B491" s="24" t="inlineStr">
        <is>
          <t>132X132X3</t>
        </is>
      </c>
      <c r="C491" s="6" t="n">
        <v>46290</v>
      </c>
      <c r="D491" s="24" t="n">
        <v>390</v>
      </c>
      <c r="E491" s="25" t="n">
        <v>28.435</v>
      </c>
      <c r="F491" s="14">
        <f>AsOf-C491</f>
        <v/>
      </c>
      <c r="G491" s="11">
        <f>SUMIFS($D$2:$D$5000,$A$2:$A$5000,A491,$B$2:$B$5000,B491,$C$2:$C$5000,"&lt;="&amp;C491)</f>
        <v/>
      </c>
      <c r="H491" s="11">
        <f>SUMIFS(Dispatched!$C$2:$C$5000,Dispatched!$A$2:$A$5000,A491,Dispatched!$B$2:$B$5000,B491)</f>
        <v/>
      </c>
      <c r="I491" s="11">
        <f>MAX(0,MIN(D491,G491-H491))</f>
        <v/>
      </c>
      <c r="J491" s="26">
        <f>I491*E491/D491</f>
        <v/>
      </c>
      <c r="K491" s="10">
        <f>IF(I491=0,"Dispatched",IF(F491&lt;=30,"0-30",IF(F491&lt;=60,"31-60",IF(F491&lt;=90,"61-90","90+"))))</f>
        <v/>
      </c>
    </row>
    <row r="492">
      <c r="A492" s="24" t="inlineStr">
        <is>
          <t>Tapi</t>
        </is>
      </c>
      <c r="B492" s="24" t="inlineStr">
        <is>
          <t>132X132X4</t>
        </is>
      </c>
      <c r="C492" s="6" t="n">
        <v>46290</v>
      </c>
      <c r="D492" s="24" t="n">
        <v>330</v>
      </c>
      <c r="E492" s="25" t="n">
        <v>31.832</v>
      </c>
      <c r="F492" s="14">
        <f>AsOf-C492</f>
        <v/>
      </c>
      <c r="G492" s="11">
        <f>SUMIFS($D$2:$D$5000,$A$2:$A$5000,A492,$B$2:$B$5000,B492,$C$2:$C$5000,"&lt;="&amp;C492)</f>
        <v/>
      </c>
      <c r="H492" s="11">
        <f>SUMIFS(Dispatched!$C$2:$C$5000,Dispatched!$A$2:$A$5000,A492,Dispatched!$B$2:$B$5000,B492)</f>
        <v/>
      </c>
      <c r="I492" s="11">
        <f>MAX(0,MIN(D492,G492-H492))</f>
        <v/>
      </c>
      <c r="J492" s="26">
        <f>I492*E492/D492</f>
        <v/>
      </c>
      <c r="K492" s="10">
        <f>IF(I492=0,"Dispatched",IF(F492&lt;=30,"0-30",IF(F492&lt;=60,"31-60",IF(F492&lt;=90,"61-90","90+"))))</f>
        <v/>
      </c>
    </row>
    <row r="493">
      <c r="A493" s="24" t="inlineStr">
        <is>
          <t>Tapi</t>
        </is>
      </c>
      <c r="B493" s="24" t="inlineStr">
        <is>
          <t>145X82X3</t>
        </is>
      </c>
      <c r="C493" s="6" t="n">
        <v>46288</v>
      </c>
      <c r="D493" s="24" t="n">
        <v>698</v>
      </c>
      <c r="E493" s="25" t="n">
        <v>43.593</v>
      </c>
      <c r="F493" s="14">
        <f>AsOf-C493</f>
        <v/>
      </c>
      <c r="G493" s="11">
        <f>SUMIFS($D$2:$D$5000,$A$2:$A$5000,A493,$B$2:$B$5000,B493,$C$2:$C$5000,"&lt;="&amp;C493)</f>
        <v/>
      </c>
      <c r="H493" s="11">
        <f>SUMIFS(Dispatched!$C$2:$C$5000,Dispatched!$A$2:$A$5000,A493,Dispatched!$B$2:$B$5000,B493)</f>
        <v/>
      </c>
      <c r="I493" s="11">
        <f>MAX(0,MIN(D493,G493-H493))</f>
        <v/>
      </c>
      <c r="J493" s="26">
        <f>I493*E493/D493</f>
        <v/>
      </c>
      <c r="K493" s="10">
        <f>IF(I493=0,"Dispatched",IF(F493&lt;=30,"0-30",IF(F493&lt;=60,"31-60",IF(F493&lt;=90,"61-90","90+"))))</f>
        <v/>
      </c>
    </row>
    <row r="494">
      <c r="A494" s="24" t="inlineStr">
        <is>
          <t>Tapi</t>
        </is>
      </c>
      <c r="B494" s="24" t="inlineStr">
        <is>
          <t>145X82X4</t>
        </is>
      </c>
      <c r="C494" s="6" t="n">
        <v>46288</v>
      </c>
      <c r="D494" s="24" t="n">
        <v>110</v>
      </c>
      <c r="E494" s="25" t="n">
        <v>9.077</v>
      </c>
      <c r="F494" s="14">
        <f>AsOf-C494</f>
        <v/>
      </c>
      <c r="G494" s="11">
        <f>SUMIFS($D$2:$D$5000,$A$2:$A$5000,A494,$B$2:$B$5000,B494,$C$2:$C$5000,"&lt;="&amp;C494)</f>
        <v/>
      </c>
      <c r="H494" s="11">
        <f>SUMIFS(Dispatched!$C$2:$C$5000,Dispatched!$A$2:$A$5000,A494,Dispatched!$B$2:$B$5000,B494)</f>
        <v/>
      </c>
      <c r="I494" s="11">
        <f>MAX(0,MIN(D494,G494-H494))</f>
        <v/>
      </c>
      <c r="J494" s="26">
        <f>I494*E494/D494</f>
        <v/>
      </c>
      <c r="K494" s="10">
        <f>IF(I494=0,"Dispatched",IF(F494&lt;=30,"0-30",IF(F494&lt;=60,"31-60",IF(F494&lt;=90,"61-90","90+"))))</f>
        <v/>
      </c>
    </row>
    <row r="495">
      <c r="A495" s="24" t="inlineStr">
        <is>
          <t>Tapi</t>
        </is>
      </c>
      <c r="B495" s="24" t="inlineStr">
        <is>
          <t>145X82X4</t>
        </is>
      </c>
      <c r="C495" s="6" t="n">
        <v>46289</v>
      </c>
      <c r="D495" s="24" t="n">
        <v>420</v>
      </c>
      <c r="E495" s="25" t="n">
        <v>34.658</v>
      </c>
      <c r="F495" s="14">
        <f>AsOf-C495</f>
        <v/>
      </c>
      <c r="G495" s="11">
        <f>SUMIFS($D$2:$D$5000,$A$2:$A$5000,A495,$B$2:$B$5000,B495,$C$2:$C$5000,"&lt;="&amp;C495)</f>
        <v/>
      </c>
      <c r="H495" s="11">
        <f>SUMIFS(Dispatched!$C$2:$C$5000,Dispatched!$A$2:$A$5000,A495,Dispatched!$B$2:$B$5000,B495)</f>
        <v/>
      </c>
      <c r="I495" s="11">
        <f>MAX(0,MIN(D495,G495-H495))</f>
        <v/>
      </c>
      <c r="J495" s="26">
        <f>I495*E495/D495</f>
        <v/>
      </c>
      <c r="K495" s="10">
        <f>IF(I495=0,"Dispatched",IF(F495&lt;=30,"0-30",IF(F495&lt;=60,"31-60",IF(F495&lt;=90,"61-90","90+"))))</f>
        <v/>
      </c>
    </row>
    <row r="496">
      <c r="A496" s="24" t="inlineStr">
        <is>
          <t>Tapi</t>
        </is>
      </c>
      <c r="B496" s="24" t="inlineStr">
        <is>
          <t>150X150X2.5</t>
        </is>
      </c>
      <c r="C496" s="6" t="n">
        <v>46293</v>
      </c>
      <c r="D496" s="24" t="n">
        <v>160</v>
      </c>
      <c r="E496" s="25" t="n">
        <v>11.116</v>
      </c>
      <c r="F496" s="14">
        <f>AsOf-C496</f>
        <v/>
      </c>
      <c r="G496" s="11">
        <f>SUMIFS($D$2:$D$5000,$A$2:$A$5000,A496,$B$2:$B$5000,B496,$C$2:$C$5000,"&lt;="&amp;C496)</f>
        <v/>
      </c>
      <c r="H496" s="11">
        <f>SUMIFS(Dispatched!$C$2:$C$5000,Dispatched!$A$2:$A$5000,A496,Dispatched!$B$2:$B$5000,B496)</f>
        <v/>
      </c>
      <c r="I496" s="11">
        <f>MAX(0,MIN(D496,G496-H496))</f>
        <v/>
      </c>
      <c r="J496" s="26">
        <f>I496*E496/D496</f>
        <v/>
      </c>
      <c r="K496" s="10">
        <f>IF(I496=0,"Dispatched",IF(F496&lt;=30,"0-30",IF(F496&lt;=60,"31-60",IF(F496&lt;=90,"61-90","90+"))))</f>
        <v/>
      </c>
    </row>
    <row r="497">
      <c r="A497" s="24" t="inlineStr">
        <is>
          <t>Tapi</t>
        </is>
      </c>
      <c r="B497" s="24" t="inlineStr">
        <is>
          <t>150X150X2.5</t>
        </is>
      </c>
      <c r="C497" s="6" t="n">
        <v>46294</v>
      </c>
      <c r="D497" s="24" t="n">
        <v>700</v>
      </c>
      <c r="E497" s="25" t="n">
        <v>48.631</v>
      </c>
      <c r="F497" s="14">
        <f>AsOf-C497</f>
        <v/>
      </c>
      <c r="G497" s="11">
        <f>SUMIFS($D$2:$D$5000,$A$2:$A$5000,A497,$B$2:$B$5000,B497,$C$2:$C$5000,"&lt;="&amp;C497)</f>
        <v/>
      </c>
      <c r="H497" s="11">
        <f>SUMIFS(Dispatched!$C$2:$C$5000,Dispatched!$A$2:$A$5000,A497,Dispatched!$B$2:$B$5000,B497)</f>
        <v/>
      </c>
      <c r="I497" s="11">
        <f>MAX(0,MIN(D497,G497-H497))</f>
        <v/>
      </c>
      <c r="J497" s="26">
        <f>I497*E497/D497</f>
        <v/>
      </c>
      <c r="K497" s="10">
        <f>IF(I497=0,"Dispatched",IF(F497&lt;=30,"0-30",IF(F497&lt;=60,"31-60",IF(F497&lt;=90,"61-90","90+"))))</f>
        <v/>
      </c>
    </row>
    <row r="498">
      <c r="A498" s="24" t="inlineStr">
        <is>
          <t>Tapi</t>
        </is>
      </c>
      <c r="B498" s="24" t="inlineStr">
        <is>
          <t>150X150X2.5</t>
        </is>
      </c>
      <c r="C498" s="6" t="n">
        <v>46295</v>
      </c>
      <c r="D498" s="24" t="n">
        <v>175</v>
      </c>
      <c r="E498" s="25" t="n">
        <v>12.158</v>
      </c>
      <c r="F498" s="14">
        <f>AsOf-C498</f>
        <v/>
      </c>
      <c r="G498" s="11">
        <f>SUMIFS($D$2:$D$5000,$A$2:$A$5000,A498,$B$2:$B$5000,B498,$C$2:$C$5000,"&lt;="&amp;C498)</f>
        <v/>
      </c>
      <c r="H498" s="11">
        <f>SUMIFS(Dispatched!$C$2:$C$5000,Dispatched!$A$2:$A$5000,A498,Dispatched!$B$2:$B$5000,B498)</f>
        <v/>
      </c>
      <c r="I498" s="11">
        <f>MAX(0,MIN(D498,G498-H498))</f>
        <v/>
      </c>
      <c r="J498" s="26">
        <f>I498*E498/D498</f>
        <v/>
      </c>
      <c r="K498" s="10">
        <f>IF(I498=0,"Dispatched",IF(F498&lt;=30,"0-30",IF(F498&lt;=60,"31-60",IF(F498&lt;=90,"61-90","90+"))))</f>
        <v/>
      </c>
    </row>
    <row r="499">
      <c r="A499" s="24" t="inlineStr">
        <is>
          <t>Tapi</t>
        </is>
      </c>
      <c r="B499" s="24" t="inlineStr">
        <is>
          <t>150X150X3</t>
        </is>
      </c>
      <c r="C499" s="6" t="n">
        <v>46280</v>
      </c>
      <c r="D499" s="24" t="n">
        <v>575</v>
      </c>
      <c r="E499" s="25" t="n">
        <v>47.774</v>
      </c>
      <c r="F499" s="14">
        <f>AsOf-C499</f>
        <v/>
      </c>
      <c r="G499" s="11">
        <f>SUMIFS($D$2:$D$5000,$A$2:$A$5000,A499,$B$2:$B$5000,B499,$C$2:$C$5000,"&lt;="&amp;C499)</f>
        <v/>
      </c>
      <c r="H499" s="11">
        <f>SUMIFS(Dispatched!$C$2:$C$5000,Dispatched!$A$2:$A$5000,A499,Dispatched!$B$2:$B$5000,B499)</f>
        <v/>
      </c>
      <c r="I499" s="11">
        <f>MAX(0,MIN(D499,G499-H499))</f>
        <v/>
      </c>
      <c r="J499" s="26">
        <f>I499*E499/D499</f>
        <v/>
      </c>
      <c r="K499" s="10">
        <f>IF(I499=0,"Dispatched",IF(F499&lt;=30,"0-30",IF(F499&lt;=60,"31-60",IF(F499&lt;=90,"61-90","90+"))))</f>
        <v/>
      </c>
    </row>
    <row r="500">
      <c r="A500" s="24" t="inlineStr">
        <is>
          <t>Tapi</t>
        </is>
      </c>
      <c r="B500" s="24" t="inlineStr">
        <is>
          <t>150X150X3</t>
        </is>
      </c>
      <c r="C500" s="6" t="n">
        <v>46293</v>
      </c>
      <c r="D500" s="24" t="n">
        <v>420</v>
      </c>
      <c r="E500" s="25" t="n">
        <v>34.895</v>
      </c>
      <c r="F500" s="14">
        <f>AsOf-C500</f>
        <v/>
      </c>
      <c r="G500" s="11">
        <f>SUMIFS($D$2:$D$5000,$A$2:$A$5000,A500,$B$2:$B$5000,B500,$C$2:$C$5000,"&lt;="&amp;C500)</f>
        <v/>
      </c>
      <c r="H500" s="11">
        <f>SUMIFS(Dispatched!$C$2:$C$5000,Dispatched!$A$2:$A$5000,A500,Dispatched!$B$2:$B$5000,B500)</f>
        <v/>
      </c>
      <c r="I500" s="11">
        <f>MAX(0,MIN(D500,G500-H500))</f>
        <v/>
      </c>
      <c r="J500" s="26">
        <f>I500*E500/D500</f>
        <v/>
      </c>
      <c r="K500" s="10">
        <f>IF(I500=0,"Dispatched",IF(F500&lt;=30,"0-30",IF(F500&lt;=60,"31-60",IF(F500&lt;=90,"61-90","90+"))))</f>
        <v/>
      </c>
    </row>
    <row r="501">
      <c r="A501" s="24" t="inlineStr">
        <is>
          <t>Tapi</t>
        </is>
      </c>
      <c r="B501" s="24" t="inlineStr">
        <is>
          <t>150X150X3</t>
        </is>
      </c>
      <c r="C501" s="6" t="n">
        <v>46295</v>
      </c>
      <c r="D501" s="24" t="n">
        <v>581</v>
      </c>
      <c r="E501" s="25" t="n">
        <v>48.272</v>
      </c>
      <c r="F501" s="14">
        <f>AsOf-C501</f>
        <v/>
      </c>
      <c r="G501" s="11">
        <f>SUMIFS($D$2:$D$5000,$A$2:$A$5000,A501,$B$2:$B$5000,B501,$C$2:$C$5000,"&lt;="&amp;C501)</f>
        <v/>
      </c>
      <c r="H501" s="11">
        <f>SUMIFS(Dispatched!$C$2:$C$5000,Dispatched!$A$2:$A$5000,A501,Dispatched!$B$2:$B$5000,B501)</f>
        <v/>
      </c>
      <c r="I501" s="11">
        <f>MAX(0,MIN(D501,G501-H501))</f>
        <v/>
      </c>
      <c r="J501" s="26">
        <f>I501*E501/D501</f>
        <v/>
      </c>
      <c r="K501" s="10">
        <f>IF(I501=0,"Dispatched",IF(F501&lt;=30,"0-30",IF(F501&lt;=60,"31-60",IF(F501&lt;=90,"61-90","90+"))))</f>
        <v/>
      </c>
    </row>
    <row r="502">
      <c r="A502" s="24" t="inlineStr">
        <is>
          <t>Tapi</t>
        </is>
      </c>
      <c r="B502" s="24" t="inlineStr">
        <is>
          <t>150X150X4</t>
        </is>
      </c>
      <c r="C502" s="6" t="n">
        <v>46279</v>
      </c>
      <c r="D502" s="24" t="n">
        <v>145</v>
      </c>
      <c r="E502" s="25" t="n">
        <v>15.954</v>
      </c>
      <c r="F502" s="14">
        <f>AsOf-C502</f>
        <v/>
      </c>
      <c r="G502" s="11">
        <f>SUMIFS($D$2:$D$5000,$A$2:$A$5000,A502,$B$2:$B$5000,B502,$C$2:$C$5000,"&lt;="&amp;C502)</f>
        <v/>
      </c>
      <c r="H502" s="11">
        <f>SUMIFS(Dispatched!$C$2:$C$5000,Dispatched!$A$2:$A$5000,A502,Dispatched!$B$2:$B$5000,B502)</f>
        <v/>
      </c>
      <c r="I502" s="11">
        <f>MAX(0,MIN(D502,G502-H502))</f>
        <v/>
      </c>
      <c r="J502" s="26">
        <f>I502*E502/D502</f>
        <v/>
      </c>
      <c r="K502" s="10">
        <f>IF(I502=0,"Dispatched",IF(F502&lt;=30,"0-30",IF(F502&lt;=60,"31-60",IF(F502&lt;=90,"61-90","90+"))))</f>
        <v/>
      </c>
    </row>
    <row r="503">
      <c r="A503" s="24" t="inlineStr">
        <is>
          <t>Tapi</t>
        </is>
      </c>
      <c r="B503" s="24" t="inlineStr">
        <is>
          <t>150X150X4</t>
        </is>
      </c>
      <c r="C503" s="6" t="n">
        <v>46280</v>
      </c>
      <c r="D503" s="24" t="n">
        <v>60</v>
      </c>
      <c r="E503" s="25" t="n">
        <v>6.602</v>
      </c>
      <c r="F503" s="14">
        <f>AsOf-C503</f>
        <v/>
      </c>
      <c r="G503" s="11">
        <f>SUMIFS($D$2:$D$5000,$A$2:$A$5000,A503,$B$2:$B$5000,B503,$C$2:$C$5000,"&lt;="&amp;C503)</f>
        <v/>
      </c>
      <c r="H503" s="11">
        <f>SUMIFS(Dispatched!$C$2:$C$5000,Dispatched!$A$2:$A$5000,A503,Dispatched!$B$2:$B$5000,B503)</f>
        <v/>
      </c>
      <c r="I503" s="11">
        <f>MAX(0,MIN(D503,G503-H503))</f>
        <v/>
      </c>
      <c r="J503" s="26">
        <f>I503*E503/D503</f>
        <v/>
      </c>
      <c r="K503" s="10">
        <f>IF(I503=0,"Dispatched",IF(F503&lt;=30,"0-30",IF(F503&lt;=60,"31-60",IF(F503&lt;=90,"61-90","90+"))))</f>
        <v/>
      </c>
    </row>
    <row r="504">
      <c r="A504" s="24" t="inlineStr">
        <is>
          <t>Tapi</t>
        </is>
      </c>
      <c r="B504" s="24" t="inlineStr">
        <is>
          <t>150X150X4</t>
        </is>
      </c>
      <c r="C504" s="6" t="n">
        <v>46284</v>
      </c>
      <c r="D504" s="24" t="n">
        <v>430</v>
      </c>
      <c r="E504" s="25" t="n">
        <v>47.311</v>
      </c>
      <c r="F504" s="14">
        <f>AsOf-C504</f>
        <v/>
      </c>
      <c r="G504" s="11">
        <f>SUMIFS($D$2:$D$5000,$A$2:$A$5000,A504,$B$2:$B$5000,B504,$C$2:$C$5000,"&lt;="&amp;C504)</f>
        <v/>
      </c>
      <c r="H504" s="11">
        <f>SUMIFS(Dispatched!$C$2:$C$5000,Dispatched!$A$2:$A$5000,A504,Dispatched!$B$2:$B$5000,B504)</f>
        <v/>
      </c>
      <c r="I504" s="11">
        <f>MAX(0,MIN(D504,G504-H504))</f>
        <v/>
      </c>
      <c r="J504" s="26">
        <f>I504*E504/D504</f>
        <v/>
      </c>
      <c r="K504" s="10">
        <f>IF(I504=0,"Dispatched",IF(F504&lt;=30,"0-30",IF(F504&lt;=60,"31-60",IF(F504&lt;=90,"61-90","90+"))))</f>
        <v/>
      </c>
    </row>
    <row r="505">
      <c r="A505" s="24" t="inlineStr">
        <is>
          <t>Tapi</t>
        </is>
      </c>
      <c r="B505" s="24" t="inlineStr">
        <is>
          <t>150X150X4</t>
        </is>
      </c>
      <c r="C505" s="6" t="n">
        <v>46295</v>
      </c>
      <c r="D505" s="24" t="n">
        <v>224</v>
      </c>
      <c r="E505" s="25" t="n">
        <v>24.646</v>
      </c>
      <c r="F505" s="14">
        <f>AsOf-C505</f>
        <v/>
      </c>
      <c r="G505" s="11">
        <f>SUMIFS($D$2:$D$5000,$A$2:$A$5000,A505,$B$2:$B$5000,B505,$C$2:$C$5000,"&lt;="&amp;C505)</f>
        <v/>
      </c>
      <c r="H505" s="11">
        <f>SUMIFS(Dispatched!$C$2:$C$5000,Dispatched!$A$2:$A$5000,A505,Dispatched!$B$2:$B$5000,B505)</f>
        <v/>
      </c>
      <c r="I505" s="11">
        <f>MAX(0,MIN(D505,G505-H505))</f>
        <v/>
      </c>
      <c r="J505" s="26">
        <f>I505*E505/D505</f>
        <v/>
      </c>
      <c r="K505" s="10">
        <f>IF(I505=0,"Dispatched",IF(F505&lt;=30,"0-30",IF(F505&lt;=60,"31-60",IF(F505&lt;=90,"61-90","90+"))))</f>
        <v/>
      </c>
    </row>
    <row r="506">
      <c r="A506" s="24" t="inlineStr">
        <is>
          <t>Tapi</t>
        </is>
      </c>
      <c r="B506" s="24" t="inlineStr">
        <is>
          <t>150X150X5</t>
        </is>
      </c>
      <c r="C506" s="6" t="n">
        <v>46283</v>
      </c>
      <c r="D506" s="24" t="n">
        <v>90</v>
      </c>
      <c r="E506" s="25" t="n">
        <v>12.293</v>
      </c>
      <c r="F506" s="14">
        <f>AsOf-C506</f>
        <v/>
      </c>
      <c r="G506" s="11">
        <f>SUMIFS($D$2:$D$5000,$A$2:$A$5000,A506,$B$2:$B$5000,B506,$C$2:$C$5000,"&lt;="&amp;C506)</f>
        <v/>
      </c>
      <c r="H506" s="11">
        <f>SUMIFS(Dispatched!$C$2:$C$5000,Dispatched!$A$2:$A$5000,A506,Dispatched!$B$2:$B$5000,B506)</f>
        <v/>
      </c>
      <c r="I506" s="11">
        <f>MAX(0,MIN(D506,G506-H506))</f>
        <v/>
      </c>
      <c r="J506" s="26">
        <f>I506*E506/D506</f>
        <v/>
      </c>
      <c r="K506" s="10">
        <f>IF(I506=0,"Dispatched",IF(F506&lt;=30,"0-30",IF(F506&lt;=60,"31-60",IF(F506&lt;=90,"61-90","90+"))))</f>
        <v/>
      </c>
    </row>
    <row r="507">
      <c r="A507" s="24" t="inlineStr">
        <is>
          <t>Tapi</t>
        </is>
      </c>
      <c r="B507" s="24" t="inlineStr">
        <is>
          <t>150X150X5</t>
        </is>
      </c>
      <c r="C507" s="6" t="n">
        <v>46284</v>
      </c>
      <c r="D507" s="24" t="n">
        <v>255</v>
      </c>
      <c r="E507" s="25" t="n">
        <v>34.83</v>
      </c>
      <c r="F507" s="14">
        <f>AsOf-C507</f>
        <v/>
      </c>
      <c r="G507" s="11">
        <f>SUMIFS($D$2:$D$5000,$A$2:$A$5000,A507,$B$2:$B$5000,B507,$C$2:$C$5000,"&lt;="&amp;C507)</f>
        <v/>
      </c>
      <c r="H507" s="11">
        <f>SUMIFS(Dispatched!$C$2:$C$5000,Dispatched!$A$2:$A$5000,A507,Dispatched!$B$2:$B$5000,B507)</f>
        <v/>
      </c>
      <c r="I507" s="11">
        <f>MAX(0,MIN(D507,G507-H507))</f>
        <v/>
      </c>
      <c r="J507" s="26">
        <f>I507*E507/D507</f>
        <v/>
      </c>
      <c r="K507" s="10">
        <f>IF(I507=0,"Dispatched",IF(F507&lt;=30,"0-30",IF(F507&lt;=60,"31-60",IF(F507&lt;=90,"61-90","90+"))))</f>
        <v/>
      </c>
    </row>
    <row r="508">
      <c r="A508" s="24" t="inlineStr">
        <is>
          <t>Tapi</t>
        </is>
      </c>
      <c r="B508" s="24" t="inlineStr">
        <is>
          <t>150X150X5</t>
        </is>
      </c>
      <c r="C508" s="6" t="n">
        <v>46285</v>
      </c>
      <c r="D508" s="24" t="n">
        <v>90</v>
      </c>
      <c r="E508" s="25" t="n">
        <v>12.293</v>
      </c>
      <c r="F508" s="14">
        <f>AsOf-C508</f>
        <v/>
      </c>
      <c r="G508" s="11">
        <f>SUMIFS($D$2:$D$5000,$A$2:$A$5000,A508,$B$2:$B$5000,B508,$C$2:$C$5000,"&lt;="&amp;C508)</f>
        <v/>
      </c>
      <c r="H508" s="11">
        <f>SUMIFS(Dispatched!$C$2:$C$5000,Dispatched!$A$2:$A$5000,A508,Dispatched!$B$2:$B$5000,B508)</f>
        <v/>
      </c>
      <c r="I508" s="11">
        <f>MAX(0,MIN(D508,G508-H508))</f>
        <v/>
      </c>
      <c r="J508" s="26">
        <f>I508*E508/D508</f>
        <v/>
      </c>
      <c r="K508" s="10">
        <f>IF(I508=0,"Dispatched",IF(F508&lt;=30,"0-30",IF(F508&lt;=60,"31-60",IF(F508&lt;=90,"61-90","90+"))))</f>
        <v/>
      </c>
    </row>
    <row r="509">
      <c r="A509" s="24" t="inlineStr">
        <is>
          <t>Tapi</t>
        </is>
      </c>
      <c r="B509" s="24" t="inlineStr">
        <is>
          <t>150X150X5</t>
        </is>
      </c>
      <c r="C509" s="6" t="n">
        <v>46295</v>
      </c>
      <c r="D509" s="24" t="n">
        <v>90</v>
      </c>
      <c r="E509" s="25" t="n">
        <v>12.293</v>
      </c>
      <c r="F509" s="14">
        <f>AsOf-C509</f>
        <v/>
      </c>
      <c r="G509" s="11">
        <f>SUMIFS($D$2:$D$5000,$A$2:$A$5000,A509,$B$2:$B$5000,B509,$C$2:$C$5000,"&lt;="&amp;C509)</f>
        <v/>
      </c>
      <c r="H509" s="11">
        <f>SUMIFS(Dispatched!$C$2:$C$5000,Dispatched!$A$2:$A$5000,A509,Dispatched!$B$2:$B$5000,B509)</f>
        <v/>
      </c>
      <c r="I509" s="11">
        <f>MAX(0,MIN(D509,G509-H509))</f>
        <v/>
      </c>
      <c r="J509" s="26">
        <f>I509*E509/D509</f>
        <v/>
      </c>
      <c r="K509" s="10">
        <f>IF(I509=0,"Dispatched",IF(F509&lt;=30,"0-30",IF(F509&lt;=60,"31-60",IF(F509&lt;=90,"61-90","90+"))))</f>
        <v/>
      </c>
    </row>
    <row r="510">
      <c r="A510" s="24" t="inlineStr">
        <is>
          <t>Tapi</t>
        </is>
      </c>
      <c r="B510" s="24" t="inlineStr">
        <is>
          <t>150X150X5</t>
        </is>
      </c>
      <c r="C510" s="6" t="n">
        <v>46296</v>
      </c>
      <c r="D510" s="24" t="n">
        <v>174</v>
      </c>
      <c r="E510" s="25" t="n">
        <v>23.767</v>
      </c>
      <c r="F510" s="14">
        <f>AsOf-C510</f>
        <v/>
      </c>
      <c r="G510" s="11">
        <f>SUMIFS($D$2:$D$5000,$A$2:$A$5000,A510,$B$2:$B$5000,B510,$C$2:$C$5000,"&lt;="&amp;C510)</f>
        <v/>
      </c>
      <c r="H510" s="11">
        <f>SUMIFS(Dispatched!$C$2:$C$5000,Dispatched!$A$2:$A$5000,A510,Dispatched!$B$2:$B$5000,B510)</f>
        <v/>
      </c>
      <c r="I510" s="11">
        <f>MAX(0,MIN(D510,G510-H510))</f>
        <v/>
      </c>
      <c r="J510" s="26">
        <f>I510*E510/D510</f>
        <v/>
      </c>
      <c r="K510" s="10">
        <f>IF(I510=0,"Dispatched",IF(F510&lt;=30,"0-30",IF(F510&lt;=60,"31-60",IF(F510&lt;=90,"61-90","90+"))))</f>
        <v/>
      </c>
    </row>
    <row r="511">
      <c r="A511" s="24" t="inlineStr">
        <is>
          <t>Tapi</t>
        </is>
      </c>
      <c r="B511" s="24" t="inlineStr">
        <is>
          <t>150X150X5</t>
        </is>
      </c>
      <c r="C511" s="6" t="n">
        <v>46297</v>
      </c>
      <c r="D511" s="24" t="n">
        <v>262</v>
      </c>
      <c r="E511" s="25" t="n">
        <v>35.787</v>
      </c>
      <c r="F511" s="14">
        <f>AsOf-C511</f>
        <v/>
      </c>
      <c r="G511" s="11">
        <f>SUMIFS($D$2:$D$5000,$A$2:$A$5000,A511,$B$2:$B$5000,B511,$C$2:$C$5000,"&lt;="&amp;C511)</f>
        <v/>
      </c>
      <c r="H511" s="11">
        <f>SUMIFS(Dispatched!$C$2:$C$5000,Dispatched!$A$2:$A$5000,A511,Dispatched!$B$2:$B$5000,B511)</f>
        <v/>
      </c>
      <c r="I511" s="11">
        <f>MAX(0,MIN(D511,G511-H511))</f>
        <v/>
      </c>
      <c r="J511" s="26">
        <f>I511*E511/D511</f>
        <v/>
      </c>
      <c r="K511" s="10">
        <f>IF(I511=0,"Dispatched",IF(F511&lt;=30,"0-30",IF(F511&lt;=60,"31-60",IF(F511&lt;=90,"61-90","90+"))))</f>
        <v/>
      </c>
    </row>
    <row r="512">
      <c r="A512" s="24" t="inlineStr">
        <is>
          <t>Tapi</t>
        </is>
      </c>
      <c r="B512" s="24" t="inlineStr">
        <is>
          <t>200X100X3</t>
        </is>
      </c>
      <c r="C512" s="6" t="n">
        <v>46286</v>
      </c>
      <c r="D512" s="24" t="n">
        <v>440</v>
      </c>
      <c r="E512" s="25" t="n">
        <v>36.557</v>
      </c>
      <c r="F512" s="14">
        <f>AsOf-C512</f>
        <v/>
      </c>
      <c r="G512" s="11">
        <f>SUMIFS($D$2:$D$5000,$A$2:$A$5000,A512,$B$2:$B$5000,B512,$C$2:$C$5000,"&lt;="&amp;C512)</f>
        <v/>
      </c>
      <c r="H512" s="11">
        <f>SUMIFS(Dispatched!$C$2:$C$5000,Dispatched!$A$2:$A$5000,A512,Dispatched!$B$2:$B$5000,B512)</f>
        <v/>
      </c>
      <c r="I512" s="11">
        <f>MAX(0,MIN(D512,G512-H512))</f>
        <v/>
      </c>
      <c r="J512" s="26">
        <f>I512*E512/D512</f>
        <v/>
      </c>
      <c r="K512" s="10">
        <f>IF(I512=0,"Dispatched",IF(F512&lt;=30,"0-30",IF(F512&lt;=60,"31-60",IF(F512&lt;=90,"61-90","90+"))))</f>
        <v/>
      </c>
    </row>
    <row r="513">
      <c r="A513" s="24" t="inlineStr">
        <is>
          <t>Tapi</t>
        </is>
      </c>
      <c r="B513" s="24" t="inlineStr">
        <is>
          <t>200X100X4</t>
        </is>
      </c>
      <c r="C513" s="6" t="n">
        <v>46286</v>
      </c>
      <c r="D513" s="24" t="n">
        <v>330</v>
      </c>
      <c r="E513" s="25" t="n">
        <v>36.308</v>
      </c>
      <c r="F513" s="14">
        <f>AsOf-C513</f>
        <v/>
      </c>
      <c r="G513" s="11">
        <f>SUMIFS($D$2:$D$5000,$A$2:$A$5000,A513,$B$2:$B$5000,B513,$C$2:$C$5000,"&lt;="&amp;C513)</f>
        <v/>
      </c>
      <c r="H513" s="11">
        <f>SUMIFS(Dispatched!$C$2:$C$5000,Dispatched!$A$2:$A$5000,A513,Dispatched!$B$2:$B$5000,B513)</f>
        <v/>
      </c>
      <c r="I513" s="11">
        <f>MAX(0,MIN(D513,G513-H513))</f>
        <v/>
      </c>
      <c r="J513" s="26">
        <f>I513*E513/D513</f>
        <v/>
      </c>
      <c r="K513" s="10">
        <f>IF(I513=0,"Dispatched",IF(F513&lt;=30,"0-30",IF(F513&lt;=60,"31-60",IF(F513&lt;=90,"61-90","90+"))))</f>
        <v/>
      </c>
    </row>
    <row r="514">
      <c r="A514" s="24" t="inlineStr">
        <is>
          <t>Tapi</t>
        </is>
      </c>
      <c r="B514" s="24" t="inlineStr">
        <is>
          <t>200X100X5</t>
        </is>
      </c>
      <c r="C514" s="6" t="n">
        <v>46287</v>
      </c>
      <c r="D514" s="24" t="n">
        <v>270</v>
      </c>
      <c r="E514" s="25" t="n">
        <v>36.879</v>
      </c>
      <c r="F514" s="14">
        <f>AsOf-C514</f>
        <v/>
      </c>
      <c r="G514" s="11">
        <f>SUMIFS($D$2:$D$5000,$A$2:$A$5000,A514,$B$2:$B$5000,B514,$C$2:$C$5000,"&lt;="&amp;C514)</f>
        <v/>
      </c>
      <c r="H514" s="11">
        <f>SUMIFS(Dispatched!$C$2:$C$5000,Dispatched!$A$2:$A$5000,A514,Dispatched!$B$2:$B$5000,B514)</f>
        <v/>
      </c>
      <c r="I514" s="11">
        <f>MAX(0,MIN(D514,G514-H514))</f>
        <v/>
      </c>
      <c r="J514" s="26">
        <f>I514*E514/D514</f>
        <v/>
      </c>
      <c r="K514" s="10">
        <f>IF(I514=0,"Dispatched",IF(F514&lt;=30,"0-30",IF(F514&lt;=60,"31-60",IF(F514&lt;=90,"61-90","90+"))))</f>
        <v/>
      </c>
    </row>
    <row r="515">
      <c r="A515" s="24" t="inlineStr">
        <is>
          <t>Tapi</t>
        </is>
      </c>
      <c r="B515" s="24" t="inlineStr">
        <is>
          <t>40X40X2</t>
        </is>
      </c>
      <c r="C515" s="6" t="n">
        <v>46284</v>
      </c>
      <c r="D515" s="24" t="n">
        <v>210</v>
      </c>
      <c r="E515" s="25" t="n">
        <v>3.007</v>
      </c>
      <c r="F515" s="14">
        <f>AsOf-C515</f>
        <v/>
      </c>
      <c r="G515" s="11">
        <f>SUMIFS($D$2:$D$5000,$A$2:$A$5000,A515,$B$2:$B$5000,B515,$C$2:$C$5000,"&lt;="&amp;C515)</f>
        <v/>
      </c>
      <c r="H515" s="11">
        <f>SUMIFS(Dispatched!$C$2:$C$5000,Dispatched!$A$2:$A$5000,A515,Dispatched!$B$2:$B$5000,B515)</f>
        <v/>
      </c>
      <c r="I515" s="11">
        <f>MAX(0,MIN(D515,G515-H515))</f>
        <v/>
      </c>
      <c r="J515" s="26">
        <f>I515*E515/D515</f>
        <v/>
      </c>
      <c r="K515" s="10">
        <f>IF(I515=0,"Dispatched",IF(F515&lt;=30,"0-30",IF(F515&lt;=60,"31-60",IF(F515&lt;=90,"61-90","90+"))))</f>
        <v/>
      </c>
    </row>
    <row r="516">
      <c r="A516" s="24" t="inlineStr">
        <is>
          <t>Tapi</t>
        </is>
      </c>
      <c r="B516" s="24" t="inlineStr">
        <is>
          <t>40X40X3</t>
        </is>
      </c>
      <c r="C516" s="6" t="n">
        <v>46284</v>
      </c>
      <c r="D516" s="24" t="n">
        <v>150</v>
      </c>
      <c r="E516" s="25" t="n">
        <v>3.137</v>
      </c>
      <c r="F516" s="14">
        <f>AsOf-C516</f>
        <v/>
      </c>
      <c r="G516" s="11">
        <f>SUMIFS($D$2:$D$5000,$A$2:$A$5000,A516,$B$2:$B$5000,B516,$C$2:$C$5000,"&lt;="&amp;C516)</f>
        <v/>
      </c>
      <c r="H516" s="11">
        <f>SUMIFS(Dispatched!$C$2:$C$5000,Dispatched!$A$2:$A$5000,A516,Dispatched!$B$2:$B$5000,B516)</f>
        <v/>
      </c>
      <c r="I516" s="11">
        <f>MAX(0,MIN(D516,G516-H516))</f>
        <v/>
      </c>
      <c r="J516" s="26">
        <f>I516*E516/D516</f>
        <v/>
      </c>
      <c r="K516" s="10">
        <f>IF(I516=0,"Dispatched",IF(F516&lt;=30,"0-30",IF(F516&lt;=60,"31-60",IF(F516&lt;=90,"61-90","90+"))))</f>
        <v/>
      </c>
    </row>
    <row r="517">
      <c r="A517" s="24" t="inlineStr">
        <is>
          <t>Tapi</t>
        </is>
      </c>
      <c r="B517" s="24" t="inlineStr">
        <is>
          <t>50X50X2</t>
        </is>
      </c>
      <c r="C517" s="6" t="n">
        <v>46293</v>
      </c>
      <c r="D517" s="24" t="n">
        <v>1470</v>
      </c>
      <c r="E517" s="25" t="n">
        <v>26.587</v>
      </c>
      <c r="F517" s="14">
        <f>AsOf-C517</f>
        <v/>
      </c>
      <c r="G517" s="11">
        <f>SUMIFS($D$2:$D$5000,$A$2:$A$5000,A517,$B$2:$B$5000,B517,$C$2:$C$5000,"&lt;="&amp;C517)</f>
        <v/>
      </c>
      <c r="H517" s="11">
        <f>SUMIFS(Dispatched!$C$2:$C$5000,Dispatched!$A$2:$A$5000,A517,Dispatched!$B$2:$B$5000,B517)</f>
        <v/>
      </c>
      <c r="I517" s="11">
        <f>MAX(0,MIN(D517,G517-H517))</f>
        <v/>
      </c>
      <c r="J517" s="26">
        <f>I517*E517/D517</f>
        <v/>
      </c>
      <c r="K517" s="10">
        <f>IF(I517=0,"Dispatched",IF(F517&lt;=30,"0-30",IF(F517&lt;=60,"31-60",IF(F517&lt;=90,"61-90","90+"))))</f>
        <v/>
      </c>
    </row>
    <row r="518">
      <c r="A518" s="24" t="inlineStr">
        <is>
          <t>Tapi</t>
        </is>
      </c>
      <c r="B518" s="24" t="inlineStr">
        <is>
          <t>50X50X2</t>
        </is>
      </c>
      <c r="C518" s="6" t="n">
        <v>46294</v>
      </c>
      <c r="D518" s="24" t="n">
        <v>840</v>
      </c>
      <c r="E518" s="25" t="n">
        <v>15.193</v>
      </c>
      <c r="F518" s="14">
        <f>AsOf-C518</f>
        <v/>
      </c>
      <c r="G518" s="11">
        <f>SUMIFS($D$2:$D$5000,$A$2:$A$5000,A518,$B$2:$B$5000,B518,$C$2:$C$5000,"&lt;="&amp;C518)</f>
        <v/>
      </c>
      <c r="H518" s="11">
        <f>SUMIFS(Dispatched!$C$2:$C$5000,Dispatched!$A$2:$A$5000,A518,Dispatched!$B$2:$B$5000,B518)</f>
        <v/>
      </c>
      <c r="I518" s="11">
        <f>MAX(0,MIN(D518,G518-H518))</f>
        <v/>
      </c>
      <c r="J518" s="26">
        <f>I518*E518/D518</f>
        <v/>
      </c>
      <c r="K518" s="10">
        <f>IF(I518=0,"Dispatched",IF(F518&lt;=30,"0-30",IF(F518&lt;=60,"31-60",IF(F518&lt;=90,"61-90","90+"))))</f>
        <v/>
      </c>
    </row>
    <row r="519">
      <c r="A519" s="24" t="inlineStr">
        <is>
          <t>Tapi</t>
        </is>
      </c>
      <c r="B519" s="24" t="inlineStr">
        <is>
          <t>50X50X2.5</t>
        </is>
      </c>
      <c r="C519" s="6" t="n">
        <v>46291</v>
      </c>
      <c r="D519" s="24" t="n">
        <v>700</v>
      </c>
      <c r="E519" s="25" t="n">
        <v>15.661</v>
      </c>
      <c r="F519" s="14">
        <f>AsOf-C519</f>
        <v/>
      </c>
      <c r="G519" s="11">
        <f>SUMIFS($D$2:$D$5000,$A$2:$A$5000,A519,$B$2:$B$5000,B519,$C$2:$C$5000,"&lt;="&amp;C519)</f>
        <v/>
      </c>
      <c r="H519" s="11">
        <f>SUMIFS(Dispatched!$C$2:$C$5000,Dispatched!$A$2:$A$5000,A519,Dispatched!$B$2:$B$5000,B519)</f>
        <v/>
      </c>
      <c r="I519" s="11">
        <f>MAX(0,MIN(D519,G519-H519))</f>
        <v/>
      </c>
      <c r="J519" s="26">
        <f>I519*E519/D519</f>
        <v/>
      </c>
      <c r="K519" s="10">
        <f>IF(I519=0,"Dispatched",IF(F519&lt;=30,"0-30",IF(F519&lt;=60,"31-60",IF(F519&lt;=90,"61-90","90+"))))</f>
        <v/>
      </c>
    </row>
    <row r="520">
      <c r="A520" s="24" t="inlineStr">
        <is>
          <t>Tapi</t>
        </is>
      </c>
      <c r="B520" s="24" t="inlineStr">
        <is>
          <t>50X50X2.5</t>
        </is>
      </c>
      <c r="C520" s="6" t="n">
        <v>46292</v>
      </c>
      <c r="D520" s="24" t="n">
        <v>175</v>
      </c>
      <c r="E520" s="25" t="n">
        <v>3.915</v>
      </c>
      <c r="F520" s="14">
        <f>AsOf-C520</f>
        <v/>
      </c>
      <c r="G520" s="11">
        <f>SUMIFS($D$2:$D$5000,$A$2:$A$5000,A520,$B$2:$B$5000,B520,$C$2:$C$5000,"&lt;="&amp;C520)</f>
        <v/>
      </c>
      <c r="H520" s="11">
        <f>SUMIFS(Dispatched!$C$2:$C$5000,Dispatched!$A$2:$A$5000,A520,Dispatched!$B$2:$B$5000,B520)</f>
        <v/>
      </c>
      <c r="I520" s="11">
        <f>MAX(0,MIN(D520,G520-H520))</f>
        <v/>
      </c>
      <c r="J520" s="26">
        <f>I520*E520/D520</f>
        <v/>
      </c>
      <c r="K520" s="10">
        <f>IF(I520=0,"Dispatched",IF(F520&lt;=30,"0-30",IF(F520&lt;=60,"31-60",IF(F520&lt;=90,"61-90","90+"))))</f>
        <v/>
      </c>
    </row>
    <row r="521">
      <c r="A521" s="24" t="inlineStr">
        <is>
          <t>Tapi</t>
        </is>
      </c>
      <c r="B521" s="24" t="inlineStr">
        <is>
          <t>50X50X3</t>
        </is>
      </c>
      <c r="C521" s="6" t="n">
        <v>46290</v>
      </c>
      <c r="D521" s="24" t="n">
        <v>1310</v>
      </c>
      <c r="E521" s="25" t="n">
        <v>34.799</v>
      </c>
      <c r="F521" s="14">
        <f>AsOf-C521</f>
        <v/>
      </c>
      <c r="G521" s="11">
        <f>SUMIFS($D$2:$D$5000,$A$2:$A$5000,A521,$B$2:$B$5000,B521,$C$2:$C$5000,"&lt;="&amp;C521)</f>
        <v/>
      </c>
      <c r="H521" s="11">
        <f>SUMIFS(Dispatched!$C$2:$C$5000,Dispatched!$A$2:$A$5000,A521,Dispatched!$B$2:$B$5000,B521)</f>
        <v/>
      </c>
      <c r="I521" s="11">
        <f>MAX(0,MIN(D521,G521-H521))</f>
        <v/>
      </c>
      <c r="J521" s="26">
        <f>I521*E521/D521</f>
        <v/>
      </c>
      <c r="K521" s="10">
        <f>IF(I521=0,"Dispatched",IF(F521&lt;=30,"0-30",IF(F521&lt;=60,"31-60",IF(F521&lt;=90,"61-90","90+"))))</f>
        <v/>
      </c>
    </row>
    <row r="522">
      <c r="A522" s="24" t="inlineStr">
        <is>
          <t>Tapi</t>
        </is>
      </c>
      <c r="B522" s="24" t="inlineStr">
        <is>
          <t>50X50X3</t>
        </is>
      </c>
      <c r="C522" s="6" t="n">
        <v>46291</v>
      </c>
      <c r="D522" s="24" t="n">
        <v>300</v>
      </c>
      <c r="E522" s="25" t="n">
        <v>7.969</v>
      </c>
      <c r="F522" s="14">
        <f>AsOf-C522</f>
        <v/>
      </c>
      <c r="G522" s="11">
        <f>SUMIFS($D$2:$D$5000,$A$2:$A$5000,A522,$B$2:$B$5000,B522,$C$2:$C$5000,"&lt;="&amp;C522)</f>
        <v/>
      </c>
      <c r="H522" s="11">
        <f>SUMIFS(Dispatched!$C$2:$C$5000,Dispatched!$A$2:$A$5000,A522,Dispatched!$B$2:$B$5000,B522)</f>
        <v/>
      </c>
      <c r="I522" s="11">
        <f>MAX(0,MIN(D522,G522-H522))</f>
        <v/>
      </c>
      <c r="J522" s="26">
        <f>I522*E522/D522</f>
        <v/>
      </c>
      <c r="K522" s="10">
        <f>IF(I522=0,"Dispatched",IF(F522&lt;=30,"0-30",IF(F522&lt;=60,"31-60",IF(F522&lt;=90,"61-90","90+"))))</f>
        <v/>
      </c>
    </row>
    <row r="523">
      <c r="A523" s="24" t="inlineStr">
        <is>
          <t>Tapi</t>
        </is>
      </c>
      <c r="B523" s="24" t="inlineStr">
        <is>
          <t>50X50X3</t>
        </is>
      </c>
      <c r="C523" s="6" t="n">
        <v>46292</v>
      </c>
      <c r="D523" s="24" t="n">
        <v>430</v>
      </c>
      <c r="E523" s="25" t="n">
        <v>11.423</v>
      </c>
      <c r="F523" s="14">
        <f>AsOf-C523</f>
        <v/>
      </c>
      <c r="G523" s="11">
        <f>SUMIFS($D$2:$D$5000,$A$2:$A$5000,A523,$B$2:$B$5000,B523,$C$2:$C$5000,"&lt;="&amp;C523)</f>
        <v/>
      </c>
      <c r="H523" s="11">
        <f>SUMIFS(Dispatched!$C$2:$C$5000,Dispatched!$A$2:$A$5000,A523,Dispatched!$B$2:$B$5000,B523)</f>
        <v/>
      </c>
      <c r="I523" s="11">
        <f>MAX(0,MIN(D523,G523-H523))</f>
        <v/>
      </c>
      <c r="J523" s="26">
        <f>I523*E523/D523</f>
        <v/>
      </c>
      <c r="K523" s="10">
        <f>IF(I523=0,"Dispatched",IF(F523&lt;=30,"0-30",IF(F523&lt;=60,"31-60",IF(F523&lt;=90,"61-90","90+"))))</f>
        <v/>
      </c>
    </row>
    <row r="524">
      <c r="A524" s="24" t="inlineStr">
        <is>
          <t>Tapi</t>
        </is>
      </c>
      <c r="B524" s="24" t="inlineStr">
        <is>
          <t>50X50X4</t>
        </is>
      </c>
      <c r="C524" s="6" t="n">
        <v>46287</v>
      </c>
      <c r="D524" s="24" t="n">
        <v>794</v>
      </c>
      <c r="E524" s="25" t="n">
        <v>27.524</v>
      </c>
      <c r="F524" s="14">
        <f>AsOf-C524</f>
        <v/>
      </c>
      <c r="G524" s="11">
        <f>SUMIFS($D$2:$D$5000,$A$2:$A$5000,A524,$B$2:$B$5000,B524,$C$2:$C$5000,"&lt;="&amp;C524)</f>
        <v/>
      </c>
      <c r="H524" s="11">
        <f>SUMIFS(Dispatched!$C$2:$C$5000,Dispatched!$A$2:$A$5000,A524,Dispatched!$B$2:$B$5000,B524)</f>
        <v/>
      </c>
      <c r="I524" s="11">
        <f>MAX(0,MIN(D524,G524-H524))</f>
        <v/>
      </c>
      <c r="J524" s="26">
        <f>I524*E524/D524</f>
        <v/>
      </c>
      <c r="K524" s="10">
        <f>IF(I524=0,"Dispatched",IF(F524&lt;=30,"0-30",IF(F524&lt;=60,"31-60",IF(F524&lt;=90,"61-90","90+"))))</f>
        <v/>
      </c>
    </row>
    <row r="525">
      <c r="A525" s="24" t="inlineStr">
        <is>
          <t>Tapi</t>
        </is>
      </c>
      <c r="B525" s="24" t="inlineStr">
        <is>
          <t>50X50X4</t>
        </is>
      </c>
      <c r="C525" s="6" t="n">
        <v>46289</v>
      </c>
      <c r="D525" s="24" t="n">
        <v>345</v>
      </c>
      <c r="E525" s="25" t="n">
        <v>11.96</v>
      </c>
      <c r="F525" s="14">
        <f>AsOf-C525</f>
        <v/>
      </c>
      <c r="G525" s="11">
        <f>SUMIFS($D$2:$D$5000,$A$2:$A$5000,A525,$B$2:$B$5000,B525,$C$2:$C$5000,"&lt;="&amp;C525)</f>
        <v/>
      </c>
      <c r="H525" s="11">
        <f>SUMIFS(Dispatched!$C$2:$C$5000,Dispatched!$A$2:$A$5000,A525,Dispatched!$B$2:$B$5000,B525)</f>
        <v/>
      </c>
      <c r="I525" s="11">
        <f>MAX(0,MIN(D525,G525-H525))</f>
        <v/>
      </c>
      <c r="J525" s="26">
        <f>I525*E525/D525</f>
        <v/>
      </c>
      <c r="K525" s="10">
        <f>IF(I525=0,"Dispatched",IF(F525&lt;=30,"0-30",IF(F525&lt;=60,"31-60",IF(F525&lt;=90,"61-90","90+"))))</f>
        <v/>
      </c>
    </row>
    <row r="526">
      <c r="A526" s="24" t="inlineStr">
        <is>
          <t>Tapi</t>
        </is>
      </c>
      <c r="B526" s="24" t="inlineStr">
        <is>
          <t>50X50X5</t>
        </is>
      </c>
      <c r="C526" s="6" t="n">
        <v>46287</v>
      </c>
      <c r="D526" s="24" t="n">
        <v>85</v>
      </c>
      <c r="E526" s="25" t="n">
        <v>3.603</v>
      </c>
      <c r="F526" s="14">
        <f>AsOf-C526</f>
        <v/>
      </c>
      <c r="G526" s="11">
        <f>SUMIFS($D$2:$D$5000,$A$2:$A$5000,A526,$B$2:$B$5000,B526,$C$2:$C$5000,"&lt;="&amp;C526)</f>
        <v/>
      </c>
      <c r="H526" s="11">
        <f>SUMIFS(Dispatched!$C$2:$C$5000,Dispatched!$A$2:$A$5000,A526,Dispatched!$B$2:$B$5000,B526)</f>
        <v/>
      </c>
      <c r="I526" s="11">
        <f>MAX(0,MIN(D526,G526-H526))</f>
        <v/>
      </c>
      <c r="J526" s="26">
        <f>I526*E526/D526</f>
        <v/>
      </c>
      <c r="K526" s="10">
        <f>IF(I526=0,"Dispatched",IF(F526&lt;=30,"0-30",IF(F526&lt;=60,"31-60",IF(F526&lt;=90,"61-90","90+"))))</f>
        <v/>
      </c>
    </row>
    <row r="527">
      <c r="A527" s="24" t="inlineStr">
        <is>
          <t>Tapi</t>
        </is>
      </c>
      <c r="B527" s="24" t="inlineStr">
        <is>
          <t>50X50X5</t>
        </is>
      </c>
      <c r="C527" s="6" t="n">
        <v>46288</v>
      </c>
      <c r="D527" s="24" t="n">
        <v>786</v>
      </c>
      <c r="E527" s="25" t="n">
        <v>33.319</v>
      </c>
      <c r="F527" s="14">
        <f>AsOf-C527</f>
        <v/>
      </c>
      <c r="G527" s="11">
        <f>SUMIFS($D$2:$D$5000,$A$2:$A$5000,A527,$B$2:$B$5000,B527,$C$2:$C$5000,"&lt;="&amp;C527)</f>
        <v/>
      </c>
      <c r="H527" s="11">
        <f>SUMIFS(Dispatched!$C$2:$C$5000,Dispatched!$A$2:$A$5000,A527,Dispatched!$B$2:$B$5000,B527)</f>
        <v/>
      </c>
      <c r="I527" s="11">
        <f>MAX(0,MIN(D527,G527-H527))</f>
        <v/>
      </c>
      <c r="J527" s="26">
        <f>I527*E527/D527</f>
        <v/>
      </c>
      <c r="K527" s="10">
        <f>IF(I527=0,"Dispatched",IF(F527&lt;=30,"0-30",IF(F527&lt;=60,"31-60",IF(F527&lt;=90,"61-90","90+"))))</f>
        <v/>
      </c>
    </row>
    <row r="528">
      <c r="A528" s="24" t="inlineStr">
        <is>
          <t>Tapi</t>
        </is>
      </c>
      <c r="B528" s="24" t="inlineStr">
        <is>
          <t>50X50X5</t>
        </is>
      </c>
      <c r="C528" s="6" t="n">
        <v>46289</v>
      </c>
      <c r="D528" s="24" t="n">
        <v>480</v>
      </c>
      <c r="E528" s="25" t="n">
        <v>20.347</v>
      </c>
      <c r="F528" s="14">
        <f>AsOf-C528</f>
        <v/>
      </c>
      <c r="G528" s="11">
        <f>SUMIFS($D$2:$D$5000,$A$2:$A$5000,A528,$B$2:$B$5000,B528,$C$2:$C$5000,"&lt;="&amp;C528)</f>
        <v/>
      </c>
      <c r="H528" s="11">
        <f>SUMIFS(Dispatched!$C$2:$C$5000,Dispatched!$A$2:$A$5000,A528,Dispatched!$B$2:$B$5000,B528)</f>
        <v/>
      </c>
      <c r="I528" s="11">
        <f>MAX(0,MIN(D528,G528-H528))</f>
        <v/>
      </c>
      <c r="J528" s="26">
        <f>I528*E528/D528</f>
        <v/>
      </c>
      <c r="K528" s="10">
        <f>IF(I528=0,"Dispatched",IF(F528&lt;=30,"0-30",IF(F528&lt;=60,"31-60",IF(F528&lt;=90,"61-90","90+"))))</f>
        <v/>
      </c>
    </row>
    <row r="529">
      <c r="A529" s="24" t="inlineStr">
        <is>
          <t>Tapi</t>
        </is>
      </c>
      <c r="B529" s="24" t="inlineStr">
        <is>
          <t>50X50X5</t>
        </is>
      </c>
      <c r="C529" s="6" t="n">
        <v>46294</v>
      </c>
      <c r="D529" s="24" t="n">
        <v>185</v>
      </c>
      <c r="E529" s="25" t="n">
        <v>7.842</v>
      </c>
      <c r="F529" s="14">
        <f>AsOf-C529</f>
        <v/>
      </c>
      <c r="G529" s="11">
        <f>SUMIFS($D$2:$D$5000,$A$2:$A$5000,A529,$B$2:$B$5000,B529,$C$2:$C$5000,"&lt;="&amp;C529)</f>
        <v/>
      </c>
      <c r="H529" s="11">
        <f>SUMIFS(Dispatched!$C$2:$C$5000,Dispatched!$A$2:$A$5000,A529,Dispatched!$B$2:$B$5000,B529)</f>
        <v/>
      </c>
      <c r="I529" s="11">
        <f>MAX(0,MIN(D529,G529-H529))</f>
        <v/>
      </c>
      <c r="J529" s="26">
        <f>I529*E529/D529</f>
        <v/>
      </c>
      <c r="K529" s="10">
        <f>IF(I529=0,"Dispatched",IF(F529&lt;=30,"0-30",IF(F529&lt;=60,"31-60",IF(F529&lt;=90,"61-90","90+"))))</f>
        <v/>
      </c>
    </row>
    <row r="530">
      <c r="A530" s="24" t="inlineStr">
        <is>
          <t>Tapi</t>
        </is>
      </c>
      <c r="B530" s="24" t="inlineStr">
        <is>
          <t>50X50X5</t>
        </is>
      </c>
      <c r="C530" s="6" t="n">
        <v>46295</v>
      </c>
      <c r="D530" s="24" t="n">
        <v>282</v>
      </c>
      <c r="E530" s="25" t="n">
        <v>11.954</v>
      </c>
      <c r="F530" s="14">
        <f>AsOf-C530</f>
        <v/>
      </c>
      <c r="G530" s="11">
        <f>SUMIFS($D$2:$D$5000,$A$2:$A$5000,A530,$B$2:$B$5000,B530,$C$2:$C$5000,"&lt;="&amp;C530)</f>
        <v/>
      </c>
      <c r="H530" s="11">
        <f>SUMIFS(Dispatched!$C$2:$C$5000,Dispatched!$A$2:$A$5000,A530,Dispatched!$B$2:$B$5000,B530)</f>
        <v/>
      </c>
      <c r="I530" s="11">
        <f>MAX(0,MIN(D530,G530-H530))</f>
        <v/>
      </c>
      <c r="J530" s="26">
        <f>I530*E530/D530</f>
        <v/>
      </c>
      <c r="K530" s="10">
        <f>IF(I530=0,"Dispatched",IF(F530&lt;=30,"0-30",IF(F530&lt;=60,"31-60",IF(F530&lt;=90,"61-90","90+"))))</f>
        <v/>
      </c>
    </row>
    <row r="531">
      <c r="A531" s="24" t="inlineStr">
        <is>
          <t>Tapi</t>
        </is>
      </c>
      <c r="B531" s="24" t="inlineStr">
        <is>
          <t>60X40X2</t>
        </is>
      </c>
      <c r="C531" s="6" t="n">
        <v>46296</v>
      </c>
      <c r="D531" s="24" t="n">
        <v>1050</v>
      </c>
      <c r="E531" s="25" t="n">
        <v>18.991</v>
      </c>
      <c r="F531" s="14">
        <f>AsOf-C531</f>
        <v/>
      </c>
      <c r="G531" s="11">
        <f>SUMIFS($D$2:$D$5000,$A$2:$A$5000,A531,$B$2:$B$5000,B531,$C$2:$C$5000,"&lt;="&amp;C531)</f>
        <v/>
      </c>
      <c r="H531" s="11">
        <f>SUMIFS(Dispatched!$C$2:$C$5000,Dispatched!$A$2:$A$5000,A531,Dispatched!$B$2:$B$5000,B531)</f>
        <v/>
      </c>
      <c r="I531" s="11">
        <f>MAX(0,MIN(D531,G531-H531))</f>
        <v/>
      </c>
      <c r="J531" s="26">
        <f>I531*E531/D531</f>
        <v/>
      </c>
      <c r="K531" s="10">
        <f>IF(I531=0,"Dispatched",IF(F531&lt;=30,"0-30",IF(F531&lt;=60,"31-60",IF(F531&lt;=90,"61-90","90+"))))</f>
        <v/>
      </c>
    </row>
    <row r="532">
      <c r="A532" s="24" t="inlineStr">
        <is>
          <t>Tapi</t>
        </is>
      </c>
      <c r="B532" s="24" t="inlineStr">
        <is>
          <t>60X40X2.5</t>
        </is>
      </c>
      <c r="C532" s="6" t="n">
        <v>46296</v>
      </c>
      <c r="D532" s="24" t="n">
        <v>170</v>
      </c>
      <c r="E532" s="25" t="n">
        <v>3.803</v>
      </c>
      <c r="F532" s="14">
        <f>AsOf-C532</f>
        <v/>
      </c>
      <c r="G532" s="11">
        <f>SUMIFS($D$2:$D$5000,$A$2:$A$5000,A532,$B$2:$B$5000,B532,$C$2:$C$5000,"&lt;="&amp;C532)</f>
        <v/>
      </c>
      <c r="H532" s="11">
        <f>SUMIFS(Dispatched!$C$2:$C$5000,Dispatched!$A$2:$A$5000,A532,Dispatched!$B$2:$B$5000,B532)</f>
        <v/>
      </c>
      <c r="I532" s="11">
        <f>MAX(0,MIN(D532,G532-H532))</f>
        <v/>
      </c>
      <c r="J532" s="26">
        <f>I532*E532/D532</f>
        <v/>
      </c>
      <c r="K532" s="10">
        <f>IF(I532=0,"Dispatched",IF(F532&lt;=30,"0-30",IF(F532&lt;=60,"31-60",IF(F532&lt;=90,"61-90","90+"))))</f>
        <v/>
      </c>
    </row>
    <row r="533">
      <c r="A533" s="24" t="inlineStr">
        <is>
          <t>Tapi</t>
        </is>
      </c>
      <c r="B533" s="24" t="inlineStr">
        <is>
          <t>60X40X2.5</t>
        </is>
      </c>
      <c r="C533" s="6" t="n">
        <v>46297</v>
      </c>
      <c r="D533" s="24" t="n">
        <v>340</v>
      </c>
      <c r="E533" s="25" t="n">
        <v>7.607</v>
      </c>
      <c r="F533" s="14">
        <f>AsOf-C533</f>
        <v/>
      </c>
      <c r="G533" s="11">
        <f>SUMIFS($D$2:$D$5000,$A$2:$A$5000,A533,$B$2:$B$5000,B533,$C$2:$C$5000,"&lt;="&amp;C533)</f>
        <v/>
      </c>
      <c r="H533" s="11">
        <f>SUMIFS(Dispatched!$C$2:$C$5000,Dispatched!$A$2:$A$5000,A533,Dispatched!$B$2:$B$5000,B533)</f>
        <v/>
      </c>
      <c r="I533" s="11">
        <f>MAX(0,MIN(D533,G533-H533))</f>
        <v/>
      </c>
      <c r="J533" s="26">
        <f>I533*E533/D533</f>
        <v/>
      </c>
      <c r="K533" s="10">
        <f>IF(I533=0,"Dispatched",IF(F533&lt;=30,"0-30",IF(F533&lt;=60,"31-60",IF(F533&lt;=90,"61-90","90+"))))</f>
        <v/>
      </c>
    </row>
    <row r="534">
      <c r="A534" s="24" t="inlineStr">
        <is>
          <t>Tapi</t>
        </is>
      </c>
      <c r="B534" s="24" t="inlineStr">
        <is>
          <t>60X40X4</t>
        </is>
      </c>
      <c r="C534" s="6" t="n">
        <v>46297</v>
      </c>
      <c r="D534" s="24" t="n">
        <v>376</v>
      </c>
      <c r="E534" s="25" t="n">
        <v>15.942</v>
      </c>
      <c r="F534" s="14">
        <f>AsOf-C534</f>
        <v/>
      </c>
      <c r="G534" s="11">
        <f>SUMIFS($D$2:$D$5000,$A$2:$A$5000,A534,$B$2:$B$5000,B534,$C$2:$C$5000,"&lt;="&amp;C534)</f>
        <v/>
      </c>
      <c r="H534" s="11">
        <f>SUMIFS(Dispatched!$C$2:$C$5000,Dispatched!$A$2:$A$5000,A534,Dispatched!$B$2:$B$5000,B534)</f>
        <v/>
      </c>
      <c r="I534" s="11">
        <f>MAX(0,MIN(D534,G534-H534))</f>
        <v/>
      </c>
      <c r="J534" s="26">
        <f>I534*E534/D534</f>
        <v/>
      </c>
      <c r="K534" s="10">
        <f>IF(I534=0,"Dispatched",IF(F534&lt;=30,"0-30",IF(F534&lt;=60,"31-60",IF(F534&lt;=90,"61-90","90+"))))</f>
        <v/>
      </c>
    </row>
    <row r="535">
      <c r="A535" s="24" t="inlineStr">
        <is>
          <t>Tapi</t>
        </is>
      </c>
      <c r="B535" s="24" t="inlineStr">
        <is>
          <t>72X72X2</t>
        </is>
      </c>
      <c r="C535" s="6" t="n">
        <v>46261</v>
      </c>
      <c r="D535" s="24" t="n">
        <v>178</v>
      </c>
      <c r="E535" s="25" t="n">
        <v>4.695</v>
      </c>
      <c r="F535" s="14">
        <f>AsOf-C535</f>
        <v/>
      </c>
      <c r="G535" s="11">
        <f>SUMIFS($D$2:$D$5000,$A$2:$A$5000,A535,$B$2:$B$5000,B535,$C$2:$C$5000,"&lt;="&amp;C535)</f>
        <v/>
      </c>
      <c r="H535" s="11">
        <f>SUMIFS(Dispatched!$C$2:$C$5000,Dispatched!$A$2:$A$5000,A535,Dispatched!$B$2:$B$5000,B535)</f>
        <v/>
      </c>
      <c r="I535" s="11">
        <f>MAX(0,MIN(D535,G535-H535))</f>
        <v/>
      </c>
      <c r="J535" s="26">
        <f>I535*E535/D535</f>
        <v/>
      </c>
      <c r="K535" s="10">
        <f>IF(I535=0,"Dispatched",IF(F535&lt;=30,"0-30",IF(F535&lt;=60,"31-60",IF(F535&lt;=90,"61-90","90+"))))</f>
        <v/>
      </c>
    </row>
    <row r="536">
      <c r="A536" s="24" t="inlineStr">
        <is>
          <t>Tapi</t>
        </is>
      </c>
      <c r="B536" s="24" t="inlineStr">
        <is>
          <t>72X72X2</t>
        </is>
      </c>
      <c r="C536" s="6" t="n">
        <v>46262</v>
      </c>
      <c r="D536" s="24" t="n">
        <v>901</v>
      </c>
      <c r="E536" s="25" t="n">
        <v>23.765</v>
      </c>
      <c r="F536" s="14">
        <f>AsOf-C536</f>
        <v/>
      </c>
      <c r="G536" s="11">
        <f>SUMIFS($D$2:$D$5000,$A$2:$A$5000,A536,$B$2:$B$5000,B536,$C$2:$C$5000,"&lt;="&amp;C536)</f>
        <v/>
      </c>
      <c r="H536" s="11">
        <f>SUMIFS(Dispatched!$C$2:$C$5000,Dispatched!$A$2:$A$5000,A536,Dispatched!$B$2:$B$5000,B536)</f>
        <v/>
      </c>
      <c r="I536" s="11">
        <f>MAX(0,MIN(D536,G536-H536))</f>
        <v/>
      </c>
      <c r="J536" s="26">
        <f>I536*E536/D536</f>
        <v/>
      </c>
      <c r="K536" s="10">
        <f>IF(I536=0,"Dispatched",IF(F536&lt;=30,"0-30",IF(F536&lt;=60,"31-60",IF(F536&lt;=90,"61-90","90+"))))</f>
        <v/>
      </c>
    </row>
    <row r="537">
      <c r="A537" s="24" t="inlineStr">
        <is>
          <t>Tapi</t>
        </is>
      </c>
      <c r="B537" s="24" t="inlineStr">
        <is>
          <t>72X72X3</t>
        </is>
      </c>
      <c r="C537" s="6" t="n">
        <v>46260</v>
      </c>
      <c r="D537" s="24" t="n">
        <v>672</v>
      </c>
      <c r="E537" s="25" t="n">
        <v>26.207</v>
      </c>
      <c r="F537" s="14">
        <f>AsOf-C537</f>
        <v/>
      </c>
      <c r="G537" s="11">
        <f>SUMIFS($D$2:$D$5000,$A$2:$A$5000,A537,$B$2:$B$5000,B537,$C$2:$C$5000,"&lt;="&amp;C537)</f>
        <v/>
      </c>
      <c r="H537" s="11">
        <f>SUMIFS(Dispatched!$C$2:$C$5000,Dispatched!$A$2:$A$5000,A537,Dispatched!$B$2:$B$5000,B537)</f>
        <v/>
      </c>
      <c r="I537" s="11">
        <f>MAX(0,MIN(D537,G537-H537))</f>
        <v/>
      </c>
      <c r="J537" s="26">
        <f>I537*E537/D537</f>
        <v/>
      </c>
      <c r="K537" s="10">
        <f>IF(I537=0,"Dispatched",IF(F537&lt;=30,"0-30",IF(F537&lt;=60,"31-60",IF(F537&lt;=90,"61-90","90+"))))</f>
        <v/>
      </c>
    </row>
    <row r="538">
      <c r="A538" s="24" t="inlineStr">
        <is>
          <t>Tapi</t>
        </is>
      </c>
      <c r="B538" s="24" t="inlineStr">
        <is>
          <t>72X72X4</t>
        </is>
      </c>
      <c r="C538" s="6" t="n">
        <v>46260</v>
      </c>
      <c r="D538" s="24" t="n">
        <v>374</v>
      </c>
      <c r="E538" s="25" t="n">
        <v>19.166</v>
      </c>
      <c r="F538" s="14">
        <f>AsOf-C538</f>
        <v/>
      </c>
      <c r="G538" s="11">
        <f>SUMIFS($D$2:$D$5000,$A$2:$A$5000,A538,$B$2:$B$5000,B538,$C$2:$C$5000,"&lt;="&amp;C538)</f>
        <v/>
      </c>
      <c r="H538" s="11">
        <f>SUMIFS(Dispatched!$C$2:$C$5000,Dispatched!$A$2:$A$5000,A538,Dispatched!$B$2:$B$5000,B538)</f>
        <v/>
      </c>
      <c r="I538" s="11">
        <f>MAX(0,MIN(D538,G538-H538))</f>
        <v/>
      </c>
      <c r="J538" s="26">
        <f>I538*E538/D538</f>
        <v/>
      </c>
      <c r="K538" s="10">
        <f>IF(I538=0,"Dispatched",IF(F538&lt;=30,"0-30",IF(F538&lt;=60,"31-60",IF(F538&lt;=90,"61-90","90+"))))</f>
        <v/>
      </c>
    </row>
    <row r="539">
      <c r="A539" s="24" t="inlineStr">
        <is>
          <t>Tapi</t>
        </is>
      </c>
      <c r="B539" s="24" t="inlineStr">
        <is>
          <t>72X72X4</t>
        </is>
      </c>
      <c r="C539" s="6" t="n">
        <v>46261</v>
      </c>
      <c r="D539" s="24" t="n">
        <v>96</v>
      </c>
      <c r="E539" s="25" t="n">
        <v>4.92</v>
      </c>
      <c r="F539" s="14">
        <f>AsOf-C539</f>
        <v/>
      </c>
      <c r="G539" s="11">
        <f>SUMIFS($D$2:$D$5000,$A$2:$A$5000,A539,$B$2:$B$5000,B539,$C$2:$C$5000,"&lt;="&amp;C539)</f>
        <v/>
      </c>
      <c r="H539" s="11">
        <f>SUMIFS(Dispatched!$C$2:$C$5000,Dispatched!$A$2:$A$5000,A539,Dispatched!$B$2:$B$5000,B539)</f>
        <v/>
      </c>
      <c r="I539" s="11">
        <f>MAX(0,MIN(D539,G539-H539))</f>
        <v/>
      </c>
      <c r="J539" s="26">
        <f>I539*E539/D539</f>
        <v/>
      </c>
      <c r="K539" s="10">
        <f>IF(I539=0,"Dispatched",IF(F539&lt;=30,"0-30",IF(F539&lt;=60,"31-60",IF(F539&lt;=90,"61-90","90+"))))</f>
        <v/>
      </c>
    </row>
    <row r="540">
      <c r="A540" s="24" t="inlineStr">
        <is>
          <t>Tapi</t>
        </is>
      </c>
      <c r="B540" s="24" t="inlineStr">
        <is>
          <t>72X72X5</t>
        </is>
      </c>
      <c r="C540" s="6" t="n">
        <v>46261</v>
      </c>
      <c r="D540" s="24" t="n">
        <v>432</v>
      </c>
      <c r="E540" s="25" t="n">
        <v>27.265</v>
      </c>
      <c r="F540" s="14">
        <f>AsOf-C540</f>
        <v/>
      </c>
      <c r="G540" s="11">
        <f>SUMIFS($D$2:$D$5000,$A$2:$A$5000,A540,$B$2:$B$5000,B540,$C$2:$C$5000,"&lt;="&amp;C540)</f>
        <v/>
      </c>
      <c r="H540" s="11">
        <f>SUMIFS(Dispatched!$C$2:$C$5000,Dispatched!$A$2:$A$5000,A540,Dispatched!$B$2:$B$5000,B540)</f>
        <v/>
      </c>
      <c r="I540" s="11">
        <f>MAX(0,MIN(D540,G540-H540))</f>
        <v/>
      </c>
      <c r="J540" s="26">
        <f>I540*E540/D540</f>
        <v/>
      </c>
      <c r="K540" s="10">
        <f>IF(I540=0,"Dispatched",IF(F540&lt;=30,"0-30",IF(F540&lt;=60,"31-60",IF(F540&lt;=90,"61-90","90+"))))</f>
        <v/>
      </c>
    </row>
    <row r="541">
      <c r="A541" s="24" t="inlineStr">
        <is>
          <t>Tapi</t>
        </is>
      </c>
      <c r="B541" s="24" t="inlineStr">
        <is>
          <t>80X40X2</t>
        </is>
      </c>
      <c r="C541" s="6" t="n">
        <v>46297</v>
      </c>
      <c r="D541" s="24" t="n">
        <v>560</v>
      </c>
      <c r="E541" s="25" t="n">
        <v>12.238</v>
      </c>
      <c r="F541" s="14">
        <f>AsOf-C541</f>
        <v/>
      </c>
      <c r="G541" s="11">
        <f>SUMIFS($D$2:$D$5000,$A$2:$A$5000,A541,$B$2:$B$5000,B541,$C$2:$C$5000,"&lt;="&amp;C541)</f>
        <v/>
      </c>
      <c r="H541" s="11">
        <f>SUMIFS(Dispatched!$C$2:$C$5000,Dispatched!$A$2:$A$5000,A541,Dispatched!$B$2:$B$5000,B541)</f>
        <v/>
      </c>
      <c r="I541" s="11">
        <f>MAX(0,MIN(D541,G541-H541))</f>
        <v/>
      </c>
      <c r="J541" s="26">
        <f>I541*E541/D541</f>
        <v/>
      </c>
      <c r="K541" s="10">
        <f>IF(I541=0,"Dispatched",IF(F541&lt;=30,"0-30",IF(F541&lt;=60,"31-60",IF(F541&lt;=90,"61-90","90+"))))</f>
        <v/>
      </c>
    </row>
    <row r="542">
      <c r="A542" s="24" t="inlineStr">
        <is>
          <t>Tapi</t>
        </is>
      </c>
      <c r="B542" s="24" t="inlineStr">
        <is>
          <t>80X40X2</t>
        </is>
      </c>
      <c r="C542" s="6" t="n">
        <v>46299</v>
      </c>
      <c r="D542" s="24" t="n">
        <v>600</v>
      </c>
      <c r="E542" s="25" t="n">
        <v>13.113</v>
      </c>
      <c r="F542" s="14">
        <f>AsOf-C542</f>
        <v/>
      </c>
      <c r="G542" s="11">
        <f>SUMIFS($D$2:$D$5000,$A$2:$A$5000,A542,$B$2:$B$5000,B542,$C$2:$C$5000,"&lt;="&amp;C542)</f>
        <v/>
      </c>
      <c r="H542" s="11">
        <f>SUMIFS(Dispatched!$C$2:$C$5000,Dispatched!$A$2:$A$5000,A542,Dispatched!$B$2:$B$5000,B542)</f>
        <v/>
      </c>
      <c r="I542" s="11">
        <f>MAX(0,MIN(D542,G542-H542))</f>
        <v/>
      </c>
      <c r="J542" s="26">
        <f>I542*E542/D542</f>
        <v/>
      </c>
      <c r="K542" s="10">
        <f>IF(I542=0,"Dispatched",IF(F542&lt;=30,"0-30",IF(F542&lt;=60,"31-60",IF(F542&lt;=90,"61-90","90+"))))</f>
        <v/>
      </c>
    </row>
    <row r="543">
      <c r="A543" s="24" t="inlineStr">
        <is>
          <t>Tapi</t>
        </is>
      </c>
      <c r="B543" s="24" t="inlineStr">
        <is>
          <t>80X40X2</t>
        </is>
      </c>
      <c r="C543" s="6" t="n">
        <v>46300</v>
      </c>
      <c r="D543" s="24" t="n">
        <v>1230</v>
      </c>
      <c r="E543" s="25" t="n">
        <v>26.881</v>
      </c>
      <c r="F543" s="14">
        <f>AsOf-C543</f>
        <v/>
      </c>
      <c r="G543" s="11">
        <f>SUMIFS($D$2:$D$5000,$A$2:$A$5000,A543,$B$2:$B$5000,B543,$C$2:$C$5000,"&lt;="&amp;C543)</f>
        <v/>
      </c>
      <c r="H543" s="11">
        <f>SUMIFS(Dispatched!$C$2:$C$5000,Dispatched!$A$2:$A$5000,A543,Dispatched!$B$2:$B$5000,B543)</f>
        <v/>
      </c>
      <c r="I543" s="11">
        <f>MAX(0,MIN(D543,G543-H543))</f>
        <v/>
      </c>
      <c r="J543" s="26">
        <f>I543*E543/D543</f>
        <v/>
      </c>
      <c r="K543" s="10">
        <f>IF(I543=0,"Dispatched",IF(F543&lt;=30,"0-30",IF(F543&lt;=60,"31-60",IF(F543&lt;=90,"61-90","90+"))))</f>
        <v/>
      </c>
    </row>
    <row r="544">
      <c r="A544" s="24" t="inlineStr">
        <is>
          <t>Tapi</t>
        </is>
      </c>
      <c r="B544" s="24" t="inlineStr">
        <is>
          <t>80X40X2.5</t>
        </is>
      </c>
      <c r="C544" s="6" t="n">
        <v>46301</v>
      </c>
      <c r="D544" s="24" t="n">
        <v>1050</v>
      </c>
      <c r="E544" s="25" t="n">
        <v>28.437</v>
      </c>
      <c r="F544" s="14">
        <f>AsOf-C544</f>
        <v/>
      </c>
      <c r="G544" s="11">
        <f>SUMIFS($D$2:$D$5000,$A$2:$A$5000,A544,$B$2:$B$5000,B544,$C$2:$C$5000,"&lt;="&amp;C544)</f>
        <v/>
      </c>
      <c r="H544" s="11">
        <f>SUMIFS(Dispatched!$C$2:$C$5000,Dispatched!$A$2:$A$5000,A544,Dispatched!$B$2:$B$5000,B544)</f>
        <v/>
      </c>
      <c r="I544" s="11">
        <f>MAX(0,MIN(D544,G544-H544))</f>
        <v/>
      </c>
      <c r="J544" s="26">
        <f>I544*E544/D544</f>
        <v/>
      </c>
      <c r="K544" s="10">
        <f>IF(I544=0,"Dispatched",IF(F544&lt;=30,"0-30",IF(F544&lt;=60,"31-60",IF(F544&lt;=90,"61-90","90+"))))</f>
        <v/>
      </c>
    </row>
    <row r="545">
      <c r="A545" s="24" t="inlineStr">
        <is>
          <t>Tapi</t>
        </is>
      </c>
      <c r="B545" s="24" t="inlineStr">
        <is>
          <t>80X40X3</t>
        </is>
      </c>
      <c r="C545" s="6" t="n">
        <v>46301</v>
      </c>
      <c r="D545" s="24" t="n">
        <v>150</v>
      </c>
      <c r="E545" s="25" t="n">
        <v>4.832</v>
      </c>
      <c r="F545" s="14">
        <f>AsOf-C545</f>
        <v/>
      </c>
      <c r="G545" s="11">
        <f>SUMIFS($D$2:$D$5000,$A$2:$A$5000,A545,$B$2:$B$5000,B545,$C$2:$C$5000,"&lt;="&amp;C545)</f>
        <v/>
      </c>
      <c r="H545" s="11">
        <f>SUMIFS(Dispatched!$C$2:$C$5000,Dispatched!$A$2:$A$5000,A545,Dispatched!$B$2:$B$5000,B545)</f>
        <v/>
      </c>
      <c r="I545" s="11">
        <f>MAX(0,MIN(D545,G545-H545))</f>
        <v/>
      </c>
      <c r="J545" s="26">
        <f>I545*E545/D545</f>
        <v/>
      </c>
      <c r="K545" s="10">
        <f>IF(I545=0,"Dispatched",IF(F545&lt;=30,"0-30",IF(F545&lt;=60,"31-60",IF(F545&lt;=90,"61-90","90+"))))</f>
        <v/>
      </c>
    </row>
    <row r="546">
      <c r="A546" s="24" t="inlineStr">
        <is>
          <t>Tapi</t>
        </is>
      </c>
      <c r="B546" s="24" t="inlineStr">
        <is>
          <t>80X40X3</t>
        </is>
      </c>
      <c r="C546" s="6" t="n">
        <v>46302</v>
      </c>
      <c r="D546" s="24" t="n">
        <v>430</v>
      </c>
      <c r="E546" s="25" t="n">
        <v>13.853</v>
      </c>
      <c r="F546" s="14">
        <f>AsOf-C546</f>
        <v/>
      </c>
      <c r="G546" s="11">
        <f>SUMIFS($D$2:$D$5000,$A$2:$A$5000,A546,$B$2:$B$5000,B546,$C$2:$C$5000,"&lt;="&amp;C546)</f>
        <v/>
      </c>
      <c r="H546" s="11">
        <f>SUMIFS(Dispatched!$C$2:$C$5000,Dispatched!$A$2:$A$5000,A546,Dispatched!$B$2:$B$5000,B546)</f>
        <v/>
      </c>
      <c r="I546" s="11">
        <f>MAX(0,MIN(D546,G546-H546))</f>
        <v/>
      </c>
      <c r="J546" s="26">
        <f>I546*E546/D546</f>
        <v/>
      </c>
      <c r="K546" s="10">
        <f>IF(I546=0,"Dispatched",IF(F546&lt;=30,"0-30",IF(F546&lt;=60,"31-60",IF(F546&lt;=90,"61-90","90+"))))</f>
        <v/>
      </c>
    </row>
    <row r="547">
      <c r="A547" s="24" t="inlineStr">
        <is>
          <t>Tapi</t>
        </is>
      </c>
      <c r="B547" s="24" t="inlineStr">
        <is>
          <t>80X40X3</t>
        </is>
      </c>
      <c r="C547" s="6" t="n">
        <v>46303</v>
      </c>
      <c r="D547" s="24" t="n">
        <v>290</v>
      </c>
      <c r="E547" s="25" t="n">
        <v>9.343</v>
      </c>
      <c r="F547" s="14">
        <f>AsOf-C547</f>
        <v/>
      </c>
      <c r="G547" s="11">
        <f>SUMIFS($D$2:$D$5000,$A$2:$A$5000,A547,$B$2:$B$5000,B547,$C$2:$C$5000,"&lt;="&amp;C547)</f>
        <v/>
      </c>
      <c r="H547" s="11">
        <f>SUMIFS(Dispatched!$C$2:$C$5000,Dispatched!$A$2:$A$5000,A547,Dispatched!$B$2:$B$5000,B547)</f>
        <v/>
      </c>
      <c r="I547" s="11">
        <f>MAX(0,MIN(D547,G547-H547))</f>
        <v/>
      </c>
      <c r="J547" s="26">
        <f>I547*E547/D547</f>
        <v/>
      </c>
      <c r="K547" s="10">
        <f>IF(I547=0,"Dispatched",IF(F547&lt;=30,"0-30",IF(F547&lt;=60,"31-60",IF(F547&lt;=90,"61-90","90+"))))</f>
        <v/>
      </c>
    </row>
    <row r="548">
      <c r="A548" s="24" t="inlineStr">
        <is>
          <t>Tapi</t>
        </is>
      </c>
      <c r="B548" s="24" t="inlineStr">
        <is>
          <t>80X40X4</t>
        </is>
      </c>
      <c r="C548" s="6" t="n">
        <v>46303</v>
      </c>
      <c r="D548" s="24" t="n">
        <v>325</v>
      </c>
      <c r="E548" s="25" t="n">
        <v>13.716</v>
      </c>
      <c r="F548" s="14">
        <f>AsOf-C548</f>
        <v/>
      </c>
      <c r="G548" s="11">
        <f>SUMIFS($D$2:$D$5000,$A$2:$A$5000,A548,$B$2:$B$5000,B548,$C$2:$C$5000,"&lt;="&amp;C548)</f>
        <v/>
      </c>
      <c r="H548" s="11">
        <f>SUMIFS(Dispatched!$C$2:$C$5000,Dispatched!$A$2:$A$5000,A548,Dispatched!$B$2:$B$5000,B548)</f>
        <v/>
      </c>
      <c r="I548" s="11">
        <f>MAX(0,MIN(D548,G548-H548))</f>
        <v/>
      </c>
      <c r="J548" s="26">
        <f>I548*E548/D548</f>
        <v/>
      </c>
      <c r="K548" s="10">
        <f>IF(I548=0,"Dispatched",IF(F548&lt;=30,"0-30",IF(F548&lt;=60,"31-60",IF(F548&lt;=90,"61-90","90+"))))</f>
        <v/>
      </c>
    </row>
    <row r="549">
      <c r="A549" s="24" t="inlineStr">
        <is>
          <t>Tapi</t>
        </is>
      </c>
      <c r="B549" s="24" t="inlineStr">
        <is>
          <t>80X40X5</t>
        </is>
      </c>
      <c r="C549" s="6" t="n">
        <v>46303</v>
      </c>
      <c r="D549" s="24" t="n">
        <v>276</v>
      </c>
      <c r="E549" s="25" t="n">
        <v>14.3</v>
      </c>
      <c r="F549" s="14">
        <f>AsOf-C549</f>
        <v/>
      </c>
      <c r="G549" s="11">
        <f>SUMIFS($D$2:$D$5000,$A$2:$A$5000,A549,$B$2:$B$5000,B549,$C$2:$C$5000,"&lt;="&amp;C549)</f>
        <v/>
      </c>
      <c r="H549" s="11">
        <f>SUMIFS(Dispatched!$C$2:$C$5000,Dispatched!$A$2:$A$5000,A549,Dispatched!$B$2:$B$5000,B549)</f>
        <v/>
      </c>
      <c r="I549" s="11">
        <f>MAX(0,MIN(D549,G549-H549))</f>
        <v/>
      </c>
      <c r="J549" s="26">
        <f>I549*E549/D549</f>
        <v/>
      </c>
      <c r="K549" s="10">
        <f>IF(I549=0,"Dispatched",IF(F549&lt;=30,"0-30",IF(F549&lt;=60,"31-60",IF(F549&lt;=90,"61-90","90+"))))</f>
        <v/>
      </c>
    </row>
    <row r="550">
      <c r="A550" s="24" t="inlineStr">
        <is>
          <t>Tapi</t>
        </is>
      </c>
      <c r="B550" s="24" t="inlineStr">
        <is>
          <t>80X80X2.5</t>
        </is>
      </c>
      <c r="C550" s="6" t="n">
        <v>46275</v>
      </c>
      <c r="D550" s="24" t="n">
        <v>133</v>
      </c>
      <c r="E550" s="25" t="n">
        <v>4.855</v>
      </c>
      <c r="F550" s="14">
        <f>AsOf-C550</f>
        <v/>
      </c>
      <c r="G550" s="11">
        <f>SUMIFS($D$2:$D$5000,$A$2:$A$5000,A550,$B$2:$B$5000,B550,$C$2:$C$5000,"&lt;="&amp;C550)</f>
        <v/>
      </c>
      <c r="H550" s="11">
        <f>SUMIFS(Dispatched!$C$2:$C$5000,Dispatched!$A$2:$A$5000,A550,Dispatched!$B$2:$B$5000,B550)</f>
        <v/>
      </c>
      <c r="I550" s="11">
        <f>MAX(0,MIN(D550,G550-H550))</f>
        <v/>
      </c>
      <c r="J550" s="26">
        <f>I550*E550/D550</f>
        <v/>
      </c>
      <c r="K550" s="10">
        <f>IF(I550=0,"Dispatched",IF(F550&lt;=30,"0-30",IF(F550&lt;=60,"31-60",IF(F550&lt;=90,"61-90","90+"))))</f>
        <v/>
      </c>
    </row>
    <row r="551">
      <c r="A551" s="24" t="inlineStr">
        <is>
          <t>Tapi</t>
        </is>
      </c>
      <c r="B551" s="24" t="inlineStr">
        <is>
          <t>80X80X3</t>
        </is>
      </c>
      <c r="C551" s="6" t="n">
        <v>46276</v>
      </c>
      <c r="D551" s="24" t="n">
        <v>385</v>
      </c>
      <c r="E551" s="25" t="n">
        <v>16.755</v>
      </c>
      <c r="F551" s="14">
        <f>AsOf-C551</f>
        <v/>
      </c>
      <c r="G551" s="11">
        <f>SUMIFS($D$2:$D$5000,$A$2:$A$5000,A551,$B$2:$B$5000,B551,$C$2:$C$5000,"&lt;="&amp;C551)</f>
        <v/>
      </c>
      <c r="H551" s="11">
        <f>SUMIFS(Dispatched!$C$2:$C$5000,Dispatched!$A$2:$A$5000,A551,Dispatched!$B$2:$B$5000,B551)</f>
        <v/>
      </c>
      <c r="I551" s="11">
        <f>MAX(0,MIN(D551,G551-H551))</f>
        <v/>
      </c>
      <c r="J551" s="26">
        <f>I551*E551/D551</f>
        <v/>
      </c>
      <c r="K551" s="10">
        <f>IF(I551=0,"Dispatched",IF(F551&lt;=30,"0-30",IF(F551&lt;=60,"31-60",IF(F551&lt;=90,"61-90","90+"))))</f>
        <v/>
      </c>
    </row>
    <row r="552">
      <c r="A552" s="24" t="inlineStr">
        <is>
          <t>Tapi</t>
        </is>
      </c>
      <c r="B552" s="24" t="inlineStr">
        <is>
          <t>80X80X4</t>
        </is>
      </c>
      <c r="C552" s="6" t="n">
        <v>46276</v>
      </c>
      <c r="D552" s="24" t="n">
        <v>680</v>
      </c>
      <c r="E552" s="25" t="n">
        <v>38.946</v>
      </c>
      <c r="F552" s="14">
        <f>AsOf-C552</f>
        <v/>
      </c>
      <c r="G552" s="11">
        <f>SUMIFS($D$2:$D$5000,$A$2:$A$5000,A552,$B$2:$B$5000,B552,$C$2:$C$5000,"&lt;="&amp;C552)</f>
        <v/>
      </c>
      <c r="H552" s="11">
        <f>SUMIFS(Dispatched!$C$2:$C$5000,Dispatched!$A$2:$A$5000,A552,Dispatched!$B$2:$B$5000,B552)</f>
        <v/>
      </c>
      <c r="I552" s="11">
        <f>MAX(0,MIN(D552,G552-H552))</f>
        <v/>
      </c>
      <c r="J552" s="26">
        <f>I552*E552/D552</f>
        <v/>
      </c>
      <c r="K552" s="10">
        <f>IF(I552=0,"Dispatched",IF(F552&lt;=30,"0-30",IF(F552&lt;=60,"31-60",IF(F552&lt;=90,"61-90","90+"))))</f>
        <v/>
      </c>
    </row>
    <row r="553">
      <c r="A553" s="24" t="inlineStr">
        <is>
          <t>Tapi</t>
        </is>
      </c>
      <c r="B553" s="24" t="inlineStr">
        <is>
          <t>80X80X4</t>
        </is>
      </c>
      <c r="C553" s="6" t="n">
        <v>46278</v>
      </c>
      <c r="D553" s="24" t="n">
        <v>99</v>
      </c>
      <c r="E553" s="25" t="n">
        <v>5.67</v>
      </c>
      <c r="F553" s="14">
        <f>AsOf-C553</f>
        <v/>
      </c>
      <c r="G553" s="11">
        <f>SUMIFS($D$2:$D$5000,$A$2:$A$5000,A553,$B$2:$B$5000,B553,$C$2:$C$5000,"&lt;="&amp;C553)</f>
        <v/>
      </c>
      <c r="H553" s="11">
        <f>SUMIFS(Dispatched!$C$2:$C$5000,Dispatched!$A$2:$A$5000,A553,Dispatched!$B$2:$B$5000,B553)</f>
        <v/>
      </c>
      <c r="I553" s="11">
        <f>MAX(0,MIN(D553,G553-H553))</f>
        <v/>
      </c>
      <c r="J553" s="26">
        <f>I553*E553/D553</f>
        <v/>
      </c>
      <c r="K553" s="10">
        <f>IF(I553=0,"Dispatched",IF(F553&lt;=30,"0-30",IF(F553&lt;=60,"31-60",IF(F553&lt;=90,"61-90","90+"))))</f>
        <v/>
      </c>
    </row>
    <row r="554">
      <c r="A554" s="24" t="inlineStr">
        <is>
          <t>Tapi</t>
        </is>
      </c>
      <c r="B554" s="24" t="inlineStr">
        <is>
          <t>80X80X5</t>
        </is>
      </c>
      <c r="C554" s="6" t="n">
        <v>46277</v>
      </c>
      <c r="D554" s="24" t="n">
        <v>80</v>
      </c>
      <c r="E554" s="25" t="n">
        <v>5.652</v>
      </c>
      <c r="F554" s="14">
        <f>AsOf-C554</f>
        <v/>
      </c>
      <c r="G554" s="11">
        <f>SUMIFS($D$2:$D$5000,$A$2:$A$5000,A554,$B$2:$B$5000,B554,$C$2:$C$5000,"&lt;="&amp;C554)</f>
        <v/>
      </c>
      <c r="H554" s="11">
        <f>SUMIFS(Dispatched!$C$2:$C$5000,Dispatched!$A$2:$A$5000,A554,Dispatched!$B$2:$B$5000,B554)</f>
        <v/>
      </c>
      <c r="I554" s="11">
        <f>MAX(0,MIN(D554,G554-H554))</f>
        <v/>
      </c>
      <c r="J554" s="26">
        <f>I554*E554/D554</f>
        <v/>
      </c>
      <c r="K554" s="10">
        <f>IF(I554=0,"Dispatched",IF(F554&lt;=30,"0-30",IF(F554&lt;=60,"31-60",IF(F554&lt;=90,"61-90","90+"))))</f>
        <v/>
      </c>
    </row>
    <row r="555">
      <c r="A555" s="24" t="inlineStr">
        <is>
          <t>Tapi</t>
        </is>
      </c>
      <c r="B555" s="24" t="inlineStr">
        <is>
          <t>80X80X5</t>
        </is>
      </c>
      <c r="C555" s="6" t="n">
        <v>46278</v>
      </c>
      <c r="D555" s="24" t="n">
        <v>81</v>
      </c>
      <c r="E555" s="25" t="n">
        <v>5.723</v>
      </c>
      <c r="F555" s="14">
        <f>AsOf-C555</f>
        <v/>
      </c>
      <c r="G555" s="11">
        <f>SUMIFS($D$2:$D$5000,$A$2:$A$5000,A555,$B$2:$B$5000,B555,$C$2:$C$5000,"&lt;="&amp;C555)</f>
        <v/>
      </c>
      <c r="H555" s="11">
        <f>SUMIFS(Dispatched!$C$2:$C$5000,Dispatched!$A$2:$A$5000,A555,Dispatched!$B$2:$B$5000,B555)</f>
        <v/>
      </c>
      <c r="I555" s="11">
        <f>MAX(0,MIN(D555,G555-H555))</f>
        <v/>
      </c>
      <c r="J555" s="26">
        <f>I555*E555/D555</f>
        <v/>
      </c>
      <c r="K555" s="10">
        <f>IF(I555=0,"Dispatched",IF(F555&lt;=30,"0-30",IF(F555&lt;=60,"31-60",IF(F555&lt;=90,"61-90","90+"))))</f>
        <v/>
      </c>
    </row>
    <row r="556">
      <c r="A556" s="24" t="inlineStr">
        <is>
          <t>Tapi</t>
        </is>
      </c>
      <c r="B556" s="24" t="inlineStr">
        <is>
          <t>96X48X2</t>
        </is>
      </c>
      <c r="C556" s="6" t="n">
        <v>46267</v>
      </c>
      <c r="D556" s="24" t="n">
        <v>566</v>
      </c>
      <c r="E556" s="25" t="n">
        <v>14.929</v>
      </c>
      <c r="F556" s="14">
        <f>AsOf-C556</f>
        <v/>
      </c>
      <c r="G556" s="11">
        <f>SUMIFS($D$2:$D$5000,$A$2:$A$5000,A556,$B$2:$B$5000,B556,$C$2:$C$5000,"&lt;="&amp;C556)</f>
        <v/>
      </c>
      <c r="H556" s="11">
        <f>SUMIFS(Dispatched!$C$2:$C$5000,Dispatched!$A$2:$A$5000,A556,Dispatched!$B$2:$B$5000,B556)</f>
        <v/>
      </c>
      <c r="I556" s="11">
        <f>MAX(0,MIN(D556,G556-H556))</f>
        <v/>
      </c>
      <c r="J556" s="26">
        <f>I556*E556/D556</f>
        <v/>
      </c>
      <c r="K556" s="10">
        <f>IF(I556=0,"Dispatched",IF(F556&lt;=30,"0-30",IF(F556&lt;=60,"31-60",IF(F556&lt;=90,"61-90","90+"))))</f>
        <v/>
      </c>
    </row>
    <row r="557">
      <c r="A557" s="24" t="inlineStr">
        <is>
          <t>Tapi</t>
        </is>
      </c>
      <c r="B557" s="24" t="inlineStr">
        <is>
          <t>96X48X2</t>
        </is>
      </c>
      <c r="C557" s="6" t="n">
        <v>46269</v>
      </c>
      <c r="D557" s="24" t="n">
        <v>434</v>
      </c>
      <c r="E557" s="25" t="n">
        <v>11.447</v>
      </c>
      <c r="F557" s="14">
        <f>AsOf-C557</f>
        <v/>
      </c>
      <c r="G557" s="11">
        <f>SUMIFS($D$2:$D$5000,$A$2:$A$5000,A557,$B$2:$B$5000,B557,$C$2:$C$5000,"&lt;="&amp;C557)</f>
        <v/>
      </c>
      <c r="H557" s="11">
        <f>SUMIFS(Dispatched!$C$2:$C$5000,Dispatched!$A$2:$A$5000,A557,Dispatched!$B$2:$B$5000,B557)</f>
        <v/>
      </c>
      <c r="I557" s="11">
        <f>MAX(0,MIN(D557,G557-H557))</f>
        <v/>
      </c>
      <c r="J557" s="26">
        <f>I557*E557/D557</f>
        <v/>
      </c>
      <c r="K557" s="10">
        <f>IF(I557=0,"Dispatched",IF(F557&lt;=30,"0-30",IF(F557&lt;=60,"31-60",IF(F557&lt;=90,"61-90","90+"))))</f>
        <v/>
      </c>
    </row>
    <row r="558">
      <c r="A558" s="24" t="inlineStr">
        <is>
          <t>Tapi</t>
        </is>
      </c>
      <c r="B558" s="24" t="inlineStr">
        <is>
          <t>96X48X2</t>
        </is>
      </c>
      <c r="C558" s="6" t="n">
        <v>46274</v>
      </c>
      <c r="D558" s="24" t="n">
        <v>180</v>
      </c>
      <c r="E558" s="25" t="n">
        <v>4.748</v>
      </c>
      <c r="F558" s="14">
        <f>AsOf-C558</f>
        <v/>
      </c>
      <c r="G558" s="11">
        <f>SUMIFS($D$2:$D$5000,$A$2:$A$5000,A558,$B$2:$B$5000,B558,$C$2:$C$5000,"&lt;="&amp;C558)</f>
        <v/>
      </c>
      <c r="H558" s="11">
        <f>SUMIFS(Dispatched!$C$2:$C$5000,Dispatched!$A$2:$A$5000,A558,Dispatched!$B$2:$B$5000,B558)</f>
        <v/>
      </c>
      <c r="I558" s="11">
        <f>MAX(0,MIN(D558,G558-H558))</f>
        <v/>
      </c>
      <c r="J558" s="26">
        <f>I558*E558/D558</f>
        <v/>
      </c>
      <c r="K558" s="10">
        <f>IF(I558=0,"Dispatched",IF(F558&lt;=30,"0-30",IF(F558&lt;=60,"31-60",IF(F558&lt;=90,"61-90","90+"))))</f>
        <v/>
      </c>
    </row>
    <row r="559">
      <c r="A559" s="24" t="inlineStr">
        <is>
          <t>Tapi</t>
        </is>
      </c>
      <c r="B559" s="24" t="inlineStr">
        <is>
          <t>96X48X3</t>
        </is>
      </c>
      <c r="C559" s="6" t="n">
        <v>46263</v>
      </c>
      <c r="D559" s="24" t="n">
        <v>390</v>
      </c>
      <c r="E559" s="25" t="n">
        <v>15.21</v>
      </c>
      <c r="F559" s="14">
        <f>AsOf-C559</f>
        <v/>
      </c>
      <c r="G559" s="11">
        <f>SUMIFS($D$2:$D$5000,$A$2:$A$5000,A559,$B$2:$B$5000,B559,$C$2:$C$5000,"&lt;="&amp;C559)</f>
        <v/>
      </c>
      <c r="H559" s="11">
        <f>SUMIFS(Dispatched!$C$2:$C$5000,Dispatched!$A$2:$A$5000,A559,Dispatched!$B$2:$B$5000,B559)</f>
        <v/>
      </c>
      <c r="I559" s="11">
        <f>MAX(0,MIN(D559,G559-H559))</f>
        <v/>
      </c>
      <c r="J559" s="26">
        <f>I559*E559/D559</f>
        <v/>
      </c>
      <c r="K559" s="10">
        <f>IF(I559=0,"Dispatched",IF(F559&lt;=30,"0-30",IF(F559&lt;=60,"31-60",IF(F559&lt;=90,"61-90","90+"))))</f>
        <v/>
      </c>
    </row>
    <row r="560">
      <c r="A560" s="24" t="inlineStr">
        <is>
          <t>Tapi</t>
        </is>
      </c>
      <c r="B560" s="24" t="inlineStr">
        <is>
          <t>96X48X3</t>
        </is>
      </c>
      <c r="C560" s="6" t="n">
        <v>46265</v>
      </c>
      <c r="D560" s="24" t="n">
        <v>278</v>
      </c>
      <c r="E560" s="25" t="n">
        <v>10.842</v>
      </c>
      <c r="F560" s="14">
        <f>AsOf-C560</f>
        <v/>
      </c>
      <c r="G560" s="11">
        <f>SUMIFS($D$2:$D$5000,$A$2:$A$5000,A560,$B$2:$B$5000,B560,$C$2:$C$5000,"&lt;="&amp;C560)</f>
        <v/>
      </c>
      <c r="H560" s="11">
        <f>SUMIFS(Dispatched!$C$2:$C$5000,Dispatched!$A$2:$A$5000,A560,Dispatched!$B$2:$B$5000,B560)</f>
        <v/>
      </c>
      <c r="I560" s="11">
        <f>MAX(0,MIN(D560,G560-H560))</f>
        <v/>
      </c>
      <c r="J560" s="26">
        <f>I560*E560/D560</f>
        <v/>
      </c>
      <c r="K560" s="10">
        <f>IF(I560=0,"Dispatched",IF(F560&lt;=30,"0-30",IF(F560&lt;=60,"31-60",IF(F560&lt;=90,"61-90","90+"))))</f>
        <v/>
      </c>
    </row>
    <row r="561">
      <c r="A561" s="24" t="inlineStr">
        <is>
          <t>Tapi</t>
        </is>
      </c>
      <c r="B561" s="24" t="inlineStr">
        <is>
          <t>96X48X3</t>
        </is>
      </c>
      <c r="C561" s="6" t="n">
        <v>46266</v>
      </c>
      <c r="D561" s="24" t="n">
        <v>740</v>
      </c>
      <c r="E561" s="25" t="n">
        <v>28.859</v>
      </c>
      <c r="F561" s="14">
        <f>AsOf-C561</f>
        <v/>
      </c>
      <c r="G561" s="11">
        <f>SUMIFS($D$2:$D$5000,$A$2:$A$5000,A561,$B$2:$B$5000,B561,$C$2:$C$5000,"&lt;="&amp;C561)</f>
        <v/>
      </c>
      <c r="H561" s="11">
        <f>SUMIFS(Dispatched!$C$2:$C$5000,Dispatched!$A$2:$A$5000,A561,Dispatched!$B$2:$B$5000,B561)</f>
        <v/>
      </c>
      <c r="I561" s="11">
        <f>MAX(0,MIN(D561,G561-H561))</f>
        <v/>
      </c>
      <c r="J561" s="26">
        <f>I561*E561/D561</f>
        <v/>
      </c>
      <c r="K561" s="10">
        <f>IF(I561=0,"Dispatched",IF(F561&lt;=30,"0-30",IF(F561&lt;=60,"31-60",IF(F561&lt;=90,"61-90","90+"))))</f>
        <v/>
      </c>
    </row>
    <row r="562">
      <c r="A562" s="24" t="inlineStr">
        <is>
          <t>Tapi</t>
        </is>
      </c>
      <c r="B562" s="24" t="inlineStr">
        <is>
          <t>96X48X3</t>
        </is>
      </c>
      <c r="C562" s="6" t="n">
        <v>46270</v>
      </c>
      <c r="D562" s="24" t="n">
        <v>619</v>
      </c>
      <c r="E562" s="25" t="n">
        <v>24.14</v>
      </c>
      <c r="F562" s="14">
        <f>AsOf-C562</f>
        <v/>
      </c>
      <c r="G562" s="11">
        <f>SUMIFS($D$2:$D$5000,$A$2:$A$5000,A562,$B$2:$B$5000,B562,$C$2:$C$5000,"&lt;="&amp;C562)</f>
        <v/>
      </c>
      <c r="H562" s="11">
        <f>SUMIFS(Dispatched!$C$2:$C$5000,Dispatched!$A$2:$A$5000,A562,Dispatched!$B$2:$B$5000,B562)</f>
        <v/>
      </c>
      <c r="I562" s="11">
        <f>MAX(0,MIN(D562,G562-H562))</f>
        <v/>
      </c>
      <c r="J562" s="26">
        <f>I562*E562/D562</f>
        <v/>
      </c>
      <c r="K562" s="10">
        <f>IF(I562=0,"Dispatched",IF(F562&lt;=30,"0-30",IF(F562&lt;=60,"31-60",IF(F562&lt;=90,"61-90","90+"))))</f>
        <v/>
      </c>
    </row>
    <row r="563">
      <c r="A563" s="24" t="inlineStr">
        <is>
          <t>Tapi</t>
        </is>
      </c>
      <c r="B563" s="24" t="inlineStr">
        <is>
          <t>96X48X4</t>
        </is>
      </c>
      <c r="C563" s="6" t="n">
        <v>46263</v>
      </c>
      <c r="D563" s="24" t="n">
        <v>89</v>
      </c>
      <c r="E563" s="25" t="n">
        <v>4.561</v>
      </c>
      <c r="F563" s="14">
        <f>AsOf-C563</f>
        <v/>
      </c>
      <c r="G563" s="11">
        <f>SUMIFS($D$2:$D$5000,$A$2:$A$5000,A563,$B$2:$B$5000,B563,$C$2:$C$5000,"&lt;="&amp;C563)</f>
        <v/>
      </c>
      <c r="H563" s="11">
        <f>SUMIFS(Dispatched!$C$2:$C$5000,Dispatched!$A$2:$A$5000,A563,Dispatched!$B$2:$B$5000,B563)</f>
        <v/>
      </c>
      <c r="I563" s="11">
        <f>MAX(0,MIN(D563,G563-H563))</f>
        <v/>
      </c>
      <c r="J563" s="26">
        <f>I563*E563/D563</f>
        <v/>
      </c>
      <c r="K563" s="10">
        <f>IF(I563=0,"Dispatched",IF(F563&lt;=30,"0-30",IF(F563&lt;=60,"31-60",IF(F563&lt;=90,"61-90","90+"))))</f>
        <v/>
      </c>
    </row>
    <row r="564">
      <c r="A564" s="24" t="inlineStr">
        <is>
          <t>Tapi</t>
        </is>
      </c>
      <c r="B564" s="24" t="inlineStr">
        <is>
          <t>96X48X4</t>
        </is>
      </c>
      <c r="C564" s="6" t="n">
        <v>46265</v>
      </c>
      <c r="D564" s="24" t="n">
        <v>205</v>
      </c>
      <c r="E564" s="25" t="n">
        <v>10.505</v>
      </c>
      <c r="F564" s="14">
        <f>AsOf-C564</f>
        <v/>
      </c>
      <c r="G564" s="11">
        <f>SUMIFS($D$2:$D$5000,$A$2:$A$5000,A564,$B$2:$B$5000,B564,$C$2:$C$5000,"&lt;="&amp;C564)</f>
        <v/>
      </c>
      <c r="H564" s="11">
        <f>SUMIFS(Dispatched!$C$2:$C$5000,Dispatched!$A$2:$A$5000,A564,Dispatched!$B$2:$B$5000,B564)</f>
        <v/>
      </c>
      <c r="I564" s="11">
        <f>MAX(0,MIN(D564,G564-H564))</f>
        <v/>
      </c>
      <c r="J564" s="26">
        <f>I564*E564/D564</f>
        <v/>
      </c>
      <c r="K564" s="10">
        <f>IF(I564=0,"Dispatched",IF(F564&lt;=30,"0-30",IF(F564&lt;=60,"31-60",IF(F564&lt;=90,"61-90","90+"))))</f>
        <v/>
      </c>
    </row>
    <row r="565">
      <c r="A565" s="24" t="inlineStr">
        <is>
          <t>Tapi</t>
        </is>
      </c>
      <c r="B565" s="24" t="inlineStr">
        <is>
          <t>96X48X4</t>
        </is>
      </c>
      <c r="C565" s="6" t="n">
        <v>46266</v>
      </c>
      <c r="D565" s="24" t="n">
        <v>196</v>
      </c>
      <c r="E565" s="25" t="n">
        <v>10.044</v>
      </c>
      <c r="F565" s="14">
        <f>AsOf-C565</f>
        <v/>
      </c>
      <c r="G565" s="11">
        <f>SUMIFS($D$2:$D$5000,$A$2:$A$5000,A565,$B$2:$B$5000,B565,$C$2:$C$5000,"&lt;="&amp;C565)</f>
        <v/>
      </c>
      <c r="H565" s="11">
        <f>SUMIFS(Dispatched!$C$2:$C$5000,Dispatched!$A$2:$A$5000,A565,Dispatched!$B$2:$B$5000,B565)</f>
        <v/>
      </c>
      <c r="I565" s="11">
        <f>MAX(0,MIN(D565,G565-H565))</f>
        <v/>
      </c>
      <c r="J565" s="26">
        <f>I565*E565/D565</f>
        <v/>
      </c>
      <c r="K565" s="10">
        <f>IF(I565=0,"Dispatched",IF(F565&lt;=30,"0-30",IF(F565&lt;=60,"31-60",IF(F565&lt;=90,"61-90","90+"))))</f>
        <v/>
      </c>
    </row>
    <row r="566">
      <c r="A566" s="24" t="inlineStr">
        <is>
          <t>Tapi</t>
        </is>
      </c>
      <c r="B566" s="24" t="inlineStr">
        <is>
          <t>96X48X4</t>
        </is>
      </c>
      <c r="C566" s="6" t="n">
        <v>46269</v>
      </c>
      <c r="D566" s="24" t="n">
        <v>255</v>
      </c>
      <c r="E566" s="25" t="n">
        <v>13.067</v>
      </c>
      <c r="F566" s="14">
        <f>AsOf-C566</f>
        <v/>
      </c>
      <c r="G566" s="11">
        <f>SUMIFS($D$2:$D$5000,$A$2:$A$5000,A566,$B$2:$B$5000,B566,$C$2:$C$5000,"&lt;="&amp;C566)</f>
        <v/>
      </c>
      <c r="H566" s="11">
        <f>SUMIFS(Dispatched!$C$2:$C$5000,Dispatched!$A$2:$A$5000,A566,Dispatched!$B$2:$B$5000,B566)</f>
        <v/>
      </c>
      <c r="I566" s="11">
        <f>MAX(0,MIN(D566,G566-H566))</f>
        <v/>
      </c>
      <c r="J566" s="26">
        <f>I566*E566/D566</f>
        <v/>
      </c>
      <c r="K566" s="10">
        <f>IF(I566=0,"Dispatched",IF(F566&lt;=30,"0-30",IF(F566&lt;=60,"31-60",IF(F566&lt;=90,"61-90","90+"))))</f>
        <v/>
      </c>
    </row>
    <row r="567">
      <c r="A567" s="24" t="inlineStr">
        <is>
          <t>Tapi</t>
        </is>
      </c>
      <c r="B567" s="24" t="inlineStr">
        <is>
          <t>96X48X4</t>
        </is>
      </c>
      <c r="C567" s="6" t="n">
        <v>46270</v>
      </c>
      <c r="D567" s="24" t="n">
        <v>264</v>
      </c>
      <c r="E567" s="25" t="n">
        <v>13.529</v>
      </c>
      <c r="F567" s="14">
        <f>AsOf-C567</f>
        <v/>
      </c>
      <c r="G567" s="11">
        <f>SUMIFS($D$2:$D$5000,$A$2:$A$5000,A567,$B$2:$B$5000,B567,$C$2:$C$5000,"&lt;="&amp;C567)</f>
        <v/>
      </c>
      <c r="H567" s="11">
        <f>SUMIFS(Dispatched!$C$2:$C$5000,Dispatched!$A$2:$A$5000,A567,Dispatched!$B$2:$B$5000,B567)</f>
        <v/>
      </c>
      <c r="I567" s="11">
        <f>MAX(0,MIN(D567,G567-H567))</f>
        <v/>
      </c>
      <c r="J567" s="26">
        <f>I567*E567/D567</f>
        <v/>
      </c>
      <c r="K567" s="10">
        <f>IF(I567=0,"Dispatched",IF(F567&lt;=30,"0-30",IF(F567&lt;=60,"31-60",IF(F567&lt;=90,"61-90","90+"))))</f>
        <v/>
      </c>
    </row>
    <row r="568">
      <c r="A568" s="24" t="inlineStr">
        <is>
          <t>Tapi</t>
        </is>
      </c>
      <c r="B568" s="24" t="inlineStr">
        <is>
          <t>96X48X5</t>
        </is>
      </c>
      <c r="C568" s="6" t="n">
        <v>46267</v>
      </c>
      <c r="D568" s="24" t="n">
        <v>321</v>
      </c>
      <c r="E568" s="25" t="n">
        <v>20.26</v>
      </c>
      <c r="F568" s="14">
        <f>AsOf-C568</f>
        <v/>
      </c>
      <c r="G568" s="11">
        <f>SUMIFS($D$2:$D$5000,$A$2:$A$5000,A568,$B$2:$B$5000,B568,$C$2:$C$5000,"&lt;="&amp;C568)</f>
        <v/>
      </c>
      <c r="H568" s="11">
        <f>SUMIFS(Dispatched!$C$2:$C$5000,Dispatched!$A$2:$A$5000,A568,Dispatched!$B$2:$B$5000,B568)</f>
        <v/>
      </c>
      <c r="I568" s="11">
        <f>MAX(0,MIN(D568,G568-H568))</f>
        <v/>
      </c>
      <c r="J568" s="26">
        <f>I568*E568/D568</f>
        <v/>
      </c>
      <c r="K568" s="10">
        <f>IF(I568=0,"Dispatched",IF(F568&lt;=30,"0-30",IF(F568&lt;=60,"31-60",IF(F568&lt;=90,"61-90","90+"))))</f>
        <v/>
      </c>
    </row>
  </sheetData>
  <autoFilter ref="A1:K5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 ht="32" customHeight="1">
      <c r="A1" s="8" t="inlineStr">
        <is>
          <t>Plant</t>
        </is>
      </c>
      <c r="B1" s="8" t="inlineStr">
        <is>
          <t>SKU</t>
        </is>
      </c>
      <c r="C1" s="8" t="inlineStr">
        <is>
          <t>Pcs dispatched (all time)</t>
        </is>
      </c>
    </row>
    <row r="2">
      <c r="A2" s="24" t="inlineStr">
        <is>
          <t>Hyderabad</t>
        </is>
      </c>
      <c r="B2" s="24" t="inlineStr">
        <is>
          <t>100X50X1.6</t>
        </is>
      </c>
      <c r="C2" s="27" t="n">
        <v>3352</v>
      </c>
    </row>
    <row r="3">
      <c r="A3" s="24" t="inlineStr">
        <is>
          <t>Hyderabad</t>
        </is>
      </c>
      <c r="B3" s="24" t="inlineStr">
        <is>
          <t>100X50X2</t>
        </is>
      </c>
      <c r="C3" s="27" t="n">
        <v>6918</v>
      </c>
    </row>
    <row r="4">
      <c r="A4" s="24" t="inlineStr">
        <is>
          <t>Hyderabad</t>
        </is>
      </c>
      <c r="B4" s="24" t="inlineStr">
        <is>
          <t>100X50X2.5</t>
        </is>
      </c>
      <c r="C4" s="27" t="n">
        <v>2727</v>
      </c>
    </row>
    <row r="5">
      <c r="A5" s="24" t="inlineStr">
        <is>
          <t>Hyderabad</t>
        </is>
      </c>
      <c r="B5" s="24" t="inlineStr">
        <is>
          <t>100X50X2.8</t>
        </is>
      </c>
      <c r="C5" s="27" t="n">
        <v>1885</v>
      </c>
    </row>
    <row r="6">
      <c r="A6" s="24" t="inlineStr">
        <is>
          <t>Hyderabad</t>
        </is>
      </c>
      <c r="B6" s="24" t="inlineStr">
        <is>
          <t>100X50X3</t>
        </is>
      </c>
      <c r="C6" s="27" t="n">
        <v>302</v>
      </c>
    </row>
    <row r="7">
      <c r="A7" s="24" t="inlineStr">
        <is>
          <t>Hyderabad</t>
        </is>
      </c>
      <c r="B7" s="24" t="inlineStr">
        <is>
          <t>100X50X3.2</t>
        </is>
      </c>
      <c r="C7" s="27" t="n">
        <v>666</v>
      </c>
    </row>
    <row r="8">
      <c r="A8" s="24" t="inlineStr">
        <is>
          <t>Hyderabad</t>
        </is>
      </c>
      <c r="B8" s="24" t="inlineStr">
        <is>
          <t>100X50X4</t>
        </is>
      </c>
      <c r="C8" s="27" t="n">
        <v>1523</v>
      </c>
    </row>
    <row r="9">
      <c r="A9" s="24" t="inlineStr">
        <is>
          <t>Hyderabad</t>
        </is>
      </c>
      <c r="B9" s="24" t="inlineStr">
        <is>
          <t>15NBX1.6</t>
        </is>
      </c>
      <c r="C9" s="27" t="n">
        <v>4418</v>
      </c>
    </row>
    <row r="10">
      <c r="A10" s="24" t="inlineStr">
        <is>
          <t>Hyderabad</t>
        </is>
      </c>
      <c r="B10" s="24" t="inlineStr">
        <is>
          <t>15NBX2</t>
        </is>
      </c>
      <c r="C10" s="27" t="n">
        <v>4082</v>
      </c>
    </row>
    <row r="11">
      <c r="A11" s="24" t="inlineStr">
        <is>
          <t>Hyderabad</t>
        </is>
      </c>
      <c r="B11" s="24" t="inlineStr">
        <is>
          <t>15X15X1.6</t>
        </is>
      </c>
      <c r="C11" s="27" t="n">
        <v>495</v>
      </c>
    </row>
    <row r="12">
      <c r="A12" s="24" t="inlineStr">
        <is>
          <t>Hyderabad</t>
        </is>
      </c>
      <c r="B12" s="24" t="inlineStr">
        <is>
          <t>20NBX1.6</t>
        </is>
      </c>
      <c r="C12" s="27" t="n">
        <v>6118</v>
      </c>
    </row>
    <row r="13">
      <c r="A13" s="24" t="inlineStr">
        <is>
          <t>Hyderabad</t>
        </is>
      </c>
      <c r="B13" s="24" t="inlineStr">
        <is>
          <t>20NBX2</t>
        </is>
      </c>
      <c r="C13" s="27" t="n">
        <v>8901</v>
      </c>
    </row>
    <row r="14">
      <c r="A14" s="24" t="inlineStr">
        <is>
          <t>Hyderabad</t>
        </is>
      </c>
      <c r="B14" s="24" t="inlineStr">
        <is>
          <t>20NBX2.5</t>
        </is>
      </c>
      <c r="C14" s="27" t="n">
        <v>1587</v>
      </c>
    </row>
    <row r="15">
      <c r="A15" s="24" t="inlineStr">
        <is>
          <t>Hyderabad</t>
        </is>
      </c>
      <c r="B15" s="24" t="inlineStr">
        <is>
          <t>20NBX2.8</t>
        </is>
      </c>
      <c r="C15" s="27" t="n">
        <v>1623</v>
      </c>
    </row>
    <row r="16">
      <c r="A16" s="24" t="inlineStr">
        <is>
          <t>Hyderabad</t>
        </is>
      </c>
      <c r="B16" s="24" t="inlineStr">
        <is>
          <t>20X20X1.2</t>
        </is>
      </c>
      <c r="C16" s="27" t="n">
        <v>5094</v>
      </c>
    </row>
    <row r="17">
      <c r="A17" s="24" t="inlineStr">
        <is>
          <t>Hyderabad</t>
        </is>
      </c>
      <c r="B17" s="24" t="inlineStr">
        <is>
          <t>20X20X1.6</t>
        </is>
      </c>
      <c r="C17" s="27" t="n">
        <v>10597</v>
      </c>
    </row>
    <row r="18">
      <c r="A18" s="24" t="inlineStr">
        <is>
          <t>Hyderabad</t>
        </is>
      </c>
      <c r="B18" s="24" t="inlineStr">
        <is>
          <t>20X20X2</t>
        </is>
      </c>
      <c r="C18" s="27" t="n">
        <v>10361</v>
      </c>
    </row>
    <row r="19">
      <c r="A19" s="24" t="inlineStr">
        <is>
          <t>Hyderabad</t>
        </is>
      </c>
      <c r="B19" s="24" t="inlineStr">
        <is>
          <t>25NBX1.6</t>
        </is>
      </c>
      <c r="C19" s="27" t="n">
        <v>4535</v>
      </c>
    </row>
    <row r="20">
      <c r="A20" s="24" t="inlineStr">
        <is>
          <t>Hyderabad</t>
        </is>
      </c>
      <c r="B20" s="24" t="inlineStr">
        <is>
          <t>25NBX2</t>
        </is>
      </c>
      <c r="C20" s="27" t="n">
        <v>5063</v>
      </c>
    </row>
    <row r="21">
      <c r="A21" s="24" t="inlineStr">
        <is>
          <t>Hyderabad</t>
        </is>
      </c>
      <c r="B21" s="24" t="inlineStr">
        <is>
          <t>25NBX2.5</t>
        </is>
      </c>
      <c r="C21" s="27" t="n">
        <v>1998</v>
      </c>
    </row>
    <row r="22">
      <c r="A22" s="24" t="inlineStr">
        <is>
          <t>Hyderabad</t>
        </is>
      </c>
      <c r="B22" s="24" t="inlineStr">
        <is>
          <t>25NBX2.8</t>
        </is>
      </c>
      <c r="C22" s="27" t="n">
        <v>2545</v>
      </c>
    </row>
    <row r="23">
      <c r="A23" s="24" t="inlineStr">
        <is>
          <t>Hyderabad</t>
        </is>
      </c>
      <c r="B23" s="24" t="inlineStr">
        <is>
          <t>25NBX4</t>
        </is>
      </c>
      <c r="C23" s="27" t="n">
        <v>265</v>
      </c>
    </row>
    <row r="24">
      <c r="A24" s="24" t="inlineStr">
        <is>
          <t>Hyderabad</t>
        </is>
      </c>
      <c r="B24" s="24" t="inlineStr">
        <is>
          <t>25X25X1.2</t>
        </is>
      </c>
      <c r="C24" s="27" t="n">
        <v>4887</v>
      </c>
    </row>
    <row r="25">
      <c r="A25" s="24" t="inlineStr">
        <is>
          <t>Hyderabad</t>
        </is>
      </c>
      <c r="B25" s="24" t="inlineStr">
        <is>
          <t>25X25X1.6</t>
        </is>
      </c>
      <c r="C25" s="27" t="n">
        <v>20065</v>
      </c>
    </row>
    <row r="26">
      <c r="A26" s="24" t="inlineStr">
        <is>
          <t>Hyderabad</t>
        </is>
      </c>
      <c r="B26" s="24" t="inlineStr">
        <is>
          <t>25X25X2</t>
        </is>
      </c>
      <c r="C26" s="27" t="n">
        <v>20438</v>
      </c>
    </row>
    <row r="27">
      <c r="A27" s="24" t="inlineStr">
        <is>
          <t>Hyderabad</t>
        </is>
      </c>
      <c r="B27" s="24" t="inlineStr">
        <is>
          <t>25X25X2.5</t>
        </is>
      </c>
      <c r="C27" s="27" t="n">
        <v>7654</v>
      </c>
    </row>
    <row r="28">
      <c r="A28" s="24" t="inlineStr">
        <is>
          <t>Hyderabad</t>
        </is>
      </c>
      <c r="B28" s="24" t="inlineStr">
        <is>
          <t>25X25X2.8</t>
        </is>
      </c>
      <c r="C28" s="27" t="n">
        <v>2793</v>
      </c>
    </row>
    <row r="29">
      <c r="A29" s="24" t="inlineStr">
        <is>
          <t>Hyderabad</t>
        </is>
      </c>
      <c r="B29" s="24" t="inlineStr">
        <is>
          <t>25X25X3.2</t>
        </is>
      </c>
      <c r="C29" s="27" t="n">
        <v>509</v>
      </c>
    </row>
    <row r="30">
      <c r="A30" s="24" t="inlineStr">
        <is>
          <t>Hyderabad</t>
        </is>
      </c>
      <c r="B30" s="24" t="inlineStr">
        <is>
          <t>30X30X1.6</t>
        </is>
      </c>
      <c r="C30" s="27" t="n">
        <v>6011</v>
      </c>
    </row>
    <row r="31">
      <c r="A31" s="24" t="inlineStr">
        <is>
          <t>Hyderabad</t>
        </is>
      </c>
      <c r="B31" s="24" t="inlineStr">
        <is>
          <t>30X30X2</t>
        </is>
      </c>
      <c r="C31" s="27" t="n">
        <v>3829</v>
      </c>
    </row>
    <row r="32">
      <c r="A32" s="24" t="inlineStr">
        <is>
          <t>Hyderabad</t>
        </is>
      </c>
      <c r="B32" s="24" t="inlineStr">
        <is>
          <t>30X30X2.5</t>
        </is>
      </c>
      <c r="C32" s="27" t="n">
        <v>1816</v>
      </c>
    </row>
    <row r="33">
      <c r="A33" s="24" t="inlineStr">
        <is>
          <t>Hyderabad</t>
        </is>
      </c>
      <c r="B33" s="24" t="inlineStr">
        <is>
          <t>32NBX1.6</t>
        </is>
      </c>
      <c r="C33" s="27" t="n">
        <v>2604</v>
      </c>
    </row>
    <row r="34">
      <c r="A34" s="24" t="inlineStr">
        <is>
          <t>Hyderabad</t>
        </is>
      </c>
      <c r="B34" s="24" t="inlineStr">
        <is>
          <t>32NBX2</t>
        </is>
      </c>
      <c r="C34" s="27" t="n">
        <v>4915</v>
      </c>
    </row>
    <row r="35">
      <c r="A35" s="24" t="inlineStr">
        <is>
          <t>Hyderabad</t>
        </is>
      </c>
      <c r="B35" s="24" t="inlineStr">
        <is>
          <t>32NBX2.5</t>
        </is>
      </c>
      <c r="C35" s="27" t="n">
        <v>1596</v>
      </c>
    </row>
    <row r="36">
      <c r="A36" s="24" t="inlineStr">
        <is>
          <t>Hyderabad</t>
        </is>
      </c>
      <c r="B36" s="24" t="inlineStr">
        <is>
          <t>32NBX2.8</t>
        </is>
      </c>
      <c r="C36" s="27" t="n">
        <v>3361</v>
      </c>
    </row>
    <row r="37">
      <c r="A37" s="24" t="inlineStr">
        <is>
          <t>Hyderabad</t>
        </is>
      </c>
      <c r="B37" s="24" t="inlineStr">
        <is>
          <t>32NBX4</t>
        </is>
      </c>
      <c r="C37" s="27" t="n">
        <v>227</v>
      </c>
    </row>
    <row r="38">
      <c r="A38" s="24" t="inlineStr">
        <is>
          <t>Hyderabad</t>
        </is>
      </c>
      <c r="B38" s="24" t="inlineStr">
        <is>
          <t>38X38X1.6</t>
        </is>
      </c>
      <c r="C38" s="27" t="n">
        <v>16387</v>
      </c>
    </row>
    <row r="39">
      <c r="A39" s="24" t="inlineStr">
        <is>
          <t>Hyderabad</t>
        </is>
      </c>
      <c r="B39" s="24" t="inlineStr">
        <is>
          <t>38X38X2</t>
        </is>
      </c>
      <c r="C39" s="27" t="n">
        <v>11643</v>
      </c>
    </row>
    <row r="40">
      <c r="A40" s="24" t="inlineStr">
        <is>
          <t>Hyderabad</t>
        </is>
      </c>
      <c r="B40" s="24" t="inlineStr">
        <is>
          <t>38X38X2.2</t>
        </is>
      </c>
      <c r="C40" s="27" t="n">
        <v>637</v>
      </c>
    </row>
    <row r="41">
      <c r="A41" s="24" t="inlineStr">
        <is>
          <t>Hyderabad</t>
        </is>
      </c>
      <c r="B41" s="24" t="inlineStr">
        <is>
          <t>38X38X2.5</t>
        </is>
      </c>
      <c r="C41" s="27" t="n">
        <v>7284</v>
      </c>
    </row>
    <row r="42">
      <c r="A42" s="24" t="inlineStr">
        <is>
          <t>Hyderabad</t>
        </is>
      </c>
      <c r="B42" s="24" t="inlineStr">
        <is>
          <t>38X38X2.8</t>
        </is>
      </c>
      <c r="C42" s="27" t="n">
        <v>3638</v>
      </c>
    </row>
    <row r="43">
      <c r="A43" s="24" t="inlineStr">
        <is>
          <t>Hyderabad</t>
        </is>
      </c>
      <c r="B43" s="24" t="inlineStr">
        <is>
          <t>38X38X2.9</t>
        </is>
      </c>
      <c r="C43" s="27" t="n">
        <v>216</v>
      </c>
    </row>
    <row r="44">
      <c r="A44" s="24" t="inlineStr">
        <is>
          <t>Hyderabad</t>
        </is>
      </c>
      <c r="B44" s="24" t="inlineStr">
        <is>
          <t>38X38X3.2</t>
        </is>
      </c>
      <c r="C44" s="27" t="n">
        <v>229</v>
      </c>
    </row>
    <row r="45">
      <c r="A45" s="24" t="inlineStr">
        <is>
          <t>Hyderabad</t>
        </is>
      </c>
      <c r="B45" s="24" t="inlineStr">
        <is>
          <t>38X38X4</t>
        </is>
      </c>
      <c r="C45" s="27" t="n">
        <v>645</v>
      </c>
    </row>
    <row r="46">
      <c r="A46" s="24" t="inlineStr">
        <is>
          <t>Hyderabad</t>
        </is>
      </c>
      <c r="B46" s="24" t="inlineStr">
        <is>
          <t>40NBX1.6</t>
        </is>
      </c>
      <c r="C46" s="27" t="n">
        <v>3297</v>
      </c>
    </row>
    <row r="47">
      <c r="A47" s="24" t="inlineStr">
        <is>
          <t>Hyderabad</t>
        </is>
      </c>
      <c r="B47" s="24" t="inlineStr">
        <is>
          <t>40NBX2</t>
        </is>
      </c>
      <c r="C47" s="27" t="n">
        <v>4055</v>
      </c>
    </row>
    <row r="48">
      <c r="A48" s="24" t="inlineStr">
        <is>
          <t>Hyderabad</t>
        </is>
      </c>
      <c r="B48" s="24" t="inlineStr">
        <is>
          <t>40NBX2.5</t>
        </is>
      </c>
      <c r="C48" s="27" t="n">
        <v>1077</v>
      </c>
    </row>
    <row r="49">
      <c r="A49" s="24" t="inlineStr">
        <is>
          <t>Hyderabad</t>
        </is>
      </c>
      <c r="B49" s="24" t="inlineStr">
        <is>
          <t>40NBX2.8</t>
        </is>
      </c>
      <c r="C49" s="27" t="n">
        <v>2210</v>
      </c>
    </row>
    <row r="50">
      <c r="A50" s="24" t="inlineStr">
        <is>
          <t>Hyderabad</t>
        </is>
      </c>
      <c r="B50" s="24" t="inlineStr">
        <is>
          <t>40NBX2.9</t>
        </is>
      </c>
      <c r="C50" s="27" t="n">
        <v>1583</v>
      </c>
    </row>
    <row r="51">
      <c r="A51" s="24" t="inlineStr">
        <is>
          <t>Hyderabad</t>
        </is>
      </c>
      <c r="B51" s="24" t="inlineStr">
        <is>
          <t>40NBX4</t>
        </is>
      </c>
      <c r="C51" s="27" t="n">
        <v>781</v>
      </c>
    </row>
    <row r="52">
      <c r="A52" s="24" t="inlineStr">
        <is>
          <t>Hyderabad</t>
        </is>
      </c>
      <c r="B52" s="24" t="inlineStr">
        <is>
          <t>40X20X1.2</t>
        </is>
      </c>
      <c r="C52" s="27" t="n">
        <v>3108</v>
      </c>
    </row>
    <row r="53">
      <c r="A53" s="24" t="inlineStr">
        <is>
          <t>Hyderabad</t>
        </is>
      </c>
      <c r="B53" s="24" t="inlineStr">
        <is>
          <t>40X20X1.6</t>
        </is>
      </c>
      <c r="C53" s="27" t="n">
        <v>6432</v>
      </c>
    </row>
    <row r="54">
      <c r="A54" s="24" t="inlineStr">
        <is>
          <t>Hyderabad</t>
        </is>
      </c>
      <c r="B54" s="24" t="inlineStr">
        <is>
          <t>40X20X2</t>
        </is>
      </c>
      <c r="C54" s="27" t="n">
        <v>10210</v>
      </c>
    </row>
    <row r="55">
      <c r="A55" s="24" t="inlineStr">
        <is>
          <t>Hyderabad</t>
        </is>
      </c>
      <c r="B55" s="24" t="inlineStr">
        <is>
          <t>40X20X2.2</t>
        </is>
      </c>
      <c r="C55" s="27" t="n">
        <v>200</v>
      </c>
    </row>
    <row r="56">
      <c r="A56" s="24" t="inlineStr">
        <is>
          <t>Hyderabad</t>
        </is>
      </c>
      <c r="B56" s="24" t="inlineStr">
        <is>
          <t>40X20X2.5</t>
        </is>
      </c>
      <c r="C56" s="27" t="n">
        <v>1877</v>
      </c>
    </row>
    <row r="57">
      <c r="A57" s="24" t="inlineStr">
        <is>
          <t>Hyderabad</t>
        </is>
      </c>
      <c r="B57" s="24" t="inlineStr">
        <is>
          <t>40X20X2.8</t>
        </is>
      </c>
      <c r="C57" s="27" t="n">
        <v>686</v>
      </c>
    </row>
    <row r="58">
      <c r="A58" s="24" t="inlineStr">
        <is>
          <t>Hyderabad</t>
        </is>
      </c>
      <c r="B58" s="24" t="inlineStr">
        <is>
          <t>50NBX1.6</t>
        </is>
      </c>
      <c r="C58" s="27" t="n">
        <v>2591</v>
      </c>
    </row>
    <row r="59">
      <c r="A59" s="24" t="inlineStr">
        <is>
          <t>Hyderabad</t>
        </is>
      </c>
      <c r="B59" s="24" t="inlineStr">
        <is>
          <t>50NBX2</t>
        </is>
      </c>
      <c r="C59" s="27" t="n">
        <v>1103</v>
      </c>
    </row>
    <row r="60">
      <c r="A60" s="24" t="inlineStr">
        <is>
          <t>Hyderabad</t>
        </is>
      </c>
      <c r="B60" s="24" t="inlineStr">
        <is>
          <t>50NBX2.5</t>
        </is>
      </c>
      <c r="C60" s="27" t="n">
        <v>655</v>
      </c>
    </row>
    <row r="61">
      <c r="A61" s="24" t="inlineStr">
        <is>
          <t>Hyderabad</t>
        </is>
      </c>
      <c r="B61" s="24" t="inlineStr">
        <is>
          <t>50NBX2.8</t>
        </is>
      </c>
      <c r="C61" s="27" t="n">
        <v>948</v>
      </c>
    </row>
    <row r="62">
      <c r="A62" s="24" t="inlineStr">
        <is>
          <t>Hyderabad</t>
        </is>
      </c>
      <c r="B62" s="24" t="inlineStr">
        <is>
          <t>50NBX3.2</t>
        </is>
      </c>
      <c r="C62" s="27" t="n">
        <v>1116</v>
      </c>
    </row>
    <row r="63">
      <c r="A63" s="24" t="inlineStr">
        <is>
          <t>Hyderabad</t>
        </is>
      </c>
      <c r="B63" s="24" t="inlineStr">
        <is>
          <t>50NBX4</t>
        </is>
      </c>
      <c r="C63" s="27" t="n">
        <v>381</v>
      </c>
    </row>
    <row r="64">
      <c r="A64" s="24" t="inlineStr">
        <is>
          <t>Hyderabad</t>
        </is>
      </c>
      <c r="B64" s="24" t="inlineStr">
        <is>
          <t>50X25X1.6</t>
        </is>
      </c>
      <c r="C64" s="27" t="n">
        <v>8336</v>
      </c>
    </row>
    <row r="65">
      <c r="A65" s="24" t="inlineStr">
        <is>
          <t>Hyderabad</t>
        </is>
      </c>
      <c r="B65" s="24" t="inlineStr">
        <is>
          <t>50X25X2</t>
        </is>
      </c>
      <c r="C65" s="27" t="n">
        <v>4705</v>
      </c>
    </row>
    <row r="66">
      <c r="A66" s="24" t="inlineStr">
        <is>
          <t>Hyderabad</t>
        </is>
      </c>
      <c r="B66" s="24" t="inlineStr">
        <is>
          <t>50X25X2.5</t>
        </is>
      </c>
      <c r="C66" s="27" t="n">
        <v>3365</v>
      </c>
    </row>
    <row r="67">
      <c r="A67" s="24" t="inlineStr">
        <is>
          <t>Hyderabad</t>
        </is>
      </c>
      <c r="B67" s="24" t="inlineStr">
        <is>
          <t>50X25X2.8</t>
        </is>
      </c>
      <c r="C67" s="27" t="n">
        <v>1876</v>
      </c>
    </row>
    <row r="68">
      <c r="A68" s="24" t="inlineStr">
        <is>
          <t>Hyderabad</t>
        </is>
      </c>
      <c r="B68" s="24" t="inlineStr">
        <is>
          <t>50X50X1.2</t>
        </is>
      </c>
      <c r="C68" s="27" t="n">
        <v>3014</v>
      </c>
    </row>
    <row r="69">
      <c r="A69" s="24" t="inlineStr">
        <is>
          <t>Hyderabad</t>
        </is>
      </c>
      <c r="B69" s="24" t="inlineStr">
        <is>
          <t>50X50X1.6</t>
        </is>
      </c>
      <c r="C69" s="27" t="n">
        <v>7789</v>
      </c>
    </row>
    <row r="70">
      <c r="A70" s="24" t="inlineStr">
        <is>
          <t>Hyderabad</t>
        </is>
      </c>
      <c r="B70" s="24" t="inlineStr">
        <is>
          <t>50X50X2</t>
        </is>
      </c>
      <c r="C70" s="27" t="n">
        <v>18399</v>
      </c>
    </row>
    <row r="71">
      <c r="A71" s="24" t="inlineStr">
        <is>
          <t>Hyderabad</t>
        </is>
      </c>
      <c r="B71" s="24" t="inlineStr">
        <is>
          <t>50X50X2.2</t>
        </is>
      </c>
      <c r="C71" s="27" t="n">
        <v>333</v>
      </c>
    </row>
    <row r="72">
      <c r="A72" s="24" t="inlineStr">
        <is>
          <t>Hyderabad</t>
        </is>
      </c>
      <c r="B72" s="24" t="inlineStr">
        <is>
          <t>50X50X2.5</t>
        </is>
      </c>
      <c r="C72" s="27" t="n">
        <v>6980</v>
      </c>
    </row>
    <row r="73">
      <c r="A73" s="24" t="inlineStr">
        <is>
          <t>Hyderabad</t>
        </is>
      </c>
      <c r="B73" s="24" t="inlineStr">
        <is>
          <t>50X50X2.8</t>
        </is>
      </c>
      <c r="C73" s="27" t="n">
        <v>3385</v>
      </c>
    </row>
    <row r="74">
      <c r="A74" s="24" t="inlineStr">
        <is>
          <t>Hyderabad</t>
        </is>
      </c>
      <c r="B74" s="24" t="inlineStr">
        <is>
          <t>50X50X2.9</t>
        </is>
      </c>
      <c r="C74" s="27" t="n">
        <v>466</v>
      </c>
    </row>
    <row r="75">
      <c r="A75" s="24" t="inlineStr">
        <is>
          <t>Hyderabad</t>
        </is>
      </c>
      <c r="B75" s="24" t="inlineStr">
        <is>
          <t>50X50X3</t>
        </is>
      </c>
      <c r="C75" s="27" t="n">
        <v>2699</v>
      </c>
    </row>
    <row r="76">
      <c r="A76" s="24" t="inlineStr">
        <is>
          <t>Hyderabad</t>
        </is>
      </c>
      <c r="B76" s="24" t="inlineStr">
        <is>
          <t>50X50X4</t>
        </is>
      </c>
      <c r="C76" s="27" t="n">
        <v>2037</v>
      </c>
    </row>
    <row r="77">
      <c r="A77" s="24" t="inlineStr">
        <is>
          <t>Hyderabad</t>
        </is>
      </c>
      <c r="B77" s="24" t="inlineStr">
        <is>
          <t>60X40X1.6</t>
        </is>
      </c>
      <c r="C77" s="27" t="n">
        <v>12386</v>
      </c>
    </row>
    <row r="78">
      <c r="A78" s="24" t="inlineStr">
        <is>
          <t>Hyderabad</t>
        </is>
      </c>
      <c r="B78" s="24" t="inlineStr">
        <is>
          <t>60X40X2</t>
        </is>
      </c>
      <c r="C78" s="27" t="n">
        <v>12229</v>
      </c>
    </row>
    <row r="79">
      <c r="A79" s="24" t="inlineStr">
        <is>
          <t>Hyderabad</t>
        </is>
      </c>
      <c r="B79" s="24" t="inlineStr">
        <is>
          <t>60X40X2.5</t>
        </is>
      </c>
      <c r="C79" s="27" t="n">
        <v>4902</v>
      </c>
    </row>
    <row r="80">
      <c r="A80" s="24" t="inlineStr">
        <is>
          <t>Hyderabad</t>
        </is>
      </c>
      <c r="B80" s="24" t="inlineStr">
        <is>
          <t>60X40X2.8</t>
        </is>
      </c>
      <c r="C80" s="27" t="n">
        <v>2524</v>
      </c>
    </row>
    <row r="81">
      <c r="A81" s="24" t="inlineStr">
        <is>
          <t>Hyderabad</t>
        </is>
      </c>
      <c r="B81" s="24" t="inlineStr">
        <is>
          <t>60X60X2</t>
        </is>
      </c>
      <c r="C81" s="27" t="n">
        <v>1655</v>
      </c>
    </row>
    <row r="82">
      <c r="A82" s="24" t="inlineStr">
        <is>
          <t>Hyderabad</t>
        </is>
      </c>
      <c r="B82" s="24" t="inlineStr">
        <is>
          <t>60X60X2.5</t>
        </is>
      </c>
      <c r="C82" s="27" t="n">
        <v>817</v>
      </c>
    </row>
    <row r="83">
      <c r="A83" s="24" t="inlineStr">
        <is>
          <t>Hyderabad</t>
        </is>
      </c>
      <c r="B83" s="24" t="inlineStr">
        <is>
          <t>60X60X2.8</t>
        </is>
      </c>
      <c r="C83" s="27" t="n">
        <v>1193</v>
      </c>
    </row>
    <row r="84">
      <c r="A84" s="24" t="inlineStr">
        <is>
          <t>Hyderabad</t>
        </is>
      </c>
      <c r="B84" s="24" t="inlineStr">
        <is>
          <t>60X60X4</t>
        </is>
      </c>
      <c r="C84" s="27" t="n">
        <v>405</v>
      </c>
    </row>
    <row r="85">
      <c r="A85" s="24" t="inlineStr">
        <is>
          <t>Hyderabad</t>
        </is>
      </c>
      <c r="B85" s="24" t="inlineStr">
        <is>
          <t>65NBX2</t>
        </is>
      </c>
      <c r="C85" s="27" t="n">
        <v>866</v>
      </c>
    </row>
    <row r="86">
      <c r="A86" s="24" t="inlineStr">
        <is>
          <t>Hyderabad</t>
        </is>
      </c>
      <c r="B86" s="24" t="inlineStr">
        <is>
          <t>65NBX2.5</t>
        </is>
      </c>
      <c r="C86" s="27" t="n">
        <v>481</v>
      </c>
    </row>
    <row r="87">
      <c r="A87" s="24" t="inlineStr">
        <is>
          <t>Hyderabad</t>
        </is>
      </c>
      <c r="B87" s="24" t="inlineStr">
        <is>
          <t>65NBX2.8</t>
        </is>
      </c>
      <c r="C87" s="27" t="n">
        <v>1021</v>
      </c>
    </row>
    <row r="88">
      <c r="A88" s="24" t="inlineStr">
        <is>
          <t>Hyderabad</t>
        </is>
      </c>
      <c r="B88" s="24" t="inlineStr">
        <is>
          <t>65NBX4</t>
        </is>
      </c>
      <c r="C88" s="27" t="n">
        <v>237</v>
      </c>
    </row>
    <row r="89">
      <c r="A89" s="24" t="inlineStr">
        <is>
          <t>Hyderabad</t>
        </is>
      </c>
      <c r="B89" s="24" t="inlineStr">
        <is>
          <t>75X25X1.6</t>
        </is>
      </c>
      <c r="C89" s="27" t="n">
        <v>5104</v>
      </c>
    </row>
    <row r="90">
      <c r="A90" s="24" t="inlineStr">
        <is>
          <t>Hyderabad</t>
        </is>
      </c>
      <c r="B90" s="24" t="inlineStr">
        <is>
          <t>75X25X2</t>
        </is>
      </c>
      <c r="C90" s="27" t="n">
        <v>3207</v>
      </c>
    </row>
    <row r="91">
      <c r="A91" s="24" t="inlineStr">
        <is>
          <t>Hyderabad</t>
        </is>
      </c>
      <c r="B91" s="24" t="inlineStr">
        <is>
          <t>75X25X2.5</t>
        </is>
      </c>
      <c r="C91" s="27" t="n">
        <v>548</v>
      </c>
    </row>
    <row r="92">
      <c r="A92" s="24" t="inlineStr">
        <is>
          <t>Hyderabad</t>
        </is>
      </c>
      <c r="B92" s="24" t="inlineStr">
        <is>
          <t>75X25X2.8</t>
        </is>
      </c>
      <c r="C92" s="27" t="n">
        <v>291</v>
      </c>
    </row>
    <row r="93">
      <c r="A93" s="24" t="inlineStr">
        <is>
          <t>Hyderabad</t>
        </is>
      </c>
      <c r="B93" s="24" t="inlineStr">
        <is>
          <t>75X75X2</t>
        </is>
      </c>
      <c r="C93" s="27" t="n">
        <v>891</v>
      </c>
    </row>
    <row r="94">
      <c r="A94" s="24" t="inlineStr">
        <is>
          <t>Hyderabad</t>
        </is>
      </c>
      <c r="B94" s="24" t="inlineStr">
        <is>
          <t>75X75X2.5</t>
        </is>
      </c>
      <c r="C94" s="27" t="n">
        <v>739</v>
      </c>
    </row>
    <row r="95">
      <c r="A95" s="24" t="inlineStr">
        <is>
          <t>Hyderabad</t>
        </is>
      </c>
      <c r="B95" s="24" t="inlineStr">
        <is>
          <t>80NBX1.6</t>
        </is>
      </c>
      <c r="C95" s="27" t="n">
        <v>157</v>
      </c>
    </row>
    <row r="96">
      <c r="A96" s="24" t="inlineStr">
        <is>
          <t>Hyderabad</t>
        </is>
      </c>
      <c r="B96" s="24" t="inlineStr">
        <is>
          <t>80NBX2</t>
        </is>
      </c>
      <c r="C96" s="27" t="n">
        <v>443</v>
      </c>
    </row>
    <row r="97">
      <c r="A97" s="24" t="inlineStr">
        <is>
          <t>Hyderabad</t>
        </is>
      </c>
      <c r="B97" s="24" t="inlineStr">
        <is>
          <t>80NBX2.5</t>
        </is>
      </c>
      <c r="C97" s="27" t="n">
        <v>616</v>
      </c>
    </row>
    <row r="98">
      <c r="A98" s="24" t="inlineStr">
        <is>
          <t>Hyderabad</t>
        </is>
      </c>
      <c r="B98" s="24" t="inlineStr">
        <is>
          <t>80NBX2.8</t>
        </is>
      </c>
      <c r="C98" s="27" t="n">
        <v>719</v>
      </c>
    </row>
    <row r="99">
      <c r="A99" s="24" t="inlineStr">
        <is>
          <t>Hyderabad</t>
        </is>
      </c>
      <c r="B99" s="24" t="inlineStr">
        <is>
          <t>80NBX3.2</t>
        </is>
      </c>
      <c r="C99" s="27" t="n">
        <v>273</v>
      </c>
    </row>
    <row r="100">
      <c r="A100" s="24" t="inlineStr">
        <is>
          <t>Hyderabad</t>
        </is>
      </c>
      <c r="B100" s="24" t="inlineStr">
        <is>
          <t>80NBX4</t>
        </is>
      </c>
      <c r="C100" s="27" t="n">
        <v>302</v>
      </c>
    </row>
    <row r="101">
      <c r="A101" s="24" t="inlineStr">
        <is>
          <t>Hyderabad</t>
        </is>
      </c>
      <c r="B101" s="24" t="inlineStr">
        <is>
          <t>80X40X1.6</t>
        </is>
      </c>
      <c r="C101" s="27" t="n">
        <v>7412</v>
      </c>
    </row>
    <row r="102">
      <c r="A102" s="24" t="inlineStr">
        <is>
          <t>Hyderabad</t>
        </is>
      </c>
      <c r="B102" s="24" t="inlineStr">
        <is>
          <t>80X40X2</t>
        </is>
      </c>
      <c r="C102" s="27" t="n">
        <v>9681</v>
      </c>
    </row>
    <row r="103">
      <c r="A103" s="24" t="inlineStr">
        <is>
          <t>Hyderabad</t>
        </is>
      </c>
      <c r="B103" s="24" t="inlineStr">
        <is>
          <t>80X40X2.5</t>
        </is>
      </c>
      <c r="C103" s="27" t="n">
        <v>4135</v>
      </c>
    </row>
    <row r="104">
      <c r="A104" s="24" t="inlineStr">
        <is>
          <t>Hyderabad</t>
        </is>
      </c>
      <c r="B104" s="24" t="inlineStr">
        <is>
          <t>80X40X2.8</t>
        </is>
      </c>
      <c r="C104" s="27" t="n">
        <v>3711</v>
      </c>
    </row>
    <row r="105">
      <c r="A105" s="24" t="inlineStr">
        <is>
          <t>Hyderabad</t>
        </is>
      </c>
      <c r="B105" s="24" t="inlineStr">
        <is>
          <t>80X40X4</t>
        </is>
      </c>
      <c r="C105" s="27" t="n">
        <v>1038</v>
      </c>
    </row>
    <row r="106">
      <c r="A106" s="24" t="inlineStr">
        <is>
          <t>Lepakshi</t>
        </is>
      </c>
      <c r="B106" s="24" t="inlineStr">
        <is>
          <t>100X100X2</t>
        </is>
      </c>
      <c r="C106" s="27" t="n">
        <v>1362</v>
      </c>
    </row>
    <row r="107">
      <c r="A107" s="24" t="inlineStr">
        <is>
          <t>Lepakshi</t>
        </is>
      </c>
      <c r="B107" s="24" t="inlineStr">
        <is>
          <t>100X100X2.5</t>
        </is>
      </c>
      <c r="C107" s="27" t="n">
        <v>979</v>
      </c>
    </row>
    <row r="108">
      <c r="A108" s="24" t="inlineStr">
        <is>
          <t>Lepakshi</t>
        </is>
      </c>
      <c r="B108" s="24" t="inlineStr">
        <is>
          <t>100X100X3</t>
        </is>
      </c>
      <c r="C108" s="27" t="n">
        <v>983</v>
      </c>
    </row>
    <row r="109">
      <c r="A109" s="24" t="inlineStr">
        <is>
          <t>Lepakshi</t>
        </is>
      </c>
      <c r="B109" s="24" t="inlineStr">
        <is>
          <t>100X100X4</t>
        </is>
      </c>
      <c r="C109" s="27" t="n">
        <v>536</v>
      </c>
    </row>
    <row r="110">
      <c r="A110" s="24" t="inlineStr">
        <is>
          <t>Lepakshi</t>
        </is>
      </c>
      <c r="B110" s="24" t="inlineStr">
        <is>
          <t>100X100X5</t>
        </is>
      </c>
      <c r="C110" s="27" t="n">
        <v>537</v>
      </c>
    </row>
    <row r="111">
      <c r="A111" s="24" t="inlineStr">
        <is>
          <t>Lepakshi</t>
        </is>
      </c>
      <c r="B111" s="24" t="inlineStr">
        <is>
          <t>122X61X2</t>
        </is>
      </c>
      <c r="C111" s="27" t="n">
        <v>300</v>
      </c>
    </row>
    <row r="112">
      <c r="A112" s="24" t="inlineStr">
        <is>
          <t>Lepakshi</t>
        </is>
      </c>
      <c r="B112" s="24" t="inlineStr">
        <is>
          <t>122X61X2.5</t>
        </is>
      </c>
      <c r="C112" s="27" t="n">
        <v>126</v>
      </c>
    </row>
    <row r="113">
      <c r="A113" s="24" t="inlineStr">
        <is>
          <t>Lepakshi</t>
        </is>
      </c>
      <c r="B113" s="24" t="inlineStr">
        <is>
          <t>122X61X3</t>
        </is>
      </c>
      <c r="C113" s="27" t="n">
        <v>94</v>
      </c>
    </row>
    <row r="114">
      <c r="A114" s="24" t="inlineStr">
        <is>
          <t>Lepakshi</t>
        </is>
      </c>
      <c r="B114" s="24" t="inlineStr">
        <is>
          <t>122X61X4</t>
        </is>
      </c>
      <c r="C114" s="27" t="n">
        <v>45</v>
      </c>
    </row>
    <row r="115">
      <c r="A115" s="24" t="inlineStr">
        <is>
          <t>Lepakshi</t>
        </is>
      </c>
      <c r="B115" s="24" t="inlineStr">
        <is>
          <t>40X40X2</t>
        </is>
      </c>
      <c r="C115" s="27" t="n">
        <v>3217</v>
      </c>
    </row>
    <row r="116">
      <c r="A116" s="24" t="inlineStr">
        <is>
          <t>Lepakshi</t>
        </is>
      </c>
      <c r="B116" s="24" t="inlineStr">
        <is>
          <t>40X40X2.5</t>
        </is>
      </c>
      <c r="C116" s="27" t="n">
        <v>2675</v>
      </c>
    </row>
    <row r="117">
      <c r="A117" s="24" t="inlineStr">
        <is>
          <t>Lepakshi</t>
        </is>
      </c>
      <c r="B117" s="24" t="inlineStr">
        <is>
          <t>40X40X3</t>
        </is>
      </c>
      <c r="C117" s="27" t="n">
        <v>905</v>
      </c>
    </row>
    <row r="118">
      <c r="A118" s="24" t="inlineStr">
        <is>
          <t>Lepakshi</t>
        </is>
      </c>
      <c r="B118" s="24" t="inlineStr">
        <is>
          <t>72X72X2</t>
        </is>
      </c>
      <c r="C118" s="27" t="n">
        <v>880</v>
      </c>
    </row>
    <row r="119">
      <c r="A119" s="24" t="inlineStr">
        <is>
          <t>Lepakshi</t>
        </is>
      </c>
      <c r="B119" s="24" t="inlineStr">
        <is>
          <t>72X72X2.5</t>
        </is>
      </c>
      <c r="C119" s="27" t="n">
        <v>326</v>
      </c>
    </row>
    <row r="120">
      <c r="A120" s="24" t="inlineStr">
        <is>
          <t>Lepakshi</t>
        </is>
      </c>
      <c r="B120" s="24" t="inlineStr">
        <is>
          <t>72X72X3</t>
        </is>
      </c>
      <c r="C120" s="27" t="n">
        <v>374</v>
      </c>
    </row>
    <row r="121">
      <c r="A121" s="24" t="inlineStr">
        <is>
          <t>Lepakshi</t>
        </is>
      </c>
      <c r="B121" s="24" t="inlineStr">
        <is>
          <t>72X72X4</t>
        </is>
      </c>
      <c r="C121" s="27" t="n">
        <v>465</v>
      </c>
    </row>
    <row r="122">
      <c r="A122" s="24" t="inlineStr">
        <is>
          <t>Lepakshi</t>
        </is>
      </c>
      <c r="B122" s="24" t="inlineStr">
        <is>
          <t>96X48X2</t>
        </is>
      </c>
      <c r="C122" s="27" t="n">
        <v>1103</v>
      </c>
    </row>
    <row r="123">
      <c r="A123" s="24" t="inlineStr">
        <is>
          <t>Lepakshi</t>
        </is>
      </c>
      <c r="B123" s="24" t="inlineStr">
        <is>
          <t>96X48X2.5</t>
        </is>
      </c>
      <c r="C123" s="27" t="n">
        <v>513</v>
      </c>
    </row>
    <row r="124">
      <c r="A124" s="24" t="inlineStr">
        <is>
          <t>Lepakshi</t>
        </is>
      </c>
      <c r="B124" s="24" t="inlineStr">
        <is>
          <t>96X48X3</t>
        </is>
      </c>
      <c r="C124" s="27" t="n">
        <v>574</v>
      </c>
    </row>
    <row r="125">
      <c r="A125" s="24" t="inlineStr">
        <is>
          <t>Lepakshi</t>
        </is>
      </c>
      <c r="B125" s="24" t="inlineStr">
        <is>
          <t>96X48X4</t>
        </is>
      </c>
      <c r="C125" s="27" t="n">
        <v>98</v>
      </c>
    </row>
    <row r="126">
      <c r="A126" s="24" t="inlineStr">
        <is>
          <t>Lepakshi</t>
        </is>
      </c>
      <c r="B126" s="24" t="inlineStr">
        <is>
          <t>96X48X5</t>
        </is>
      </c>
      <c r="C126" s="27" t="n">
        <v>143</v>
      </c>
    </row>
    <row r="127">
      <c r="A127" s="24" t="inlineStr">
        <is>
          <t>NPMD</t>
        </is>
      </c>
      <c r="B127" s="24" t="inlineStr">
        <is>
          <t>50X25X1.6</t>
        </is>
      </c>
      <c r="C127" s="27" t="n">
        <v>342</v>
      </c>
    </row>
    <row r="128">
      <c r="A128" s="24" t="inlineStr">
        <is>
          <t>NPMD</t>
        </is>
      </c>
      <c r="B128" s="24" t="inlineStr">
        <is>
          <t>50X25X2.5</t>
        </is>
      </c>
      <c r="C128" s="27" t="n">
        <v>127</v>
      </c>
    </row>
    <row r="129">
      <c r="A129" s="24" t="inlineStr">
        <is>
          <t>NPMD</t>
        </is>
      </c>
      <c r="B129" s="24" t="inlineStr">
        <is>
          <t>50X25X3</t>
        </is>
      </c>
      <c r="C129" s="27" t="n">
        <v>251</v>
      </c>
    </row>
    <row r="130">
      <c r="A130" s="24" t="inlineStr">
        <is>
          <t>NPMD</t>
        </is>
      </c>
      <c r="B130" s="24" t="inlineStr">
        <is>
          <t>50X50X1.2</t>
        </is>
      </c>
      <c r="C130" s="27" t="n">
        <v>983</v>
      </c>
    </row>
    <row r="131">
      <c r="A131" s="24" t="inlineStr">
        <is>
          <t>NPMD</t>
        </is>
      </c>
      <c r="B131" s="24" t="inlineStr">
        <is>
          <t>50X50X1.6</t>
        </is>
      </c>
      <c r="C131" s="27" t="n">
        <v>6248</v>
      </c>
    </row>
    <row r="132">
      <c r="A132" s="24" t="inlineStr">
        <is>
          <t>NPMD</t>
        </is>
      </c>
      <c r="B132" s="24" t="inlineStr">
        <is>
          <t>50X50X2</t>
        </is>
      </c>
      <c r="C132" s="27" t="n">
        <v>4221</v>
      </c>
    </row>
    <row r="133">
      <c r="A133" s="24" t="inlineStr">
        <is>
          <t>NPMD</t>
        </is>
      </c>
      <c r="B133" s="24" t="inlineStr">
        <is>
          <t>50X50X3</t>
        </is>
      </c>
      <c r="C133" s="27" t="n">
        <v>2686</v>
      </c>
    </row>
    <row r="134">
      <c r="A134" s="24" t="inlineStr">
        <is>
          <t>NPMD</t>
        </is>
      </c>
      <c r="B134" s="24" t="inlineStr">
        <is>
          <t>60X40X1.6</t>
        </is>
      </c>
      <c r="C134" s="27" t="n">
        <v>4284</v>
      </c>
    </row>
    <row r="135">
      <c r="A135" s="24" t="inlineStr">
        <is>
          <t>NPMD</t>
        </is>
      </c>
      <c r="B135" s="24" t="inlineStr">
        <is>
          <t>60X40X2</t>
        </is>
      </c>
      <c r="C135" s="27" t="n">
        <v>3300</v>
      </c>
    </row>
    <row r="136">
      <c r="A136" s="24" t="inlineStr">
        <is>
          <t>NPMD</t>
        </is>
      </c>
      <c r="B136" s="24" t="inlineStr">
        <is>
          <t>60X40X3</t>
        </is>
      </c>
      <c r="C136" s="27" t="n">
        <v>685</v>
      </c>
    </row>
    <row r="137">
      <c r="A137" s="24" t="inlineStr">
        <is>
          <t>NPMD</t>
        </is>
      </c>
      <c r="B137" s="24" t="inlineStr">
        <is>
          <t>80X40X1.6</t>
        </is>
      </c>
      <c r="C137" s="27" t="n">
        <v>2294</v>
      </c>
    </row>
    <row r="138">
      <c r="A138" s="24" t="inlineStr">
        <is>
          <t>NPMD</t>
        </is>
      </c>
      <c r="B138" s="24" t="inlineStr">
        <is>
          <t>80X40X2</t>
        </is>
      </c>
      <c r="C138" s="27" t="n">
        <v>2656</v>
      </c>
    </row>
    <row r="139">
      <c r="A139" s="24" t="inlineStr">
        <is>
          <t>NPMD</t>
        </is>
      </c>
      <c r="B139" s="24" t="inlineStr">
        <is>
          <t>80X40X3</t>
        </is>
      </c>
      <c r="C139" s="27" t="n">
        <v>1402</v>
      </c>
    </row>
    <row r="140">
      <c r="A140" s="24" t="inlineStr">
        <is>
          <t>Tapi</t>
        </is>
      </c>
      <c r="B140" s="24" t="inlineStr">
        <is>
          <t>100X100X2</t>
        </is>
      </c>
      <c r="C140" s="27" t="n">
        <v>719</v>
      </c>
    </row>
    <row r="141">
      <c r="A141" s="24" t="inlineStr">
        <is>
          <t>Tapi</t>
        </is>
      </c>
      <c r="B141" s="24" t="inlineStr">
        <is>
          <t>100X100X2.5</t>
        </is>
      </c>
      <c r="C141" s="27" t="n">
        <v>400</v>
      </c>
    </row>
    <row r="142">
      <c r="A142" s="24" t="inlineStr">
        <is>
          <t>Tapi</t>
        </is>
      </c>
      <c r="B142" s="24" t="inlineStr">
        <is>
          <t>100X100X3</t>
        </is>
      </c>
      <c r="C142" s="27" t="n">
        <v>1163</v>
      </c>
    </row>
    <row r="143">
      <c r="A143" s="24" t="inlineStr">
        <is>
          <t>Tapi</t>
        </is>
      </c>
      <c r="B143" s="24" t="inlineStr">
        <is>
          <t>100X100X4</t>
        </is>
      </c>
      <c r="C143" s="27" t="n">
        <v>860</v>
      </c>
    </row>
    <row r="144">
      <c r="A144" s="24" t="inlineStr">
        <is>
          <t>Tapi</t>
        </is>
      </c>
      <c r="B144" s="24" t="inlineStr">
        <is>
          <t>100X100X5</t>
        </is>
      </c>
      <c r="C144" s="27" t="n">
        <v>591</v>
      </c>
    </row>
    <row r="145">
      <c r="A145" s="24" t="inlineStr">
        <is>
          <t>Tapi</t>
        </is>
      </c>
      <c r="B145" s="24" t="inlineStr">
        <is>
          <t>100X100X6</t>
        </is>
      </c>
      <c r="C145" s="27" t="n">
        <v>204</v>
      </c>
    </row>
    <row r="146">
      <c r="A146" s="24" t="inlineStr">
        <is>
          <t>Tapi</t>
        </is>
      </c>
      <c r="B146" s="24" t="inlineStr">
        <is>
          <t>122X61X2</t>
        </is>
      </c>
      <c r="C146" s="27" t="n">
        <v>455</v>
      </c>
    </row>
    <row r="147">
      <c r="A147" s="24" t="inlineStr">
        <is>
          <t>Tapi</t>
        </is>
      </c>
      <c r="B147" s="24" t="inlineStr">
        <is>
          <t>122X61X2.5</t>
        </is>
      </c>
      <c r="C147" s="27" t="n">
        <v>793</v>
      </c>
    </row>
    <row r="148">
      <c r="A148" s="24" t="inlineStr">
        <is>
          <t>Tapi</t>
        </is>
      </c>
      <c r="B148" s="24" t="inlineStr">
        <is>
          <t>122X61X3</t>
        </is>
      </c>
      <c r="C148" s="27" t="n">
        <v>1225</v>
      </c>
    </row>
    <row r="149">
      <c r="A149" s="24" t="inlineStr">
        <is>
          <t>Tapi</t>
        </is>
      </c>
      <c r="B149" s="24" t="inlineStr">
        <is>
          <t>122X61X4</t>
        </is>
      </c>
      <c r="C149" s="27" t="n">
        <v>741</v>
      </c>
    </row>
    <row r="150">
      <c r="A150" s="24" t="inlineStr">
        <is>
          <t>Tapi</t>
        </is>
      </c>
      <c r="B150" s="24" t="inlineStr">
        <is>
          <t>122X61X5</t>
        </is>
      </c>
      <c r="C150" s="27" t="n">
        <v>162</v>
      </c>
    </row>
    <row r="151">
      <c r="A151" s="24" t="inlineStr">
        <is>
          <t>Tapi</t>
        </is>
      </c>
      <c r="B151" s="24" t="inlineStr">
        <is>
          <t>132X132X3</t>
        </is>
      </c>
      <c r="C151" s="27" t="n">
        <v>261</v>
      </c>
    </row>
    <row r="152">
      <c r="A152" s="24" t="inlineStr">
        <is>
          <t>Tapi</t>
        </is>
      </c>
      <c r="B152" s="24" t="inlineStr">
        <is>
          <t>132X132X4</t>
        </is>
      </c>
      <c r="C152" s="27" t="n">
        <v>116</v>
      </c>
    </row>
    <row r="153">
      <c r="A153" s="24" t="inlineStr">
        <is>
          <t>Tapi</t>
        </is>
      </c>
      <c r="B153" s="24" t="inlineStr">
        <is>
          <t>145X82X3</t>
        </is>
      </c>
      <c r="C153" s="27" t="n">
        <v>631</v>
      </c>
    </row>
    <row r="154">
      <c r="A154" s="24" t="inlineStr">
        <is>
          <t>Tapi</t>
        </is>
      </c>
      <c r="B154" s="24" t="inlineStr">
        <is>
          <t>145X82X4</t>
        </is>
      </c>
      <c r="C154" s="27" t="n">
        <v>520</v>
      </c>
    </row>
    <row r="155">
      <c r="A155" s="24" t="inlineStr">
        <is>
          <t>Tapi</t>
        </is>
      </c>
      <c r="B155" s="24" t="inlineStr">
        <is>
          <t>150X150X3</t>
        </is>
      </c>
      <c r="C155" s="27" t="n">
        <v>638</v>
      </c>
    </row>
    <row r="156">
      <c r="A156" s="24" t="inlineStr">
        <is>
          <t>Tapi</t>
        </is>
      </c>
      <c r="B156" s="24" t="inlineStr">
        <is>
          <t>150X150X4</t>
        </is>
      </c>
      <c r="C156" s="27" t="n">
        <v>737</v>
      </c>
    </row>
    <row r="157">
      <c r="A157" s="24" t="inlineStr">
        <is>
          <t>Tapi</t>
        </is>
      </c>
      <c r="B157" s="24" t="inlineStr">
        <is>
          <t>150X150X5</t>
        </is>
      </c>
      <c r="C157" s="27" t="n">
        <v>752</v>
      </c>
    </row>
    <row r="158">
      <c r="A158" s="24" t="inlineStr">
        <is>
          <t>Tapi</t>
        </is>
      </c>
      <c r="B158" s="24" t="inlineStr">
        <is>
          <t>200X100X3</t>
        </is>
      </c>
      <c r="C158" s="27" t="n">
        <v>374</v>
      </c>
    </row>
    <row r="159">
      <c r="A159" s="24" t="inlineStr">
        <is>
          <t>Tapi</t>
        </is>
      </c>
      <c r="B159" s="24" t="inlineStr">
        <is>
          <t>200X100X4</t>
        </is>
      </c>
      <c r="C159" s="27" t="n">
        <v>277</v>
      </c>
    </row>
    <row r="160">
      <c r="A160" s="24" t="inlineStr">
        <is>
          <t>Tapi</t>
        </is>
      </c>
      <c r="B160" s="24" t="inlineStr">
        <is>
          <t>200X100X5</t>
        </is>
      </c>
      <c r="C160" s="27" t="n">
        <v>217</v>
      </c>
    </row>
    <row r="161">
      <c r="A161" s="24" t="inlineStr">
        <is>
          <t>Tapi</t>
        </is>
      </c>
      <c r="B161" s="24" t="inlineStr">
        <is>
          <t>40X40X2</t>
        </is>
      </c>
      <c r="C161" s="27" t="n">
        <v>202</v>
      </c>
    </row>
    <row r="162">
      <c r="A162" s="24" t="inlineStr">
        <is>
          <t>Tapi</t>
        </is>
      </c>
      <c r="B162" s="24" t="inlineStr">
        <is>
          <t>40X40X3</t>
        </is>
      </c>
      <c r="C162" s="27" t="n">
        <v>146</v>
      </c>
    </row>
    <row r="163">
      <c r="A163" s="24" t="inlineStr">
        <is>
          <t>Tapi</t>
        </is>
      </c>
      <c r="B163" s="24" t="inlineStr">
        <is>
          <t>50X50X2</t>
        </is>
      </c>
      <c r="C163" s="27" t="n">
        <v>366</v>
      </c>
    </row>
    <row r="164">
      <c r="A164" s="24" t="inlineStr">
        <is>
          <t>Tapi</t>
        </is>
      </c>
      <c r="B164" s="24" t="inlineStr">
        <is>
          <t>50X50X3</t>
        </is>
      </c>
      <c r="C164" s="27" t="n">
        <v>1348</v>
      </c>
    </row>
    <row r="165">
      <c r="A165" s="24" t="inlineStr">
        <is>
          <t>Tapi</t>
        </is>
      </c>
      <c r="B165" s="24" t="inlineStr">
        <is>
          <t>50X50X4</t>
        </is>
      </c>
      <c r="C165" s="27" t="n">
        <v>675</v>
      </c>
    </row>
    <row r="166">
      <c r="A166" s="24" t="inlineStr">
        <is>
          <t>Tapi</t>
        </is>
      </c>
      <c r="B166" s="24" t="inlineStr">
        <is>
          <t>50X50X5</t>
        </is>
      </c>
      <c r="C166" s="27" t="n">
        <v>826</v>
      </c>
    </row>
    <row r="167">
      <c r="A167" s="24" t="inlineStr">
        <is>
          <t>Tapi</t>
        </is>
      </c>
      <c r="B167" s="24" t="inlineStr">
        <is>
          <t>60X40X4</t>
        </is>
      </c>
      <c r="C167" s="27" t="n">
        <v>189</v>
      </c>
    </row>
    <row r="168">
      <c r="A168" s="24" t="inlineStr">
        <is>
          <t>Tapi</t>
        </is>
      </c>
      <c r="B168" s="24" t="inlineStr">
        <is>
          <t>72X72X2</t>
        </is>
      </c>
      <c r="C168" s="27" t="n">
        <v>1093</v>
      </c>
    </row>
    <row r="169">
      <c r="A169" s="24" t="inlineStr">
        <is>
          <t>Tapi</t>
        </is>
      </c>
      <c r="B169" s="24" t="inlineStr">
        <is>
          <t>72X72X3</t>
        </is>
      </c>
      <c r="C169" s="27" t="n">
        <v>694</v>
      </c>
    </row>
    <row r="170">
      <c r="A170" s="24" t="inlineStr">
        <is>
          <t>Tapi</t>
        </is>
      </c>
      <c r="B170" s="24" t="inlineStr">
        <is>
          <t>72X72X4</t>
        </is>
      </c>
      <c r="C170" s="27" t="n">
        <v>458</v>
      </c>
    </row>
    <row r="171">
      <c r="A171" s="24" t="inlineStr">
        <is>
          <t>Tapi</t>
        </is>
      </c>
      <c r="B171" s="24" t="inlineStr">
        <is>
          <t>72X72X5</t>
        </is>
      </c>
      <c r="C171" s="27" t="n">
        <v>360</v>
      </c>
    </row>
    <row r="172">
      <c r="A172" s="24" t="inlineStr">
        <is>
          <t>Tapi</t>
        </is>
      </c>
      <c r="B172" s="24" t="inlineStr">
        <is>
          <t>80X40X2</t>
        </is>
      </c>
      <c r="C172" s="27" t="n">
        <v>142</v>
      </c>
    </row>
    <row r="173">
      <c r="A173" s="24" t="inlineStr">
        <is>
          <t>Tapi</t>
        </is>
      </c>
      <c r="B173" s="24" t="inlineStr">
        <is>
          <t>80X40X5</t>
        </is>
      </c>
      <c r="C173" s="27" t="n">
        <v>776</v>
      </c>
    </row>
    <row r="174">
      <c r="A174" s="24" t="inlineStr">
        <is>
          <t>Tapi</t>
        </is>
      </c>
      <c r="B174" s="24" t="inlineStr">
        <is>
          <t>80X80X2.5</t>
        </is>
      </c>
      <c r="C174" s="27" t="n">
        <v>135</v>
      </c>
    </row>
    <row r="175">
      <c r="A175" s="24" t="inlineStr">
        <is>
          <t>Tapi</t>
        </is>
      </c>
      <c r="B175" s="24" t="inlineStr">
        <is>
          <t>80X80X3</t>
        </is>
      </c>
      <c r="C175" s="27" t="n">
        <v>394</v>
      </c>
    </row>
    <row r="176">
      <c r="A176" s="24" t="inlineStr">
        <is>
          <t>Tapi</t>
        </is>
      </c>
      <c r="B176" s="24" t="inlineStr">
        <is>
          <t>80X80X4</t>
        </is>
      </c>
      <c r="C176" s="27" t="n">
        <v>935</v>
      </c>
    </row>
    <row r="177">
      <c r="A177" s="24" t="inlineStr">
        <is>
          <t>Tapi</t>
        </is>
      </c>
      <c r="B177" s="24" t="inlineStr">
        <is>
          <t>80X80X5</t>
        </is>
      </c>
      <c r="C177" s="27" t="n">
        <v>164</v>
      </c>
    </row>
    <row r="178">
      <c r="A178" s="24" t="inlineStr">
        <is>
          <t>Tapi</t>
        </is>
      </c>
      <c r="B178" s="24" t="inlineStr">
        <is>
          <t>96X48X2</t>
        </is>
      </c>
      <c r="C178" s="27" t="n">
        <v>1560</v>
      </c>
    </row>
    <row r="179">
      <c r="A179" s="24" t="inlineStr">
        <is>
          <t>Tapi</t>
        </is>
      </c>
      <c r="B179" s="24" t="inlineStr">
        <is>
          <t>96X48X2.5</t>
        </is>
      </c>
      <c r="C179" s="27" t="n">
        <v>555</v>
      </c>
    </row>
    <row r="180">
      <c r="A180" s="24" t="inlineStr">
        <is>
          <t>Tapi</t>
        </is>
      </c>
      <c r="B180" s="24" t="inlineStr">
        <is>
          <t>96X48X3</t>
        </is>
      </c>
      <c r="C180" s="27" t="n">
        <v>2121</v>
      </c>
    </row>
    <row r="181">
      <c r="A181" s="24" t="inlineStr">
        <is>
          <t>Tapi</t>
        </is>
      </c>
      <c r="B181" s="24" t="inlineStr">
        <is>
          <t>96X48X4</t>
        </is>
      </c>
      <c r="C181" s="27" t="n">
        <v>1135</v>
      </c>
    </row>
    <row r="182">
      <c r="A182" s="24" t="inlineStr">
        <is>
          <t>Tapi</t>
        </is>
      </c>
      <c r="B182" s="24" t="inlineStr">
        <is>
          <t>96X48X5</t>
        </is>
      </c>
      <c r="C182" s="27" t="n">
        <v>335</v>
      </c>
    </row>
  </sheetData>
  <autoFilter ref="A1:C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2026-10-12T06:38:10Z</dcterms:created>
  <dcterms:modified xmlns:dcterms="http://purl.org/dc/terms/" xmlns:xsi="http://www.w3.org/2001/XMLSchema-instance" xsi:type="dcterms:W3CDTF">2026-10-12T06:38:10Z</dcterms:modified>
</cp:coreProperties>
</file>